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SEMPU" sheetId="2" r:id="rId5"/>
    <sheet state="visible" name="JAMBEWANGI" sheetId="3" r:id="rId6"/>
    <sheet state="visible" name="KARANGSARI" sheetId="4" r:id="rId7"/>
    <sheet state="visible" name="TEMUGURUH" sheetId="5" r:id="rId8"/>
    <sheet state="visible" name="GENDOH" sheetId="6" r:id="rId9"/>
    <sheet state="visible" name="TEMUASRI" sheetId="7" r:id="rId10"/>
    <sheet state="visible" name="TEGALARUM" sheetId="8" r:id="rId11"/>
  </sheets>
  <definedNames/>
  <calcPr/>
  <extLst>
    <ext uri="GoogleSheetsCustomDataVersion2">
      <go:sheetsCustomData xmlns:go="http://customooxmlschemas.google.com/" r:id="rId12" roundtripDataChecksum="dRI7nX3dEbluy/ft0l+oLxXwgd4eKCZYcbyNfFOYrzg="/>
    </ext>
  </extLst>
</workbook>
</file>

<file path=xl/sharedStrings.xml><?xml version="1.0" encoding="utf-8"?>
<sst xmlns="http://schemas.openxmlformats.org/spreadsheetml/2006/main" count="762" uniqueCount="120">
  <si>
    <t>Kecamatan</t>
  </si>
  <si>
    <t>SEMPU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</si>
  <si>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</si>
  <si>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</si>
  <si>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</si>
  <si>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</si>
  <si>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</si>
  <si>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</si>
  <si>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</si>
  <si>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</si>
  <si>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</si>
  <si>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</si>
  <si>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</si>
  <si>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</si>
  <si>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</si>
  <si>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</si>
  <si>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</si>
  <si>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</si>
  <si>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</si>
  <si>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</si>
  <si>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</si>
  <si>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</si>
  <si>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</si>
  <si>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</si>
  <si>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</si>
  <si>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</si>
  <si>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</si>
  <si>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</si>
  <si>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</si>
  <si>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</si>
  <si>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</si>
  <si>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</si>
  <si>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</si>
  <si>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</si>
  <si>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</si>
  <si>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</si>
  <si>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</si>
  <si>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</si>
  <si>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</si>
  <si>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</si>
  <si>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</si>
  <si>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</si>
  <si>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</si>
  <si>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</si>
  <si>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</si>
  <si>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</si>
  <si>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</si>
  <si>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</si>
  <si>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</si>
  <si>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</si>
  <si>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</si>
  <si>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</si>
  <si>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</si>
  <si>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</si>
  <si>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</si>
  <si>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</si>
  <si>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</si>
  <si>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</si>
  <si>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</si>
  <si>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</si>
  <si>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</si>
  <si>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</si>
  <si>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</si>
  <si>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</si>
  <si>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</si>
  <si>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</si>
  <si>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</si>
  <si>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</si>
  <si>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</si>
  <si>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JAMBEWANGI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</si>
  <si>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</si>
  <si>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</si>
  <si>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</si>
  <si>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</si>
  <si>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</si>
  <si>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</si>
  <si>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</si>
  <si>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</si>
  <si>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</si>
  <si>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</si>
  <si>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</si>
  <si>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</si>
  <si>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</si>
  <si>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</si>
  <si>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</si>
  <si>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</si>
  <si>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</si>
  <si>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</si>
  <si>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</si>
  <si>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</si>
  <si>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</si>
  <si>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</si>
  <si>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</si>
  <si>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</si>
  <si>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</si>
  <si>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</si>
  <si>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</si>
  <si>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</si>
  <si>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</si>
  <si>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</si>
  <si>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</si>
  <si>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</si>
  <si>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</si>
  <si>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</si>
  <si>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</si>
  <si>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</si>
  <si>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</si>
  <si>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</si>
  <si>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</si>
  <si>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</si>
  <si>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</si>
  <si>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</si>
  <si>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</si>
  <si>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</si>
  <si>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</si>
  <si>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KARANGSARI</t>
  </si>
  <si>
    <t>TEMUGURUH</t>
  </si>
  <si>
    <t>GENDOH</t>
  </si>
  <si>
    <t>TEMUASRI</t>
  </si>
  <si>
    <t>TEGALARUM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</si>
</sst>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sz val="11.0"/>
      <color theme="1"/>
      <name val="Bookman Old Style"/>
    </font>
    <font>
      <b/>
      <sz val="11.0"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GENDOH!AG14+JAMBEWANGI!BR14+KARANGSARI!AX14+SEMPU!Y14+TEGALARUM!AA14+TEMUASRI!AJ14+TEMUGURUH!AL14</f>
        <v>32583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GENDOH!AG15+JAMBEWANGI!BR15+KARANGSARI!AX15+SEMPU!Y15+TEGALARUM!AA15+TEMUASRI!AJ15+TEMUGURUH!AL15</f>
        <v>32633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65216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GENDOH!AG19+JAMBEWANGI!BR19+KARANGSARI!AX19+SEMPU!Y19+TEGALARUM!AA19+TEMUASRI!AJ19+TEMUGURUH!AL19</f>
        <v>23335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GENDOH!AG20+JAMBEWANGI!BR20+KARANGSARI!AX20+SEMPU!Y20+TEGALARUM!AA20+TEMUASRI!AJ20+TEMUGURUH!AL20</f>
        <v>25100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48435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GENDOH!AG22+JAMBEWANGI!BR22+KARANGSARI!AX22+SEMPU!Y22+TEGALARUM!AA22+TEMUASRI!AJ22+TEMUGURUH!AL22</f>
        <v>66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GENDOH!AG23+JAMBEWANGI!BR23+KARANGSARI!AX23+SEMPU!Y23+TEGALARUM!AA23+TEMUASRI!AJ23+TEMUGURUH!AL23</f>
        <v>68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134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GENDOH!AG25+JAMBEWANGI!BR25+KARANGSARI!AX25+SEMPU!Y25+TEGALARUM!AA25+TEMUASRI!AJ25+TEMUGURUH!AL25</f>
        <v>208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GENDOH!AG26+JAMBEWANGI!BR26+KARANGSARI!AX26+SEMPU!Y26+TEGALARUM!AA26+TEMUASRI!AJ26+TEMUGURUH!AL26</f>
        <v>282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23609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25450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49059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GENDOH!AG33+JAMBEWANGI!BR33+KARANGSARI!AX33+SEMPU!Y33+TEGALARUM!AA33+TEMUASRI!AJ33+TEMUGURUH!AL33</f>
        <v>66395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GENDOH!AG34+JAMBEWANGI!BR34+KARANGSARI!AX34+SEMPU!Y34+TEGALARUM!AA34+TEMUASRI!AJ34+TEMUGURUH!AL34</f>
        <v>49059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GENDOH!AG35+JAMBEWANGI!BR35+KARANGSARI!AX35+SEMPU!Y35+TEGALARUM!AA35+TEMUASRI!AJ35+TEMUGURUH!AL35</f>
        <v>186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17150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GENDOH!AG39+JAMBEWANGI!BR39+KARANGSARI!AX39+SEMPU!Y39+TEGALARUM!AA39+TEMUASRI!AJ39+TEMUGURUH!AL39</f>
        <v>50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GENDOH!AG40+JAMBEWANGI!BR40+KARANGSARI!AX40+SEMPU!Y40+TEGALARUM!AA40+TEMUASRI!AJ40+TEMUGURUH!AL40</f>
        <v>75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125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GENDOH!AG45+JAMBEWANGI!BR45+KARANGSARI!AX45+SEMPU!Y45+TEGALARUM!AA45+TEMUASRI!AJ45+TEMUGURUH!AL45</f>
        <v>5073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GENDOH!AG46+JAMBEWANGI!BR46+KARANGSARI!AX46+SEMPU!Y46+TEGALARUM!AA46+TEMUASRI!AJ46+TEMUGURUH!AL46</f>
        <v>33416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GENDOH!AG47+JAMBEWANGI!BR47+KARANGSARI!AX47+SEMPU!Y47+TEGALARUM!AA47+TEMUASRI!AJ47+TEMUGURUH!AL47</f>
        <v>9515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GENDOH!AG50+JAMBEWANGI!BR50+KARANGSARI!AX50+SEMPU!Y50+TEGALARUM!AA50+TEMUASRI!AJ50+TEMUGURUH!AL50</f>
        <v>48004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GENDOH!AG51+JAMBEWANGI!BR51+KARANGSARI!AX51+SEMPU!Y51+TEGALARUM!AA51+TEMUASRI!AJ51+TEMUGURUH!AL51</f>
        <v>1055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49059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9.14"/>
    <col customWidth="1" min="20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133.0</v>
      </c>
      <c r="G14" s="19">
        <v>87.0</v>
      </c>
      <c r="H14" s="19">
        <v>116.0</v>
      </c>
      <c r="I14" s="19">
        <v>126.0</v>
      </c>
      <c r="J14" s="19">
        <v>145.0</v>
      </c>
      <c r="K14" s="19">
        <v>80.0</v>
      </c>
      <c r="L14" s="19">
        <v>103.0</v>
      </c>
      <c r="M14" s="19">
        <v>142.0</v>
      </c>
      <c r="N14" s="19">
        <v>129.0</v>
      </c>
      <c r="O14" s="19">
        <v>151.0</v>
      </c>
      <c r="P14" s="19">
        <v>129.0</v>
      </c>
      <c r="Q14" s="19">
        <v>136.0</v>
      </c>
      <c r="R14" s="19">
        <v>109.0</v>
      </c>
      <c r="S14" s="19">
        <v>132.0</v>
      </c>
      <c r="T14" s="19">
        <v>141.0</v>
      </c>
      <c r="U14" s="19">
        <v>134.0</v>
      </c>
      <c r="V14" s="19">
        <v>99.0</v>
      </c>
      <c r="W14" s="19">
        <v>108.0</v>
      </c>
      <c r="X14" s="19">
        <v>79.0</v>
      </c>
      <c r="Y14" s="13">
        <f t="shared" ref="Y14:Y16" si="1">SUM(E14:X14)</f>
        <v>2410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146.0</v>
      </c>
      <c r="G15" s="19">
        <v>106.0</v>
      </c>
      <c r="H15" s="19">
        <v>107.0</v>
      </c>
      <c r="I15" s="19">
        <v>133.0</v>
      </c>
      <c r="J15" s="19">
        <v>145.0</v>
      </c>
      <c r="K15" s="19">
        <v>104.0</v>
      </c>
      <c r="L15" s="19">
        <v>99.0</v>
      </c>
      <c r="M15" s="19">
        <v>135.0</v>
      </c>
      <c r="N15" s="19">
        <v>146.0</v>
      </c>
      <c r="O15" s="19">
        <v>135.0</v>
      </c>
      <c r="P15" s="19">
        <v>148.0</v>
      </c>
      <c r="Q15" s="19">
        <v>149.0</v>
      </c>
      <c r="R15" s="19">
        <v>120.0</v>
      </c>
      <c r="S15" s="19">
        <v>143.0</v>
      </c>
      <c r="T15" s="19">
        <v>142.0</v>
      </c>
      <c r="U15" s="19">
        <v>129.0</v>
      </c>
      <c r="V15" s="19">
        <v>112.0</v>
      </c>
      <c r="W15" s="19">
        <v>133.0</v>
      </c>
      <c r="X15" s="19">
        <v>71.0</v>
      </c>
      <c r="Y15" s="13">
        <f t="shared" si="1"/>
        <v>2543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271</v>
      </c>
      <c r="F16" s="13">
        <f t="shared" si="2"/>
        <v>279</v>
      </c>
      <c r="G16" s="13">
        <f t="shared" si="2"/>
        <v>193</v>
      </c>
      <c r="H16" s="13">
        <f t="shared" si="2"/>
        <v>223</v>
      </c>
      <c r="I16" s="13">
        <f t="shared" si="2"/>
        <v>259</v>
      </c>
      <c r="J16" s="13">
        <f t="shared" si="2"/>
        <v>290</v>
      </c>
      <c r="K16" s="13">
        <f t="shared" si="2"/>
        <v>184</v>
      </c>
      <c r="L16" s="13">
        <f t="shared" si="2"/>
        <v>202</v>
      </c>
      <c r="M16" s="13">
        <f t="shared" si="2"/>
        <v>277</v>
      </c>
      <c r="N16" s="13">
        <f t="shared" si="2"/>
        <v>275</v>
      </c>
      <c r="O16" s="13">
        <f t="shared" si="2"/>
        <v>286</v>
      </c>
      <c r="P16" s="13">
        <f t="shared" si="2"/>
        <v>277</v>
      </c>
      <c r="Q16" s="13">
        <f t="shared" si="2"/>
        <v>285</v>
      </c>
      <c r="R16" s="13">
        <f t="shared" si="2"/>
        <v>229</v>
      </c>
      <c r="S16" s="13">
        <f t="shared" si="2"/>
        <v>275</v>
      </c>
      <c r="T16" s="13">
        <f t="shared" si="2"/>
        <v>283</v>
      </c>
      <c r="U16" s="13">
        <f t="shared" si="2"/>
        <v>263</v>
      </c>
      <c r="V16" s="13">
        <f t="shared" si="2"/>
        <v>211</v>
      </c>
      <c r="W16" s="13">
        <f t="shared" si="2"/>
        <v>241</v>
      </c>
      <c r="X16" s="13">
        <f t="shared" si="2"/>
        <v>150</v>
      </c>
      <c r="Y16" s="13">
        <f t="shared" si="1"/>
        <v>4953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92.0</v>
      </c>
      <c r="G19" s="19">
        <v>68.0</v>
      </c>
      <c r="H19" s="19">
        <v>84.0</v>
      </c>
      <c r="I19" s="19">
        <v>96.0</v>
      </c>
      <c r="J19" s="19">
        <v>100.0</v>
      </c>
      <c r="K19" s="19">
        <v>55.0</v>
      </c>
      <c r="L19" s="19">
        <v>86.0</v>
      </c>
      <c r="M19" s="19">
        <v>112.0</v>
      </c>
      <c r="N19" s="19">
        <v>96.0</v>
      </c>
      <c r="O19" s="19">
        <v>113.0</v>
      </c>
      <c r="P19" s="19">
        <v>97.0</v>
      </c>
      <c r="Q19" s="19">
        <v>99.0</v>
      </c>
      <c r="R19" s="19">
        <v>85.0</v>
      </c>
      <c r="S19" s="19">
        <v>95.0</v>
      </c>
      <c r="T19" s="19">
        <v>99.0</v>
      </c>
      <c r="U19" s="19">
        <v>103.0</v>
      </c>
      <c r="V19" s="19">
        <v>76.0</v>
      </c>
      <c r="W19" s="19">
        <v>77.0</v>
      </c>
      <c r="X19" s="19">
        <v>62.0</v>
      </c>
      <c r="Y19" s="13">
        <f t="shared" ref="Y19:Y30" si="3">SUM(E19:X19)</f>
        <v>1803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114.0</v>
      </c>
      <c r="G20" s="19">
        <v>86.0</v>
      </c>
      <c r="H20" s="19">
        <v>86.0</v>
      </c>
      <c r="I20" s="19">
        <v>101.0</v>
      </c>
      <c r="J20" s="19">
        <v>114.0</v>
      </c>
      <c r="K20" s="19">
        <v>77.0</v>
      </c>
      <c r="L20" s="19">
        <v>82.0</v>
      </c>
      <c r="M20" s="19">
        <v>112.0</v>
      </c>
      <c r="N20" s="19">
        <v>112.0</v>
      </c>
      <c r="O20" s="19">
        <v>109.0</v>
      </c>
      <c r="P20" s="19">
        <v>127.0</v>
      </c>
      <c r="Q20" s="19">
        <v>116.0</v>
      </c>
      <c r="R20" s="19">
        <v>91.0</v>
      </c>
      <c r="S20" s="19">
        <v>117.0</v>
      </c>
      <c r="T20" s="19">
        <v>108.0</v>
      </c>
      <c r="U20" s="19">
        <v>109.0</v>
      </c>
      <c r="V20" s="19">
        <v>92.0</v>
      </c>
      <c r="W20" s="19">
        <v>107.0</v>
      </c>
      <c r="X20" s="19">
        <v>62.0</v>
      </c>
      <c r="Y20" s="13">
        <f t="shared" si="3"/>
        <v>2028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214</v>
      </c>
      <c r="F21" s="13">
        <f t="shared" si="4"/>
        <v>206</v>
      </c>
      <c r="G21" s="13">
        <f t="shared" si="4"/>
        <v>154</v>
      </c>
      <c r="H21" s="13">
        <f t="shared" si="4"/>
        <v>170</v>
      </c>
      <c r="I21" s="13">
        <f t="shared" si="4"/>
        <v>197</v>
      </c>
      <c r="J21" s="13">
        <f t="shared" si="4"/>
        <v>214</v>
      </c>
      <c r="K21" s="13">
        <f t="shared" si="4"/>
        <v>132</v>
      </c>
      <c r="L21" s="13">
        <f t="shared" si="4"/>
        <v>168</v>
      </c>
      <c r="M21" s="13">
        <f t="shared" si="4"/>
        <v>224</v>
      </c>
      <c r="N21" s="13">
        <f t="shared" si="4"/>
        <v>208</v>
      </c>
      <c r="O21" s="13">
        <f t="shared" si="4"/>
        <v>222</v>
      </c>
      <c r="P21" s="13">
        <f t="shared" si="4"/>
        <v>224</v>
      </c>
      <c r="Q21" s="13">
        <f t="shared" si="4"/>
        <v>215</v>
      </c>
      <c r="R21" s="13">
        <f t="shared" si="4"/>
        <v>176</v>
      </c>
      <c r="S21" s="13">
        <f t="shared" si="4"/>
        <v>212</v>
      </c>
      <c r="T21" s="13">
        <f t="shared" si="4"/>
        <v>207</v>
      </c>
      <c r="U21" s="13">
        <f t="shared" si="4"/>
        <v>212</v>
      </c>
      <c r="V21" s="13">
        <f t="shared" si="4"/>
        <v>168</v>
      </c>
      <c r="W21" s="13">
        <f t="shared" si="4"/>
        <v>184</v>
      </c>
      <c r="X21" s="13">
        <f t="shared" si="4"/>
        <v>124</v>
      </c>
      <c r="Y21" s="13">
        <f t="shared" si="3"/>
        <v>3831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2.0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4.0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3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3.0</v>
      </c>
      <c r="I25" s="19">
        <v>1.0</v>
      </c>
      <c r="J25" s="19">
        <v>1.0</v>
      </c>
      <c r="K25" s="19">
        <v>1.0</v>
      </c>
      <c r="L25" s="19">
        <v>1.0</v>
      </c>
      <c r="M25" s="19">
        <v>2.0</v>
      </c>
      <c r="N25" s="19">
        <v>0.0</v>
      </c>
      <c r="O25" s="19">
        <v>0.0</v>
      </c>
      <c r="P25" s="19">
        <v>1.0</v>
      </c>
      <c r="Q25" s="19">
        <v>1.0</v>
      </c>
      <c r="R25" s="19">
        <v>3.0</v>
      </c>
      <c r="S25" s="19">
        <v>2.0</v>
      </c>
      <c r="T25" s="19">
        <v>0.0</v>
      </c>
      <c r="U25" s="19">
        <v>10.0</v>
      </c>
      <c r="V25" s="19">
        <v>1.0</v>
      </c>
      <c r="W25" s="19">
        <v>0.0</v>
      </c>
      <c r="X25" s="19">
        <v>1.0</v>
      </c>
      <c r="Y25" s="13">
        <f t="shared" si="3"/>
        <v>31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5.0</v>
      </c>
      <c r="G26" s="19">
        <v>0.0</v>
      </c>
      <c r="H26" s="19">
        <v>4.0</v>
      </c>
      <c r="I26" s="19">
        <v>1.0</v>
      </c>
      <c r="J26" s="19">
        <v>3.0</v>
      </c>
      <c r="K26" s="19">
        <v>0.0</v>
      </c>
      <c r="L26" s="19">
        <v>1.0</v>
      </c>
      <c r="M26" s="19">
        <v>4.0</v>
      </c>
      <c r="N26" s="19">
        <v>0.0</v>
      </c>
      <c r="O26" s="19">
        <v>0.0</v>
      </c>
      <c r="P26" s="19">
        <v>1.0</v>
      </c>
      <c r="Q26" s="19">
        <v>1.0</v>
      </c>
      <c r="R26" s="19">
        <v>1.0</v>
      </c>
      <c r="S26" s="19">
        <v>4.0</v>
      </c>
      <c r="T26" s="19">
        <v>1.0</v>
      </c>
      <c r="U26" s="19">
        <v>6.0</v>
      </c>
      <c r="V26" s="19">
        <v>5.0</v>
      </c>
      <c r="W26" s="19">
        <v>1.0</v>
      </c>
      <c r="X26" s="19">
        <v>1.0</v>
      </c>
      <c r="Y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3</v>
      </c>
      <c r="F27" s="13">
        <f t="shared" si="6"/>
        <v>6</v>
      </c>
      <c r="G27" s="13">
        <f t="shared" si="6"/>
        <v>0</v>
      </c>
      <c r="H27" s="13">
        <f t="shared" si="6"/>
        <v>7</v>
      </c>
      <c r="I27" s="13">
        <f t="shared" si="6"/>
        <v>2</v>
      </c>
      <c r="J27" s="13">
        <f t="shared" si="6"/>
        <v>4</v>
      </c>
      <c r="K27" s="13">
        <f t="shared" si="6"/>
        <v>1</v>
      </c>
      <c r="L27" s="13">
        <f t="shared" si="6"/>
        <v>2</v>
      </c>
      <c r="M27" s="13">
        <f t="shared" si="6"/>
        <v>6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4</v>
      </c>
      <c r="S27" s="13">
        <f t="shared" si="6"/>
        <v>6</v>
      </c>
      <c r="T27" s="13">
        <f t="shared" si="6"/>
        <v>1</v>
      </c>
      <c r="U27" s="13">
        <f t="shared" si="6"/>
        <v>16</v>
      </c>
      <c r="V27" s="13">
        <f t="shared" si="6"/>
        <v>6</v>
      </c>
      <c r="W27" s="13">
        <f t="shared" si="6"/>
        <v>1</v>
      </c>
      <c r="X27" s="13">
        <f t="shared" si="6"/>
        <v>2</v>
      </c>
      <c r="Y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110</v>
      </c>
      <c r="F28" s="13">
        <f t="shared" si="7"/>
        <v>93</v>
      </c>
      <c r="G28" s="13">
        <f t="shared" si="7"/>
        <v>68</v>
      </c>
      <c r="H28" s="13">
        <f t="shared" si="7"/>
        <v>87</v>
      </c>
      <c r="I28" s="13">
        <f t="shared" si="7"/>
        <v>97</v>
      </c>
      <c r="J28" s="13">
        <f t="shared" si="7"/>
        <v>101</v>
      </c>
      <c r="K28" s="13">
        <f t="shared" si="7"/>
        <v>57</v>
      </c>
      <c r="L28" s="13">
        <f t="shared" si="7"/>
        <v>87</v>
      </c>
      <c r="M28" s="13">
        <f t="shared" si="7"/>
        <v>114</v>
      </c>
      <c r="N28" s="13">
        <f t="shared" si="7"/>
        <v>96</v>
      </c>
      <c r="O28" s="13">
        <f t="shared" si="7"/>
        <v>113</v>
      </c>
      <c r="P28" s="13">
        <f t="shared" si="7"/>
        <v>98</v>
      </c>
      <c r="Q28" s="13">
        <f t="shared" si="7"/>
        <v>100</v>
      </c>
      <c r="R28" s="13">
        <f t="shared" si="7"/>
        <v>90</v>
      </c>
      <c r="S28" s="13">
        <f t="shared" si="7"/>
        <v>97</v>
      </c>
      <c r="T28" s="13">
        <f t="shared" si="7"/>
        <v>99</v>
      </c>
      <c r="U28" s="13">
        <f t="shared" si="7"/>
        <v>113</v>
      </c>
      <c r="V28" s="13">
        <f t="shared" si="7"/>
        <v>77</v>
      </c>
      <c r="W28" s="13">
        <f t="shared" si="7"/>
        <v>77</v>
      </c>
      <c r="X28" s="13">
        <f t="shared" si="7"/>
        <v>63</v>
      </c>
      <c r="Y28" s="13">
        <f t="shared" si="3"/>
        <v>1837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107</v>
      </c>
      <c r="F29" s="13">
        <f t="shared" si="8"/>
        <v>119</v>
      </c>
      <c r="G29" s="13">
        <f t="shared" si="8"/>
        <v>86</v>
      </c>
      <c r="H29" s="13">
        <f t="shared" si="8"/>
        <v>90</v>
      </c>
      <c r="I29" s="13">
        <f t="shared" si="8"/>
        <v>102</v>
      </c>
      <c r="J29" s="13">
        <f t="shared" si="8"/>
        <v>117</v>
      </c>
      <c r="K29" s="13">
        <f t="shared" si="8"/>
        <v>81</v>
      </c>
      <c r="L29" s="13">
        <f t="shared" si="8"/>
        <v>83</v>
      </c>
      <c r="M29" s="13">
        <f t="shared" si="8"/>
        <v>116</v>
      </c>
      <c r="N29" s="13">
        <f t="shared" si="8"/>
        <v>112</v>
      </c>
      <c r="O29" s="13">
        <f t="shared" si="8"/>
        <v>109</v>
      </c>
      <c r="P29" s="13">
        <f t="shared" si="8"/>
        <v>128</v>
      </c>
      <c r="Q29" s="13">
        <f t="shared" si="8"/>
        <v>117</v>
      </c>
      <c r="R29" s="13">
        <f t="shared" si="8"/>
        <v>93</v>
      </c>
      <c r="S29" s="13">
        <f t="shared" si="8"/>
        <v>121</v>
      </c>
      <c r="T29" s="13">
        <f t="shared" si="8"/>
        <v>109</v>
      </c>
      <c r="U29" s="13">
        <f t="shared" si="8"/>
        <v>115</v>
      </c>
      <c r="V29" s="13">
        <f t="shared" si="8"/>
        <v>97</v>
      </c>
      <c r="W29" s="13">
        <f t="shared" si="8"/>
        <v>108</v>
      </c>
      <c r="X29" s="13">
        <f t="shared" si="8"/>
        <v>63</v>
      </c>
      <c r="Y29" s="13">
        <f t="shared" si="3"/>
        <v>2073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217</v>
      </c>
      <c r="F30" s="13">
        <f t="shared" si="9"/>
        <v>212</v>
      </c>
      <c r="G30" s="13">
        <f t="shared" si="9"/>
        <v>154</v>
      </c>
      <c r="H30" s="13">
        <f t="shared" si="9"/>
        <v>177</v>
      </c>
      <c r="I30" s="13">
        <f t="shared" si="9"/>
        <v>199</v>
      </c>
      <c r="J30" s="13">
        <f t="shared" si="9"/>
        <v>218</v>
      </c>
      <c r="K30" s="13">
        <f t="shared" si="9"/>
        <v>138</v>
      </c>
      <c r="L30" s="13">
        <f t="shared" si="9"/>
        <v>170</v>
      </c>
      <c r="M30" s="13">
        <f t="shared" si="9"/>
        <v>230</v>
      </c>
      <c r="N30" s="13">
        <f t="shared" si="9"/>
        <v>208</v>
      </c>
      <c r="O30" s="13">
        <f t="shared" si="9"/>
        <v>222</v>
      </c>
      <c r="P30" s="13">
        <f t="shared" si="9"/>
        <v>226</v>
      </c>
      <c r="Q30" s="13">
        <f t="shared" si="9"/>
        <v>217</v>
      </c>
      <c r="R30" s="13">
        <f t="shared" si="9"/>
        <v>183</v>
      </c>
      <c r="S30" s="13">
        <f t="shared" si="9"/>
        <v>218</v>
      </c>
      <c r="T30" s="13">
        <f t="shared" si="9"/>
        <v>208</v>
      </c>
      <c r="U30" s="13">
        <f t="shared" si="9"/>
        <v>228</v>
      </c>
      <c r="V30" s="13">
        <f t="shared" si="9"/>
        <v>174</v>
      </c>
      <c r="W30" s="13">
        <f t="shared" si="9"/>
        <v>185</v>
      </c>
      <c r="X30" s="13">
        <f t="shared" si="9"/>
        <v>126</v>
      </c>
      <c r="Y30" s="13">
        <f t="shared" si="3"/>
        <v>3910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278.0</v>
      </c>
      <c r="F33" s="19">
        <v>287.0</v>
      </c>
      <c r="G33" s="19">
        <v>203.0</v>
      </c>
      <c r="H33" s="19">
        <v>227.0</v>
      </c>
      <c r="I33" s="19">
        <v>265.0</v>
      </c>
      <c r="J33" s="19">
        <v>299.0</v>
      </c>
      <c r="K33" s="19">
        <v>192.0</v>
      </c>
      <c r="L33" s="19">
        <v>207.0</v>
      </c>
      <c r="M33" s="19">
        <v>283.0</v>
      </c>
      <c r="N33" s="19">
        <v>287.0</v>
      </c>
      <c r="O33" s="19">
        <v>295.0</v>
      </c>
      <c r="P33" s="19">
        <v>281.0</v>
      </c>
      <c r="Q33" s="19">
        <v>291.0</v>
      </c>
      <c r="R33" s="19">
        <v>234.0</v>
      </c>
      <c r="S33" s="19">
        <v>281.0</v>
      </c>
      <c r="T33" s="19">
        <v>289.0</v>
      </c>
      <c r="U33" s="19">
        <v>269.0</v>
      </c>
      <c r="V33" s="19">
        <v>218.0</v>
      </c>
      <c r="W33" s="19">
        <v>246.0</v>
      </c>
      <c r="X33" s="19">
        <v>153.0</v>
      </c>
      <c r="Y33" s="13">
        <f t="shared" ref="Y33:Y36" si="10">SUM(E33:X33)</f>
        <v>5085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212.0</v>
      </c>
      <c r="G34" s="13">
        <v>154.0</v>
      </c>
      <c r="H34" s="13">
        <v>177.0</v>
      </c>
      <c r="I34" s="13">
        <v>199.0</v>
      </c>
      <c r="J34" s="13">
        <v>218.0</v>
      </c>
      <c r="K34" s="13">
        <v>138.0</v>
      </c>
      <c r="L34" s="13">
        <v>170.0</v>
      </c>
      <c r="M34" s="13">
        <v>230.0</v>
      </c>
      <c r="N34" s="13">
        <v>208.0</v>
      </c>
      <c r="O34" s="13">
        <v>222.0</v>
      </c>
      <c r="P34" s="13">
        <v>226.0</v>
      </c>
      <c r="Q34" s="13">
        <v>217.0</v>
      </c>
      <c r="R34" s="13">
        <v>183.0</v>
      </c>
      <c r="S34" s="13">
        <v>218.0</v>
      </c>
      <c r="T34" s="13">
        <v>208.0</v>
      </c>
      <c r="U34" s="13">
        <v>228.0</v>
      </c>
      <c r="V34" s="13">
        <v>174.0</v>
      </c>
      <c r="W34" s="13">
        <v>185.0</v>
      </c>
      <c r="X34" s="13">
        <v>126.0</v>
      </c>
      <c r="Y34" s="13">
        <f t="shared" si="10"/>
        <v>3910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4.0</v>
      </c>
      <c r="U35" s="19">
        <v>0.0</v>
      </c>
      <c r="V35" s="19">
        <v>0.0</v>
      </c>
      <c r="W35" s="19">
        <v>0.0</v>
      </c>
      <c r="X35" s="19">
        <v>0.0</v>
      </c>
      <c r="Y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61</v>
      </c>
      <c r="F36" s="13">
        <f t="shared" si="11"/>
        <v>75</v>
      </c>
      <c r="G36" s="13">
        <f t="shared" si="11"/>
        <v>49</v>
      </c>
      <c r="H36" s="13">
        <f t="shared" si="11"/>
        <v>50</v>
      </c>
      <c r="I36" s="13">
        <f t="shared" si="11"/>
        <v>66</v>
      </c>
      <c r="J36" s="13">
        <f t="shared" si="11"/>
        <v>81</v>
      </c>
      <c r="K36" s="13">
        <f t="shared" si="11"/>
        <v>54</v>
      </c>
      <c r="L36" s="13">
        <f t="shared" si="11"/>
        <v>37</v>
      </c>
      <c r="M36" s="13">
        <f t="shared" si="11"/>
        <v>53</v>
      </c>
      <c r="N36" s="13">
        <f t="shared" si="11"/>
        <v>79</v>
      </c>
      <c r="O36" s="13">
        <f t="shared" si="11"/>
        <v>73</v>
      </c>
      <c r="P36" s="13">
        <f t="shared" si="11"/>
        <v>55</v>
      </c>
      <c r="Q36" s="13">
        <f t="shared" si="11"/>
        <v>74</v>
      </c>
      <c r="R36" s="13">
        <f t="shared" si="11"/>
        <v>51</v>
      </c>
      <c r="S36" s="13">
        <f t="shared" si="11"/>
        <v>63</v>
      </c>
      <c r="T36" s="13">
        <f t="shared" si="11"/>
        <v>77</v>
      </c>
      <c r="U36" s="13">
        <f t="shared" si="11"/>
        <v>41</v>
      </c>
      <c r="V36" s="13">
        <f t="shared" si="11"/>
        <v>44</v>
      </c>
      <c r="W36" s="13">
        <f t="shared" si="11"/>
        <v>61</v>
      </c>
      <c r="X36" s="13">
        <f t="shared" si="11"/>
        <v>27</v>
      </c>
      <c r="Y36" s="13">
        <f t="shared" si="10"/>
        <v>1171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2.0</v>
      </c>
      <c r="Y39" s="13">
        <f t="shared" ref="Y39:Y41" si="12">SUM(E39:X39)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2.0</v>
      </c>
      <c r="X40" s="19">
        <v>0.0</v>
      </c>
      <c r="Y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2</v>
      </c>
      <c r="Y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3"/>
    </row>
    <row r="45" ht="12.75" customHeight="1">
      <c r="A45" s="30"/>
      <c r="B45" s="47">
        <v>1.0</v>
      </c>
      <c r="C45" s="48" t="s">
        <v>37</v>
      </c>
      <c r="D45" s="16"/>
      <c r="E45" s="19">
        <v>29.0</v>
      </c>
      <c r="F45" s="19">
        <v>34.0</v>
      </c>
      <c r="G45" s="19">
        <v>21.0</v>
      </c>
      <c r="H45" s="19">
        <v>34.0</v>
      </c>
      <c r="I45" s="19">
        <v>21.0</v>
      </c>
      <c r="J45" s="19">
        <v>45.0</v>
      </c>
      <c r="K45" s="19">
        <v>13.0</v>
      </c>
      <c r="L45" s="19">
        <v>29.0</v>
      </c>
      <c r="M45" s="19">
        <v>36.0</v>
      </c>
      <c r="N45" s="19">
        <v>12.0</v>
      </c>
      <c r="O45" s="19">
        <v>5.0</v>
      </c>
      <c r="P45" s="19">
        <v>79.0</v>
      </c>
      <c r="Q45" s="19">
        <v>39.0</v>
      </c>
      <c r="R45" s="19">
        <v>25.0</v>
      </c>
      <c r="S45" s="19">
        <v>27.0</v>
      </c>
      <c r="T45" s="19">
        <v>11.0</v>
      </c>
      <c r="U45" s="19">
        <v>28.0</v>
      </c>
      <c r="V45" s="19">
        <v>21.0</v>
      </c>
      <c r="W45" s="19">
        <v>16.0</v>
      </c>
      <c r="X45" s="19">
        <v>9.0</v>
      </c>
      <c r="Y45" s="13">
        <f t="shared" ref="Y45:Y47" si="14">SUM(E45:X45)</f>
        <v>534</v>
      </c>
    </row>
    <row r="46" ht="12.75" customHeight="1">
      <c r="A46" s="18"/>
      <c r="B46" s="47">
        <v>2.0</v>
      </c>
      <c r="C46" s="48" t="s">
        <v>38</v>
      </c>
      <c r="D46" s="16"/>
      <c r="E46" s="19">
        <v>159.0</v>
      </c>
      <c r="F46" s="19">
        <v>140.0</v>
      </c>
      <c r="G46" s="19">
        <v>105.0</v>
      </c>
      <c r="H46" s="19">
        <v>98.0</v>
      </c>
      <c r="I46" s="19">
        <v>135.0</v>
      </c>
      <c r="J46" s="19">
        <v>108.0</v>
      </c>
      <c r="K46" s="19">
        <v>82.0</v>
      </c>
      <c r="L46" s="19">
        <v>93.0</v>
      </c>
      <c r="M46" s="19">
        <v>139.0</v>
      </c>
      <c r="N46" s="19">
        <v>151.0</v>
      </c>
      <c r="O46" s="19">
        <v>172.0</v>
      </c>
      <c r="P46" s="19">
        <v>120.0</v>
      </c>
      <c r="Q46" s="19">
        <v>132.0</v>
      </c>
      <c r="R46" s="19">
        <v>119.0</v>
      </c>
      <c r="S46" s="19">
        <v>157.0</v>
      </c>
      <c r="T46" s="19">
        <v>147.0</v>
      </c>
      <c r="U46" s="19">
        <v>164.0</v>
      </c>
      <c r="V46" s="19">
        <v>136.0</v>
      </c>
      <c r="W46" s="19">
        <v>135.0</v>
      </c>
      <c r="X46" s="19">
        <v>93.0</v>
      </c>
      <c r="Y46" s="13">
        <f t="shared" si="14"/>
        <v>2585</v>
      </c>
    </row>
    <row r="47" ht="12.75" customHeight="1">
      <c r="A47" s="18"/>
      <c r="B47" s="47">
        <v>3.0</v>
      </c>
      <c r="C47" s="48" t="s">
        <v>39</v>
      </c>
      <c r="D47" s="16"/>
      <c r="E47" s="19">
        <v>26.0</v>
      </c>
      <c r="F47" s="19">
        <v>34.0</v>
      </c>
      <c r="G47" s="19">
        <v>28.0</v>
      </c>
      <c r="H47" s="19">
        <v>41.0</v>
      </c>
      <c r="I47" s="19">
        <v>41.0</v>
      </c>
      <c r="J47" s="19">
        <v>63.0</v>
      </c>
      <c r="K47" s="19">
        <v>39.0</v>
      </c>
      <c r="L47" s="19">
        <v>45.0</v>
      </c>
      <c r="M47" s="19">
        <v>50.0</v>
      </c>
      <c r="N47" s="19">
        <v>42.0</v>
      </c>
      <c r="O47" s="19">
        <v>38.0</v>
      </c>
      <c r="P47" s="19">
        <v>26.0</v>
      </c>
      <c r="Q47" s="19">
        <v>45.0</v>
      </c>
      <c r="R47" s="19">
        <v>33.0</v>
      </c>
      <c r="S47" s="19">
        <v>30.0</v>
      </c>
      <c r="T47" s="19">
        <v>43.0</v>
      </c>
      <c r="U47" s="19">
        <v>30.0</v>
      </c>
      <c r="V47" s="19">
        <v>15.0</v>
      </c>
      <c r="W47" s="19">
        <v>27.0</v>
      </c>
      <c r="X47" s="19">
        <v>22.0</v>
      </c>
      <c r="Y47" s="13">
        <f t="shared" si="14"/>
        <v>718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X50" si="15">SUM(E45:E47)</f>
        <v>214</v>
      </c>
      <c r="F50" s="19">
        <f t="shared" si="15"/>
        <v>208</v>
      </c>
      <c r="G50" s="19">
        <f t="shared" si="15"/>
        <v>154</v>
      </c>
      <c r="H50" s="19">
        <f t="shared" si="15"/>
        <v>173</v>
      </c>
      <c r="I50" s="19">
        <f t="shared" si="15"/>
        <v>197</v>
      </c>
      <c r="J50" s="19">
        <f t="shared" si="15"/>
        <v>216</v>
      </c>
      <c r="K50" s="19">
        <f t="shared" si="15"/>
        <v>134</v>
      </c>
      <c r="L50" s="19">
        <f t="shared" si="15"/>
        <v>167</v>
      </c>
      <c r="M50" s="19">
        <f t="shared" si="15"/>
        <v>225</v>
      </c>
      <c r="N50" s="19">
        <f t="shared" si="15"/>
        <v>205</v>
      </c>
      <c r="O50" s="19">
        <f t="shared" si="15"/>
        <v>215</v>
      </c>
      <c r="P50" s="19">
        <f t="shared" si="15"/>
        <v>225</v>
      </c>
      <c r="Q50" s="19">
        <f t="shared" si="15"/>
        <v>216</v>
      </c>
      <c r="R50" s="19">
        <f t="shared" si="15"/>
        <v>177</v>
      </c>
      <c r="S50" s="19">
        <f t="shared" si="15"/>
        <v>214</v>
      </c>
      <c r="T50" s="19">
        <f t="shared" si="15"/>
        <v>201</v>
      </c>
      <c r="U50" s="19">
        <f t="shared" si="15"/>
        <v>222</v>
      </c>
      <c r="V50" s="19">
        <f t="shared" si="15"/>
        <v>172</v>
      </c>
      <c r="W50" s="19">
        <f t="shared" si="15"/>
        <v>178</v>
      </c>
      <c r="X50" s="19">
        <f t="shared" si="15"/>
        <v>124</v>
      </c>
      <c r="Y50" s="13">
        <f t="shared" ref="Y50:Y52" si="16">SUM(E50:X50)</f>
        <v>3837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4.0</v>
      </c>
      <c r="G51" s="19">
        <v>0.0</v>
      </c>
      <c r="H51" s="19">
        <v>4.0</v>
      </c>
      <c r="I51" s="19">
        <v>2.0</v>
      </c>
      <c r="J51" s="19">
        <v>2.0</v>
      </c>
      <c r="K51" s="19">
        <v>4.0</v>
      </c>
      <c r="L51" s="19">
        <v>3.0</v>
      </c>
      <c r="M51" s="19">
        <v>5.0</v>
      </c>
      <c r="N51" s="19">
        <v>3.0</v>
      </c>
      <c r="O51" s="19">
        <v>7.0</v>
      </c>
      <c r="P51" s="19">
        <v>1.0</v>
      </c>
      <c r="Q51" s="19">
        <v>1.0</v>
      </c>
      <c r="R51" s="19">
        <v>6.0</v>
      </c>
      <c r="S51" s="19">
        <v>4.0</v>
      </c>
      <c r="T51" s="19">
        <v>7.0</v>
      </c>
      <c r="U51" s="19">
        <v>6.0</v>
      </c>
      <c r="V51" s="19">
        <v>2.0</v>
      </c>
      <c r="W51" s="19">
        <v>7.0</v>
      </c>
      <c r="X51" s="19">
        <v>2.0</v>
      </c>
      <c r="Y51" s="13">
        <f t="shared" si="16"/>
        <v>73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X52" si="17">SUM(E50:E51)</f>
        <v>217</v>
      </c>
      <c r="F52" s="13">
        <f t="shared" si="17"/>
        <v>212</v>
      </c>
      <c r="G52" s="13">
        <f t="shared" si="17"/>
        <v>154</v>
      </c>
      <c r="H52" s="13">
        <f t="shared" si="17"/>
        <v>177</v>
      </c>
      <c r="I52" s="13">
        <f t="shared" si="17"/>
        <v>199</v>
      </c>
      <c r="J52" s="13">
        <f t="shared" si="17"/>
        <v>218</v>
      </c>
      <c r="K52" s="13">
        <f t="shared" si="17"/>
        <v>138</v>
      </c>
      <c r="L52" s="13">
        <f t="shared" si="17"/>
        <v>170</v>
      </c>
      <c r="M52" s="13">
        <f t="shared" si="17"/>
        <v>230</v>
      </c>
      <c r="N52" s="13">
        <f t="shared" si="17"/>
        <v>208</v>
      </c>
      <c r="O52" s="13">
        <f t="shared" si="17"/>
        <v>222</v>
      </c>
      <c r="P52" s="13">
        <f t="shared" si="17"/>
        <v>226</v>
      </c>
      <c r="Q52" s="13">
        <f t="shared" si="17"/>
        <v>217</v>
      </c>
      <c r="R52" s="13">
        <f t="shared" si="17"/>
        <v>183</v>
      </c>
      <c r="S52" s="13">
        <f t="shared" si="17"/>
        <v>218</v>
      </c>
      <c r="T52" s="13">
        <f t="shared" si="17"/>
        <v>208</v>
      </c>
      <c r="U52" s="13">
        <f t="shared" si="17"/>
        <v>228</v>
      </c>
      <c r="V52" s="13">
        <f t="shared" si="17"/>
        <v>174</v>
      </c>
      <c r="W52" s="13">
        <f t="shared" si="17"/>
        <v>185</v>
      </c>
      <c r="X52" s="13">
        <f t="shared" si="17"/>
        <v>126</v>
      </c>
      <c r="Y52" s="13">
        <f t="shared" si="16"/>
        <v>3910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T34 V34 X34">
    <cfRule type="expression" dxfId="0" priority="1">
      <formula>E34&lt;&gt;#REF!</formula>
    </cfRule>
  </conditionalFormatting>
  <conditionalFormatting sqref="E14:X15 E45:X47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0:X30">
    <cfRule type="expression" dxfId="0" priority="5">
      <formula>E30&lt;&gt;E46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50:X51">
    <cfRule type="containsBlanks" dxfId="1" priority="10">
      <formula>LEN(TRIM(E50))=0</formula>
    </cfRule>
  </conditionalFormatting>
  <conditionalFormatting sqref="U34">
    <cfRule type="expression" dxfId="0" priority="11">
      <formula>U34&lt;&gt;U46</formula>
    </cfRule>
  </conditionalFormatting>
  <conditionalFormatting sqref="W34">
    <cfRule type="expression" dxfId="0" priority="12">
      <formula>W34&lt;&gt;W46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9" width="8.71"/>
    <col customWidth="1" min="70" max="7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13" t="s">
        <v>95</v>
      </c>
      <c r="AY13" s="13" t="s">
        <v>96</v>
      </c>
      <c r="AZ13" s="13" t="s">
        <v>97</v>
      </c>
      <c r="BA13" s="13" t="s">
        <v>98</v>
      </c>
      <c r="BB13" s="13" t="s">
        <v>99</v>
      </c>
      <c r="BC13" s="13" t="s">
        <v>100</v>
      </c>
      <c r="BD13" s="13" t="s">
        <v>101</v>
      </c>
      <c r="BE13" s="13" t="s">
        <v>102</v>
      </c>
      <c r="BF13" s="13" t="s">
        <v>103</v>
      </c>
      <c r="BG13" s="13" t="s">
        <v>104</v>
      </c>
      <c r="BH13" s="13" t="s">
        <v>105</v>
      </c>
      <c r="BI13" s="13" t="s">
        <v>106</v>
      </c>
      <c r="BJ13" s="13" t="s">
        <v>107</v>
      </c>
      <c r="BK13" s="13" t="s">
        <v>108</v>
      </c>
      <c r="BL13" s="13" t="s">
        <v>109</v>
      </c>
      <c r="BM13" s="13" t="s">
        <v>110</v>
      </c>
      <c r="BN13" s="13" t="s">
        <v>111</v>
      </c>
      <c r="BO13" s="13" t="s">
        <v>112</v>
      </c>
      <c r="BP13" s="13" t="s">
        <v>113</v>
      </c>
      <c r="BQ13" s="13" t="s">
        <v>114</v>
      </c>
      <c r="BR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122.0</v>
      </c>
      <c r="G14" s="19">
        <v>102.0</v>
      </c>
      <c r="H14" s="19">
        <v>136.0</v>
      </c>
      <c r="I14" s="19">
        <v>143.0</v>
      </c>
      <c r="J14" s="19">
        <v>138.0</v>
      </c>
      <c r="K14" s="19">
        <v>140.0</v>
      </c>
      <c r="L14" s="19">
        <v>114.0</v>
      </c>
      <c r="M14" s="19">
        <v>153.0</v>
      </c>
      <c r="N14" s="19">
        <v>150.0</v>
      </c>
      <c r="O14" s="19">
        <v>146.0</v>
      </c>
      <c r="P14" s="19">
        <v>146.0</v>
      </c>
      <c r="Q14" s="19">
        <v>136.0</v>
      </c>
      <c r="R14" s="19">
        <v>131.0</v>
      </c>
      <c r="S14" s="19">
        <v>140.0</v>
      </c>
      <c r="T14" s="19">
        <v>142.0</v>
      </c>
      <c r="U14" s="19">
        <v>139.0</v>
      </c>
      <c r="V14" s="19">
        <v>147.0</v>
      </c>
      <c r="W14" s="19">
        <v>140.0</v>
      </c>
      <c r="X14" s="19">
        <v>143.0</v>
      </c>
      <c r="Y14" s="19">
        <v>143.0</v>
      </c>
      <c r="Z14" s="19">
        <v>162.0</v>
      </c>
      <c r="AA14" s="19">
        <v>144.0</v>
      </c>
      <c r="AB14" s="19">
        <v>145.0</v>
      </c>
      <c r="AC14" s="19">
        <v>155.0</v>
      </c>
      <c r="AD14" s="19">
        <v>149.0</v>
      </c>
      <c r="AE14" s="19">
        <v>157.0</v>
      </c>
      <c r="AF14" s="19">
        <v>146.0</v>
      </c>
      <c r="AG14" s="19">
        <v>138.0</v>
      </c>
      <c r="AH14" s="19">
        <v>145.0</v>
      </c>
      <c r="AI14" s="19">
        <v>145.0</v>
      </c>
      <c r="AJ14" s="19">
        <v>144.0</v>
      </c>
      <c r="AK14" s="19">
        <v>143.0</v>
      </c>
      <c r="AL14" s="19">
        <v>133.0</v>
      </c>
      <c r="AM14" s="19">
        <v>122.0</v>
      </c>
      <c r="AN14" s="19">
        <v>160.0</v>
      </c>
      <c r="AO14" s="19">
        <v>153.0</v>
      </c>
      <c r="AP14" s="19">
        <v>139.0</v>
      </c>
      <c r="AQ14" s="19">
        <v>136.0</v>
      </c>
      <c r="AR14" s="19">
        <v>105.0</v>
      </c>
      <c r="AS14" s="19">
        <v>115.0</v>
      </c>
      <c r="AT14" s="19">
        <v>112.0</v>
      </c>
      <c r="AU14" s="19">
        <v>147.0</v>
      </c>
      <c r="AV14" s="19">
        <v>126.0</v>
      </c>
      <c r="AW14" s="19">
        <v>120.0</v>
      </c>
      <c r="AX14" s="19">
        <v>142.0</v>
      </c>
      <c r="AY14" s="19">
        <v>144.0</v>
      </c>
      <c r="AZ14" s="19">
        <v>140.0</v>
      </c>
      <c r="BA14" s="19">
        <v>137.0</v>
      </c>
      <c r="BB14" s="19">
        <v>94.0</v>
      </c>
      <c r="BC14" s="19">
        <v>108.0</v>
      </c>
      <c r="BD14" s="19">
        <v>146.0</v>
      </c>
      <c r="BE14" s="19">
        <v>110.0</v>
      </c>
      <c r="BF14" s="19">
        <v>132.0</v>
      </c>
      <c r="BG14" s="19">
        <v>146.0</v>
      </c>
      <c r="BH14" s="19">
        <v>122.0</v>
      </c>
      <c r="BI14" s="19">
        <v>126.0</v>
      </c>
      <c r="BJ14" s="19">
        <v>140.0</v>
      </c>
      <c r="BK14" s="19">
        <v>124.0</v>
      </c>
      <c r="BL14" s="19">
        <v>153.0</v>
      </c>
      <c r="BM14" s="19">
        <v>132.0</v>
      </c>
      <c r="BN14" s="19">
        <v>149.0</v>
      </c>
      <c r="BO14" s="19">
        <v>142.0</v>
      </c>
      <c r="BP14" s="19">
        <v>146.0</v>
      </c>
      <c r="BQ14" s="19">
        <v>133.0</v>
      </c>
      <c r="BR14" s="13">
        <f t="shared" ref="BR14:BR16" si="1">SUM(E14:BQ14)</f>
        <v>8879</v>
      </c>
    </row>
    <row r="15" ht="12.75" customHeight="1">
      <c r="A15" s="18"/>
      <c r="B15" s="26"/>
      <c r="C15" s="27"/>
      <c r="D15" s="19" t="s">
        <v>13</v>
      </c>
      <c r="E15" s="19">
        <v>118.0</v>
      </c>
      <c r="F15" s="19">
        <v>102.0</v>
      </c>
      <c r="G15" s="19">
        <v>97.0</v>
      </c>
      <c r="H15" s="19">
        <v>144.0</v>
      </c>
      <c r="I15" s="19">
        <v>136.0</v>
      </c>
      <c r="J15" s="19">
        <v>129.0</v>
      </c>
      <c r="K15" s="19">
        <v>142.0</v>
      </c>
      <c r="L15" s="19">
        <v>135.0</v>
      </c>
      <c r="M15" s="19">
        <v>137.0</v>
      </c>
      <c r="N15" s="19">
        <v>144.0</v>
      </c>
      <c r="O15" s="19">
        <v>147.0</v>
      </c>
      <c r="P15" s="19">
        <v>147.0</v>
      </c>
      <c r="Q15" s="19">
        <v>154.0</v>
      </c>
      <c r="R15" s="19">
        <v>143.0</v>
      </c>
      <c r="S15" s="19">
        <v>141.0</v>
      </c>
      <c r="T15" s="19">
        <v>151.0</v>
      </c>
      <c r="U15" s="19">
        <v>141.0</v>
      </c>
      <c r="V15" s="19">
        <v>132.0</v>
      </c>
      <c r="W15" s="19">
        <v>137.0</v>
      </c>
      <c r="X15" s="19">
        <v>128.0</v>
      </c>
      <c r="Y15" s="19">
        <v>146.0</v>
      </c>
      <c r="Z15" s="19">
        <v>136.0</v>
      </c>
      <c r="AA15" s="19">
        <v>145.0</v>
      </c>
      <c r="AB15" s="19">
        <v>143.0</v>
      </c>
      <c r="AC15" s="19">
        <v>136.0</v>
      </c>
      <c r="AD15" s="19">
        <v>147.0</v>
      </c>
      <c r="AE15" s="19">
        <v>139.0</v>
      </c>
      <c r="AF15" s="19">
        <v>149.0</v>
      </c>
      <c r="AG15" s="19">
        <v>138.0</v>
      </c>
      <c r="AH15" s="19">
        <v>143.0</v>
      </c>
      <c r="AI15" s="19">
        <v>139.0</v>
      </c>
      <c r="AJ15" s="19">
        <v>147.0</v>
      </c>
      <c r="AK15" s="19">
        <v>143.0</v>
      </c>
      <c r="AL15" s="19">
        <v>107.0</v>
      </c>
      <c r="AM15" s="19">
        <v>121.0</v>
      </c>
      <c r="AN15" s="19">
        <v>136.0</v>
      </c>
      <c r="AO15" s="19">
        <v>141.0</v>
      </c>
      <c r="AP15" s="19">
        <v>143.0</v>
      </c>
      <c r="AQ15" s="19">
        <v>142.0</v>
      </c>
      <c r="AR15" s="19">
        <v>122.0</v>
      </c>
      <c r="AS15" s="19">
        <v>133.0</v>
      </c>
      <c r="AT15" s="19">
        <v>103.0</v>
      </c>
      <c r="AU15" s="19">
        <v>126.0</v>
      </c>
      <c r="AV15" s="19">
        <v>120.0</v>
      </c>
      <c r="AW15" s="19">
        <v>132.0</v>
      </c>
      <c r="AX15" s="19">
        <v>149.0</v>
      </c>
      <c r="AY15" s="19">
        <v>143.0</v>
      </c>
      <c r="AZ15" s="19">
        <v>129.0</v>
      </c>
      <c r="BA15" s="19">
        <v>145.0</v>
      </c>
      <c r="BB15" s="19">
        <v>96.0</v>
      </c>
      <c r="BC15" s="19">
        <v>96.0</v>
      </c>
      <c r="BD15" s="19">
        <v>143.0</v>
      </c>
      <c r="BE15" s="19">
        <v>119.0</v>
      </c>
      <c r="BF15" s="19">
        <v>150.0</v>
      </c>
      <c r="BG15" s="19">
        <v>131.0</v>
      </c>
      <c r="BH15" s="19">
        <v>123.0</v>
      </c>
      <c r="BI15" s="19">
        <v>115.0</v>
      </c>
      <c r="BJ15" s="19">
        <v>137.0</v>
      </c>
      <c r="BK15" s="19">
        <v>132.0</v>
      </c>
      <c r="BL15" s="19">
        <v>144.0</v>
      </c>
      <c r="BM15" s="19">
        <v>125.0</v>
      </c>
      <c r="BN15" s="19">
        <v>141.0</v>
      </c>
      <c r="BO15" s="19">
        <v>143.0</v>
      </c>
      <c r="BP15" s="19">
        <v>139.0</v>
      </c>
      <c r="BQ15" s="19">
        <v>133.0</v>
      </c>
      <c r="BR15" s="13">
        <f t="shared" si="1"/>
        <v>8715</v>
      </c>
    </row>
    <row r="16" ht="12.75" customHeight="1">
      <c r="A16" s="25"/>
      <c r="B16" s="21"/>
      <c r="C16" s="28"/>
      <c r="D16" s="13" t="s">
        <v>14</v>
      </c>
      <c r="E16" s="13">
        <f t="shared" ref="E16:BQ16" si="2">SUM(E14:E15)</f>
        <v>239</v>
      </c>
      <c r="F16" s="13">
        <f t="shared" si="2"/>
        <v>224</v>
      </c>
      <c r="G16" s="13">
        <f t="shared" si="2"/>
        <v>199</v>
      </c>
      <c r="H16" s="13">
        <f t="shared" si="2"/>
        <v>280</v>
      </c>
      <c r="I16" s="13">
        <f t="shared" si="2"/>
        <v>279</v>
      </c>
      <c r="J16" s="13">
        <f t="shared" si="2"/>
        <v>267</v>
      </c>
      <c r="K16" s="13">
        <f t="shared" si="2"/>
        <v>282</v>
      </c>
      <c r="L16" s="13">
        <f t="shared" si="2"/>
        <v>249</v>
      </c>
      <c r="M16" s="13">
        <f t="shared" si="2"/>
        <v>290</v>
      </c>
      <c r="N16" s="13">
        <f t="shared" si="2"/>
        <v>294</v>
      </c>
      <c r="O16" s="13">
        <f t="shared" si="2"/>
        <v>293</v>
      </c>
      <c r="P16" s="13">
        <f t="shared" si="2"/>
        <v>293</v>
      </c>
      <c r="Q16" s="13">
        <f t="shared" si="2"/>
        <v>290</v>
      </c>
      <c r="R16" s="13">
        <f t="shared" si="2"/>
        <v>274</v>
      </c>
      <c r="S16" s="13">
        <f t="shared" si="2"/>
        <v>281</v>
      </c>
      <c r="T16" s="13">
        <f t="shared" si="2"/>
        <v>293</v>
      </c>
      <c r="U16" s="13">
        <f t="shared" si="2"/>
        <v>280</v>
      </c>
      <c r="V16" s="13">
        <f t="shared" si="2"/>
        <v>279</v>
      </c>
      <c r="W16" s="13">
        <f t="shared" si="2"/>
        <v>277</v>
      </c>
      <c r="X16" s="13">
        <f t="shared" si="2"/>
        <v>271</v>
      </c>
      <c r="Y16" s="13">
        <f t="shared" si="2"/>
        <v>289</v>
      </c>
      <c r="Z16" s="13">
        <f t="shared" si="2"/>
        <v>298</v>
      </c>
      <c r="AA16" s="13">
        <f t="shared" si="2"/>
        <v>289</v>
      </c>
      <c r="AB16" s="13">
        <f t="shared" si="2"/>
        <v>288</v>
      </c>
      <c r="AC16" s="13">
        <f t="shared" si="2"/>
        <v>291</v>
      </c>
      <c r="AD16" s="13">
        <f t="shared" si="2"/>
        <v>296</v>
      </c>
      <c r="AE16" s="13">
        <f t="shared" si="2"/>
        <v>296</v>
      </c>
      <c r="AF16" s="13">
        <f t="shared" si="2"/>
        <v>295</v>
      </c>
      <c r="AG16" s="13">
        <f t="shared" si="2"/>
        <v>276</v>
      </c>
      <c r="AH16" s="13">
        <f t="shared" si="2"/>
        <v>288</v>
      </c>
      <c r="AI16" s="13">
        <f t="shared" si="2"/>
        <v>284</v>
      </c>
      <c r="AJ16" s="13">
        <f t="shared" si="2"/>
        <v>291</v>
      </c>
      <c r="AK16" s="13">
        <f t="shared" si="2"/>
        <v>286</v>
      </c>
      <c r="AL16" s="13">
        <f t="shared" si="2"/>
        <v>240</v>
      </c>
      <c r="AM16" s="13">
        <f t="shared" si="2"/>
        <v>243</v>
      </c>
      <c r="AN16" s="13">
        <f t="shared" si="2"/>
        <v>296</v>
      </c>
      <c r="AO16" s="13">
        <f t="shared" si="2"/>
        <v>294</v>
      </c>
      <c r="AP16" s="13">
        <f t="shared" si="2"/>
        <v>282</v>
      </c>
      <c r="AQ16" s="13">
        <f t="shared" si="2"/>
        <v>278</v>
      </c>
      <c r="AR16" s="13">
        <f t="shared" si="2"/>
        <v>227</v>
      </c>
      <c r="AS16" s="13">
        <f t="shared" si="2"/>
        <v>248</v>
      </c>
      <c r="AT16" s="13">
        <f t="shared" si="2"/>
        <v>215</v>
      </c>
      <c r="AU16" s="13">
        <f t="shared" si="2"/>
        <v>273</v>
      </c>
      <c r="AV16" s="13">
        <f t="shared" si="2"/>
        <v>246</v>
      </c>
      <c r="AW16" s="13">
        <f t="shared" si="2"/>
        <v>252</v>
      </c>
      <c r="AX16" s="13">
        <f t="shared" si="2"/>
        <v>291</v>
      </c>
      <c r="AY16" s="13">
        <f t="shared" si="2"/>
        <v>287</v>
      </c>
      <c r="AZ16" s="13">
        <f t="shared" si="2"/>
        <v>269</v>
      </c>
      <c r="BA16" s="13">
        <f t="shared" si="2"/>
        <v>282</v>
      </c>
      <c r="BB16" s="13">
        <f t="shared" si="2"/>
        <v>190</v>
      </c>
      <c r="BC16" s="13">
        <f t="shared" si="2"/>
        <v>204</v>
      </c>
      <c r="BD16" s="13">
        <f t="shared" si="2"/>
        <v>289</v>
      </c>
      <c r="BE16" s="13">
        <f t="shared" si="2"/>
        <v>229</v>
      </c>
      <c r="BF16" s="13">
        <f t="shared" si="2"/>
        <v>282</v>
      </c>
      <c r="BG16" s="13">
        <f t="shared" si="2"/>
        <v>277</v>
      </c>
      <c r="BH16" s="13">
        <f t="shared" si="2"/>
        <v>245</v>
      </c>
      <c r="BI16" s="13">
        <f t="shared" si="2"/>
        <v>241</v>
      </c>
      <c r="BJ16" s="13">
        <f t="shared" si="2"/>
        <v>277</v>
      </c>
      <c r="BK16" s="13">
        <f t="shared" si="2"/>
        <v>256</v>
      </c>
      <c r="BL16" s="13">
        <f t="shared" si="2"/>
        <v>297</v>
      </c>
      <c r="BM16" s="13">
        <f t="shared" si="2"/>
        <v>257</v>
      </c>
      <c r="BN16" s="13">
        <f t="shared" si="2"/>
        <v>290</v>
      </c>
      <c r="BO16" s="13">
        <f t="shared" si="2"/>
        <v>285</v>
      </c>
      <c r="BP16" s="13">
        <f t="shared" si="2"/>
        <v>285</v>
      </c>
      <c r="BQ16" s="13">
        <f t="shared" si="2"/>
        <v>266</v>
      </c>
      <c r="BR16" s="13">
        <f t="shared" si="1"/>
        <v>17594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78.0</v>
      </c>
      <c r="F19" s="19">
        <v>85.0</v>
      </c>
      <c r="G19" s="19">
        <v>77.0</v>
      </c>
      <c r="H19" s="19">
        <v>90.0</v>
      </c>
      <c r="I19" s="19">
        <v>103.0</v>
      </c>
      <c r="J19" s="19">
        <v>117.0</v>
      </c>
      <c r="K19" s="19">
        <v>100.0</v>
      </c>
      <c r="L19" s="19">
        <v>82.0</v>
      </c>
      <c r="M19" s="19">
        <v>95.0</v>
      </c>
      <c r="N19" s="19">
        <v>106.0</v>
      </c>
      <c r="O19" s="19">
        <v>94.0</v>
      </c>
      <c r="P19" s="19">
        <v>103.0</v>
      </c>
      <c r="Q19" s="19">
        <v>88.0</v>
      </c>
      <c r="R19" s="19">
        <v>81.0</v>
      </c>
      <c r="S19" s="19">
        <v>97.0</v>
      </c>
      <c r="T19" s="19">
        <v>86.0</v>
      </c>
      <c r="U19" s="19">
        <v>100.0</v>
      </c>
      <c r="V19" s="19">
        <v>94.0</v>
      </c>
      <c r="W19" s="19">
        <v>84.0</v>
      </c>
      <c r="X19" s="19">
        <v>94.0</v>
      </c>
      <c r="Y19" s="19">
        <v>109.0</v>
      </c>
      <c r="Z19" s="19">
        <v>113.0</v>
      </c>
      <c r="AA19" s="19">
        <v>98.0</v>
      </c>
      <c r="AB19" s="19">
        <v>104.0</v>
      </c>
      <c r="AC19" s="19">
        <v>120.0</v>
      </c>
      <c r="AD19" s="19">
        <v>109.0</v>
      </c>
      <c r="AE19" s="19">
        <v>113.0</v>
      </c>
      <c r="AF19" s="19">
        <v>99.0</v>
      </c>
      <c r="AG19" s="19">
        <v>93.0</v>
      </c>
      <c r="AH19" s="19">
        <v>95.0</v>
      </c>
      <c r="AI19" s="19">
        <v>98.0</v>
      </c>
      <c r="AJ19" s="19">
        <v>111.0</v>
      </c>
      <c r="AK19" s="19">
        <v>107.0</v>
      </c>
      <c r="AL19" s="19">
        <v>104.0</v>
      </c>
      <c r="AM19" s="19">
        <v>95.0</v>
      </c>
      <c r="AN19" s="19">
        <v>120.0</v>
      </c>
      <c r="AO19" s="19">
        <v>118.0</v>
      </c>
      <c r="AP19" s="19">
        <v>98.0</v>
      </c>
      <c r="AQ19" s="19">
        <v>101.0</v>
      </c>
      <c r="AR19" s="19">
        <v>87.0</v>
      </c>
      <c r="AS19" s="19">
        <v>87.0</v>
      </c>
      <c r="AT19" s="19">
        <v>84.0</v>
      </c>
      <c r="AU19" s="19">
        <v>122.0</v>
      </c>
      <c r="AV19" s="19">
        <v>80.0</v>
      </c>
      <c r="AW19" s="19">
        <v>86.0</v>
      </c>
      <c r="AX19" s="19">
        <v>101.0</v>
      </c>
      <c r="AY19" s="19">
        <v>94.0</v>
      </c>
      <c r="AZ19" s="19">
        <v>98.0</v>
      </c>
      <c r="BA19" s="19">
        <v>105.0</v>
      </c>
      <c r="BB19" s="19">
        <v>62.0</v>
      </c>
      <c r="BC19" s="19">
        <v>81.0</v>
      </c>
      <c r="BD19" s="19">
        <v>104.0</v>
      </c>
      <c r="BE19" s="19">
        <v>82.0</v>
      </c>
      <c r="BF19" s="19">
        <v>101.0</v>
      </c>
      <c r="BG19" s="19">
        <v>122.0</v>
      </c>
      <c r="BH19" s="19">
        <v>95.0</v>
      </c>
      <c r="BI19" s="19">
        <v>101.0</v>
      </c>
      <c r="BJ19" s="19">
        <v>112.0</v>
      </c>
      <c r="BK19" s="19">
        <v>101.0</v>
      </c>
      <c r="BL19" s="19">
        <v>113.0</v>
      </c>
      <c r="BM19" s="19">
        <v>96.0</v>
      </c>
      <c r="BN19" s="19">
        <v>107.0</v>
      </c>
      <c r="BO19" s="19">
        <v>105.0</v>
      </c>
      <c r="BP19" s="19">
        <v>115.0</v>
      </c>
      <c r="BQ19" s="19">
        <v>109.0</v>
      </c>
      <c r="BR19" s="13">
        <f t="shared" ref="BR19:BR30" si="3">SUM(E19:BQ19)</f>
        <v>6409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72.0</v>
      </c>
      <c r="G20" s="19">
        <v>76.0</v>
      </c>
      <c r="H20" s="19">
        <v>107.0</v>
      </c>
      <c r="I20" s="19">
        <v>104.0</v>
      </c>
      <c r="J20" s="19">
        <v>112.0</v>
      </c>
      <c r="K20" s="19">
        <v>112.0</v>
      </c>
      <c r="L20" s="19">
        <v>109.0</v>
      </c>
      <c r="M20" s="19">
        <v>110.0</v>
      </c>
      <c r="N20" s="19">
        <v>122.0</v>
      </c>
      <c r="O20" s="19">
        <v>108.0</v>
      </c>
      <c r="P20" s="19">
        <v>115.0</v>
      </c>
      <c r="Q20" s="19">
        <v>120.0</v>
      </c>
      <c r="R20" s="19">
        <v>118.0</v>
      </c>
      <c r="S20" s="19">
        <v>108.0</v>
      </c>
      <c r="T20" s="19">
        <v>104.0</v>
      </c>
      <c r="U20" s="19">
        <v>108.0</v>
      </c>
      <c r="V20" s="19">
        <v>96.0</v>
      </c>
      <c r="W20" s="19">
        <v>103.0</v>
      </c>
      <c r="X20" s="19">
        <v>92.0</v>
      </c>
      <c r="Y20" s="19">
        <v>111.0</v>
      </c>
      <c r="Z20" s="19">
        <v>107.0</v>
      </c>
      <c r="AA20" s="19">
        <v>110.0</v>
      </c>
      <c r="AB20" s="19">
        <v>100.0</v>
      </c>
      <c r="AC20" s="19">
        <v>115.0</v>
      </c>
      <c r="AD20" s="19">
        <v>115.0</v>
      </c>
      <c r="AE20" s="19">
        <v>102.0</v>
      </c>
      <c r="AF20" s="19">
        <v>122.0</v>
      </c>
      <c r="AG20" s="19">
        <v>98.0</v>
      </c>
      <c r="AH20" s="19">
        <v>105.0</v>
      </c>
      <c r="AI20" s="19">
        <v>102.0</v>
      </c>
      <c r="AJ20" s="19">
        <v>116.0</v>
      </c>
      <c r="AK20" s="19">
        <v>111.0</v>
      </c>
      <c r="AL20" s="19">
        <v>93.0</v>
      </c>
      <c r="AM20" s="19">
        <v>98.0</v>
      </c>
      <c r="AN20" s="19">
        <v>101.0</v>
      </c>
      <c r="AO20" s="19">
        <v>118.0</v>
      </c>
      <c r="AP20" s="19">
        <v>121.0</v>
      </c>
      <c r="AQ20" s="19">
        <v>110.0</v>
      </c>
      <c r="AR20" s="19">
        <v>105.0</v>
      </c>
      <c r="AS20" s="19">
        <v>110.0</v>
      </c>
      <c r="AT20" s="19">
        <v>83.0</v>
      </c>
      <c r="AU20" s="19">
        <v>111.0</v>
      </c>
      <c r="AV20" s="19">
        <v>98.0</v>
      </c>
      <c r="AW20" s="19">
        <v>102.0</v>
      </c>
      <c r="AX20" s="19">
        <v>115.0</v>
      </c>
      <c r="AY20" s="19">
        <v>106.0</v>
      </c>
      <c r="AZ20" s="19">
        <v>99.0</v>
      </c>
      <c r="BA20" s="19">
        <v>109.0</v>
      </c>
      <c r="BB20" s="19">
        <v>66.0</v>
      </c>
      <c r="BC20" s="19">
        <v>86.0</v>
      </c>
      <c r="BD20" s="19">
        <v>119.0</v>
      </c>
      <c r="BE20" s="19">
        <v>101.0</v>
      </c>
      <c r="BF20" s="19">
        <v>122.0</v>
      </c>
      <c r="BG20" s="19">
        <v>108.0</v>
      </c>
      <c r="BH20" s="19">
        <v>103.0</v>
      </c>
      <c r="BI20" s="19">
        <v>98.0</v>
      </c>
      <c r="BJ20" s="19">
        <v>108.0</v>
      </c>
      <c r="BK20" s="19">
        <v>103.0</v>
      </c>
      <c r="BL20" s="19">
        <v>110.0</v>
      </c>
      <c r="BM20" s="19">
        <v>89.0</v>
      </c>
      <c r="BN20" s="19">
        <v>121.0</v>
      </c>
      <c r="BO20" s="19">
        <v>107.0</v>
      </c>
      <c r="BP20" s="19">
        <v>113.0</v>
      </c>
      <c r="BQ20" s="19">
        <v>115.0</v>
      </c>
      <c r="BR20" s="13">
        <f t="shared" si="3"/>
        <v>6851</v>
      </c>
    </row>
    <row r="21" ht="12.75" customHeight="1">
      <c r="A21" s="35"/>
      <c r="B21" s="28"/>
      <c r="C21" s="36"/>
      <c r="D21" s="13" t="s">
        <v>14</v>
      </c>
      <c r="E21" s="13">
        <f t="shared" ref="E21:BQ21" si="4">SUM(E19:E20)</f>
        <v>171</v>
      </c>
      <c r="F21" s="13">
        <f t="shared" si="4"/>
        <v>157</v>
      </c>
      <c r="G21" s="13">
        <f t="shared" si="4"/>
        <v>153</v>
      </c>
      <c r="H21" s="13">
        <f t="shared" si="4"/>
        <v>197</v>
      </c>
      <c r="I21" s="13">
        <f t="shared" si="4"/>
        <v>207</v>
      </c>
      <c r="J21" s="13">
        <f t="shared" si="4"/>
        <v>229</v>
      </c>
      <c r="K21" s="13">
        <f t="shared" si="4"/>
        <v>212</v>
      </c>
      <c r="L21" s="13">
        <f t="shared" si="4"/>
        <v>191</v>
      </c>
      <c r="M21" s="13">
        <f t="shared" si="4"/>
        <v>205</v>
      </c>
      <c r="N21" s="13">
        <f t="shared" si="4"/>
        <v>228</v>
      </c>
      <c r="O21" s="13">
        <f t="shared" si="4"/>
        <v>202</v>
      </c>
      <c r="P21" s="13">
        <f t="shared" si="4"/>
        <v>218</v>
      </c>
      <c r="Q21" s="13">
        <f t="shared" si="4"/>
        <v>208</v>
      </c>
      <c r="R21" s="13">
        <f t="shared" si="4"/>
        <v>199</v>
      </c>
      <c r="S21" s="13">
        <f t="shared" si="4"/>
        <v>205</v>
      </c>
      <c r="T21" s="13">
        <f t="shared" si="4"/>
        <v>190</v>
      </c>
      <c r="U21" s="13">
        <f t="shared" si="4"/>
        <v>208</v>
      </c>
      <c r="V21" s="13">
        <f t="shared" si="4"/>
        <v>190</v>
      </c>
      <c r="W21" s="13">
        <f t="shared" si="4"/>
        <v>187</v>
      </c>
      <c r="X21" s="13">
        <f t="shared" si="4"/>
        <v>186</v>
      </c>
      <c r="Y21" s="13">
        <f t="shared" si="4"/>
        <v>220</v>
      </c>
      <c r="Z21" s="13">
        <f t="shared" si="4"/>
        <v>220</v>
      </c>
      <c r="AA21" s="13">
        <f t="shared" si="4"/>
        <v>208</v>
      </c>
      <c r="AB21" s="13">
        <f t="shared" si="4"/>
        <v>204</v>
      </c>
      <c r="AC21" s="13">
        <f t="shared" si="4"/>
        <v>235</v>
      </c>
      <c r="AD21" s="13">
        <f t="shared" si="4"/>
        <v>224</v>
      </c>
      <c r="AE21" s="13">
        <f t="shared" si="4"/>
        <v>215</v>
      </c>
      <c r="AF21" s="13">
        <f t="shared" si="4"/>
        <v>221</v>
      </c>
      <c r="AG21" s="13">
        <f t="shared" si="4"/>
        <v>191</v>
      </c>
      <c r="AH21" s="13">
        <f t="shared" si="4"/>
        <v>200</v>
      </c>
      <c r="AI21" s="13">
        <f t="shared" si="4"/>
        <v>200</v>
      </c>
      <c r="AJ21" s="13">
        <f t="shared" si="4"/>
        <v>227</v>
      </c>
      <c r="AK21" s="13">
        <f t="shared" si="4"/>
        <v>218</v>
      </c>
      <c r="AL21" s="13">
        <f t="shared" si="4"/>
        <v>197</v>
      </c>
      <c r="AM21" s="13">
        <f t="shared" si="4"/>
        <v>193</v>
      </c>
      <c r="AN21" s="13">
        <f t="shared" si="4"/>
        <v>221</v>
      </c>
      <c r="AO21" s="13">
        <f t="shared" si="4"/>
        <v>236</v>
      </c>
      <c r="AP21" s="13">
        <f t="shared" si="4"/>
        <v>219</v>
      </c>
      <c r="AQ21" s="13">
        <f t="shared" si="4"/>
        <v>211</v>
      </c>
      <c r="AR21" s="13">
        <f t="shared" si="4"/>
        <v>192</v>
      </c>
      <c r="AS21" s="13">
        <f t="shared" si="4"/>
        <v>197</v>
      </c>
      <c r="AT21" s="13">
        <f t="shared" si="4"/>
        <v>167</v>
      </c>
      <c r="AU21" s="13">
        <f t="shared" si="4"/>
        <v>233</v>
      </c>
      <c r="AV21" s="13">
        <f t="shared" si="4"/>
        <v>178</v>
      </c>
      <c r="AW21" s="13">
        <f t="shared" si="4"/>
        <v>188</v>
      </c>
      <c r="AX21" s="13">
        <f t="shared" si="4"/>
        <v>216</v>
      </c>
      <c r="AY21" s="13">
        <f t="shared" si="4"/>
        <v>200</v>
      </c>
      <c r="AZ21" s="13">
        <f t="shared" si="4"/>
        <v>197</v>
      </c>
      <c r="BA21" s="13">
        <f t="shared" si="4"/>
        <v>214</v>
      </c>
      <c r="BB21" s="13">
        <f t="shared" si="4"/>
        <v>128</v>
      </c>
      <c r="BC21" s="13">
        <f t="shared" si="4"/>
        <v>167</v>
      </c>
      <c r="BD21" s="13">
        <f t="shared" si="4"/>
        <v>223</v>
      </c>
      <c r="BE21" s="13">
        <f t="shared" si="4"/>
        <v>183</v>
      </c>
      <c r="BF21" s="13">
        <f t="shared" si="4"/>
        <v>223</v>
      </c>
      <c r="BG21" s="13">
        <f t="shared" si="4"/>
        <v>230</v>
      </c>
      <c r="BH21" s="13">
        <f t="shared" si="4"/>
        <v>198</v>
      </c>
      <c r="BI21" s="13">
        <f t="shared" si="4"/>
        <v>199</v>
      </c>
      <c r="BJ21" s="13">
        <f t="shared" si="4"/>
        <v>220</v>
      </c>
      <c r="BK21" s="13">
        <f t="shared" si="4"/>
        <v>204</v>
      </c>
      <c r="BL21" s="13">
        <f t="shared" si="4"/>
        <v>223</v>
      </c>
      <c r="BM21" s="13">
        <f t="shared" si="4"/>
        <v>185</v>
      </c>
      <c r="BN21" s="13">
        <f t="shared" si="4"/>
        <v>228</v>
      </c>
      <c r="BO21" s="13">
        <f t="shared" si="4"/>
        <v>212</v>
      </c>
      <c r="BP21" s="13">
        <f t="shared" si="4"/>
        <v>228</v>
      </c>
      <c r="BQ21" s="13">
        <f t="shared" si="4"/>
        <v>224</v>
      </c>
      <c r="BR21" s="13">
        <f t="shared" si="3"/>
        <v>13260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1.0</v>
      </c>
      <c r="P22" s="19">
        <v>1.0</v>
      </c>
      <c r="Q22" s="19">
        <v>0.0</v>
      </c>
      <c r="R22" s="19">
        <v>0.0</v>
      </c>
      <c r="S22" s="19">
        <v>0.0</v>
      </c>
      <c r="T22" s="19">
        <v>2.0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1.0</v>
      </c>
      <c r="BC22" s="19">
        <v>0.0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0.0</v>
      </c>
      <c r="BM22" s="19">
        <v>2.0</v>
      </c>
      <c r="BN22" s="19">
        <v>0.0</v>
      </c>
      <c r="BO22" s="19">
        <v>1.0</v>
      </c>
      <c r="BP22" s="19">
        <v>0.0</v>
      </c>
      <c r="BQ22" s="19">
        <v>0.0</v>
      </c>
      <c r="BR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1.0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9">
        <v>0.0</v>
      </c>
      <c r="BM23" s="19">
        <v>1.0</v>
      </c>
      <c r="BN23" s="19">
        <v>0.0</v>
      </c>
      <c r="BO23" s="19">
        <v>0.0</v>
      </c>
      <c r="BP23" s="19">
        <v>0.0</v>
      </c>
      <c r="BQ23" s="19">
        <v>0.0</v>
      </c>
      <c r="BR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B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2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3</v>
      </c>
      <c r="BN24" s="13">
        <f t="shared" si="5"/>
        <v>0</v>
      </c>
      <c r="BO24" s="13">
        <f t="shared" si="5"/>
        <v>1</v>
      </c>
      <c r="BP24" s="13">
        <f t="shared" si="5"/>
        <v>0</v>
      </c>
      <c r="BQ24" s="13">
        <f t="shared" si="5"/>
        <v>0</v>
      </c>
      <c r="BR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1.0</v>
      </c>
      <c r="I25" s="19">
        <v>0.0</v>
      </c>
      <c r="J25" s="19">
        <v>0.0</v>
      </c>
      <c r="K25" s="19">
        <v>5.0</v>
      </c>
      <c r="L25" s="19">
        <v>2.0</v>
      </c>
      <c r="M25" s="19">
        <v>1.0</v>
      </c>
      <c r="N25" s="19">
        <v>3.0</v>
      </c>
      <c r="O25" s="19">
        <v>0.0</v>
      </c>
      <c r="P25" s="19">
        <v>0.0</v>
      </c>
      <c r="Q25" s="19">
        <v>0.0</v>
      </c>
      <c r="R25" s="19">
        <v>3.0</v>
      </c>
      <c r="S25" s="19">
        <v>1.0</v>
      </c>
      <c r="T25" s="19">
        <v>0.0</v>
      </c>
      <c r="U25" s="19">
        <v>0.0</v>
      </c>
      <c r="V25" s="19">
        <v>0.0</v>
      </c>
      <c r="W25" s="19">
        <v>0.0</v>
      </c>
      <c r="X25" s="19">
        <v>3.0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1.0</v>
      </c>
      <c r="AN25" s="19">
        <v>2.0</v>
      </c>
      <c r="AO25" s="19">
        <v>3.0</v>
      </c>
      <c r="AP25" s="19">
        <v>0.0</v>
      </c>
      <c r="AQ25" s="19">
        <v>1.0</v>
      </c>
      <c r="AR25" s="19">
        <v>0.0</v>
      </c>
      <c r="AS25" s="19">
        <v>1.0</v>
      </c>
      <c r="AT25" s="19">
        <v>0.0</v>
      </c>
      <c r="AU25" s="19">
        <v>0.0</v>
      </c>
      <c r="AV25" s="19">
        <v>16.0</v>
      </c>
      <c r="AW25" s="19">
        <v>0.0</v>
      </c>
      <c r="AX25" s="19">
        <v>0.0</v>
      </c>
      <c r="AY25" s="19">
        <v>1.0</v>
      </c>
      <c r="AZ25" s="19">
        <v>0.0</v>
      </c>
      <c r="BA25" s="19">
        <v>0.0</v>
      </c>
      <c r="BB25" s="19">
        <v>0.0</v>
      </c>
      <c r="BC25" s="19">
        <v>2.0</v>
      </c>
      <c r="BD25" s="19">
        <v>0.0</v>
      </c>
      <c r="BE25" s="19">
        <v>0.0</v>
      </c>
      <c r="BF25" s="19">
        <v>4.0</v>
      </c>
      <c r="BG25" s="19">
        <v>1.0</v>
      </c>
      <c r="BH25" s="19">
        <v>2.0</v>
      </c>
      <c r="BI25" s="19">
        <v>0.0</v>
      </c>
      <c r="BJ25" s="19">
        <v>0.0</v>
      </c>
      <c r="BK25" s="19">
        <v>0.0</v>
      </c>
      <c r="BL25" s="19">
        <v>0.0</v>
      </c>
      <c r="BM25" s="19">
        <v>0.0</v>
      </c>
      <c r="BN25" s="19">
        <v>0.0</v>
      </c>
      <c r="BO25" s="19">
        <v>0.0</v>
      </c>
      <c r="BP25" s="19">
        <v>0.0</v>
      </c>
      <c r="BQ25" s="19">
        <v>0.0</v>
      </c>
      <c r="BR25" s="13">
        <f t="shared" si="3"/>
        <v>55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4.0</v>
      </c>
      <c r="G26" s="19">
        <v>0.0</v>
      </c>
      <c r="H26" s="19">
        <v>2.0</v>
      </c>
      <c r="I26" s="19">
        <v>0.0</v>
      </c>
      <c r="J26" s="19">
        <v>0.0</v>
      </c>
      <c r="K26" s="19">
        <v>4.0</v>
      </c>
      <c r="L26" s="19">
        <v>2.0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5.0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1.0</v>
      </c>
      <c r="AH26" s="19">
        <v>2.0</v>
      </c>
      <c r="AI26" s="19">
        <v>0.0</v>
      </c>
      <c r="AJ26" s="19">
        <v>0.0</v>
      </c>
      <c r="AK26" s="19">
        <v>3.0</v>
      </c>
      <c r="AL26" s="19">
        <v>0.0</v>
      </c>
      <c r="AM26" s="19">
        <v>1.0</v>
      </c>
      <c r="AN26" s="19">
        <v>0.0</v>
      </c>
      <c r="AO26" s="19">
        <v>0.0</v>
      </c>
      <c r="AP26" s="19">
        <v>0.0</v>
      </c>
      <c r="AQ26" s="19">
        <v>1.0</v>
      </c>
      <c r="AR26" s="19">
        <v>0.0</v>
      </c>
      <c r="AS26" s="19">
        <v>2.0</v>
      </c>
      <c r="AT26" s="19">
        <v>0.0</v>
      </c>
      <c r="AU26" s="19">
        <v>0.0</v>
      </c>
      <c r="AV26" s="19">
        <v>17.0</v>
      </c>
      <c r="AW26" s="19">
        <v>0.0</v>
      </c>
      <c r="AX26" s="19">
        <v>0.0</v>
      </c>
      <c r="AY26" s="19">
        <v>1.0</v>
      </c>
      <c r="AZ26" s="19">
        <v>0.0</v>
      </c>
      <c r="BA26" s="19">
        <v>0.0</v>
      </c>
      <c r="BB26" s="19">
        <v>0.0</v>
      </c>
      <c r="BC26" s="19">
        <v>3.0</v>
      </c>
      <c r="BD26" s="19">
        <v>0.0</v>
      </c>
      <c r="BE26" s="19">
        <v>0.0</v>
      </c>
      <c r="BF26" s="19">
        <v>4.0</v>
      </c>
      <c r="BG26" s="19">
        <v>2.0</v>
      </c>
      <c r="BH26" s="19">
        <v>3.0</v>
      </c>
      <c r="BI26" s="19">
        <v>1.0</v>
      </c>
      <c r="BJ26" s="19">
        <v>0.0</v>
      </c>
      <c r="BK26" s="19">
        <v>0.0</v>
      </c>
      <c r="BL26" s="19">
        <v>0.0</v>
      </c>
      <c r="BM26" s="19">
        <v>0.0</v>
      </c>
      <c r="BN26" s="19">
        <v>0.0</v>
      </c>
      <c r="BO26" s="19">
        <v>2.0</v>
      </c>
      <c r="BP26" s="19">
        <v>0.0</v>
      </c>
      <c r="BQ26" s="19">
        <v>0.0</v>
      </c>
      <c r="BR26" s="13">
        <f t="shared" si="3"/>
        <v>63</v>
      </c>
    </row>
    <row r="27" ht="12.75" customHeight="1">
      <c r="A27" s="35"/>
      <c r="B27" s="28"/>
      <c r="C27" s="36"/>
      <c r="D27" s="13" t="s">
        <v>14</v>
      </c>
      <c r="E27" s="13">
        <f t="shared" ref="E27:BQ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9</v>
      </c>
      <c r="L27" s="13">
        <f t="shared" si="6"/>
        <v>4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1</v>
      </c>
      <c r="AH27" s="13">
        <f t="shared" si="6"/>
        <v>2</v>
      </c>
      <c r="AI27" s="13">
        <f t="shared" si="6"/>
        <v>0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2</v>
      </c>
      <c r="AN27" s="13">
        <f t="shared" si="6"/>
        <v>2</v>
      </c>
      <c r="AO27" s="13">
        <f t="shared" si="6"/>
        <v>3</v>
      </c>
      <c r="AP27" s="13">
        <f t="shared" si="6"/>
        <v>0</v>
      </c>
      <c r="AQ27" s="13">
        <f t="shared" si="6"/>
        <v>2</v>
      </c>
      <c r="AR27" s="13">
        <f t="shared" si="6"/>
        <v>0</v>
      </c>
      <c r="AS27" s="13">
        <f t="shared" si="6"/>
        <v>3</v>
      </c>
      <c r="AT27" s="13">
        <f t="shared" si="6"/>
        <v>0</v>
      </c>
      <c r="AU27" s="13">
        <f t="shared" si="6"/>
        <v>0</v>
      </c>
      <c r="AV27" s="13">
        <f t="shared" si="6"/>
        <v>33</v>
      </c>
      <c r="AW27" s="13">
        <f t="shared" si="6"/>
        <v>0</v>
      </c>
      <c r="AX27" s="13">
        <f t="shared" si="6"/>
        <v>0</v>
      </c>
      <c r="AY27" s="13">
        <f t="shared" si="6"/>
        <v>2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0</v>
      </c>
      <c r="BE27" s="13">
        <f t="shared" si="6"/>
        <v>0</v>
      </c>
      <c r="BF27" s="13">
        <f t="shared" si="6"/>
        <v>8</v>
      </c>
      <c r="BG27" s="13">
        <f t="shared" si="6"/>
        <v>3</v>
      </c>
      <c r="BH27" s="13">
        <f t="shared" si="6"/>
        <v>5</v>
      </c>
      <c r="BI27" s="13">
        <f t="shared" si="6"/>
        <v>1</v>
      </c>
      <c r="BJ27" s="13">
        <f t="shared" si="6"/>
        <v>0</v>
      </c>
      <c r="BK27" s="13">
        <f t="shared" si="6"/>
        <v>0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2</v>
      </c>
      <c r="BP27" s="13">
        <f t="shared" si="6"/>
        <v>0</v>
      </c>
      <c r="BQ27" s="13">
        <f t="shared" si="6"/>
        <v>0</v>
      </c>
      <c r="BR27" s="13">
        <f t="shared" si="3"/>
        <v>118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Q28" si="7">SUM(E19,E22,E25)</f>
        <v>78</v>
      </c>
      <c r="F28" s="13">
        <f t="shared" si="7"/>
        <v>87</v>
      </c>
      <c r="G28" s="13">
        <f t="shared" si="7"/>
        <v>77</v>
      </c>
      <c r="H28" s="13">
        <f t="shared" si="7"/>
        <v>91</v>
      </c>
      <c r="I28" s="13">
        <f t="shared" si="7"/>
        <v>103</v>
      </c>
      <c r="J28" s="13">
        <f t="shared" si="7"/>
        <v>117</v>
      </c>
      <c r="K28" s="13">
        <f t="shared" si="7"/>
        <v>105</v>
      </c>
      <c r="L28" s="13">
        <f t="shared" si="7"/>
        <v>84</v>
      </c>
      <c r="M28" s="13">
        <f t="shared" si="7"/>
        <v>97</v>
      </c>
      <c r="N28" s="13">
        <f t="shared" si="7"/>
        <v>110</v>
      </c>
      <c r="O28" s="13">
        <f t="shared" si="7"/>
        <v>95</v>
      </c>
      <c r="P28" s="13">
        <f t="shared" si="7"/>
        <v>104</v>
      </c>
      <c r="Q28" s="13">
        <f t="shared" si="7"/>
        <v>88</v>
      </c>
      <c r="R28" s="13">
        <f t="shared" si="7"/>
        <v>84</v>
      </c>
      <c r="S28" s="13">
        <f t="shared" si="7"/>
        <v>98</v>
      </c>
      <c r="T28" s="13">
        <f t="shared" si="7"/>
        <v>88</v>
      </c>
      <c r="U28" s="13">
        <f t="shared" si="7"/>
        <v>100</v>
      </c>
      <c r="V28" s="13">
        <f t="shared" si="7"/>
        <v>94</v>
      </c>
      <c r="W28" s="13">
        <f t="shared" si="7"/>
        <v>84</v>
      </c>
      <c r="X28" s="13">
        <f t="shared" si="7"/>
        <v>97</v>
      </c>
      <c r="Y28" s="13">
        <f t="shared" si="7"/>
        <v>109</v>
      </c>
      <c r="Z28" s="13">
        <f t="shared" si="7"/>
        <v>113</v>
      </c>
      <c r="AA28" s="13">
        <f t="shared" si="7"/>
        <v>98</v>
      </c>
      <c r="AB28" s="13">
        <f t="shared" si="7"/>
        <v>105</v>
      </c>
      <c r="AC28" s="13">
        <f t="shared" si="7"/>
        <v>120</v>
      </c>
      <c r="AD28" s="13">
        <f t="shared" si="7"/>
        <v>109</v>
      </c>
      <c r="AE28" s="13">
        <f t="shared" si="7"/>
        <v>113</v>
      </c>
      <c r="AF28" s="13">
        <f t="shared" si="7"/>
        <v>99</v>
      </c>
      <c r="AG28" s="13">
        <f t="shared" si="7"/>
        <v>93</v>
      </c>
      <c r="AH28" s="13">
        <f t="shared" si="7"/>
        <v>95</v>
      </c>
      <c r="AI28" s="13">
        <f t="shared" si="7"/>
        <v>98</v>
      </c>
      <c r="AJ28" s="13">
        <f t="shared" si="7"/>
        <v>111</v>
      </c>
      <c r="AK28" s="13">
        <f t="shared" si="7"/>
        <v>107</v>
      </c>
      <c r="AL28" s="13">
        <f t="shared" si="7"/>
        <v>104</v>
      </c>
      <c r="AM28" s="13">
        <f t="shared" si="7"/>
        <v>96</v>
      </c>
      <c r="AN28" s="13">
        <f t="shared" si="7"/>
        <v>122</v>
      </c>
      <c r="AO28" s="13">
        <f t="shared" si="7"/>
        <v>121</v>
      </c>
      <c r="AP28" s="13">
        <f t="shared" si="7"/>
        <v>98</v>
      </c>
      <c r="AQ28" s="13">
        <f t="shared" si="7"/>
        <v>102</v>
      </c>
      <c r="AR28" s="13">
        <f t="shared" si="7"/>
        <v>87</v>
      </c>
      <c r="AS28" s="13">
        <f t="shared" si="7"/>
        <v>88</v>
      </c>
      <c r="AT28" s="13">
        <f t="shared" si="7"/>
        <v>84</v>
      </c>
      <c r="AU28" s="13">
        <f t="shared" si="7"/>
        <v>122</v>
      </c>
      <c r="AV28" s="13">
        <f t="shared" si="7"/>
        <v>96</v>
      </c>
      <c r="AW28" s="13">
        <f t="shared" si="7"/>
        <v>86</v>
      </c>
      <c r="AX28" s="13">
        <f t="shared" si="7"/>
        <v>101</v>
      </c>
      <c r="AY28" s="13">
        <f t="shared" si="7"/>
        <v>95</v>
      </c>
      <c r="AZ28" s="13">
        <f t="shared" si="7"/>
        <v>98</v>
      </c>
      <c r="BA28" s="13">
        <f t="shared" si="7"/>
        <v>105</v>
      </c>
      <c r="BB28" s="13">
        <f t="shared" si="7"/>
        <v>63</v>
      </c>
      <c r="BC28" s="13">
        <f t="shared" si="7"/>
        <v>83</v>
      </c>
      <c r="BD28" s="13">
        <f t="shared" si="7"/>
        <v>104</v>
      </c>
      <c r="BE28" s="13">
        <f t="shared" si="7"/>
        <v>82</v>
      </c>
      <c r="BF28" s="13">
        <f t="shared" si="7"/>
        <v>105</v>
      </c>
      <c r="BG28" s="13">
        <f t="shared" si="7"/>
        <v>123</v>
      </c>
      <c r="BH28" s="13">
        <f t="shared" si="7"/>
        <v>97</v>
      </c>
      <c r="BI28" s="13">
        <f t="shared" si="7"/>
        <v>101</v>
      </c>
      <c r="BJ28" s="13">
        <f t="shared" si="7"/>
        <v>112</v>
      </c>
      <c r="BK28" s="13">
        <f t="shared" si="7"/>
        <v>101</v>
      </c>
      <c r="BL28" s="13">
        <f t="shared" si="7"/>
        <v>113</v>
      </c>
      <c r="BM28" s="13">
        <f t="shared" si="7"/>
        <v>98</v>
      </c>
      <c r="BN28" s="13">
        <f t="shared" si="7"/>
        <v>107</v>
      </c>
      <c r="BO28" s="13">
        <f t="shared" si="7"/>
        <v>106</v>
      </c>
      <c r="BP28" s="13">
        <f t="shared" si="7"/>
        <v>115</v>
      </c>
      <c r="BQ28" s="13">
        <f t="shared" si="7"/>
        <v>109</v>
      </c>
      <c r="BR28" s="13">
        <f t="shared" si="3"/>
        <v>6475</v>
      </c>
    </row>
    <row r="29" ht="12.75" customHeight="1">
      <c r="A29" s="35"/>
      <c r="B29" s="27"/>
      <c r="C29" s="34"/>
      <c r="D29" s="13" t="s">
        <v>13</v>
      </c>
      <c r="E29" s="13">
        <f t="shared" ref="E29:BQ29" si="8">SUM(E20,E23,E26)</f>
        <v>93</v>
      </c>
      <c r="F29" s="13">
        <f t="shared" si="8"/>
        <v>76</v>
      </c>
      <c r="G29" s="13">
        <f t="shared" si="8"/>
        <v>76</v>
      </c>
      <c r="H29" s="13">
        <f t="shared" si="8"/>
        <v>109</v>
      </c>
      <c r="I29" s="13">
        <f t="shared" si="8"/>
        <v>104</v>
      </c>
      <c r="J29" s="13">
        <f t="shared" si="8"/>
        <v>112</v>
      </c>
      <c r="K29" s="13">
        <f t="shared" si="8"/>
        <v>116</v>
      </c>
      <c r="L29" s="13">
        <f t="shared" si="8"/>
        <v>111</v>
      </c>
      <c r="M29" s="13">
        <f t="shared" si="8"/>
        <v>112</v>
      </c>
      <c r="N29" s="13">
        <f t="shared" si="8"/>
        <v>123</v>
      </c>
      <c r="O29" s="13">
        <f t="shared" si="8"/>
        <v>108</v>
      </c>
      <c r="P29" s="13">
        <f t="shared" si="8"/>
        <v>115</v>
      </c>
      <c r="Q29" s="13">
        <f t="shared" si="8"/>
        <v>120</v>
      </c>
      <c r="R29" s="13">
        <f t="shared" si="8"/>
        <v>119</v>
      </c>
      <c r="S29" s="13">
        <f t="shared" si="8"/>
        <v>108</v>
      </c>
      <c r="T29" s="13">
        <f t="shared" si="8"/>
        <v>105</v>
      </c>
      <c r="U29" s="13">
        <f t="shared" si="8"/>
        <v>108</v>
      </c>
      <c r="V29" s="13">
        <f t="shared" si="8"/>
        <v>96</v>
      </c>
      <c r="W29" s="13">
        <f t="shared" si="8"/>
        <v>103</v>
      </c>
      <c r="X29" s="13">
        <f t="shared" si="8"/>
        <v>97</v>
      </c>
      <c r="Y29" s="13">
        <f t="shared" si="8"/>
        <v>111</v>
      </c>
      <c r="Z29" s="13">
        <f t="shared" si="8"/>
        <v>107</v>
      </c>
      <c r="AA29" s="13">
        <f t="shared" si="8"/>
        <v>111</v>
      </c>
      <c r="AB29" s="13">
        <f t="shared" si="8"/>
        <v>100</v>
      </c>
      <c r="AC29" s="13">
        <f t="shared" si="8"/>
        <v>115</v>
      </c>
      <c r="AD29" s="13">
        <f t="shared" si="8"/>
        <v>115</v>
      </c>
      <c r="AE29" s="13">
        <f t="shared" si="8"/>
        <v>102</v>
      </c>
      <c r="AF29" s="13">
        <f t="shared" si="8"/>
        <v>122</v>
      </c>
      <c r="AG29" s="13">
        <f t="shared" si="8"/>
        <v>99</v>
      </c>
      <c r="AH29" s="13">
        <f t="shared" si="8"/>
        <v>107</v>
      </c>
      <c r="AI29" s="13">
        <f t="shared" si="8"/>
        <v>102</v>
      </c>
      <c r="AJ29" s="13">
        <f t="shared" si="8"/>
        <v>116</v>
      </c>
      <c r="AK29" s="13">
        <f t="shared" si="8"/>
        <v>114</v>
      </c>
      <c r="AL29" s="13">
        <f t="shared" si="8"/>
        <v>93</v>
      </c>
      <c r="AM29" s="13">
        <f t="shared" si="8"/>
        <v>99</v>
      </c>
      <c r="AN29" s="13">
        <f t="shared" si="8"/>
        <v>101</v>
      </c>
      <c r="AO29" s="13">
        <f t="shared" si="8"/>
        <v>119</v>
      </c>
      <c r="AP29" s="13">
        <f t="shared" si="8"/>
        <v>121</v>
      </c>
      <c r="AQ29" s="13">
        <f t="shared" si="8"/>
        <v>111</v>
      </c>
      <c r="AR29" s="13">
        <f t="shared" si="8"/>
        <v>105</v>
      </c>
      <c r="AS29" s="13">
        <f t="shared" si="8"/>
        <v>112</v>
      </c>
      <c r="AT29" s="13">
        <f t="shared" si="8"/>
        <v>83</v>
      </c>
      <c r="AU29" s="13">
        <f t="shared" si="8"/>
        <v>111</v>
      </c>
      <c r="AV29" s="13">
        <f t="shared" si="8"/>
        <v>115</v>
      </c>
      <c r="AW29" s="13">
        <f t="shared" si="8"/>
        <v>102</v>
      </c>
      <c r="AX29" s="13">
        <f t="shared" si="8"/>
        <v>115</v>
      </c>
      <c r="AY29" s="13">
        <f t="shared" si="8"/>
        <v>107</v>
      </c>
      <c r="AZ29" s="13">
        <f t="shared" si="8"/>
        <v>99</v>
      </c>
      <c r="BA29" s="13">
        <f t="shared" si="8"/>
        <v>109</v>
      </c>
      <c r="BB29" s="13">
        <f t="shared" si="8"/>
        <v>66</v>
      </c>
      <c r="BC29" s="13">
        <f t="shared" si="8"/>
        <v>89</v>
      </c>
      <c r="BD29" s="13">
        <f t="shared" si="8"/>
        <v>119</v>
      </c>
      <c r="BE29" s="13">
        <f t="shared" si="8"/>
        <v>101</v>
      </c>
      <c r="BF29" s="13">
        <f t="shared" si="8"/>
        <v>126</v>
      </c>
      <c r="BG29" s="13">
        <f t="shared" si="8"/>
        <v>110</v>
      </c>
      <c r="BH29" s="13">
        <f t="shared" si="8"/>
        <v>106</v>
      </c>
      <c r="BI29" s="13">
        <f t="shared" si="8"/>
        <v>99</v>
      </c>
      <c r="BJ29" s="13">
        <f t="shared" si="8"/>
        <v>108</v>
      </c>
      <c r="BK29" s="13">
        <f t="shared" si="8"/>
        <v>103</v>
      </c>
      <c r="BL29" s="13">
        <f t="shared" si="8"/>
        <v>110</v>
      </c>
      <c r="BM29" s="13">
        <f t="shared" si="8"/>
        <v>90</v>
      </c>
      <c r="BN29" s="13">
        <f t="shared" si="8"/>
        <v>121</v>
      </c>
      <c r="BO29" s="13">
        <f t="shared" si="8"/>
        <v>109</v>
      </c>
      <c r="BP29" s="13">
        <f t="shared" si="8"/>
        <v>113</v>
      </c>
      <c r="BQ29" s="13">
        <f t="shared" si="8"/>
        <v>115</v>
      </c>
      <c r="BR29" s="13">
        <f t="shared" si="3"/>
        <v>6919</v>
      </c>
    </row>
    <row r="30" ht="12.75" customHeight="1">
      <c r="A30" s="35"/>
      <c r="B30" s="28"/>
      <c r="C30" s="36"/>
      <c r="D30" s="13" t="s">
        <v>14</v>
      </c>
      <c r="E30" s="13">
        <f t="shared" ref="E30:BQ30" si="9">SUM(E28:E29)</f>
        <v>171</v>
      </c>
      <c r="F30" s="13">
        <f t="shared" si="9"/>
        <v>163</v>
      </c>
      <c r="G30" s="13">
        <f t="shared" si="9"/>
        <v>153</v>
      </c>
      <c r="H30" s="13">
        <f t="shared" si="9"/>
        <v>200</v>
      </c>
      <c r="I30" s="13">
        <f t="shared" si="9"/>
        <v>207</v>
      </c>
      <c r="J30" s="13">
        <f t="shared" si="9"/>
        <v>229</v>
      </c>
      <c r="K30" s="13">
        <f t="shared" si="9"/>
        <v>221</v>
      </c>
      <c r="L30" s="13">
        <f t="shared" si="9"/>
        <v>195</v>
      </c>
      <c r="M30" s="13">
        <f t="shared" si="9"/>
        <v>209</v>
      </c>
      <c r="N30" s="13">
        <f t="shared" si="9"/>
        <v>233</v>
      </c>
      <c r="O30" s="13">
        <f t="shared" si="9"/>
        <v>203</v>
      </c>
      <c r="P30" s="13">
        <f t="shared" si="9"/>
        <v>219</v>
      </c>
      <c r="Q30" s="13">
        <f t="shared" si="9"/>
        <v>208</v>
      </c>
      <c r="R30" s="13">
        <f t="shared" si="9"/>
        <v>203</v>
      </c>
      <c r="S30" s="13">
        <f t="shared" si="9"/>
        <v>206</v>
      </c>
      <c r="T30" s="13">
        <f t="shared" si="9"/>
        <v>193</v>
      </c>
      <c r="U30" s="13">
        <f t="shared" si="9"/>
        <v>208</v>
      </c>
      <c r="V30" s="13">
        <f t="shared" si="9"/>
        <v>190</v>
      </c>
      <c r="W30" s="13">
        <f t="shared" si="9"/>
        <v>187</v>
      </c>
      <c r="X30" s="13">
        <f t="shared" si="9"/>
        <v>194</v>
      </c>
      <c r="Y30" s="13">
        <f t="shared" si="9"/>
        <v>220</v>
      </c>
      <c r="Z30" s="13">
        <f t="shared" si="9"/>
        <v>220</v>
      </c>
      <c r="AA30" s="13">
        <f t="shared" si="9"/>
        <v>209</v>
      </c>
      <c r="AB30" s="13">
        <f t="shared" si="9"/>
        <v>205</v>
      </c>
      <c r="AC30" s="13">
        <f t="shared" si="9"/>
        <v>235</v>
      </c>
      <c r="AD30" s="13">
        <f t="shared" si="9"/>
        <v>224</v>
      </c>
      <c r="AE30" s="13">
        <f t="shared" si="9"/>
        <v>215</v>
      </c>
      <c r="AF30" s="13">
        <f t="shared" si="9"/>
        <v>221</v>
      </c>
      <c r="AG30" s="13">
        <f t="shared" si="9"/>
        <v>192</v>
      </c>
      <c r="AH30" s="13">
        <f t="shared" si="9"/>
        <v>202</v>
      </c>
      <c r="AI30" s="13">
        <f t="shared" si="9"/>
        <v>200</v>
      </c>
      <c r="AJ30" s="13">
        <f t="shared" si="9"/>
        <v>227</v>
      </c>
      <c r="AK30" s="13">
        <f t="shared" si="9"/>
        <v>221</v>
      </c>
      <c r="AL30" s="13">
        <f t="shared" si="9"/>
        <v>197</v>
      </c>
      <c r="AM30" s="13">
        <f t="shared" si="9"/>
        <v>195</v>
      </c>
      <c r="AN30" s="13">
        <f t="shared" si="9"/>
        <v>223</v>
      </c>
      <c r="AO30" s="13">
        <f t="shared" si="9"/>
        <v>240</v>
      </c>
      <c r="AP30" s="13">
        <f t="shared" si="9"/>
        <v>219</v>
      </c>
      <c r="AQ30" s="13">
        <f t="shared" si="9"/>
        <v>213</v>
      </c>
      <c r="AR30" s="13">
        <f t="shared" si="9"/>
        <v>192</v>
      </c>
      <c r="AS30" s="13">
        <f t="shared" si="9"/>
        <v>200</v>
      </c>
      <c r="AT30" s="13">
        <f t="shared" si="9"/>
        <v>167</v>
      </c>
      <c r="AU30" s="13">
        <f t="shared" si="9"/>
        <v>233</v>
      </c>
      <c r="AV30" s="13">
        <f t="shared" si="9"/>
        <v>211</v>
      </c>
      <c r="AW30" s="13">
        <f t="shared" si="9"/>
        <v>188</v>
      </c>
      <c r="AX30" s="13">
        <f t="shared" si="9"/>
        <v>216</v>
      </c>
      <c r="AY30" s="13">
        <f t="shared" si="9"/>
        <v>202</v>
      </c>
      <c r="AZ30" s="13">
        <f t="shared" si="9"/>
        <v>197</v>
      </c>
      <c r="BA30" s="13">
        <f t="shared" si="9"/>
        <v>214</v>
      </c>
      <c r="BB30" s="13">
        <f t="shared" si="9"/>
        <v>129</v>
      </c>
      <c r="BC30" s="13">
        <f t="shared" si="9"/>
        <v>172</v>
      </c>
      <c r="BD30" s="13">
        <f t="shared" si="9"/>
        <v>223</v>
      </c>
      <c r="BE30" s="13">
        <f t="shared" si="9"/>
        <v>183</v>
      </c>
      <c r="BF30" s="13">
        <f t="shared" si="9"/>
        <v>231</v>
      </c>
      <c r="BG30" s="13">
        <f t="shared" si="9"/>
        <v>233</v>
      </c>
      <c r="BH30" s="13">
        <f t="shared" si="9"/>
        <v>203</v>
      </c>
      <c r="BI30" s="13">
        <f t="shared" si="9"/>
        <v>200</v>
      </c>
      <c r="BJ30" s="13">
        <f t="shared" si="9"/>
        <v>220</v>
      </c>
      <c r="BK30" s="13">
        <f t="shared" si="9"/>
        <v>204</v>
      </c>
      <c r="BL30" s="13">
        <f t="shared" si="9"/>
        <v>223</v>
      </c>
      <c r="BM30" s="13">
        <f t="shared" si="9"/>
        <v>188</v>
      </c>
      <c r="BN30" s="13">
        <f t="shared" si="9"/>
        <v>228</v>
      </c>
      <c r="BO30" s="13">
        <f t="shared" si="9"/>
        <v>215</v>
      </c>
      <c r="BP30" s="13">
        <f t="shared" si="9"/>
        <v>228</v>
      </c>
      <c r="BQ30" s="13">
        <f t="shared" si="9"/>
        <v>224</v>
      </c>
      <c r="BR30" s="13">
        <f t="shared" si="3"/>
        <v>13394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59"/>
    </row>
    <row r="33" ht="12.75" customHeight="1">
      <c r="A33" s="19">
        <v>1.0</v>
      </c>
      <c r="B33" s="20" t="s">
        <v>27</v>
      </c>
      <c r="C33" s="15"/>
      <c r="D33" s="16"/>
      <c r="E33" s="19">
        <v>245.0</v>
      </c>
      <c r="F33" s="19">
        <v>228.0</v>
      </c>
      <c r="G33" s="19">
        <v>204.0</v>
      </c>
      <c r="H33" s="19">
        <v>286.0</v>
      </c>
      <c r="I33" s="19">
        <v>285.0</v>
      </c>
      <c r="J33" s="19">
        <v>275.0</v>
      </c>
      <c r="K33" s="19">
        <v>288.0</v>
      </c>
      <c r="L33" s="19">
        <v>254.0</v>
      </c>
      <c r="M33" s="19">
        <v>294.0</v>
      </c>
      <c r="N33" s="19">
        <v>301.0</v>
      </c>
      <c r="O33" s="19">
        <v>300.0</v>
      </c>
      <c r="P33" s="19">
        <v>299.0</v>
      </c>
      <c r="Q33" s="19">
        <v>296.0</v>
      </c>
      <c r="R33" s="19">
        <v>280.0</v>
      </c>
      <c r="S33" s="19">
        <v>286.0</v>
      </c>
      <c r="T33" s="19">
        <v>299.0</v>
      </c>
      <c r="U33" s="19">
        <v>285.0</v>
      </c>
      <c r="V33" s="19">
        <v>285.0</v>
      </c>
      <c r="W33" s="19">
        <v>283.0</v>
      </c>
      <c r="X33" s="19">
        <v>289.0</v>
      </c>
      <c r="Y33" s="19">
        <v>296.0</v>
      </c>
      <c r="Z33" s="19">
        <v>290.0</v>
      </c>
      <c r="AA33" s="19">
        <v>295.0</v>
      </c>
      <c r="AB33" s="19">
        <v>294.0</v>
      </c>
      <c r="AC33" s="19">
        <v>295.0</v>
      </c>
      <c r="AD33" s="19">
        <v>306.0</v>
      </c>
      <c r="AE33" s="19">
        <v>301.0</v>
      </c>
      <c r="AF33" s="19">
        <v>302.0</v>
      </c>
      <c r="AG33" s="19">
        <v>282.0</v>
      </c>
      <c r="AH33" s="19">
        <v>287.0</v>
      </c>
      <c r="AI33" s="19">
        <v>291.0</v>
      </c>
      <c r="AJ33" s="19">
        <v>297.0</v>
      </c>
      <c r="AK33" s="19">
        <v>292.0</v>
      </c>
      <c r="AL33" s="19">
        <v>245.0</v>
      </c>
      <c r="AM33" s="19">
        <v>249.0</v>
      </c>
      <c r="AN33" s="19">
        <v>302.0</v>
      </c>
      <c r="AO33" s="19">
        <v>300.0</v>
      </c>
      <c r="AP33" s="19">
        <v>288.0</v>
      </c>
      <c r="AQ33" s="19">
        <v>284.0</v>
      </c>
      <c r="AR33" s="19">
        <v>232.0</v>
      </c>
      <c r="AS33" s="19">
        <v>254.0</v>
      </c>
      <c r="AT33" s="19">
        <v>220.0</v>
      </c>
      <c r="AU33" s="19">
        <v>278.0</v>
      </c>
      <c r="AV33" s="19">
        <v>251.0</v>
      </c>
      <c r="AW33" s="19">
        <v>254.0</v>
      </c>
      <c r="AX33" s="19">
        <v>297.0</v>
      </c>
      <c r="AY33" s="19">
        <v>293.0</v>
      </c>
      <c r="AZ33" s="19">
        <v>277.0</v>
      </c>
      <c r="BA33" s="19">
        <v>288.0</v>
      </c>
      <c r="BB33" s="19">
        <v>194.0</v>
      </c>
      <c r="BC33" s="19">
        <v>210.0</v>
      </c>
      <c r="BD33" s="19">
        <v>298.0</v>
      </c>
      <c r="BE33" s="19">
        <v>234.0</v>
      </c>
      <c r="BF33" s="19">
        <v>289.0</v>
      </c>
      <c r="BG33" s="19">
        <v>285.0</v>
      </c>
      <c r="BH33" s="19">
        <v>251.0</v>
      </c>
      <c r="BI33" s="19">
        <v>246.0</v>
      </c>
      <c r="BJ33" s="19">
        <v>284.0</v>
      </c>
      <c r="BK33" s="19">
        <v>262.0</v>
      </c>
      <c r="BL33" s="19">
        <v>300.0</v>
      </c>
      <c r="BM33" s="19">
        <v>263.0</v>
      </c>
      <c r="BN33" s="19">
        <v>296.0</v>
      </c>
      <c r="BO33" s="19">
        <v>294.0</v>
      </c>
      <c r="BP33" s="19">
        <v>291.0</v>
      </c>
      <c r="BQ33" s="19">
        <v>272.0</v>
      </c>
      <c r="BR33" s="13">
        <f t="shared" ref="BR33:BR36" si="10">SUM(E33:BQ33)</f>
        <v>17971</v>
      </c>
    </row>
    <row r="34" ht="12.75" customHeight="1">
      <c r="A34" s="19">
        <v>2.0</v>
      </c>
      <c r="B34" s="20" t="s">
        <v>28</v>
      </c>
      <c r="C34" s="15"/>
      <c r="D34" s="16"/>
      <c r="E34" s="13">
        <v>171.0</v>
      </c>
      <c r="F34" s="13">
        <v>163.0</v>
      </c>
      <c r="G34" s="13">
        <v>153.0</v>
      </c>
      <c r="H34" s="13">
        <v>200.0</v>
      </c>
      <c r="I34" s="13">
        <v>207.0</v>
      </c>
      <c r="J34" s="13">
        <v>229.0</v>
      </c>
      <c r="K34" s="13">
        <v>221.0</v>
      </c>
      <c r="L34" s="13">
        <v>195.0</v>
      </c>
      <c r="M34" s="13">
        <v>209.0</v>
      </c>
      <c r="N34" s="13">
        <v>233.0</v>
      </c>
      <c r="O34" s="13">
        <v>203.0</v>
      </c>
      <c r="P34" s="13">
        <v>219.0</v>
      </c>
      <c r="Q34" s="13">
        <v>208.0</v>
      </c>
      <c r="R34" s="13">
        <v>203.0</v>
      </c>
      <c r="S34" s="13">
        <v>206.0</v>
      </c>
      <c r="T34" s="13">
        <v>193.0</v>
      </c>
      <c r="U34" s="13">
        <v>208.0</v>
      </c>
      <c r="V34" s="13">
        <v>190.0</v>
      </c>
      <c r="W34" s="13">
        <v>187.0</v>
      </c>
      <c r="X34" s="13">
        <v>194.0</v>
      </c>
      <c r="Y34" s="13">
        <v>220.0</v>
      </c>
      <c r="Z34" s="13">
        <v>220.0</v>
      </c>
      <c r="AA34" s="13">
        <v>209.0</v>
      </c>
      <c r="AB34" s="13">
        <v>205.0</v>
      </c>
      <c r="AC34" s="13">
        <v>235.0</v>
      </c>
      <c r="AD34" s="13">
        <v>224.0</v>
      </c>
      <c r="AE34" s="13">
        <v>215.0</v>
      </c>
      <c r="AF34" s="13">
        <v>221.0</v>
      </c>
      <c r="AG34" s="13">
        <v>192.0</v>
      </c>
      <c r="AH34" s="13">
        <v>202.0</v>
      </c>
      <c r="AI34" s="13">
        <v>200.0</v>
      </c>
      <c r="AJ34" s="13">
        <v>227.0</v>
      </c>
      <c r="AK34" s="13">
        <v>221.0</v>
      </c>
      <c r="AL34" s="13">
        <v>197.0</v>
      </c>
      <c r="AM34" s="13">
        <v>195.0</v>
      </c>
      <c r="AN34" s="13">
        <v>223.0</v>
      </c>
      <c r="AO34" s="13">
        <v>240.0</v>
      </c>
      <c r="AP34" s="13">
        <v>219.0</v>
      </c>
      <c r="AQ34" s="13">
        <v>213.0</v>
      </c>
      <c r="AR34" s="13">
        <v>192.0</v>
      </c>
      <c r="AS34" s="13">
        <v>200.0</v>
      </c>
      <c r="AT34" s="13">
        <v>167.0</v>
      </c>
      <c r="AU34" s="13">
        <v>233.0</v>
      </c>
      <c r="AV34" s="13">
        <v>211.0</v>
      </c>
      <c r="AW34" s="13">
        <v>188.0</v>
      </c>
      <c r="AX34" s="13">
        <v>216.0</v>
      </c>
      <c r="AY34" s="13">
        <v>202.0</v>
      </c>
      <c r="AZ34" s="13">
        <v>197.0</v>
      </c>
      <c r="BA34" s="13">
        <v>214.0</v>
      </c>
      <c r="BB34" s="13">
        <v>129.0</v>
      </c>
      <c r="BC34" s="13">
        <v>172.0</v>
      </c>
      <c r="BD34" s="13">
        <v>223.0</v>
      </c>
      <c r="BE34" s="13">
        <v>183.0</v>
      </c>
      <c r="BF34" s="13">
        <v>231.0</v>
      </c>
      <c r="BG34" s="13">
        <v>233.0</v>
      </c>
      <c r="BH34" s="13">
        <v>203.0</v>
      </c>
      <c r="BI34" s="13">
        <v>200.0</v>
      </c>
      <c r="BJ34" s="13">
        <v>220.0</v>
      </c>
      <c r="BK34" s="13">
        <v>204.0</v>
      </c>
      <c r="BL34" s="13">
        <v>223.0</v>
      </c>
      <c r="BM34" s="13">
        <v>188.0</v>
      </c>
      <c r="BN34" s="13">
        <v>228.0</v>
      </c>
      <c r="BO34" s="13">
        <v>215.0</v>
      </c>
      <c r="BP34" s="13">
        <v>228.0</v>
      </c>
      <c r="BQ34" s="13">
        <v>224.0</v>
      </c>
      <c r="BR34" s="13">
        <f t="shared" si="10"/>
        <v>13394</v>
      </c>
    </row>
    <row r="35" ht="12.75" customHeight="1">
      <c r="A35" s="19">
        <v>3.0</v>
      </c>
      <c r="B35" s="20" t="s">
        <v>29</v>
      </c>
      <c r="C35" s="15"/>
      <c r="D35" s="16"/>
      <c r="E35" s="19">
        <v>3.0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3.0</v>
      </c>
      <c r="X35" s="19">
        <v>3.0</v>
      </c>
      <c r="Y35" s="19">
        <v>0.0</v>
      </c>
      <c r="Z35" s="19">
        <v>0.0</v>
      </c>
      <c r="AA35" s="19">
        <v>0.0</v>
      </c>
      <c r="AB35" s="19">
        <v>0.0</v>
      </c>
      <c r="AC35" s="19">
        <v>10.0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1.0</v>
      </c>
      <c r="AN35" s="19">
        <v>2.0</v>
      </c>
      <c r="AO35" s="19">
        <v>0.0</v>
      </c>
      <c r="AP35" s="19">
        <v>0.0</v>
      </c>
      <c r="AQ35" s="19">
        <v>0.0</v>
      </c>
      <c r="AR35" s="19">
        <v>1.0</v>
      </c>
      <c r="AS35" s="19">
        <v>0.0</v>
      </c>
      <c r="AT35" s="19">
        <v>0.0</v>
      </c>
      <c r="AU35" s="19">
        <v>0.0</v>
      </c>
      <c r="AV35" s="19">
        <v>0.0</v>
      </c>
      <c r="AW35" s="19">
        <v>3.0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2.0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9">
        <v>0.0</v>
      </c>
      <c r="BL35" s="19">
        <v>0.0</v>
      </c>
      <c r="BM35" s="19">
        <v>0.0</v>
      </c>
      <c r="BN35" s="19">
        <v>0.0</v>
      </c>
      <c r="BO35" s="19">
        <v>0.0</v>
      </c>
      <c r="BP35" s="19">
        <v>0.0</v>
      </c>
      <c r="BQ35" s="19">
        <v>0.0</v>
      </c>
      <c r="BR35" s="13">
        <f t="shared" si="10"/>
        <v>29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Q36" si="11">E33-(E34+E35)</f>
        <v>71</v>
      </c>
      <c r="F36" s="13">
        <f t="shared" si="11"/>
        <v>65</v>
      </c>
      <c r="G36" s="13">
        <f t="shared" si="11"/>
        <v>51</v>
      </c>
      <c r="H36" s="13">
        <f t="shared" si="11"/>
        <v>86</v>
      </c>
      <c r="I36" s="13">
        <f t="shared" si="11"/>
        <v>78</v>
      </c>
      <c r="J36" s="13">
        <f t="shared" si="11"/>
        <v>46</v>
      </c>
      <c r="K36" s="13">
        <f t="shared" si="11"/>
        <v>67</v>
      </c>
      <c r="L36" s="13">
        <f t="shared" si="11"/>
        <v>59</v>
      </c>
      <c r="M36" s="13">
        <f t="shared" si="11"/>
        <v>84</v>
      </c>
      <c r="N36" s="13">
        <f t="shared" si="11"/>
        <v>68</v>
      </c>
      <c r="O36" s="13">
        <f t="shared" si="11"/>
        <v>97</v>
      </c>
      <c r="P36" s="13">
        <f t="shared" si="11"/>
        <v>80</v>
      </c>
      <c r="Q36" s="13">
        <f t="shared" si="11"/>
        <v>88</v>
      </c>
      <c r="R36" s="13">
        <f t="shared" si="11"/>
        <v>77</v>
      </c>
      <c r="S36" s="13">
        <f t="shared" si="11"/>
        <v>80</v>
      </c>
      <c r="T36" s="13">
        <f t="shared" si="11"/>
        <v>106</v>
      </c>
      <c r="U36" s="13">
        <f t="shared" si="11"/>
        <v>77</v>
      </c>
      <c r="V36" s="13">
        <f t="shared" si="11"/>
        <v>95</v>
      </c>
      <c r="W36" s="13">
        <f t="shared" si="11"/>
        <v>93</v>
      </c>
      <c r="X36" s="13">
        <f t="shared" si="11"/>
        <v>92</v>
      </c>
      <c r="Y36" s="13">
        <f t="shared" si="11"/>
        <v>76</v>
      </c>
      <c r="Z36" s="13">
        <f t="shared" si="11"/>
        <v>70</v>
      </c>
      <c r="AA36" s="13">
        <f t="shared" si="11"/>
        <v>86</v>
      </c>
      <c r="AB36" s="13">
        <f t="shared" si="11"/>
        <v>89</v>
      </c>
      <c r="AC36" s="13">
        <f t="shared" si="11"/>
        <v>50</v>
      </c>
      <c r="AD36" s="13">
        <f t="shared" si="11"/>
        <v>82</v>
      </c>
      <c r="AE36" s="13">
        <f t="shared" si="11"/>
        <v>86</v>
      </c>
      <c r="AF36" s="13">
        <f t="shared" si="11"/>
        <v>81</v>
      </c>
      <c r="AG36" s="13">
        <f t="shared" si="11"/>
        <v>90</v>
      </c>
      <c r="AH36" s="13">
        <f t="shared" si="11"/>
        <v>85</v>
      </c>
      <c r="AI36" s="13">
        <f t="shared" si="11"/>
        <v>91</v>
      </c>
      <c r="AJ36" s="13">
        <f t="shared" si="11"/>
        <v>70</v>
      </c>
      <c r="AK36" s="13">
        <f t="shared" si="11"/>
        <v>71</v>
      </c>
      <c r="AL36" s="13">
        <f t="shared" si="11"/>
        <v>48</v>
      </c>
      <c r="AM36" s="13">
        <f t="shared" si="11"/>
        <v>53</v>
      </c>
      <c r="AN36" s="13">
        <f t="shared" si="11"/>
        <v>77</v>
      </c>
      <c r="AO36" s="13">
        <f t="shared" si="11"/>
        <v>60</v>
      </c>
      <c r="AP36" s="13">
        <f t="shared" si="11"/>
        <v>69</v>
      </c>
      <c r="AQ36" s="13">
        <f t="shared" si="11"/>
        <v>71</v>
      </c>
      <c r="AR36" s="13">
        <f t="shared" si="11"/>
        <v>39</v>
      </c>
      <c r="AS36" s="13">
        <f t="shared" si="11"/>
        <v>54</v>
      </c>
      <c r="AT36" s="13">
        <f t="shared" si="11"/>
        <v>53</v>
      </c>
      <c r="AU36" s="13">
        <f t="shared" si="11"/>
        <v>45</v>
      </c>
      <c r="AV36" s="13">
        <f t="shared" si="11"/>
        <v>40</v>
      </c>
      <c r="AW36" s="13">
        <f t="shared" si="11"/>
        <v>63</v>
      </c>
      <c r="AX36" s="13">
        <f t="shared" si="11"/>
        <v>81</v>
      </c>
      <c r="AY36" s="13">
        <f t="shared" si="11"/>
        <v>91</v>
      </c>
      <c r="AZ36" s="13">
        <f t="shared" si="11"/>
        <v>80</v>
      </c>
      <c r="BA36" s="13">
        <f t="shared" si="11"/>
        <v>74</v>
      </c>
      <c r="BB36" s="13">
        <f t="shared" si="11"/>
        <v>65</v>
      </c>
      <c r="BC36" s="13">
        <f t="shared" si="11"/>
        <v>36</v>
      </c>
      <c r="BD36" s="13">
        <f t="shared" si="11"/>
        <v>75</v>
      </c>
      <c r="BE36" s="13">
        <f t="shared" si="11"/>
        <v>51</v>
      </c>
      <c r="BF36" s="13">
        <f t="shared" si="11"/>
        <v>58</v>
      </c>
      <c r="BG36" s="13">
        <f t="shared" si="11"/>
        <v>52</v>
      </c>
      <c r="BH36" s="13">
        <f t="shared" si="11"/>
        <v>48</v>
      </c>
      <c r="BI36" s="13">
        <f t="shared" si="11"/>
        <v>46</v>
      </c>
      <c r="BJ36" s="13">
        <f t="shared" si="11"/>
        <v>64</v>
      </c>
      <c r="BK36" s="13">
        <f t="shared" si="11"/>
        <v>58</v>
      </c>
      <c r="BL36" s="13">
        <f t="shared" si="11"/>
        <v>77</v>
      </c>
      <c r="BM36" s="13">
        <f t="shared" si="11"/>
        <v>75</v>
      </c>
      <c r="BN36" s="13">
        <f t="shared" si="11"/>
        <v>68</v>
      </c>
      <c r="BO36" s="13">
        <f t="shared" si="11"/>
        <v>79</v>
      </c>
      <c r="BP36" s="13">
        <f t="shared" si="11"/>
        <v>63</v>
      </c>
      <c r="BQ36" s="13">
        <f t="shared" si="11"/>
        <v>48</v>
      </c>
      <c r="BR36" s="13">
        <f t="shared" si="10"/>
        <v>4548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2.0</v>
      </c>
      <c r="AP39" s="19">
        <v>0.0</v>
      </c>
      <c r="AQ39" s="19">
        <v>1.0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1.0</v>
      </c>
      <c r="AZ39" s="19">
        <v>0.0</v>
      </c>
      <c r="BA39" s="19">
        <v>0.0</v>
      </c>
      <c r="BB39" s="19">
        <v>0.0</v>
      </c>
      <c r="BC39" s="19">
        <v>0.0</v>
      </c>
      <c r="BD39" s="19">
        <v>1.0</v>
      </c>
      <c r="BE39" s="19">
        <v>0.0</v>
      </c>
      <c r="BF39" s="19">
        <v>0.0</v>
      </c>
      <c r="BG39" s="19">
        <v>0.0</v>
      </c>
      <c r="BH39" s="19">
        <v>1.0</v>
      </c>
      <c r="BI39" s="19">
        <v>1.0</v>
      </c>
      <c r="BJ39" s="19">
        <v>0.0</v>
      </c>
      <c r="BK39" s="19">
        <v>0.0</v>
      </c>
      <c r="BL39" s="19">
        <v>1.0</v>
      </c>
      <c r="BM39" s="19">
        <v>0.0</v>
      </c>
      <c r="BN39" s="19">
        <v>0.0</v>
      </c>
      <c r="BO39" s="19">
        <v>0.0</v>
      </c>
      <c r="BP39" s="19">
        <v>0.0</v>
      </c>
      <c r="BQ39" s="19">
        <v>0.0</v>
      </c>
      <c r="BR39" s="13">
        <f t="shared" ref="BR39:BR41" si="12">SUM(E39:BQ39)</f>
        <v>16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2.0</v>
      </c>
      <c r="V40" s="19">
        <v>0.0</v>
      </c>
      <c r="W40" s="19">
        <v>0.0</v>
      </c>
      <c r="X40" s="19">
        <v>1.0</v>
      </c>
      <c r="Y40" s="19">
        <v>0.0</v>
      </c>
      <c r="Z40" s="19">
        <v>1.0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1.0</v>
      </c>
      <c r="BA40" s="19">
        <v>0.0</v>
      </c>
      <c r="BB40" s="19">
        <v>0.0</v>
      </c>
      <c r="BC40" s="19">
        <v>0.0</v>
      </c>
      <c r="BD40" s="19">
        <v>1.0</v>
      </c>
      <c r="BE40" s="19">
        <v>0.0</v>
      </c>
      <c r="BF40" s="19">
        <v>0.0</v>
      </c>
      <c r="BG40" s="19">
        <v>0.0</v>
      </c>
      <c r="BH40" s="19">
        <v>0.0</v>
      </c>
      <c r="BI40" s="19">
        <v>1.0</v>
      </c>
      <c r="BJ40" s="19">
        <v>0.0</v>
      </c>
      <c r="BK40" s="19">
        <v>0.0</v>
      </c>
      <c r="BL40" s="19">
        <v>2.0</v>
      </c>
      <c r="BM40" s="19">
        <v>0.0</v>
      </c>
      <c r="BN40" s="19">
        <v>1.0</v>
      </c>
      <c r="BO40" s="19">
        <v>0.0</v>
      </c>
      <c r="BP40" s="19">
        <v>0.0</v>
      </c>
      <c r="BQ40" s="19">
        <v>0.0</v>
      </c>
      <c r="BR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BQ41" si="13">SUM(E39:E40)</f>
        <v>0</v>
      </c>
      <c r="F41" s="13">
        <f t="shared" si="13"/>
        <v>2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1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1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1</v>
      </c>
      <c r="BI41" s="13">
        <f t="shared" si="13"/>
        <v>2</v>
      </c>
      <c r="BJ41" s="13">
        <f t="shared" si="13"/>
        <v>0</v>
      </c>
      <c r="BK41" s="13">
        <f t="shared" si="13"/>
        <v>0</v>
      </c>
      <c r="BL41" s="13">
        <f t="shared" si="13"/>
        <v>3</v>
      </c>
      <c r="BM41" s="13">
        <f t="shared" si="13"/>
        <v>0</v>
      </c>
      <c r="BN41" s="13">
        <f t="shared" si="13"/>
        <v>1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2"/>
        <v>30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3"/>
    </row>
    <row r="45" ht="12.75" customHeight="1">
      <c r="A45" s="30"/>
      <c r="B45" s="47">
        <v>1.0</v>
      </c>
      <c r="C45" s="48" t="s">
        <v>37</v>
      </c>
      <c r="D45" s="16"/>
      <c r="E45" s="19">
        <v>22.0</v>
      </c>
      <c r="F45" s="19">
        <v>31.0</v>
      </c>
      <c r="G45" s="19">
        <v>18.0</v>
      </c>
      <c r="H45" s="19">
        <v>19.0</v>
      </c>
      <c r="I45" s="19">
        <v>36.0</v>
      </c>
      <c r="J45" s="19">
        <v>32.0</v>
      </c>
      <c r="K45" s="19">
        <v>18.0</v>
      </c>
      <c r="L45" s="19">
        <v>12.0</v>
      </c>
      <c r="M45" s="19">
        <v>18.0</v>
      </c>
      <c r="N45" s="19">
        <v>34.0</v>
      </c>
      <c r="O45" s="19">
        <v>15.0</v>
      </c>
      <c r="P45" s="19">
        <v>51.0</v>
      </c>
      <c r="Q45" s="19">
        <v>35.0</v>
      </c>
      <c r="R45" s="19">
        <v>18.0</v>
      </c>
      <c r="S45" s="19">
        <v>27.0</v>
      </c>
      <c r="T45" s="19">
        <v>46.0</v>
      </c>
      <c r="U45" s="19">
        <v>34.0</v>
      </c>
      <c r="V45" s="19">
        <v>21.0</v>
      </c>
      <c r="W45" s="19">
        <v>32.0</v>
      </c>
      <c r="X45" s="19">
        <v>28.0</v>
      </c>
      <c r="Y45" s="19">
        <v>28.0</v>
      </c>
      <c r="Z45" s="19">
        <v>16.0</v>
      </c>
      <c r="AA45" s="19">
        <v>18.0</v>
      </c>
      <c r="AB45" s="19">
        <v>9.0</v>
      </c>
      <c r="AC45" s="19">
        <v>12.0</v>
      </c>
      <c r="AD45" s="19">
        <v>8.0</v>
      </c>
      <c r="AE45" s="19">
        <v>22.0</v>
      </c>
      <c r="AF45" s="19">
        <v>38.0</v>
      </c>
      <c r="AG45" s="19">
        <v>28.0</v>
      </c>
      <c r="AH45" s="19">
        <v>23.0</v>
      </c>
      <c r="AI45" s="19">
        <v>20.0</v>
      </c>
      <c r="AJ45" s="19">
        <v>20.0</v>
      </c>
      <c r="AK45" s="19">
        <v>16.0</v>
      </c>
      <c r="AL45" s="19">
        <v>11.0</v>
      </c>
      <c r="AM45" s="19">
        <v>5.0</v>
      </c>
      <c r="AN45" s="19">
        <v>11.0</v>
      </c>
      <c r="AO45" s="19">
        <v>5.0</v>
      </c>
      <c r="AP45" s="19">
        <v>30.0</v>
      </c>
      <c r="AQ45" s="19">
        <v>14.0</v>
      </c>
      <c r="AR45" s="19">
        <v>37.0</v>
      </c>
      <c r="AS45" s="19">
        <v>27.0</v>
      </c>
      <c r="AT45" s="19">
        <v>19.0</v>
      </c>
      <c r="AU45" s="19">
        <v>19.0</v>
      </c>
      <c r="AV45" s="19">
        <v>37.0</v>
      </c>
      <c r="AW45" s="19">
        <v>42.0</v>
      </c>
      <c r="AX45" s="19">
        <v>37.0</v>
      </c>
      <c r="AY45" s="19">
        <v>55.0</v>
      </c>
      <c r="AZ45" s="19">
        <v>18.0</v>
      </c>
      <c r="BA45" s="19">
        <v>39.0</v>
      </c>
      <c r="BB45" s="19">
        <v>16.0</v>
      </c>
      <c r="BC45" s="19">
        <v>28.0</v>
      </c>
      <c r="BD45" s="19">
        <v>38.0</v>
      </c>
      <c r="BE45" s="19">
        <v>24.0</v>
      </c>
      <c r="BF45" s="19">
        <v>34.0</v>
      </c>
      <c r="BG45" s="19">
        <v>54.0</v>
      </c>
      <c r="BH45" s="19">
        <v>22.0</v>
      </c>
      <c r="BI45" s="19">
        <v>11.0</v>
      </c>
      <c r="BJ45" s="19">
        <v>23.0</v>
      </c>
      <c r="BK45" s="19">
        <v>12.0</v>
      </c>
      <c r="BL45" s="19">
        <v>7.0</v>
      </c>
      <c r="BM45" s="19">
        <v>4.0</v>
      </c>
      <c r="BN45" s="19">
        <v>6.0</v>
      </c>
      <c r="BO45" s="19">
        <v>7.0</v>
      </c>
      <c r="BP45" s="19">
        <v>10.0</v>
      </c>
      <c r="BQ45" s="19">
        <v>10.0</v>
      </c>
      <c r="BR45" s="13">
        <f t="shared" ref="BR45:BR47" si="14">SUM(E45:BQ45)</f>
        <v>1517</v>
      </c>
    </row>
    <row r="46" ht="12.75" customHeight="1">
      <c r="A46" s="18"/>
      <c r="B46" s="47">
        <v>2.0</v>
      </c>
      <c r="C46" s="48" t="s">
        <v>38</v>
      </c>
      <c r="D46" s="16"/>
      <c r="E46" s="19">
        <v>123.0</v>
      </c>
      <c r="F46" s="19">
        <v>93.0</v>
      </c>
      <c r="G46" s="19">
        <v>96.0</v>
      </c>
      <c r="H46" s="19">
        <v>126.0</v>
      </c>
      <c r="I46" s="19">
        <v>136.0</v>
      </c>
      <c r="J46" s="19">
        <v>138.0</v>
      </c>
      <c r="K46" s="19">
        <v>134.0</v>
      </c>
      <c r="L46" s="19">
        <v>138.0</v>
      </c>
      <c r="M46" s="19">
        <v>108.0</v>
      </c>
      <c r="N46" s="19">
        <v>162.0</v>
      </c>
      <c r="O46" s="19">
        <v>106.0</v>
      </c>
      <c r="P46" s="19">
        <v>120.0</v>
      </c>
      <c r="Q46" s="19">
        <v>134.0</v>
      </c>
      <c r="R46" s="19">
        <v>149.0</v>
      </c>
      <c r="S46" s="19">
        <v>136.0</v>
      </c>
      <c r="T46" s="19">
        <v>100.0</v>
      </c>
      <c r="U46" s="19">
        <v>117.0</v>
      </c>
      <c r="V46" s="19">
        <v>131.0</v>
      </c>
      <c r="W46" s="19">
        <v>120.0</v>
      </c>
      <c r="X46" s="19">
        <v>114.0</v>
      </c>
      <c r="Y46" s="19">
        <v>146.0</v>
      </c>
      <c r="Z46" s="19">
        <v>159.0</v>
      </c>
      <c r="AA46" s="19">
        <v>138.0</v>
      </c>
      <c r="AB46" s="19">
        <v>159.0</v>
      </c>
      <c r="AC46" s="19">
        <v>177.0</v>
      </c>
      <c r="AD46" s="19">
        <v>184.0</v>
      </c>
      <c r="AE46" s="19">
        <v>152.0</v>
      </c>
      <c r="AF46" s="19">
        <v>136.0</v>
      </c>
      <c r="AG46" s="19">
        <v>135.0</v>
      </c>
      <c r="AH46" s="19">
        <v>151.0</v>
      </c>
      <c r="AI46" s="19">
        <v>127.0</v>
      </c>
      <c r="AJ46" s="19">
        <v>137.0</v>
      </c>
      <c r="AK46" s="19">
        <v>140.0</v>
      </c>
      <c r="AL46" s="19">
        <v>151.0</v>
      </c>
      <c r="AM46" s="19">
        <v>149.0</v>
      </c>
      <c r="AN46" s="19">
        <v>164.0</v>
      </c>
      <c r="AO46" s="19">
        <v>184.0</v>
      </c>
      <c r="AP46" s="19">
        <v>130.0</v>
      </c>
      <c r="AQ46" s="19">
        <v>136.0</v>
      </c>
      <c r="AR46" s="19">
        <v>121.0</v>
      </c>
      <c r="AS46" s="19">
        <v>150.0</v>
      </c>
      <c r="AT46" s="19">
        <v>114.0</v>
      </c>
      <c r="AU46" s="19">
        <v>161.0</v>
      </c>
      <c r="AV46" s="19">
        <v>147.0</v>
      </c>
      <c r="AW46" s="19">
        <v>107.0</v>
      </c>
      <c r="AX46" s="19">
        <v>125.0</v>
      </c>
      <c r="AY46" s="19">
        <v>115.0</v>
      </c>
      <c r="AZ46" s="19">
        <v>147.0</v>
      </c>
      <c r="BA46" s="19">
        <v>151.0</v>
      </c>
      <c r="BB46" s="19">
        <v>96.0</v>
      </c>
      <c r="BC46" s="19">
        <v>121.0</v>
      </c>
      <c r="BD46" s="19">
        <v>163.0</v>
      </c>
      <c r="BE46" s="19">
        <v>110.0</v>
      </c>
      <c r="BF46" s="19">
        <v>152.0</v>
      </c>
      <c r="BG46" s="19">
        <v>133.0</v>
      </c>
      <c r="BH46" s="19">
        <v>131.0</v>
      </c>
      <c r="BI46" s="19">
        <v>123.0</v>
      </c>
      <c r="BJ46" s="19">
        <v>140.0</v>
      </c>
      <c r="BK46" s="19">
        <v>157.0</v>
      </c>
      <c r="BL46" s="19">
        <v>183.0</v>
      </c>
      <c r="BM46" s="19">
        <v>118.0</v>
      </c>
      <c r="BN46" s="19">
        <v>170.0</v>
      </c>
      <c r="BO46" s="19">
        <v>160.0</v>
      </c>
      <c r="BP46" s="19">
        <v>169.0</v>
      </c>
      <c r="BQ46" s="19">
        <v>173.0</v>
      </c>
      <c r="BR46" s="13">
        <f t="shared" si="14"/>
        <v>8973</v>
      </c>
    </row>
    <row r="47" ht="12.75" customHeight="1">
      <c r="A47" s="18"/>
      <c r="B47" s="47">
        <v>3.0</v>
      </c>
      <c r="C47" s="48" t="s">
        <v>39</v>
      </c>
      <c r="D47" s="16"/>
      <c r="E47" s="19">
        <v>23.0</v>
      </c>
      <c r="F47" s="19">
        <v>35.0</v>
      </c>
      <c r="G47" s="19">
        <v>35.0</v>
      </c>
      <c r="H47" s="19">
        <v>54.0</v>
      </c>
      <c r="I47" s="19">
        <v>25.0</v>
      </c>
      <c r="J47" s="19">
        <v>55.0</v>
      </c>
      <c r="K47" s="19">
        <v>55.0</v>
      </c>
      <c r="L47" s="19">
        <v>39.0</v>
      </c>
      <c r="M47" s="19">
        <v>71.0</v>
      </c>
      <c r="N47" s="19">
        <v>32.0</v>
      </c>
      <c r="O47" s="19">
        <v>81.0</v>
      </c>
      <c r="P47" s="19">
        <v>46.0</v>
      </c>
      <c r="Q47" s="19">
        <v>37.0</v>
      </c>
      <c r="R47" s="19">
        <v>34.0</v>
      </c>
      <c r="S47" s="19">
        <v>39.0</v>
      </c>
      <c r="T47" s="19">
        <v>45.0</v>
      </c>
      <c r="U47" s="19">
        <v>55.0</v>
      </c>
      <c r="V47" s="19">
        <v>38.0</v>
      </c>
      <c r="W47" s="19">
        <v>32.0</v>
      </c>
      <c r="X47" s="19">
        <v>49.0</v>
      </c>
      <c r="Y47" s="19">
        <v>45.0</v>
      </c>
      <c r="Z47" s="19">
        <v>45.0</v>
      </c>
      <c r="AA47" s="19">
        <v>47.0</v>
      </c>
      <c r="AB47" s="19">
        <v>31.0</v>
      </c>
      <c r="AC47" s="19">
        <v>44.0</v>
      </c>
      <c r="AD47" s="19">
        <v>29.0</v>
      </c>
      <c r="AE47" s="19">
        <v>33.0</v>
      </c>
      <c r="AF47" s="19">
        <v>42.0</v>
      </c>
      <c r="AG47" s="19">
        <v>26.0</v>
      </c>
      <c r="AH47" s="19">
        <v>23.0</v>
      </c>
      <c r="AI47" s="19">
        <v>46.0</v>
      </c>
      <c r="AJ47" s="19">
        <v>63.0</v>
      </c>
      <c r="AK47" s="19">
        <v>60.0</v>
      </c>
      <c r="AL47" s="19">
        <v>32.0</v>
      </c>
      <c r="AM47" s="19">
        <v>37.0</v>
      </c>
      <c r="AN47" s="19">
        <v>37.0</v>
      </c>
      <c r="AO47" s="19">
        <v>49.0</v>
      </c>
      <c r="AP47" s="19">
        <v>51.0</v>
      </c>
      <c r="AQ47" s="19">
        <v>60.0</v>
      </c>
      <c r="AR47" s="19">
        <v>31.0</v>
      </c>
      <c r="AS47" s="19">
        <v>22.0</v>
      </c>
      <c r="AT47" s="19">
        <v>33.0</v>
      </c>
      <c r="AU47" s="19">
        <v>50.0</v>
      </c>
      <c r="AV47" s="19">
        <v>25.0</v>
      </c>
      <c r="AW47" s="19">
        <v>38.0</v>
      </c>
      <c r="AX47" s="19">
        <v>47.0</v>
      </c>
      <c r="AY47" s="19">
        <v>31.0</v>
      </c>
      <c r="AZ47" s="19">
        <v>28.0</v>
      </c>
      <c r="BA47" s="19">
        <v>22.0</v>
      </c>
      <c r="BB47" s="19">
        <v>14.0</v>
      </c>
      <c r="BC47" s="19">
        <v>21.0</v>
      </c>
      <c r="BD47" s="19">
        <v>19.0</v>
      </c>
      <c r="BE47" s="19">
        <v>36.0</v>
      </c>
      <c r="BF47" s="19">
        <v>34.0</v>
      </c>
      <c r="BG47" s="19">
        <v>43.0</v>
      </c>
      <c r="BH47" s="19">
        <v>49.0</v>
      </c>
      <c r="BI47" s="19">
        <v>63.0</v>
      </c>
      <c r="BJ47" s="19">
        <v>52.0</v>
      </c>
      <c r="BK47" s="19">
        <v>31.0</v>
      </c>
      <c r="BL47" s="19">
        <v>31.0</v>
      </c>
      <c r="BM47" s="19">
        <v>62.0</v>
      </c>
      <c r="BN47" s="19">
        <v>47.0</v>
      </c>
      <c r="BO47" s="19">
        <v>43.0</v>
      </c>
      <c r="BP47" s="19">
        <v>48.0</v>
      </c>
      <c r="BQ47" s="19">
        <v>38.0</v>
      </c>
      <c r="BR47" s="13">
        <f t="shared" si="14"/>
        <v>2638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BQ50" si="15">SUM(E45:E47)</f>
        <v>168</v>
      </c>
      <c r="F50" s="19">
        <f t="shared" si="15"/>
        <v>159</v>
      </c>
      <c r="G50" s="19">
        <f t="shared" si="15"/>
        <v>149</v>
      </c>
      <c r="H50" s="19">
        <f t="shared" si="15"/>
        <v>199</v>
      </c>
      <c r="I50" s="19">
        <f t="shared" si="15"/>
        <v>197</v>
      </c>
      <c r="J50" s="19">
        <f t="shared" si="15"/>
        <v>225</v>
      </c>
      <c r="K50" s="19">
        <f t="shared" si="15"/>
        <v>207</v>
      </c>
      <c r="L50" s="19">
        <f t="shared" si="15"/>
        <v>189</v>
      </c>
      <c r="M50" s="19">
        <f t="shared" si="15"/>
        <v>197</v>
      </c>
      <c r="N50" s="19">
        <f t="shared" si="15"/>
        <v>228</v>
      </c>
      <c r="O50" s="19">
        <f t="shared" si="15"/>
        <v>202</v>
      </c>
      <c r="P50" s="19">
        <f t="shared" si="15"/>
        <v>217</v>
      </c>
      <c r="Q50" s="19">
        <f t="shared" si="15"/>
        <v>206</v>
      </c>
      <c r="R50" s="19">
        <f t="shared" si="15"/>
        <v>201</v>
      </c>
      <c r="S50" s="19">
        <f t="shared" si="15"/>
        <v>202</v>
      </c>
      <c r="T50" s="19">
        <f t="shared" si="15"/>
        <v>191</v>
      </c>
      <c r="U50" s="19">
        <f t="shared" si="15"/>
        <v>206</v>
      </c>
      <c r="V50" s="19">
        <f t="shared" si="15"/>
        <v>190</v>
      </c>
      <c r="W50" s="19">
        <f t="shared" si="15"/>
        <v>184</v>
      </c>
      <c r="X50" s="19">
        <f t="shared" si="15"/>
        <v>191</v>
      </c>
      <c r="Y50" s="19">
        <f t="shared" si="15"/>
        <v>219</v>
      </c>
      <c r="Z50" s="19">
        <f t="shared" si="15"/>
        <v>220</v>
      </c>
      <c r="AA50" s="19">
        <f t="shared" si="15"/>
        <v>203</v>
      </c>
      <c r="AB50" s="19">
        <f t="shared" si="15"/>
        <v>199</v>
      </c>
      <c r="AC50" s="19">
        <f t="shared" si="15"/>
        <v>233</v>
      </c>
      <c r="AD50" s="19">
        <f t="shared" si="15"/>
        <v>221</v>
      </c>
      <c r="AE50" s="19">
        <f t="shared" si="15"/>
        <v>207</v>
      </c>
      <c r="AF50" s="19">
        <f t="shared" si="15"/>
        <v>216</v>
      </c>
      <c r="AG50" s="19">
        <f t="shared" si="15"/>
        <v>189</v>
      </c>
      <c r="AH50" s="19">
        <f t="shared" si="15"/>
        <v>197</v>
      </c>
      <c r="AI50" s="19">
        <f t="shared" si="15"/>
        <v>193</v>
      </c>
      <c r="AJ50" s="19">
        <f t="shared" si="15"/>
        <v>220</v>
      </c>
      <c r="AK50" s="19">
        <f t="shared" si="15"/>
        <v>216</v>
      </c>
      <c r="AL50" s="19">
        <f t="shared" si="15"/>
        <v>194</v>
      </c>
      <c r="AM50" s="19">
        <f t="shared" si="15"/>
        <v>191</v>
      </c>
      <c r="AN50" s="19">
        <f t="shared" si="15"/>
        <v>212</v>
      </c>
      <c r="AO50" s="19">
        <f t="shared" si="15"/>
        <v>238</v>
      </c>
      <c r="AP50" s="19">
        <f t="shared" si="15"/>
        <v>211</v>
      </c>
      <c r="AQ50" s="19">
        <f t="shared" si="15"/>
        <v>210</v>
      </c>
      <c r="AR50" s="19">
        <f t="shared" si="15"/>
        <v>189</v>
      </c>
      <c r="AS50" s="19">
        <f t="shared" si="15"/>
        <v>199</v>
      </c>
      <c r="AT50" s="19">
        <f t="shared" si="15"/>
        <v>166</v>
      </c>
      <c r="AU50" s="19">
        <f t="shared" si="15"/>
        <v>230</v>
      </c>
      <c r="AV50" s="19">
        <f t="shared" si="15"/>
        <v>209</v>
      </c>
      <c r="AW50" s="19">
        <f t="shared" si="15"/>
        <v>187</v>
      </c>
      <c r="AX50" s="19">
        <f t="shared" si="15"/>
        <v>209</v>
      </c>
      <c r="AY50" s="19">
        <f t="shared" si="15"/>
        <v>201</v>
      </c>
      <c r="AZ50" s="19">
        <f t="shared" si="15"/>
        <v>193</v>
      </c>
      <c r="BA50" s="19">
        <f t="shared" si="15"/>
        <v>212</v>
      </c>
      <c r="BB50" s="19">
        <f t="shared" si="15"/>
        <v>126</v>
      </c>
      <c r="BC50" s="19">
        <f t="shared" si="15"/>
        <v>170</v>
      </c>
      <c r="BD50" s="19">
        <f t="shared" si="15"/>
        <v>220</v>
      </c>
      <c r="BE50" s="19">
        <f t="shared" si="15"/>
        <v>170</v>
      </c>
      <c r="BF50" s="19">
        <f t="shared" si="15"/>
        <v>220</v>
      </c>
      <c r="BG50" s="19">
        <f t="shared" si="15"/>
        <v>230</v>
      </c>
      <c r="BH50" s="19">
        <f t="shared" si="15"/>
        <v>202</v>
      </c>
      <c r="BI50" s="19">
        <f t="shared" si="15"/>
        <v>197</v>
      </c>
      <c r="BJ50" s="19">
        <f t="shared" si="15"/>
        <v>215</v>
      </c>
      <c r="BK50" s="19">
        <f t="shared" si="15"/>
        <v>200</v>
      </c>
      <c r="BL50" s="19">
        <f t="shared" si="15"/>
        <v>221</v>
      </c>
      <c r="BM50" s="19">
        <f t="shared" si="15"/>
        <v>184</v>
      </c>
      <c r="BN50" s="19">
        <f t="shared" si="15"/>
        <v>223</v>
      </c>
      <c r="BO50" s="19">
        <f t="shared" si="15"/>
        <v>210</v>
      </c>
      <c r="BP50" s="19">
        <f t="shared" si="15"/>
        <v>227</v>
      </c>
      <c r="BQ50" s="19">
        <f t="shared" si="15"/>
        <v>221</v>
      </c>
      <c r="BR50" s="13">
        <f t="shared" ref="BR50:BR52" si="16">SUM(E50:BQ50)</f>
        <v>13128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4.0</v>
      </c>
      <c r="G51" s="19">
        <v>4.0</v>
      </c>
      <c r="H51" s="19">
        <v>1.0</v>
      </c>
      <c r="I51" s="19">
        <v>10.0</v>
      </c>
      <c r="J51" s="19">
        <v>4.0</v>
      </c>
      <c r="K51" s="19">
        <v>14.0</v>
      </c>
      <c r="L51" s="19">
        <v>6.0</v>
      </c>
      <c r="M51" s="19">
        <v>12.0</v>
      </c>
      <c r="N51" s="19">
        <v>5.0</v>
      </c>
      <c r="O51" s="19">
        <v>1.0</v>
      </c>
      <c r="P51" s="19">
        <v>2.0</v>
      </c>
      <c r="Q51" s="19">
        <v>2.0</v>
      </c>
      <c r="R51" s="19">
        <v>2.0</v>
      </c>
      <c r="S51" s="19">
        <v>4.0</v>
      </c>
      <c r="T51" s="19">
        <v>2.0</v>
      </c>
      <c r="U51" s="19">
        <v>2.0</v>
      </c>
      <c r="V51" s="19">
        <v>0.0</v>
      </c>
      <c r="W51" s="19">
        <v>3.0</v>
      </c>
      <c r="X51" s="19">
        <v>3.0</v>
      </c>
      <c r="Y51" s="19">
        <v>1.0</v>
      </c>
      <c r="Z51" s="19">
        <v>0.0</v>
      </c>
      <c r="AA51" s="19">
        <v>6.0</v>
      </c>
      <c r="AB51" s="19">
        <v>6.0</v>
      </c>
      <c r="AC51" s="19">
        <v>2.0</v>
      </c>
      <c r="AD51" s="19">
        <v>3.0</v>
      </c>
      <c r="AE51" s="19">
        <v>8.0</v>
      </c>
      <c r="AF51" s="19">
        <v>5.0</v>
      </c>
      <c r="AG51" s="19">
        <v>3.0</v>
      </c>
      <c r="AH51" s="19">
        <v>5.0</v>
      </c>
      <c r="AI51" s="19">
        <v>7.0</v>
      </c>
      <c r="AJ51" s="19">
        <v>7.0</v>
      </c>
      <c r="AK51" s="19">
        <v>5.0</v>
      </c>
      <c r="AL51" s="19">
        <v>3.0</v>
      </c>
      <c r="AM51" s="19">
        <v>4.0</v>
      </c>
      <c r="AN51" s="19">
        <v>11.0</v>
      </c>
      <c r="AO51" s="19">
        <v>2.0</v>
      </c>
      <c r="AP51" s="19">
        <v>8.0</v>
      </c>
      <c r="AQ51" s="19">
        <v>3.0</v>
      </c>
      <c r="AR51" s="19">
        <v>3.0</v>
      </c>
      <c r="AS51" s="19">
        <v>1.0</v>
      </c>
      <c r="AT51" s="19">
        <v>1.0</v>
      </c>
      <c r="AU51" s="19">
        <v>3.0</v>
      </c>
      <c r="AV51" s="19">
        <v>2.0</v>
      </c>
      <c r="AW51" s="19">
        <v>1.0</v>
      </c>
      <c r="AX51" s="19">
        <v>7.0</v>
      </c>
      <c r="AY51" s="19">
        <v>1.0</v>
      </c>
      <c r="AZ51" s="19">
        <v>4.0</v>
      </c>
      <c r="BA51" s="19">
        <v>2.0</v>
      </c>
      <c r="BB51" s="19">
        <v>3.0</v>
      </c>
      <c r="BC51" s="19">
        <v>2.0</v>
      </c>
      <c r="BD51" s="19">
        <v>3.0</v>
      </c>
      <c r="BE51" s="19">
        <v>13.0</v>
      </c>
      <c r="BF51" s="19">
        <v>11.0</v>
      </c>
      <c r="BG51" s="19">
        <v>3.0</v>
      </c>
      <c r="BH51" s="19">
        <v>1.0</v>
      </c>
      <c r="BI51" s="19">
        <v>3.0</v>
      </c>
      <c r="BJ51" s="19">
        <v>5.0</v>
      </c>
      <c r="BK51" s="19">
        <v>4.0</v>
      </c>
      <c r="BL51" s="19">
        <v>2.0</v>
      </c>
      <c r="BM51" s="19">
        <v>4.0</v>
      </c>
      <c r="BN51" s="19">
        <v>5.0</v>
      </c>
      <c r="BO51" s="19">
        <v>5.0</v>
      </c>
      <c r="BP51" s="19">
        <v>1.0</v>
      </c>
      <c r="BQ51" s="19">
        <v>3.0</v>
      </c>
      <c r="BR51" s="13">
        <f t="shared" si="16"/>
        <v>266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BQ52" si="17">SUM(E50:E51)</f>
        <v>171</v>
      </c>
      <c r="F52" s="13">
        <f t="shared" si="17"/>
        <v>163</v>
      </c>
      <c r="G52" s="13">
        <f t="shared" si="17"/>
        <v>153</v>
      </c>
      <c r="H52" s="13">
        <f t="shared" si="17"/>
        <v>200</v>
      </c>
      <c r="I52" s="13">
        <f t="shared" si="17"/>
        <v>207</v>
      </c>
      <c r="J52" s="13">
        <f t="shared" si="17"/>
        <v>229</v>
      </c>
      <c r="K52" s="13">
        <f t="shared" si="17"/>
        <v>221</v>
      </c>
      <c r="L52" s="13">
        <f t="shared" si="17"/>
        <v>195</v>
      </c>
      <c r="M52" s="13">
        <f t="shared" si="17"/>
        <v>209</v>
      </c>
      <c r="N52" s="13">
        <f t="shared" si="17"/>
        <v>233</v>
      </c>
      <c r="O52" s="13">
        <f t="shared" si="17"/>
        <v>203</v>
      </c>
      <c r="P52" s="13">
        <f t="shared" si="17"/>
        <v>219</v>
      </c>
      <c r="Q52" s="13">
        <f t="shared" si="17"/>
        <v>208</v>
      </c>
      <c r="R52" s="13">
        <f t="shared" si="17"/>
        <v>203</v>
      </c>
      <c r="S52" s="13">
        <f t="shared" si="17"/>
        <v>206</v>
      </c>
      <c r="T52" s="13">
        <f t="shared" si="17"/>
        <v>193</v>
      </c>
      <c r="U52" s="13">
        <f t="shared" si="17"/>
        <v>208</v>
      </c>
      <c r="V52" s="13">
        <f t="shared" si="17"/>
        <v>190</v>
      </c>
      <c r="W52" s="13">
        <f t="shared" si="17"/>
        <v>187</v>
      </c>
      <c r="X52" s="13">
        <f t="shared" si="17"/>
        <v>194</v>
      </c>
      <c r="Y52" s="13">
        <f t="shared" si="17"/>
        <v>220</v>
      </c>
      <c r="Z52" s="13">
        <f t="shared" si="17"/>
        <v>220</v>
      </c>
      <c r="AA52" s="13">
        <f t="shared" si="17"/>
        <v>209</v>
      </c>
      <c r="AB52" s="13">
        <f t="shared" si="17"/>
        <v>205</v>
      </c>
      <c r="AC52" s="13">
        <f t="shared" si="17"/>
        <v>235</v>
      </c>
      <c r="AD52" s="13">
        <f t="shared" si="17"/>
        <v>224</v>
      </c>
      <c r="AE52" s="13">
        <f t="shared" si="17"/>
        <v>215</v>
      </c>
      <c r="AF52" s="13">
        <f t="shared" si="17"/>
        <v>221</v>
      </c>
      <c r="AG52" s="13">
        <f t="shared" si="17"/>
        <v>192</v>
      </c>
      <c r="AH52" s="13">
        <f t="shared" si="17"/>
        <v>202</v>
      </c>
      <c r="AI52" s="13">
        <f t="shared" si="17"/>
        <v>200</v>
      </c>
      <c r="AJ52" s="13">
        <f t="shared" si="17"/>
        <v>227</v>
      </c>
      <c r="AK52" s="13">
        <f t="shared" si="17"/>
        <v>221</v>
      </c>
      <c r="AL52" s="13">
        <f t="shared" si="17"/>
        <v>197</v>
      </c>
      <c r="AM52" s="13">
        <f t="shared" si="17"/>
        <v>195</v>
      </c>
      <c r="AN52" s="13">
        <f t="shared" si="17"/>
        <v>223</v>
      </c>
      <c r="AO52" s="13">
        <f t="shared" si="17"/>
        <v>240</v>
      </c>
      <c r="AP52" s="13">
        <f t="shared" si="17"/>
        <v>219</v>
      </c>
      <c r="AQ52" s="13">
        <f t="shared" si="17"/>
        <v>213</v>
      </c>
      <c r="AR52" s="13">
        <f t="shared" si="17"/>
        <v>192</v>
      </c>
      <c r="AS52" s="13">
        <f t="shared" si="17"/>
        <v>200</v>
      </c>
      <c r="AT52" s="13">
        <f t="shared" si="17"/>
        <v>167</v>
      </c>
      <c r="AU52" s="13">
        <f t="shared" si="17"/>
        <v>233</v>
      </c>
      <c r="AV52" s="13">
        <f t="shared" si="17"/>
        <v>211</v>
      </c>
      <c r="AW52" s="13">
        <f t="shared" si="17"/>
        <v>188</v>
      </c>
      <c r="AX52" s="13">
        <f t="shared" si="17"/>
        <v>216</v>
      </c>
      <c r="AY52" s="13">
        <f t="shared" si="17"/>
        <v>202</v>
      </c>
      <c r="AZ52" s="13">
        <f t="shared" si="17"/>
        <v>197</v>
      </c>
      <c r="BA52" s="13">
        <f t="shared" si="17"/>
        <v>214</v>
      </c>
      <c r="BB52" s="13">
        <f t="shared" si="17"/>
        <v>129</v>
      </c>
      <c r="BC52" s="13">
        <f t="shared" si="17"/>
        <v>172</v>
      </c>
      <c r="BD52" s="13">
        <f t="shared" si="17"/>
        <v>223</v>
      </c>
      <c r="BE52" s="13">
        <f t="shared" si="17"/>
        <v>183</v>
      </c>
      <c r="BF52" s="13">
        <f t="shared" si="17"/>
        <v>231</v>
      </c>
      <c r="BG52" s="13">
        <f t="shared" si="17"/>
        <v>233</v>
      </c>
      <c r="BH52" s="13">
        <f t="shared" si="17"/>
        <v>203</v>
      </c>
      <c r="BI52" s="13">
        <f t="shared" si="17"/>
        <v>200</v>
      </c>
      <c r="BJ52" s="13">
        <f t="shared" si="17"/>
        <v>220</v>
      </c>
      <c r="BK52" s="13">
        <f t="shared" si="17"/>
        <v>204</v>
      </c>
      <c r="BL52" s="13">
        <f t="shared" si="17"/>
        <v>223</v>
      </c>
      <c r="BM52" s="13">
        <f t="shared" si="17"/>
        <v>188</v>
      </c>
      <c r="BN52" s="13">
        <f t="shared" si="17"/>
        <v>228</v>
      </c>
      <c r="BO52" s="13">
        <f t="shared" si="17"/>
        <v>215</v>
      </c>
      <c r="BP52" s="13">
        <f t="shared" si="17"/>
        <v>228</v>
      </c>
      <c r="BQ52" s="13">
        <f t="shared" si="17"/>
        <v>224</v>
      </c>
      <c r="BR52" s="13">
        <f t="shared" si="16"/>
        <v>13394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Q12"/>
    <mergeCell ref="BR12:B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BQ37"/>
    <mergeCell ref="B38:D38"/>
    <mergeCell ref="B39:C41"/>
    <mergeCell ref="A42:D42"/>
    <mergeCell ref="E42:BQ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BQ15 E45:BQ47">
    <cfRule type="containsBlanks" dxfId="1" priority="1">
      <formula>LEN(TRIM(E14))=0</formula>
    </cfRule>
  </conditionalFormatting>
  <conditionalFormatting sqref="E19:BQ20">
    <cfRule type="containsBlanks" dxfId="1" priority="2">
      <formula>LEN(TRIM(E19))=0</formula>
    </cfRule>
  </conditionalFormatting>
  <conditionalFormatting sqref="E22:BQ23 E25:BQ26 E33:BQ33 E35:BQ35 E39:BQ40">
    <cfRule type="containsBlanks" dxfId="1" priority="3">
      <formula>LEN(TRIM(E22))=0</formula>
    </cfRule>
  </conditionalFormatting>
  <conditionalFormatting sqref="E30:BQ30">
    <cfRule type="expression" dxfId="0" priority="4">
      <formula>E30&lt;&gt;E46</formula>
    </cfRule>
  </conditionalFormatting>
  <conditionalFormatting sqref="E30:BQ30">
    <cfRule type="expression" dxfId="0" priority="5">
      <formula>E30&lt;&gt;E34</formula>
    </cfRule>
  </conditionalFormatting>
  <conditionalFormatting sqref="E34:BQ34">
    <cfRule type="expression" dxfId="2" priority="6">
      <formula>E30&lt;&gt;E34</formula>
    </cfRule>
  </conditionalFormatting>
  <conditionalFormatting sqref="E34:BQ34">
    <cfRule type="expression" dxfId="3" priority="7">
      <formula>E30=E34</formula>
    </cfRule>
  </conditionalFormatting>
  <conditionalFormatting sqref="E34:BQ34">
    <cfRule type="expression" dxfId="0" priority="8">
      <formula>E34&lt;&gt;E30</formula>
    </cfRule>
  </conditionalFormatting>
  <conditionalFormatting sqref="E34:BQ34">
    <cfRule type="expression" dxfId="0" priority="9">
      <formula>E34&lt;&gt;#REF!</formula>
    </cfRule>
  </conditionalFormatting>
  <conditionalFormatting sqref="E50:BQ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62">
        <v>149.0</v>
      </c>
      <c r="F14" s="19">
        <v>145.0</v>
      </c>
      <c r="G14" s="19">
        <v>119.0</v>
      </c>
      <c r="H14" s="19">
        <v>137.0</v>
      </c>
      <c r="I14" s="19">
        <v>143.0</v>
      </c>
      <c r="J14" s="19">
        <v>101.0</v>
      </c>
      <c r="K14" s="19">
        <v>146.0</v>
      </c>
      <c r="L14" s="19">
        <v>146.0</v>
      </c>
      <c r="M14" s="19">
        <v>150.0</v>
      </c>
      <c r="N14" s="19">
        <v>133.0</v>
      </c>
      <c r="O14" s="19">
        <v>124.0</v>
      </c>
      <c r="P14" s="19">
        <v>95.0</v>
      </c>
      <c r="Q14" s="19">
        <v>142.0</v>
      </c>
      <c r="R14" s="19">
        <v>147.0</v>
      </c>
      <c r="S14" s="19">
        <v>130.0</v>
      </c>
      <c r="T14" s="19">
        <v>108.0</v>
      </c>
      <c r="U14" s="19">
        <v>149.0</v>
      </c>
      <c r="V14" s="19">
        <v>135.0</v>
      </c>
      <c r="W14" s="19">
        <v>148.0</v>
      </c>
      <c r="X14" s="19">
        <v>149.0</v>
      </c>
      <c r="Y14" s="19">
        <v>157.0</v>
      </c>
      <c r="Z14" s="19">
        <v>143.0</v>
      </c>
      <c r="AA14" s="19">
        <v>163.0</v>
      </c>
      <c r="AB14" s="19">
        <v>143.0</v>
      </c>
      <c r="AC14" s="19">
        <v>111.0</v>
      </c>
      <c r="AD14" s="19">
        <v>116.0</v>
      </c>
      <c r="AE14" s="19">
        <v>138.0</v>
      </c>
      <c r="AF14" s="19">
        <v>121.0</v>
      </c>
      <c r="AG14" s="19">
        <v>136.0</v>
      </c>
      <c r="AH14" s="19">
        <v>148.0</v>
      </c>
      <c r="AI14" s="19">
        <v>98.0</v>
      </c>
      <c r="AJ14" s="19">
        <v>140.0</v>
      </c>
      <c r="AK14" s="19">
        <v>107.0</v>
      </c>
      <c r="AL14" s="19">
        <v>149.0</v>
      </c>
      <c r="AM14" s="19">
        <v>144.0</v>
      </c>
      <c r="AN14" s="19">
        <v>121.0</v>
      </c>
      <c r="AO14" s="19">
        <v>90.0</v>
      </c>
      <c r="AP14" s="19">
        <v>145.0</v>
      </c>
      <c r="AQ14" s="19">
        <v>153.0</v>
      </c>
      <c r="AR14" s="19">
        <v>135.0</v>
      </c>
      <c r="AS14" s="19">
        <v>148.0</v>
      </c>
      <c r="AT14" s="19">
        <v>142.0</v>
      </c>
      <c r="AU14" s="19">
        <v>140.0</v>
      </c>
      <c r="AV14" s="19">
        <v>136.0</v>
      </c>
      <c r="AW14" s="19">
        <v>141.0</v>
      </c>
      <c r="AX14" s="13">
        <f t="shared" ref="AX14:AX16" si="1">SUM(E14:AW14)</f>
        <v>6061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151.0</v>
      </c>
      <c r="G15" s="19">
        <v>121.0</v>
      </c>
      <c r="H15" s="19">
        <v>140.0</v>
      </c>
      <c r="I15" s="19">
        <v>145.0</v>
      </c>
      <c r="J15" s="19">
        <v>101.0</v>
      </c>
      <c r="K15" s="19">
        <v>146.0</v>
      </c>
      <c r="L15" s="19">
        <v>143.0</v>
      </c>
      <c r="M15" s="19">
        <v>144.0</v>
      </c>
      <c r="N15" s="19">
        <v>128.0</v>
      </c>
      <c r="O15" s="19">
        <v>116.0</v>
      </c>
      <c r="P15" s="19">
        <v>95.0</v>
      </c>
      <c r="Q15" s="19">
        <v>149.0</v>
      </c>
      <c r="R15" s="19">
        <v>148.0</v>
      </c>
      <c r="S15" s="19">
        <v>138.0</v>
      </c>
      <c r="T15" s="19">
        <v>104.0</v>
      </c>
      <c r="U15" s="19">
        <v>129.0</v>
      </c>
      <c r="V15" s="19">
        <v>132.0</v>
      </c>
      <c r="W15" s="19">
        <v>144.0</v>
      </c>
      <c r="X15" s="19">
        <v>141.0</v>
      </c>
      <c r="Y15" s="19">
        <v>140.0</v>
      </c>
      <c r="Z15" s="19">
        <v>134.0</v>
      </c>
      <c r="AA15" s="19">
        <v>135.0</v>
      </c>
      <c r="AB15" s="19">
        <v>145.0</v>
      </c>
      <c r="AC15" s="19">
        <v>122.0</v>
      </c>
      <c r="AD15" s="19">
        <v>118.0</v>
      </c>
      <c r="AE15" s="19">
        <v>159.0</v>
      </c>
      <c r="AF15" s="19">
        <v>128.0</v>
      </c>
      <c r="AG15" s="19">
        <v>137.0</v>
      </c>
      <c r="AH15" s="19">
        <v>130.0</v>
      </c>
      <c r="AI15" s="19">
        <v>93.0</v>
      </c>
      <c r="AJ15" s="19">
        <v>136.0</v>
      </c>
      <c r="AK15" s="19">
        <v>114.0</v>
      </c>
      <c r="AL15" s="19">
        <v>144.0</v>
      </c>
      <c r="AM15" s="19">
        <v>148.0</v>
      </c>
      <c r="AN15" s="19">
        <v>126.0</v>
      </c>
      <c r="AO15" s="19">
        <v>98.0</v>
      </c>
      <c r="AP15" s="19">
        <v>143.0</v>
      </c>
      <c r="AQ15" s="19">
        <v>145.0</v>
      </c>
      <c r="AR15" s="19">
        <v>137.0</v>
      </c>
      <c r="AS15" s="19">
        <v>140.0</v>
      </c>
      <c r="AT15" s="19">
        <v>152.0</v>
      </c>
      <c r="AU15" s="19">
        <v>134.0</v>
      </c>
      <c r="AV15" s="19">
        <v>150.0</v>
      </c>
      <c r="AW15" s="19">
        <v>154.0</v>
      </c>
      <c r="AX15" s="13">
        <f t="shared" si="1"/>
        <v>6005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277</v>
      </c>
      <c r="F16" s="13">
        <f t="shared" si="2"/>
        <v>296</v>
      </c>
      <c r="G16" s="13">
        <f t="shared" si="2"/>
        <v>240</v>
      </c>
      <c r="H16" s="13">
        <f t="shared" si="2"/>
        <v>277</v>
      </c>
      <c r="I16" s="13">
        <f t="shared" si="2"/>
        <v>288</v>
      </c>
      <c r="J16" s="13">
        <f t="shared" si="2"/>
        <v>202</v>
      </c>
      <c r="K16" s="13">
        <f t="shared" si="2"/>
        <v>292</v>
      </c>
      <c r="L16" s="13">
        <f t="shared" si="2"/>
        <v>289</v>
      </c>
      <c r="M16" s="13">
        <f t="shared" si="2"/>
        <v>294</v>
      </c>
      <c r="N16" s="13">
        <f t="shared" si="2"/>
        <v>261</v>
      </c>
      <c r="O16" s="13">
        <f t="shared" si="2"/>
        <v>240</v>
      </c>
      <c r="P16" s="13">
        <f t="shared" si="2"/>
        <v>190</v>
      </c>
      <c r="Q16" s="13">
        <f t="shared" si="2"/>
        <v>291</v>
      </c>
      <c r="R16" s="13">
        <f t="shared" si="2"/>
        <v>295</v>
      </c>
      <c r="S16" s="13">
        <f t="shared" si="2"/>
        <v>268</v>
      </c>
      <c r="T16" s="13">
        <f t="shared" si="2"/>
        <v>212</v>
      </c>
      <c r="U16" s="13">
        <f t="shared" si="2"/>
        <v>278</v>
      </c>
      <c r="V16" s="13">
        <f t="shared" si="2"/>
        <v>267</v>
      </c>
      <c r="W16" s="13">
        <f t="shared" si="2"/>
        <v>292</v>
      </c>
      <c r="X16" s="13">
        <f t="shared" si="2"/>
        <v>290</v>
      </c>
      <c r="Y16" s="13">
        <f t="shared" si="2"/>
        <v>297</v>
      </c>
      <c r="Z16" s="13">
        <f t="shared" si="2"/>
        <v>277</v>
      </c>
      <c r="AA16" s="13">
        <f t="shared" si="2"/>
        <v>298</v>
      </c>
      <c r="AB16" s="13">
        <f t="shared" si="2"/>
        <v>288</v>
      </c>
      <c r="AC16" s="13">
        <f t="shared" si="2"/>
        <v>233</v>
      </c>
      <c r="AD16" s="13">
        <f t="shared" si="2"/>
        <v>234</v>
      </c>
      <c r="AE16" s="13">
        <f t="shared" si="2"/>
        <v>297</v>
      </c>
      <c r="AF16" s="13">
        <f t="shared" si="2"/>
        <v>249</v>
      </c>
      <c r="AG16" s="13">
        <f t="shared" si="2"/>
        <v>273</v>
      </c>
      <c r="AH16" s="13">
        <f t="shared" si="2"/>
        <v>278</v>
      </c>
      <c r="AI16" s="13">
        <f t="shared" si="2"/>
        <v>191</v>
      </c>
      <c r="AJ16" s="13">
        <f t="shared" si="2"/>
        <v>276</v>
      </c>
      <c r="AK16" s="13">
        <f t="shared" si="2"/>
        <v>221</v>
      </c>
      <c r="AL16" s="13">
        <f t="shared" si="2"/>
        <v>293</v>
      </c>
      <c r="AM16" s="13">
        <f t="shared" si="2"/>
        <v>292</v>
      </c>
      <c r="AN16" s="13">
        <f t="shared" si="2"/>
        <v>247</v>
      </c>
      <c r="AO16" s="13">
        <f t="shared" si="2"/>
        <v>188</v>
      </c>
      <c r="AP16" s="13">
        <f t="shared" si="2"/>
        <v>288</v>
      </c>
      <c r="AQ16" s="13">
        <f t="shared" si="2"/>
        <v>298</v>
      </c>
      <c r="AR16" s="13">
        <f t="shared" si="2"/>
        <v>272</v>
      </c>
      <c r="AS16" s="13">
        <f t="shared" si="2"/>
        <v>288</v>
      </c>
      <c r="AT16" s="13">
        <f t="shared" si="2"/>
        <v>294</v>
      </c>
      <c r="AU16" s="13">
        <f t="shared" si="2"/>
        <v>274</v>
      </c>
      <c r="AV16" s="13">
        <f t="shared" si="2"/>
        <v>286</v>
      </c>
      <c r="AW16" s="13">
        <f t="shared" si="2"/>
        <v>295</v>
      </c>
      <c r="AX16" s="13">
        <f t="shared" si="1"/>
        <v>12066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58"/>
      <c r="P17" s="58"/>
      <c r="Q17" s="58"/>
      <c r="R17" s="58"/>
      <c r="S17" s="58"/>
      <c r="T17" s="58"/>
      <c r="U17" s="58"/>
      <c r="V17" s="58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58"/>
      <c r="AK17" s="58"/>
      <c r="AL17" s="58"/>
      <c r="AM17" s="58"/>
      <c r="AN17" s="58"/>
      <c r="AO17" s="58"/>
      <c r="AP17" s="58"/>
      <c r="AQ17" s="58"/>
      <c r="AR17" s="19"/>
      <c r="AS17" s="19"/>
      <c r="AT17" s="19"/>
      <c r="AU17" s="19"/>
      <c r="AV17" s="19"/>
      <c r="AW17" s="19"/>
      <c r="A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58"/>
      <c r="P18" s="58"/>
      <c r="Q18" s="58"/>
      <c r="R18" s="58"/>
      <c r="S18" s="58"/>
      <c r="T18" s="58"/>
      <c r="U18" s="58"/>
      <c r="V18" s="58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58"/>
      <c r="AK18" s="58"/>
      <c r="AL18" s="58"/>
      <c r="AM18" s="58"/>
      <c r="AN18" s="58"/>
      <c r="AO18" s="58"/>
      <c r="AP18" s="58"/>
      <c r="AQ18" s="58"/>
      <c r="AR18" s="19"/>
      <c r="AS18" s="19"/>
      <c r="AT18" s="19"/>
      <c r="AU18" s="19"/>
      <c r="AV18" s="19"/>
      <c r="AW18" s="19"/>
      <c r="A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106.0</v>
      </c>
      <c r="G19" s="19">
        <v>89.0</v>
      </c>
      <c r="H19" s="19">
        <v>106.0</v>
      </c>
      <c r="I19" s="19">
        <v>101.0</v>
      </c>
      <c r="J19" s="19">
        <v>63.0</v>
      </c>
      <c r="K19" s="19">
        <v>78.0</v>
      </c>
      <c r="L19" s="19">
        <v>102.0</v>
      </c>
      <c r="M19" s="19">
        <v>107.0</v>
      </c>
      <c r="N19" s="19">
        <v>71.0</v>
      </c>
      <c r="O19" s="19">
        <v>85.0</v>
      </c>
      <c r="P19" s="19">
        <v>71.0</v>
      </c>
      <c r="Q19" s="19">
        <v>111.0</v>
      </c>
      <c r="R19" s="19">
        <v>102.0</v>
      </c>
      <c r="S19" s="19">
        <v>95.0</v>
      </c>
      <c r="T19" s="19">
        <v>77.0</v>
      </c>
      <c r="U19" s="19">
        <v>114.0</v>
      </c>
      <c r="V19" s="19">
        <v>106.0</v>
      </c>
      <c r="W19" s="19">
        <v>100.0</v>
      </c>
      <c r="X19" s="19">
        <v>108.0</v>
      </c>
      <c r="Y19" s="19">
        <v>105.0</v>
      </c>
      <c r="Z19" s="19">
        <v>92.0</v>
      </c>
      <c r="AA19" s="19">
        <v>107.0</v>
      </c>
      <c r="AB19" s="19">
        <v>94.0</v>
      </c>
      <c r="AC19" s="19">
        <v>80.0</v>
      </c>
      <c r="AD19" s="19">
        <v>96.0</v>
      </c>
      <c r="AE19" s="19">
        <v>93.0</v>
      </c>
      <c r="AF19" s="19">
        <v>93.0</v>
      </c>
      <c r="AG19" s="19">
        <v>105.0</v>
      </c>
      <c r="AH19" s="19">
        <v>115.0</v>
      </c>
      <c r="AI19" s="19">
        <v>82.0</v>
      </c>
      <c r="AJ19" s="19">
        <v>114.0</v>
      </c>
      <c r="AK19" s="19">
        <v>75.0</v>
      </c>
      <c r="AL19" s="19">
        <v>104.0</v>
      </c>
      <c r="AM19" s="19">
        <v>102.0</v>
      </c>
      <c r="AN19" s="19">
        <v>93.0</v>
      </c>
      <c r="AO19" s="19">
        <v>71.0</v>
      </c>
      <c r="AP19" s="19">
        <v>110.0</v>
      </c>
      <c r="AQ19" s="19">
        <v>113.0</v>
      </c>
      <c r="AR19" s="19">
        <v>91.0</v>
      </c>
      <c r="AS19" s="19">
        <v>123.0</v>
      </c>
      <c r="AT19" s="19">
        <v>95.0</v>
      </c>
      <c r="AU19" s="19">
        <v>97.0</v>
      </c>
      <c r="AV19" s="19">
        <v>96.0</v>
      </c>
      <c r="AW19" s="19">
        <v>107.0</v>
      </c>
      <c r="AX19" s="13">
        <f t="shared" ref="AX19:AX30" si="3">SUM(E19:AW19)</f>
        <v>4348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123.0</v>
      </c>
      <c r="G20" s="19">
        <v>88.0</v>
      </c>
      <c r="H20" s="19">
        <v>112.0</v>
      </c>
      <c r="I20" s="19">
        <v>113.0</v>
      </c>
      <c r="J20" s="19">
        <v>73.0</v>
      </c>
      <c r="K20" s="19">
        <v>96.0</v>
      </c>
      <c r="L20" s="19">
        <v>111.0</v>
      </c>
      <c r="M20" s="19">
        <v>95.0</v>
      </c>
      <c r="N20" s="19">
        <v>93.0</v>
      </c>
      <c r="O20" s="19">
        <v>91.0</v>
      </c>
      <c r="P20" s="19">
        <v>72.0</v>
      </c>
      <c r="Q20" s="19">
        <v>117.0</v>
      </c>
      <c r="R20" s="19">
        <v>111.0</v>
      </c>
      <c r="S20" s="19">
        <v>97.0</v>
      </c>
      <c r="T20" s="19">
        <v>80.0</v>
      </c>
      <c r="U20" s="19">
        <v>104.0</v>
      </c>
      <c r="V20" s="19">
        <v>107.0</v>
      </c>
      <c r="W20" s="19">
        <v>109.0</v>
      </c>
      <c r="X20" s="19">
        <v>111.0</v>
      </c>
      <c r="Y20" s="19">
        <v>106.0</v>
      </c>
      <c r="Z20" s="19">
        <v>103.0</v>
      </c>
      <c r="AA20" s="19">
        <v>103.0</v>
      </c>
      <c r="AB20" s="19">
        <v>110.0</v>
      </c>
      <c r="AC20" s="19">
        <v>104.0</v>
      </c>
      <c r="AD20" s="19">
        <v>90.0</v>
      </c>
      <c r="AE20" s="19">
        <v>120.0</v>
      </c>
      <c r="AF20" s="19">
        <v>98.0</v>
      </c>
      <c r="AG20" s="19">
        <v>116.0</v>
      </c>
      <c r="AH20" s="19">
        <v>105.0</v>
      </c>
      <c r="AI20" s="19">
        <v>80.0</v>
      </c>
      <c r="AJ20" s="19">
        <v>109.0</v>
      </c>
      <c r="AK20" s="19">
        <v>94.0</v>
      </c>
      <c r="AL20" s="19">
        <v>90.0</v>
      </c>
      <c r="AM20" s="19">
        <v>106.0</v>
      </c>
      <c r="AN20" s="19">
        <v>101.0</v>
      </c>
      <c r="AO20" s="19">
        <v>81.0</v>
      </c>
      <c r="AP20" s="19">
        <v>118.0</v>
      </c>
      <c r="AQ20" s="19">
        <v>116.0</v>
      </c>
      <c r="AR20" s="19">
        <v>106.0</v>
      </c>
      <c r="AS20" s="19">
        <v>121.0</v>
      </c>
      <c r="AT20" s="19">
        <v>124.0</v>
      </c>
      <c r="AU20" s="19">
        <v>102.0</v>
      </c>
      <c r="AV20" s="19">
        <v>114.0</v>
      </c>
      <c r="AW20" s="19">
        <v>107.0</v>
      </c>
      <c r="AX20" s="13">
        <f t="shared" si="3"/>
        <v>4633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209</v>
      </c>
      <c r="F21" s="13">
        <f t="shared" si="4"/>
        <v>229</v>
      </c>
      <c r="G21" s="13">
        <f t="shared" si="4"/>
        <v>177</v>
      </c>
      <c r="H21" s="13">
        <f t="shared" si="4"/>
        <v>218</v>
      </c>
      <c r="I21" s="13">
        <f t="shared" si="4"/>
        <v>214</v>
      </c>
      <c r="J21" s="13">
        <f t="shared" si="4"/>
        <v>136</v>
      </c>
      <c r="K21" s="13">
        <f t="shared" si="4"/>
        <v>174</v>
      </c>
      <c r="L21" s="13">
        <f t="shared" si="4"/>
        <v>213</v>
      </c>
      <c r="M21" s="13">
        <f t="shared" si="4"/>
        <v>202</v>
      </c>
      <c r="N21" s="13">
        <f t="shared" si="4"/>
        <v>164</v>
      </c>
      <c r="O21" s="13">
        <f t="shared" si="4"/>
        <v>176</v>
      </c>
      <c r="P21" s="13">
        <f t="shared" si="4"/>
        <v>143</v>
      </c>
      <c r="Q21" s="13">
        <f t="shared" si="4"/>
        <v>228</v>
      </c>
      <c r="R21" s="13">
        <f t="shared" si="4"/>
        <v>213</v>
      </c>
      <c r="S21" s="13">
        <f t="shared" si="4"/>
        <v>192</v>
      </c>
      <c r="T21" s="13">
        <f t="shared" si="4"/>
        <v>157</v>
      </c>
      <c r="U21" s="13">
        <f t="shared" si="4"/>
        <v>218</v>
      </c>
      <c r="V21" s="13">
        <f t="shared" si="4"/>
        <v>213</v>
      </c>
      <c r="W21" s="13">
        <f t="shared" si="4"/>
        <v>209</v>
      </c>
      <c r="X21" s="13">
        <f t="shared" si="4"/>
        <v>219</v>
      </c>
      <c r="Y21" s="13">
        <f t="shared" si="4"/>
        <v>211</v>
      </c>
      <c r="Z21" s="13">
        <f t="shared" si="4"/>
        <v>195</v>
      </c>
      <c r="AA21" s="13">
        <f t="shared" si="4"/>
        <v>210</v>
      </c>
      <c r="AB21" s="13">
        <f t="shared" si="4"/>
        <v>204</v>
      </c>
      <c r="AC21" s="13">
        <f t="shared" si="4"/>
        <v>184</v>
      </c>
      <c r="AD21" s="13">
        <f t="shared" si="4"/>
        <v>186</v>
      </c>
      <c r="AE21" s="13">
        <f t="shared" si="4"/>
        <v>213</v>
      </c>
      <c r="AF21" s="13">
        <f t="shared" si="4"/>
        <v>191</v>
      </c>
      <c r="AG21" s="13">
        <f t="shared" si="4"/>
        <v>221</v>
      </c>
      <c r="AH21" s="13">
        <f t="shared" si="4"/>
        <v>220</v>
      </c>
      <c r="AI21" s="13">
        <f t="shared" si="4"/>
        <v>162</v>
      </c>
      <c r="AJ21" s="13">
        <f t="shared" si="4"/>
        <v>223</v>
      </c>
      <c r="AK21" s="13">
        <f t="shared" si="4"/>
        <v>169</v>
      </c>
      <c r="AL21" s="13">
        <f t="shared" si="4"/>
        <v>194</v>
      </c>
      <c r="AM21" s="13">
        <f t="shared" si="4"/>
        <v>208</v>
      </c>
      <c r="AN21" s="13">
        <f t="shared" si="4"/>
        <v>194</v>
      </c>
      <c r="AO21" s="13">
        <f t="shared" si="4"/>
        <v>152</v>
      </c>
      <c r="AP21" s="13">
        <f t="shared" si="4"/>
        <v>228</v>
      </c>
      <c r="AQ21" s="13">
        <f t="shared" si="4"/>
        <v>229</v>
      </c>
      <c r="AR21" s="13">
        <f t="shared" si="4"/>
        <v>197</v>
      </c>
      <c r="AS21" s="13">
        <f t="shared" si="4"/>
        <v>244</v>
      </c>
      <c r="AT21" s="13">
        <f t="shared" si="4"/>
        <v>219</v>
      </c>
      <c r="AU21" s="13">
        <f t="shared" si="4"/>
        <v>199</v>
      </c>
      <c r="AV21" s="13">
        <f t="shared" si="4"/>
        <v>210</v>
      </c>
      <c r="AW21" s="13">
        <f t="shared" si="4"/>
        <v>214</v>
      </c>
      <c r="AX21" s="13">
        <f t="shared" si="3"/>
        <v>8981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2.0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1.0</v>
      </c>
      <c r="AI22" s="19">
        <v>1.0</v>
      </c>
      <c r="AJ22" s="19">
        <v>0.0</v>
      </c>
      <c r="AK22" s="19">
        <v>0.0</v>
      </c>
      <c r="AL22" s="19">
        <v>0.0</v>
      </c>
      <c r="AM22" s="19">
        <v>1.0</v>
      </c>
      <c r="AN22" s="19">
        <v>1.0</v>
      </c>
      <c r="AO22" s="19">
        <v>0.0</v>
      </c>
      <c r="AP22" s="19">
        <v>1.0</v>
      </c>
      <c r="AQ22" s="19">
        <v>0.0</v>
      </c>
      <c r="AR22" s="19">
        <v>1.0</v>
      </c>
      <c r="AS22" s="19">
        <v>0.0</v>
      </c>
      <c r="AT22" s="19">
        <v>1.0</v>
      </c>
      <c r="AU22" s="19">
        <v>0.0</v>
      </c>
      <c r="AV22" s="19">
        <v>0.0</v>
      </c>
      <c r="AW22" s="19">
        <v>0.0</v>
      </c>
      <c r="AX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2.0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0.0</v>
      </c>
      <c r="AF23" s="19">
        <v>0.0</v>
      </c>
      <c r="AG23" s="19">
        <v>2.0</v>
      </c>
      <c r="AH23" s="19">
        <v>0.0</v>
      </c>
      <c r="AI23" s="19">
        <v>0.0</v>
      </c>
      <c r="AJ23" s="19">
        <v>0.0</v>
      </c>
      <c r="AK23" s="19">
        <v>0.0</v>
      </c>
      <c r="AL23" s="19">
        <v>1.0</v>
      </c>
      <c r="AM23" s="19">
        <v>0.0</v>
      </c>
      <c r="AN23" s="19">
        <v>0.0</v>
      </c>
      <c r="AO23" s="19">
        <v>0.0</v>
      </c>
      <c r="AP23" s="19">
        <v>4.0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2.0</v>
      </c>
      <c r="AX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1</v>
      </c>
      <c r="G24" s="13">
        <f t="shared" si="5"/>
        <v>3</v>
      </c>
      <c r="H24" s="13">
        <f t="shared" si="5"/>
        <v>1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0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5</v>
      </c>
      <c r="AQ24" s="13">
        <f t="shared" si="5"/>
        <v>0</v>
      </c>
      <c r="AR24" s="13">
        <f t="shared" si="5"/>
        <v>2</v>
      </c>
      <c r="AS24" s="13">
        <f t="shared" si="5"/>
        <v>0</v>
      </c>
      <c r="AT24" s="13">
        <f t="shared" si="5"/>
        <v>1</v>
      </c>
      <c r="AU24" s="13">
        <f t="shared" si="5"/>
        <v>0</v>
      </c>
      <c r="AV24" s="13">
        <f t="shared" si="5"/>
        <v>0</v>
      </c>
      <c r="AW24" s="13">
        <f t="shared" si="5"/>
        <v>2</v>
      </c>
      <c r="AX24" s="13">
        <f t="shared" si="3"/>
        <v>32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4.0</v>
      </c>
      <c r="M25" s="19">
        <v>0.0</v>
      </c>
      <c r="N25" s="19">
        <v>0.0</v>
      </c>
      <c r="O25" s="19">
        <v>0.0</v>
      </c>
      <c r="P25" s="19">
        <v>2.0</v>
      </c>
      <c r="Q25" s="19">
        <v>0.0</v>
      </c>
      <c r="R25" s="19">
        <v>1.0</v>
      </c>
      <c r="S25" s="19">
        <v>1.0</v>
      </c>
      <c r="T25" s="19">
        <v>0.0</v>
      </c>
      <c r="U25" s="19">
        <v>6.0</v>
      </c>
      <c r="V25" s="19">
        <v>1.0</v>
      </c>
      <c r="W25" s="19">
        <v>3.0</v>
      </c>
      <c r="X25" s="19">
        <v>1.0</v>
      </c>
      <c r="Y25" s="19">
        <v>2.0</v>
      </c>
      <c r="Z25" s="19">
        <v>0.0</v>
      </c>
      <c r="AA25" s="19">
        <v>0.0</v>
      </c>
      <c r="AB25" s="19">
        <v>2.0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2.0</v>
      </c>
      <c r="AK25" s="19">
        <v>4.0</v>
      </c>
      <c r="AL25" s="19">
        <v>0.0</v>
      </c>
      <c r="AM25" s="19">
        <v>4.0</v>
      </c>
      <c r="AN25" s="19">
        <v>0.0</v>
      </c>
      <c r="AO25" s="19">
        <v>0.0</v>
      </c>
      <c r="AP25" s="19">
        <v>0.0</v>
      </c>
      <c r="AQ25" s="19">
        <v>1.0</v>
      </c>
      <c r="AR25" s="19">
        <v>3.0</v>
      </c>
      <c r="AS25" s="19">
        <v>0.0</v>
      </c>
      <c r="AT25" s="19">
        <v>0.0</v>
      </c>
      <c r="AU25" s="19">
        <v>0.0</v>
      </c>
      <c r="AV25" s="19">
        <v>0.0</v>
      </c>
      <c r="AW25" s="19">
        <v>0.0</v>
      </c>
      <c r="AX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2.0</v>
      </c>
      <c r="L26" s="19">
        <v>4.0</v>
      </c>
      <c r="M26" s="19">
        <v>0.0</v>
      </c>
      <c r="N26" s="19">
        <v>0.0</v>
      </c>
      <c r="O26" s="19">
        <v>0.0</v>
      </c>
      <c r="P26" s="19">
        <v>4.0</v>
      </c>
      <c r="Q26" s="19">
        <v>0.0</v>
      </c>
      <c r="R26" s="19">
        <v>3.0</v>
      </c>
      <c r="S26" s="19">
        <v>3.0</v>
      </c>
      <c r="T26" s="19">
        <v>0.0</v>
      </c>
      <c r="U26" s="19">
        <v>7.0</v>
      </c>
      <c r="V26" s="19">
        <v>0.0</v>
      </c>
      <c r="W26" s="19">
        <v>2.0</v>
      </c>
      <c r="X26" s="19">
        <v>1.0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0.0</v>
      </c>
      <c r="AI26" s="19">
        <v>1.0</v>
      </c>
      <c r="AJ26" s="19">
        <v>3.0</v>
      </c>
      <c r="AK26" s="19">
        <v>0.0</v>
      </c>
      <c r="AL26" s="19">
        <v>2.0</v>
      </c>
      <c r="AM26" s="19">
        <v>3.0</v>
      </c>
      <c r="AN26" s="19">
        <v>2.0</v>
      </c>
      <c r="AO26" s="19">
        <v>0.0</v>
      </c>
      <c r="AP26" s="19">
        <v>0.0</v>
      </c>
      <c r="AQ26" s="19">
        <v>0.0</v>
      </c>
      <c r="AR26" s="19">
        <v>3.0</v>
      </c>
      <c r="AS26" s="19">
        <v>0.0</v>
      </c>
      <c r="AT26" s="19">
        <v>0.0</v>
      </c>
      <c r="AU26" s="19">
        <v>0.0</v>
      </c>
      <c r="AV26" s="19">
        <v>1.0</v>
      </c>
      <c r="AW26" s="19">
        <v>2.0</v>
      </c>
      <c r="AX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8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4</v>
      </c>
      <c r="T27" s="13">
        <f t="shared" si="6"/>
        <v>0</v>
      </c>
      <c r="U27" s="13">
        <f t="shared" si="6"/>
        <v>13</v>
      </c>
      <c r="V27" s="13">
        <f t="shared" si="6"/>
        <v>1</v>
      </c>
      <c r="W27" s="13">
        <f t="shared" si="6"/>
        <v>5</v>
      </c>
      <c r="X27" s="13">
        <f t="shared" si="6"/>
        <v>2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1</v>
      </c>
      <c r="AJ27" s="13">
        <f t="shared" si="6"/>
        <v>5</v>
      </c>
      <c r="AK27" s="13">
        <f t="shared" si="6"/>
        <v>4</v>
      </c>
      <c r="AL27" s="13">
        <f t="shared" si="6"/>
        <v>2</v>
      </c>
      <c r="AM27" s="13">
        <f t="shared" si="6"/>
        <v>7</v>
      </c>
      <c r="AN27" s="13">
        <f t="shared" si="6"/>
        <v>2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6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1</v>
      </c>
      <c r="AW27" s="13">
        <f t="shared" si="6"/>
        <v>2</v>
      </c>
      <c r="AX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103</v>
      </c>
      <c r="F28" s="13">
        <f t="shared" si="7"/>
        <v>106</v>
      </c>
      <c r="G28" s="13">
        <f t="shared" si="7"/>
        <v>90</v>
      </c>
      <c r="H28" s="13">
        <f t="shared" si="7"/>
        <v>106</v>
      </c>
      <c r="I28" s="13">
        <f t="shared" si="7"/>
        <v>103</v>
      </c>
      <c r="J28" s="13">
        <f t="shared" si="7"/>
        <v>64</v>
      </c>
      <c r="K28" s="13">
        <f t="shared" si="7"/>
        <v>80</v>
      </c>
      <c r="L28" s="13">
        <f t="shared" si="7"/>
        <v>106</v>
      </c>
      <c r="M28" s="13">
        <f t="shared" si="7"/>
        <v>107</v>
      </c>
      <c r="N28" s="13">
        <f t="shared" si="7"/>
        <v>71</v>
      </c>
      <c r="O28" s="13">
        <f t="shared" si="7"/>
        <v>85</v>
      </c>
      <c r="P28" s="13">
        <f t="shared" si="7"/>
        <v>74</v>
      </c>
      <c r="Q28" s="13">
        <f t="shared" si="7"/>
        <v>111</v>
      </c>
      <c r="R28" s="13">
        <f t="shared" si="7"/>
        <v>103</v>
      </c>
      <c r="S28" s="13">
        <f t="shared" si="7"/>
        <v>96</v>
      </c>
      <c r="T28" s="13">
        <f t="shared" si="7"/>
        <v>78</v>
      </c>
      <c r="U28" s="13">
        <f t="shared" si="7"/>
        <v>120</v>
      </c>
      <c r="V28" s="13">
        <f t="shared" si="7"/>
        <v>107</v>
      </c>
      <c r="W28" s="13">
        <f t="shared" si="7"/>
        <v>103</v>
      </c>
      <c r="X28" s="13">
        <f t="shared" si="7"/>
        <v>109</v>
      </c>
      <c r="Y28" s="13">
        <f t="shared" si="7"/>
        <v>107</v>
      </c>
      <c r="Z28" s="13">
        <f t="shared" si="7"/>
        <v>92</v>
      </c>
      <c r="AA28" s="13">
        <f t="shared" si="7"/>
        <v>107</v>
      </c>
      <c r="AB28" s="13">
        <f t="shared" si="7"/>
        <v>96</v>
      </c>
      <c r="AC28" s="13">
        <f t="shared" si="7"/>
        <v>80</v>
      </c>
      <c r="AD28" s="13">
        <f t="shared" si="7"/>
        <v>96</v>
      </c>
      <c r="AE28" s="13">
        <f t="shared" si="7"/>
        <v>93</v>
      </c>
      <c r="AF28" s="13">
        <f t="shared" si="7"/>
        <v>93</v>
      </c>
      <c r="AG28" s="13">
        <f t="shared" si="7"/>
        <v>105</v>
      </c>
      <c r="AH28" s="13">
        <f t="shared" si="7"/>
        <v>116</v>
      </c>
      <c r="AI28" s="13">
        <f t="shared" si="7"/>
        <v>83</v>
      </c>
      <c r="AJ28" s="13">
        <f t="shared" si="7"/>
        <v>116</v>
      </c>
      <c r="AK28" s="13">
        <f t="shared" si="7"/>
        <v>79</v>
      </c>
      <c r="AL28" s="13">
        <f t="shared" si="7"/>
        <v>104</v>
      </c>
      <c r="AM28" s="13">
        <f t="shared" si="7"/>
        <v>107</v>
      </c>
      <c r="AN28" s="13">
        <f t="shared" si="7"/>
        <v>94</v>
      </c>
      <c r="AO28" s="13">
        <f t="shared" si="7"/>
        <v>71</v>
      </c>
      <c r="AP28" s="13">
        <f t="shared" si="7"/>
        <v>111</v>
      </c>
      <c r="AQ28" s="13">
        <f t="shared" si="7"/>
        <v>114</v>
      </c>
      <c r="AR28" s="13">
        <f t="shared" si="7"/>
        <v>95</v>
      </c>
      <c r="AS28" s="13">
        <f t="shared" si="7"/>
        <v>123</v>
      </c>
      <c r="AT28" s="13">
        <f t="shared" si="7"/>
        <v>96</v>
      </c>
      <c r="AU28" s="13">
        <f t="shared" si="7"/>
        <v>97</v>
      </c>
      <c r="AV28" s="13">
        <f t="shared" si="7"/>
        <v>96</v>
      </c>
      <c r="AW28" s="13">
        <f t="shared" si="7"/>
        <v>107</v>
      </c>
      <c r="AX28" s="13">
        <f t="shared" si="3"/>
        <v>4400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106</v>
      </c>
      <c r="F29" s="13">
        <f t="shared" si="8"/>
        <v>124</v>
      </c>
      <c r="G29" s="13">
        <f t="shared" si="8"/>
        <v>90</v>
      </c>
      <c r="H29" s="13">
        <f t="shared" si="8"/>
        <v>113</v>
      </c>
      <c r="I29" s="13">
        <f t="shared" si="8"/>
        <v>113</v>
      </c>
      <c r="J29" s="13">
        <f t="shared" si="8"/>
        <v>73</v>
      </c>
      <c r="K29" s="13">
        <f t="shared" si="8"/>
        <v>98</v>
      </c>
      <c r="L29" s="13">
        <f t="shared" si="8"/>
        <v>116</v>
      </c>
      <c r="M29" s="13">
        <f t="shared" si="8"/>
        <v>96</v>
      </c>
      <c r="N29" s="13">
        <f t="shared" si="8"/>
        <v>93</v>
      </c>
      <c r="O29" s="13">
        <f t="shared" si="8"/>
        <v>91</v>
      </c>
      <c r="P29" s="13">
        <f t="shared" si="8"/>
        <v>76</v>
      </c>
      <c r="Q29" s="13">
        <f t="shared" si="8"/>
        <v>117</v>
      </c>
      <c r="R29" s="13">
        <f t="shared" si="8"/>
        <v>115</v>
      </c>
      <c r="S29" s="13">
        <f t="shared" si="8"/>
        <v>100</v>
      </c>
      <c r="T29" s="13">
        <f t="shared" si="8"/>
        <v>80</v>
      </c>
      <c r="U29" s="13">
        <f t="shared" si="8"/>
        <v>111</v>
      </c>
      <c r="V29" s="13">
        <f t="shared" si="8"/>
        <v>108</v>
      </c>
      <c r="W29" s="13">
        <f t="shared" si="8"/>
        <v>111</v>
      </c>
      <c r="X29" s="13">
        <f t="shared" si="8"/>
        <v>112</v>
      </c>
      <c r="Y29" s="13">
        <f t="shared" si="8"/>
        <v>106</v>
      </c>
      <c r="Z29" s="13">
        <f t="shared" si="8"/>
        <v>103</v>
      </c>
      <c r="AA29" s="13">
        <f t="shared" si="8"/>
        <v>103</v>
      </c>
      <c r="AB29" s="13">
        <f t="shared" si="8"/>
        <v>110</v>
      </c>
      <c r="AC29" s="13">
        <f t="shared" si="8"/>
        <v>105</v>
      </c>
      <c r="AD29" s="13">
        <f t="shared" si="8"/>
        <v>90</v>
      </c>
      <c r="AE29" s="13">
        <f t="shared" si="8"/>
        <v>120</v>
      </c>
      <c r="AF29" s="13">
        <f t="shared" si="8"/>
        <v>98</v>
      </c>
      <c r="AG29" s="13">
        <f t="shared" si="8"/>
        <v>118</v>
      </c>
      <c r="AH29" s="13">
        <f t="shared" si="8"/>
        <v>105</v>
      </c>
      <c r="AI29" s="13">
        <f t="shared" si="8"/>
        <v>81</v>
      </c>
      <c r="AJ29" s="13">
        <f t="shared" si="8"/>
        <v>112</v>
      </c>
      <c r="AK29" s="13">
        <f t="shared" si="8"/>
        <v>94</v>
      </c>
      <c r="AL29" s="13">
        <f t="shared" si="8"/>
        <v>93</v>
      </c>
      <c r="AM29" s="13">
        <f t="shared" si="8"/>
        <v>109</v>
      </c>
      <c r="AN29" s="13">
        <f t="shared" si="8"/>
        <v>103</v>
      </c>
      <c r="AO29" s="13">
        <f t="shared" si="8"/>
        <v>81</v>
      </c>
      <c r="AP29" s="13">
        <f t="shared" si="8"/>
        <v>122</v>
      </c>
      <c r="AQ29" s="13">
        <f t="shared" si="8"/>
        <v>116</v>
      </c>
      <c r="AR29" s="13">
        <f t="shared" si="8"/>
        <v>110</v>
      </c>
      <c r="AS29" s="13">
        <f t="shared" si="8"/>
        <v>121</v>
      </c>
      <c r="AT29" s="13">
        <f t="shared" si="8"/>
        <v>124</v>
      </c>
      <c r="AU29" s="13">
        <f t="shared" si="8"/>
        <v>102</v>
      </c>
      <c r="AV29" s="13">
        <f t="shared" si="8"/>
        <v>115</v>
      </c>
      <c r="AW29" s="13">
        <f t="shared" si="8"/>
        <v>111</v>
      </c>
      <c r="AX29" s="13">
        <f t="shared" si="3"/>
        <v>4695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209</v>
      </c>
      <c r="F30" s="13">
        <f t="shared" si="9"/>
        <v>230</v>
      </c>
      <c r="G30" s="13">
        <f t="shared" si="9"/>
        <v>180</v>
      </c>
      <c r="H30" s="13">
        <f t="shared" si="9"/>
        <v>219</v>
      </c>
      <c r="I30" s="13">
        <f t="shared" si="9"/>
        <v>216</v>
      </c>
      <c r="J30" s="13">
        <f t="shared" si="9"/>
        <v>137</v>
      </c>
      <c r="K30" s="13">
        <f t="shared" si="9"/>
        <v>178</v>
      </c>
      <c r="L30" s="13">
        <f t="shared" si="9"/>
        <v>222</v>
      </c>
      <c r="M30" s="13">
        <f t="shared" si="9"/>
        <v>203</v>
      </c>
      <c r="N30" s="13">
        <f t="shared" si="9"/>
        <v>164</v>
      </c>
      <c r="O30" s="13">
        <f t="shared" si="9"/>
        <v>176</v>
      </c>
      <c r="P30" s="13">
        <f t="shared" si="9"/>
        <v>150</v>
      </c>
      <c r="Q30" s="13">
        <f t="shared" si="9"/>
        <v>228</v>
      </c>
      <c r="R30" s="13">
        <f t="shared" si="9"/>
        <v>218</v>
      </c>
      <c r="S30" s="13">
        <f t="shared" si="9"/>
        <v>196</v>
      </c>
      <c r="T30" s="13">
        <f t="shared" si="9"/>
        <v>158</v>
      </c>
      <c r="U30" s="13">
        <f t="shared" si="9"/>
        <v>231</v>
      </c>
      <c r="V30" s="13">
        <f t="shared" si="9"/>
        <v>215</v>
      </c>
      <c r="W30" s="13">
        <f t="shared" si="9"/>
        <v>214</v>
      </c>
      <c r="X30" s="13">
        <f t="shared" si="9"/>
        <v>221</v>
      </c>
      <c r="Y30" s="13">
        <f t="shared" si="9"/>
        <v>213</v>
      </c>
      <c r="Z30" s="13">
        <f t="shared" si="9"/>
        <v>195</v>
      </c>
      <c r="AA30" s="13">
        <f t="shared" si="9"/>
        <v>210</v>
      </c>
      <c r="AB30" s="13">
        <f t="shared" si="9"/>
        <v>206</v>
      </c>
      <c r="AC30" s="13">
        <f t="shared" si="9"/>
        <v>185</v>
      </c>
      <c r="AD30" s="13">
        <f t="shared" si="9"/>
        <v>186</v>
      </c>
      <c r="AE30" s="13">
        <f t="shared" si="9"/>
        <v>213</v>
      </c>
      <c r="AF30" s="13">
        <f t="shared" si="9"/>
        <v>191</v>
      </c>
      <c r="AG30" s="13">
        <f t="shared" si="9"/>
        <v>223</v>
      </c>
      <c r="AH30" s="13">
        <f t="shared" si="9"/>
        <v>221</v>
      </c>
      <c r="AI30" s="13">
        <f t="shared" si="9"/>
        <v>164</v>
      </c>
      <c r="AJ30" s="13">
        <f t="shared" si="9"/>
        <v>228</v>
      </c>
      <c r="AK30" s="13">
        <f t="shared" si="9"/>
        <v>173</v>
      </c>
      <c r="AL30" s="13">
        <f t="shared" si="9"/>
        <v>197</v>
      </c>
      <c r="AM30" s="13">
        <f t="shared" si="9"/>
        <v>216</v>
      </c>
      <c r="AN30" s="13">
        <f t="shared" si="9"/>
        <v>197</v>
      </c>
      <c r="AO30" s="13">
        <f t="shared" si="9"/>
        <v>152</v>
      </c>
      <c r="AP30" s="13">
        <f t="shared" si="9"/>
        <v>233</v>
      </c>
      <c r="AQ30" s="13">
        <f t="shared" si="9"/>
        <v>230</v>
      </c>
      <c r="AR30" s="13">
        <f t="shared" si="9"/>
        <v>205</v>
      </c>
      <c r="AS30" s="13">
        <f t="shared" si="9"/>
        <v>244</v>
      </c>
      <c r="AT30" s="13">
        <f t="shared" si="9"/>
        <v>220</v>
      </c>
      <c r="AU30" s="13">
        <f t="shared" si="9"/>
        <v>199</v>
      </c>
      <c r="AV30" s="13">
        <f t="shared" si="9"/>
        <v>211</v>
      </c>
      <c r="AW30" s="13">
        <f t="shared" si="9"/>
        <v>218</v>
      </c>
      <c r="AX30" s="13">
        <f t="shared" si="3"/>
        <v>9095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58"/>
      <c r="P31" s="58"/>
      <c r="Q31" s="58"/>
      <c r="R31" s="58"/>
      <c r="S31" s="58"/>
      <c r="T31" s="58"/>
      <c r="U31" s="58"/>
      <c r="V31" s="58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58"/>
      <c r="AK31" s="58"/>
      <c r="AL31" s="58"/>
      <c r="AM31" s="58"/>
      <c r="AN31" s="58"/>
      <c r="AO31" s="58"/>
      <c r="AP31" s="58"/>
      <c r="AQ31" s="58"/>
      <c r="AR31" s="19"/>
      <c r="AS31" s="19"/>
      <c r="AT31" s="19"/>
      <c r="AU31" s="19"/>
      <c r="AV31" s="19"/>
      <c r="AW31" s="19"/>
      <c r="A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60"/>
      <c r="P32" s="60"/>
      <c r="Q32" s="60"/>
      <c r="R32" s="60"/>
      <c r="S32" s="60"/>
      <c r="T32" s="60"/>
      <c r="U32" s="60"/>
      <c r="V32" s="60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60"/>
      <c r="AK32" s="60"/>
      <c r="AL32" s="60"/>
      <c r="AM32" s="60"/>
      <c r="AN32" s="60"/>
      <c r="AO32" s="60"/>
      <c r="AP32" s="60"/>
      <c r="AQ32" s="60"/>
      <c r="AR32" s="13"/>
      <c r="AS32" s="13"/>
      <c r="AT32" s="13"/>
      <c r="AU32" s="13"/>
      <c r="AV32" s="13"/>
      <c r="AW32" s="13"/>
      <c r="AX32" s="59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302.0</v>
      </c>
      <c r="G33" s="19">
        <v>245.0</v>
      </c>
      <c r="H33" s="19">
        <v>283.0</v>
      </c>
      <c r="I33" s="19">
        <v>294.0</v>
      </c>
      <c r="J33" s="19">
        <v>207.0</v>
      </c>
      <c r="K33" s="19">
        <v>294.0</v>
      </c>
      <c r="L33" s="19">
        <v>294.0</v>
      </c>
      <c r="M33" s="19">
        <v>300.0</v>
      </c>
      <c r="N33" s="19">
        <v>267.0</v>
      </c>
      <c r="O33" s="19">
        <v>246.0</v>
      </c>
      <c r="P33" s="19">
        <v>194.0</v>
      </c>
      <c r="Q33" s="19">
        <v>297.0</v>
      </c>
      <c r="R33" s="19">
        <v>301.0</v>
      </c>
      <c r="S33" s="19">
        <v>276.0</v>
      </c>
      <c r="T33" s="19">
        <v>217.0</v>
      </c>
      <c r="U33" s="19">
        <v>284.0</v>
      </c>
      <c r="V33" s="19">
        <v>273.0</v>
      </c>
      <c r="W33" s="19">
        <v>299.0</v>
      </c>
      <c r="X33" s="19">
        <v>298.0</v>
      </c>
      <c r="Y33" s="19">
        <v>293.0</v>
      </c>
      <c r="Z33" s="19">
        <v>283.0</v>
      </c>
      <c r="AA33" s="19">
        <v>304.0</v>
      </c>
      <c r="AB33" s="19">
        <v>293.0</v>
      </c>
      <c r="AC33" s="19">
        <v>238.0</v>
      </c>
      <c r="AD33" s="19">
        <v>240.0</v>
      </c>
      <c r="AE33" s="19">
        <v>303.0</v>
      </c>
      <c r="AF33" s="19">
        <v>253.0</v>
      </c>
      <c r="AG33" s="19">
        <v>271.0</v>
      </c>
      <c r="AH33" s="19">
        <v>284.0</v>
      </c>
      <c r="AI33" s="19">
        <v>300.0</v>
      </c>
      <c r="AJ33" s="19">
        <v>281.0</v>
      </c>
      <c r="AK33" s="19">
        <v>229.0</v>
      </c>
      <c r="AL33" s="19">
        <v>299.0</v>
      </c>
      <c r="AM33" s="19">
        <v>297.0</v>
      </c>
      <c r="AN33" s="19">
        <v>252.0</v>
      </c>
      <c r="AO33" s="19">
        <v>192.0</v>
      </c>
      <c r="AP33" s="19">
        <v>294.0</v>
      </c>
      <c r="AQ33" s="19">
        <v>304.0</v>
      </c>
      <c r="AR33" s="19">
        <v>278.0</v>
      </c>
      <c r="AS33" s="19">
        <v>295.0</v>
      </c>
      <c r="AT33" s="19">
        <v>305.0</v>
      </c>
      <c r="AU33" s="19">
        <v>280.0</v>
      </c>
      <c r="AV33" s="19">
        <v>292.0</v>
      </c>
      <c r="AW33" s="19">
        <v>300.0</v>
      </c>
      <c r="AX33" s="13">
        <f t="shared" ref="AX33:AX36" si="10">SUM(E33:AW33)</f>
        <v>12414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230.0</v>
      </c>
      <c r="G34" s="13">
        <v>180.0</v>
      </c>
      <c r="H34" s="13">
        <v>219.0</v>
      </c>
      <c r="I34" s="13">
        <v>216.0</v>
      </c>
      <c r="J34" s="13">
        <v>137.0</v>
      </c>
      <c r="K34" s="13">
        <v>178.0</v>
      </c>
      <c r="L34" s="13">
        <v>222.0</v>
      </c>
      <c r="M34" s="13">
        <v>203.0</v>
      </c>
      <c r="N34" s="13">
        <v>164.0</v>
      </c>
      <c r="O34" s="13">
        <v>176.0</v>
      </c>
      <c r="P34" s="13">
        <v>150.0</v>
      </c>
      <c r="Q34" s="13">
        <v>228.0</v>
      </c>
      <c r="R34" s="13">
        <v>218.0</v>
      </c>
      <c r="S34" s="13">
        <v>196.0</v>
      </c>
      <c r="T34" s="13">
        <v>158.0</v>
      </c>
      <c r="U34" s="13">
        <v>231.0</v>
      </c>
      <c r="V34" s="13">
        <v>215.0</v>
      </c>
      <c r="W34" s="13">
        <v>214.0</v>
      </c>
      <c r="X34" s="13">
        <v>221.0</v>
      </c>
      <c r="Y34" s="13">
        <v>213.0</v>
      </c>
      <c r="Z34" s="13">
        <v>195.0</v>
      </c>
      <c r="AA34" s="13">
        <v>210.0</v>
      </c>
      <c r="AB34" s="13">
        <v>206.0</v>
      </c>
      <c r="AC34" s="13">
        <v>185.0</v>
      </c>
      <c r="AD34" s="13">
        <v>186.0</v>
      </c>
      <c r="AE34" s="13">
        <v>213.0</v>
      </c>
      <c r="AF34" s="13">
        <v>191.0</v>
      </c>
      <c r="AG34" s="13">
        <v>223.0</v>
      </c>
      <c r="AH34" s="13">
        <v>221.0</v>
      </c>
      <c r="AI34" s="13">
        <v>164.0</v>
      </c>
      <c r="AJ34" s="13">
        <v>228.0</v>
      </c>
      <c r="AK34" s="13">
        <v>173.0</v>
      </c>
      <c r="AL34" s="13">
        <v>197.0</v>
      </c>
      <c r="AM34" s="13">
        <v>216.0</v>
      </c>
      <c r="AN34" s="13">
        <v>197.0</v>
      </c>
      <c r="AO34" s="13">
        <v>152.0</v>
      </c>
      <c r="AP34" s="13">
        <v>233.0</v>
      </c>
      <c r="AQ34" s="13">
        <v>230.0</v>
      </c>
      <c r="AR34" s="13">
        <v>205.0</v>
      </c>
      <c r="AS34" s="13">
        <v>244.0</v>
      </c>
      <c r="AT34" s="13">
        <v>220.0</v>
      </c>
      <c r="AU34" s="13">
        <v>199.0</v>
      </c>
      <c r="AV34" s="13">
        <v>211.0</v>
      </c>
      <c r="AW34" s="13">
        <v>218.0</v>
      </c>
      <c r="AX34" s="13">
        <f t="shared" si="10"/>
        <v>9095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1.0</v>
      </c>
      <c r="AF35" s="19">
        <v>0.0</v>
      </c>
      <c r="AG35" s="19">
        <v>0.0</v>
      </c>
      <c r="AH35" s="19">
        <v>0.0</v>
      </c>
      <c r="AI35" s="19">
        <v>6.0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1.0</v>
      </c>
      <c r="AU35" s="19">
        <v>0.0</v>
      </c>
      <c r="AV35" s="19">
        <v>10.0</v>
      </c>
      <c r="AW35" s="19">
        <v>0.0</v>
      </c>
      <c r="AX35" s="13">
        <f t="shared" si="10"/>
        <v>25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74</v>
      </c>
      <c r="F36" s="13">
        <f t="shared" si="11"/>
        <v>72</v>
      </c>
      <c r="G36" s="13">
        <f t="shared" si="11"/>
        <v>65</v>
      </c>
      <c r="H36" s="13">
        <f t="shared" si="11"/>
        <v>64</v>
      </c>
      <c r="I36" s="13">
        <f t="shared" si="11"/>
        <v>78</v>
      </c>
      <c r="J36" s="13">
        <f t="shared" si="11"/>
        <v>70</v>
      </c>
      <c r="K36" s="13">
        <f t="shared" si="11"/>
        <v>115</v>
      </c>
      <c r="L36" s="13">
        <f t="shared" si="11"/>
        <v>70</v>
      </c>
      <c r="M36" s="13">
        <f t="shared" si="11"/>
        <v>97</v>
      </c>
      <c r="N36" s="13">
        <f t="shared" si="11"/>
        <v>103</v>
      </c>
      <c r="O36" s="13">
        <f t="shared" si="11"/>
        <v>70</v>
      </c>
      <c r="P36" s="13">
        <f t="shared" si="11"/>
        <v>44</v>
      </c>
      <c r="Q36" s="13">
        <f t="shared" si="11"/>
        <v>69</v>
      </c>
      <c r="R36" s="13">
        <f t="shared" si="11"/>
        <v>83</v>
      </c>
      <c r="S36" s="13">
        <f t="shared" si="11"/>
        <v>79</v>
      </c>
      <c r="T36" s="13">
        <f t="shared" si="11"/>
        <v>59</v>
      </c>
      <c r="U36" s="13">
        <f t="shared" si="11"/>
        <v>53</v>
      </c>
      <c r="V36" s="13">
        <f t="shared" si="11"/>
        <v>58</v>
      </c>
      <c r="W36" s="13">
        <f t="shared" si="11"/>
        <v>85</v>
      </c>
      <c r="X36" s="13">
        <f t="shared" si="11"/>
        <v>75</v>
      </c>
      <c r="Y36" s="13">
        <f t="shared" si="11"/>
        <v>80</v>
      </c>
      <c r="Z36" s="13">
        <f t="shared" si="11"/>
        <v>88</v>
      </c>
      <c r="AA36" s="13">
        <f t="shared" si="11"/>
        <v>94</v>
      </c>
      <c r="AB36" s="13">
        <f t="shared" si="11"/>
        <v>87</v>
      </c>
      <c r="AC36" s="13">
        <f t="shared" si="11"/>
        <v>52</v>
      </c>
      <c r="AD36" s="13">
        <f t="shared" si="11"/>
        <v>54</v>
      </c>
      <c r="AE36" s="13">
        <f t="shared" si="11"/>
        <v>89</v>
      </c>
      <c r="AF36" s="13">
        <f t="shared" si="11"/>
        <v>62</v>
      </c>
      <c r="AG36" s="13">
        <f t="shared" si="11"/>
        <v>48</v>
      </c>
      <c r="AH36" s="13">
        <f t="shared" si="11"/>
        <v>63</v>
      </c>
      <c r="AI36" s="13">
        <f t="shared" si="11"/>
        <v>130</v>
      </c>
      <c r="AJ36" s="13">
        <f t="shared" si="11"/>
        <v>53</v>
      </c>
      <c r="AK36" s="13">
        <f t="shared" si="11"/>
        <v>56</v>
      </c>
      <c r="AL36" s="13">
        <f t="shared" si="11"/>
        <v>102</v>
      </c>
      <c r="AM36" s="13">
        <f t="shared" si="11"/>
        <v>81</v>
      </c>
      <c r="AN36" s="13">
        <f t="shared" si="11"/>
        <v>55</v>
      </c>
      <c r="AO36" s="13">
        <f t="shared" si="11"/>
        <v>40</v>
      </c>
      <c r="AP36" s="13">
        <f t="shared" si="11"/>
        <v>61</v>
      </c>
      <c r="AQ36" s="13">
        <f t="shared" si="11"/>
        <v>74</v>
      </c>
      <c r="AR36" s="13">
        <f t="shared" si="11"/>
        <v>73</v>
      </c>
      <c r="AS36" s="13">
        <f t="shared" si="11"/>
        <v>51</v>
      </c>
      <c r="AT36" s="13">
        <f t="shared" si="11"/>
        <v>84</v>
      </c>
      <c r="AU36" s="13">
        <f t="shared" si="11"/>
        <v>81</v>
      </c>
      <c r="AV36" s="13">
        <f t="shared" si="11"/>
        <v>71</v>
      </c>
      <c r="AW36" s="13">
        <f t="shared" si="11"/>
        <v>82</v>
      </c>
      <c r="AX36" s="13">
        <f t="shared" si="10"/>
        <v>3294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6"/>
      <c r="AV37" s="19"/>
      <c r="AW37" s="19"/>
      <c r="A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60"/>
      <c r="P38" s="60"/>
      <c r="Q38" s="60"/>
      <c r="R38" s="60"/>
      <c r="S38" s="60"/>
      <c r="T38" s="60"/>
      <c r="U38" s="60"/>
      <c r="V38" s="60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60"/>
      <c r="AK38" s="60"/>
      <c r="AL38" s="60"/>
      <c r="AM38" s="60"/>
      <c r="AN38" s="60"/>
      <c r="AO38" s="60"/>
      <c r="AP38" s="60"/>
      <c r="AQ38" s="60"/>
      <c r="AR38" s="13"/>
      <c r="AS38" s="13"/>
      <c r="AT38" s="13"/>
      <c r="AU38" s="13"/>
      <c r="AV38" s="13"/>
      <c r="AW38" s="13"/>
      <c r="AX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1.0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1.0</v>
      </c>
      <c r="AX39" s="13">
        <f t="shared" ref="AX39:AX41" si="12">SUM(E39:AW39)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1.0</v>
      </c>
      <c r="AU40" s="19">
        <v>0.0</v>
      </c>
      <c r="AV40" s="19">
        <v>0.0</v>
      </c>
      <c r="AW40" s="19">
        <v>0.0</v>
      </c>
      <c r="AX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1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6"/>
      <c r="AV42" s="19"/>
      <c r="AW42" s="19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60"/>
      <c r="P43" s="13"/>
      <c r="Q43" s="60"/>
      <c r="R43" s="13"/>
      <c r="S43" s="60"/>
      <c r="T43" s="13"/>
      <c r="U43" s="60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60"/>
      <c r="AK43" s="13"/>
      <c r="AL43" s="60"/>
      <c r="AM43" s="13"/>
      <c r="AN43" s="60"/>
      <c r="AO43" s="13"/>
      <c r="AP43" s="60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58"/>
      <c r="P44" s="19"/>
      <c r="Q44" s="58"/>
      <c r="R44" s="19"/>
      <c r="S44" s="58"/>
      <c r="T44" s="19"/>
      <c r="U44" s="58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58"/>
      <c r="AK44" s="19"/>
      <c r="AL44" s="58"/>
      <c r="AM44" s="19"/>
      <c r="AN44" s="58"/>
      <c r="AO44" s="19"/>
      <c r="AP44" s="58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/>
      <c r="B45" s="47">
        <v>1.0</v>
      </c>
      <c r="C45" s="48" t="s">
        <v>37</v>
      </c>
      <c r="D45" s="16"/>
      <c r="E45" s="19">
        <v>19.0</v>
      </c>
      <c r="F45" s="19">
        <v>11.0</v>
      </c>
      <c r="G45" s="19">
        <v>25.0</v>
      </c>
      <c r="H45" s="19">
        <v>10.0</v>
      </c>
      <c r="I45" s="19">
        <v>16.0</v>
      </c>
      <c r="J45" s="19">
        <v>13.0</v>
      </c>
      <c r="K45" s="19">
        <v>28.0</v>
      </c>
      <c r="L45" s="19">
        <v>63.0</v>
      </c>
      <c r="M45" s="19">
        <v>23.0</v>
      </c>
      <c r="N45" s="19">
        <v>18.0</v>
      </c>
      <c r="O45" s="19">
        <v>14.0</v>
      </c>
      <c r="P45" s="19">
        <v>12.0</v>
      </c>
      <c r="Q45" s="19">
        <v>14.0</v>
      </c>
      <c r="R45" s="19">
        <v>29.0</v>
      </c>
      <c r="S45" s="19">
        <v>7.0</v>
      </c>
      <c r="T45" s="19">
        <v>3.0</v>
      </c>
      <c r="U45" s="19">
        <v>31.0</v>
      </c>
      <c r="V45" s="19">
        <v>14.0</v>
      </c>
      <c r="W45" s="19">
        <v>19.0</v>
      </c>
      <c r="X45" s="19">
        <v>14.0</v>
      </c>
      <c r="Y45" s="19">
        <v>18.0</v>
      </c>
      <c r="Z45" s="19">
        <v>8.0</v>
      </c>
      <c r="AA45" s="19">
        <v>17.0</v>
      </c>
      <c r="AB45" s="19">
        <v>10.0</v>
      </c>
      <c r="AC45" s="19">
        <v>5.0</v>
      </c>
      <c r="AD45" s="19">
        <v>24.0</v>
      </c>
      <c r="AE45" s="19">
        <v>38.0</v>
      </c>
      <c r="AF45" s="19">
        <v>18.0</v>
      </c>
      <c r="AG45" s="19">
        <v>25.0</v>
      </c>
      <c r="AH45" s="19">
        <v>9.0</v>
      </c>
      <c r="AI45" s="19">
        <v>13.0</v>
      </c>
      <c r="AJ45" s="19">
        <v>35.0</v>
      </c>
      <c r="AK45" s="19">
        <v>22.0</v>
      </c>
      <c r="AL45" s="19">
        <v>8.0</v>
      </c>
      <c r="AM45" s="19">
        <v>38.0</v>
      </c>
      <c r="AN45" s="19">
        <v>24.0</v>
      </c>
      <c r="AO45" s="19">
        <v>16.0</v>
      </c>
      <c r="AP45" s="19">
        <v>18.0</v>
      </c>
      <c r="AQ45" s="19">
        <v>19.0</v>
      </c>
      <c r="AR45" s="19">
        <v>29.0</v>
      </c>
      <c r="AS45" s="19">
        <v>38.0</v>
      </c>
      <c r="AT45" s="19">
        <v>13.0</v>
      </c>
      <c r="AU45" s="19">
        <v>14.0</v>
      </c>
      <c r="AV45" s="19">
        <v>17.0</v>
      </c>
      <c r="AW45" s="19">
        <v>13.0</v>
      </c>
      <c r="AX45" s="13">
        <f t="shared" ref="AX45:AX47" si="14">SUM(E45:AW45)</f>
        <v>872</v>
      </c>
    </row>
    <row r="46" ht="12.75" customHeight="1">
      <c r="A46" s="18"/>
      <c r="B46" s="47">
        <v>2.0</v>
      </c>
      <c r="C46" s="48" t="s">
        <v>38</v>
      </c>
      <c r="D46" s="16"/>
      <c r="E46" s="19">
        <v>127.0</v>
      </c>
      <c r="F46" s="19">
        <v>155.0</v>
      </c>
      <c r="G46" s="19">
        <v>130.0</v>
      </c>
      <c r="H46" s="19">
        <v>157.0</v>
      </c>
      <c r="I46" s="19">
        <v>154.0</v>
      </c>
      <c r="J46" s="19">
        <v>88.0</v>
      </c>
      <c r="K46" s="19">
        <v>132.0</v>
      </c>
      <c r="L46" s="19">
        <v>134.0</v>
      </c>
      <c r="M46" s="19">
        <v>135.0</v>
      </c>
      <c r="N46" s="19">
        <v>122.0</v>
      </c>
      <c r="O46" s="19">
        <v>139.0</v>
      </c>
      <c r="P46" s="19">
        <v>109.0</v>
      </c>
      <c r="Q46" s="19">
        <v>185.0</v>
      </c>
      <c r="R46" s="19">
        <v>157.0</v>
      </c>
      <c r="S46" s="19">
        <v>147.0</v>
      </c>
      <c r="T46" s="19">
        <v>120.0</v>
      </c>
      <c r="U46" s="19">
        <v>140.0</v>
      </c>
      <c r="V46" s="19">
        <v>168.0</v>
      </c>
      <c r="W46" s="19">
        <v>117.0</v>
      </c>
      <c r="X46" s="19">
        <v>142.0</v>
      </c>
      <c r="Y46" s="19">
        <v>126.0</v>
      </c>
      <c r="Z46" s="19">
        <v>149.0</v>
      </c>
      <c r="AA46" s="19">
        <v>134.0</v>
      </c>
      <c r="AB46" s="19">
        <v>132.0</v>
      </c>
      <c r="AC46" s="19">
        <v>131.0</v>
      </c>
      <c r="AD46" s="19">
        <v>114.0</v>
      </c>
      <c r="AE46" s="19">
        <v>137.0</v>
      </c>
      <c r="AF46" s="19">
        <v>105.0</v>
      </c>
      <c r="AG46" s="19">
        <v>133.0</v>
      </c>
      <c r="AH46" s="19">
        <v>136.0</v>
      </c>
      <c r="AI46" s="19">
        <v>104.0</v>
      </c>
      <c r="AJ46" s="19">
        <v>150.0</v>
      </c>
      <c r="AK46" s="19">
        <v>101.0</v>
      </c>
      <c r="AL46" s="19">
        <v>127.0</v>
      </c>
      <c r="AM46" s="19">
        <v>130.0</v>
      </c>
      <c r="AN46" s="19">
        <v>134.0</v>
      </c>
      <c r="AO46" s="19">
        <v>103.0</v>
      </c>
      <c r="AP46" s="19">
        <v>152.0</v>
      </c>
      <c r="AQ46" s="19">
        <v>156.0</v>
      </c>
      <c r="AR46" s="19">
        <v>136.0</v>
      </c>
      <c r="AS46" s="19">
        <v>168.0</v>
      </c>
      <c r="AT46" s="19">
        <v>165.0</v>
      </c>
      <c r="AU46" s="19">
        <v>130.0</v>
      </c>
      <c r="AV46" s="19">
        <v>144.0</v>
      </c>
      <c r="AW46" s="19">
        <v>146.0</v>
      </c>
      <c r="AX46" s="13">
        <f t="shared" si="14"/>
        <v>6101</v>
      </c>
    </row>
    <row r="47" ht="12.75" customHeight="1">
      <c r="A47" s="18"/>
      <c r="B47" s="47">
        <v>3.0</v>
      </c>
      <c r="C47" s="48" t="s">
        <v>39</v>
      </c>
      <c r="D47" s="16"/>
      <c r="E47" s="19">
        <v>60.0</v>
      </c>
      <c r="F47" s="19">
        <v>62.0</v>
      </c>
      <c r="G47" s="19">
        <v>23.0</v>
      </c>
      <c r="H47" s="19">
        <v>39.0</v>
      </c>
      <c r="I47" s="19">
        <v>42.0</v>
      </c>
      <c r="J47" s="19">
        <v>33.0</v>
      </c>
      <c r="K47" s="19">
        <v>14.0</v>
      </c>
      <c r="L47" s="19">
        <v>24.0</v>
      </c>
      <c r="M47" s="19">
        <v>42.0</v>
      </c>
      <c r="N47" s="19">
        <v>22.0</v>
      </c>
      <c r="O47" s="19">
        <v>19.0</v>
      </c>
      <c r="P47" s="19">
        <v>26.0</v>
      </c>
      <c r="Q47" s="19">
        <v>26.0</v>
      </c>
      <c r="R47" s="19">
        <v>24.0</v>
      </c>
      <c r="S47" s="19">
        <v>37.0</v>
      </c>
      <c r="T47" s="19">
        <v>29.0</v>
      </c>
      <c r="U47" s="19">
        <v>55.0</v>
      </c>
      <c r="V47" s="19">
        <v>30.0</v>
      </c>
      <c r="W47" s="19">
        <v>73.0</v>
      </c>
      <c r="X47" s="19">
        <v>58.0</v>
      </c>
      <c r="Y47" s="19">
        <v>65.0</v>
      </c>
      <c r="Z47" s="19">
        <v>35.0</v>
      </c>
      <c r="AA47" s="19">
        <v>54.0</v>
      </c>
      <c r="AB47" s="19">
        <v>62.0</v>
      </c>
      <c r="AC47" s="19">
        <v>46.0</v>
      </c>
      <c r="AD47" s="19">
        <v>45.0</v>
      </c>
      <c r="AE47" s="19">
        <v>31.0</v>
      </c>
      <c r="AF47" s="19">
        <v>64.0</v>
      </c>
      <c r="AG47" s="19">
        <v>57.0</v>
      </c>
      <c r="AH47" s="19">
        <v>70.0</v>
      </c>
      <c r="AI47" s="19">
        <v>41.0</v>
      </c>
      <c r="AJ47" s="19">
        <v>43.0</v>
      </c>
      <c r="AK47" s="19">
        <v>43.0</v>
      </c>
      <c r="AL47" s="19">
        <v>58.0</v>
      </c>
      <c r="AM47" s="19">
        <v>45.0</v>
      </c>
      <c r="AN47" s="19">
        <v>34.0</v>
      </c>
      <c r="AO47" s="19">
        <v>32.0</v>
      </c>
      <c r="AP47" s="19">
        <v>59.0</v>
      </c>
      <c r="AQ47" s="19">
        <v>52.0</v>
      </c>
      <c r="AR47" s="19">
        <v>35.0</v>
      </c>
      <c r="AS47" s="19">
        <v>36.0</v>
      </c>
      <c r="AT47" s="19">
        <v>41.0</v>
      </c>
      <c r="AU47" s="19">
        <v>53.0</v>
      </c>
      <c r="AV47" s="19">
        <v>48.0</v>
      </c>
      <c r="AW47" s="19">
        <v>54.0</v>
      </c>
      <c r="AX47" s="13">
        <f t="shared" si="14"/>
        <v>1941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60"/>
      <c r="P49" s="60"/>
      <c r="Q49" s="60"/>
      <c r="R49" s="60"/>
      <c r="S49" s="60"/>
      <c r="T49" s="60"/>
      <c r="U49" s="60"/>
      <c r="V49" s="60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60"/>
      <c r="AK49" s="60"/>
      <c r="AL49" s="60"/>
      <c r="AM49" s="60"/>
      <c r="AN49" s="60"/>
      <c r="AO49" s="60"/>
      <c r="AP49" s="60"/>
      <c r="AQ49" s="60"/>
      <c r="AR49" s="13"/>
      <c r="AS49" s="13"/>
      <c r="AT49" s="13"/>
      <c r="AU49" s="13"/>
      <c r="AV49" s="13"/>
      <c r="AW49" s="13"/>
      <c r="AX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W50" si="15">SUM(E45:E47)</f>
        <v>206</v>
      </c>
      <c r="F50" s="19">
        <f t="shared" si="15"/>
        <v>228</v>
      </c>
      <c r="G50" s="19">
        <f t="shared" si="15"/>
        <v>178</v>
      </c>
      <c r="H50" s="19">
        <f t="shared" si="15"/>
        <v>206</v>
      </c>
      <c r="I50" s="19">
        <f t="shared" si="15"/>
        <v>212</v>
      </c>
      <c r="J50" s="19">
        <f t="shared" si="15"/>
        <v>134</v>
      </c>
      <c r="K50" s="19">
        <f t="shared" si="15"/>
        <v>174</v>
      </c>
      <c r="L50" s="19">
        <f t="shared" si="15"/>
        <v>221</v>
      </c>
      <c r="M50" s="19">
        <f t="shared" si="15"/>
        <v>200</v>
      </c>
      <c r="N50" s="19">
        <f t="shared" si="15"/>
        <v>162</v>
      </c>
      <c r="O50" s="19">
        <f t="shared" si="15"/>
        <v>172</v>
      </c>
      <c r="P50" s="19">
        <f t="shared" si="15"/>
        <v>147</v>
      </c>
      <c r="Q50" s="19">
        <f t="shared" si="15"/>
        <v>225</v>
      </c>
      <c r="R50" s="19">
        <f t="shared" si="15"/>
        <v>210</v>
      </c>
      <c r="S50" s="19">
        <f t="shared" si="15"/>
        <v>191</v>
      </c>
      <c r="T50" s="19">
        <f t="shared" si="15"/>
        <v>152</v>
      </c>
      <c r="U50" s="19">
        <f t="shared" si="15"/>
        <v>226</v>
      </c>
      <c r="V50" s="19">
        <f t="shared" si="15"/>
        <v>212</v>
      </c>
      <c r="W50" s="19">
        <f t="shared" si="15"/>
        <v>209</v>
      </c>
      <c r="X50" s="19">
        <f t="shared" si="15"/>
        <v>214</v>
      </c>
      <c r="Y50" s="19">
        <f t="shared" si="15"/>
        <v>209</v>
      </c>
      <c r="Z50" s="19">
        <f t="shared" si="15"/>
        <v>192</v>
      </c>
      <c r="AA50" s="19">
        <f t="shared" si="15"/>
        <v>205</v>
      </c>
      <c r="AB50" s="19">
        <f t="shared" si="15"/>
        <v>204</v>
      </c>
      <c r="AC50" s="19">
        <f t="shared" si="15"/>
        <v>182</v>
      </c>
      <c r="AD50" s="19">
        <f t="shared" si="15"/>
        <v>183</v>
      </c>
      <c r="AE50" s="19">
        <f t="shared" si="15"/>
        <v>206</v>
      </c>
      <c r="AF50" s="19">
        <f t="shared" si="15"/>
        <v>187</v>
      </c>
      <c r="AG50" s="19">
        <f t="shared" si="15"/>
        <v>215</v>
      </c>
      <c r="AH50" s="19">
        <f t="shared" si="15"/>
        <v>215</v>
      </c>
      <c r="AI50" s="19">
        <f t="shared" si="15"/>
        <v>158</v>
      </c>
      <c r="AJ50" s="19">
        <f t="shared" si="15"/>
        <v>228</v>
      </c>
      <c r="AK50" s="19">
        <f t="shared" si="15"/>
        <v>166</v>
      </c>
      <c r="AL50" s="19">
        <f t="shared" si="15"/>
        <v>193</v>
      </c>
      <c r="AM50" s="19">
        <f t="shared" si="15"/>
        <v>213</v>
      </c>
      <c r="AN50" s="19">
        <f t="shared" si="15"/>
        <v>192</v>
      </c>
      <c r="AO50" s="19">
        <f t="shared" si="15"/>
        <v>151</v>
      </c>
      <c r="AP50" s="19">
        <f t="shared" si="15"/>
        <v>229</v>
      </c>
      <c r="AQ50" s="19">
        <f t="shared" si="15"/>
        <v>227</v>
      </c>
      <c r="AR50" s="19">
        <f t="shared" si="15"/>
        <v>200</v>
      </c>
      <c r="AS50" s="19">
        <f t="shared" si="15"/>
        <v>242</v>
      </c>
      <c r="AT50" s="19">
        <f t="shared" si="15"/>
        <v>219</v>
      </c>
      <c r="AU50" s="19">
        <f t="shared" si="15"/>
        <v>197</v>
      </c>
      <c r="AV50" s="19">
        <f t="shared" si="15"/>
        <v>209</v>
      </c>
      <c r="AW50" s="19">
        <f t="shared" si="15"/>
        <v>213</v>
      </c>
      <c r="AX50" s="13">
        <f t="shared" ref="AX50:AX52" si="16">SUM(E50:AW50)</f>
        <v>8914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2.0</v>
      </c>
      <c r="G51" s="19">
        <v>2.0</v>
      </c>
      <c r="H51" s="19">
        <v>13.0</v>
      </c>
      <c r="I51" s="19">
        <v>4.0</v>
      </c>
      <c r="J51" s="19">
        <v>3.0</v>
      </c>
      <c r="K51" s="19">
        <v>4.0</v>
      </c>
      <c r="L51" s="19">
        <v>1.0</v>
      </c>
      <c r="M51" s="19">
        <v>3.0</v>
      </c>
      <c r="N51" s="19">
        <v>2.0</v>
      </c>
      <c r="O51" s="19">
        <v>4.0</v>
      </c>
      <c r="P51" s="19">
        <v>3.0</v>
      </c>
      <c r="Q51" s="19">
        <v>3.0</v>
      </c>
      <c r="R51" s="19">
        <v>8.0</v>
      </c>
      <c r="S51" s="19">
        <v>5.0</v>
      </c>
      <c r="T51" s="19">
        <v>6.0</v>
      </c>
      <c r="U51" s="19">
        <v>5.0</v>
      </c>
      <c r="V51" s="19">
        <v>3.0</v>
      </c>
      <c r="W51" s="19">
        <v>5.0</v>
      </c>
      <c r="X51" s="19">
        <v>7.0</v>
      </c>
      <c r="Y51" s="19">
        <v>4.0</v>
      </c>
      <c r="Z51" s="19">
        <v>3.0</v>
      </c>
      <c r="AA51" s="19">
        <v>5.0</v>
      </c>
      <c r="AB51" s="19">
        <v>2.0</v>
      </c>
      <c r="AC51" s="19">
        <v>3.0</v>
      </c>
      <c r="AD51" s="19">
        <v>3.0</v>
      </c>
      <c r="AE51" s="19">
        <v>7.0</v>
      </c>
      <c r="AF51" s="19">
        <v>4.0</v>
      </c>
      <c r="AG51" s="19">
        <v>8.0</v>
      </c>
      <c r="AH51" s="19">
        <v>6.0</v>
      </c>
      <c r="AI51" s="19">
        <v>6.0</v>
      </c>
      <c r="AJ51" s="19">
        <v>0.0</v>
      </c>
      <c r="AK51" s="19">
        <v>7.0</v>
      </c>
      <c r="AL51" s="19">
        <v>4.0</v>
      </c>
      <c r="AM51" s="19">
        <v>3.0</v>
      </c>
      <c r="AN51" s="19">
        <v>5.0</v>
      </c>
      <c r="AO51" s="19">
        <v>1.0</v>
      </c>
      <c r="AP51" s="19">
        <v>4.0</v>
      </c>
      <c r="AQ51" s="19">
        <v>3.0</v>
      </c>
      <c r="AR51" s="19">
        <v>5.0</v>
      </c>
      <c r="AS51" s="19">
        <v>2.0</v>
      </c>
      <c r="AT51" s="19">
        <v>1.0</v>
      </c>
      <c r="AU51" s="19">
        <v>2.0</v>
      </c>
      <c r="AV51" s="19">
        <v>2.0</v>
      </c>
      <c r="AW51" s="19">
        <v>5.0</v>
      </c>
      <c r="AX51" s="13">
        <f t="shared" si="16"/>
        <v>181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W52" si="17">SUM(E50:E51)</f>
        <v>209</v>
      </c>
      <c r="F52" s="13">
        <f t="shared" si="17"/>
        <v>230</v>
      </c>
      <c r="G52" s="13">
        <f t="shared" si="17"/>
        <v>180</v>
      </c>
      <c r="H52" s="13">
        <f t="shared" si="17"/>
        <v>219</v>
      </c>
      <c r="I52" s="13">
        <f t="shared" si="17"/>
        <v>216</v>
      </c>
      <c r="J52" s="13">
        <f t="shared" si="17"/>
        <v>137</v>
      </c>
      <c r="K52" s="13">
        <f t="shared" si="17"/>
        <v>178</v>
      </c>
      <c r="L52" s="13">
        <f t="shared" si="17"/>
        <v>222</v>
      </c>
      <c r="M52" s="13">
        <f t="shared" si="17"/>
        <v>203</v>
      </c>
      <c r="N52" s="13">
        <f t="shared" si="17"/>
        <v>164</v>
      </c>
      <c r="O52" s="13">
        <f t="shared" si="17"/>
        <v>176</v>
      </c>
      <c r="P52" s="13">
        <f t="shared" si="17"/>
        <v>150</v>
      </c>
      <c r="Q52" s="13">
        <f t="shared" si="17"/>
        <v>228</v>
      </c>
      <c r="R52" s="13">
        <f t="shared" si="17"/>
        <v>218</v>
      </c>
      <c r="S52" s="13">
        <f t="shared" si="17"/>
        <v>196</v>
      </c>
      <c r="T52" s="13">
        <f t="shared" si="17"/>
        <v>158</v>
      </c>
      <c r="U52" s="13">
        <f t="shared" si="17"/>
        <v>231</v>
      </c>
      <c r="V52" s="13">
        <f t="shared" si="17"/>
        <v>215</v>
      </c>
      <c r="W52" s="13">
        <f t="shared" si="17"/>
        <v>214</v>
      </c>
      <c r="X52" s="13">
        <f t="shared" si="17"/>
        <v>221</v>
      </c>
      <c r="Y52" s="13">
        <f t="shared" si="17"/>
        <v>213</v>
      </c>
      <c r="Z52" s="13">
        <f t="shared" si="17"/>
        <v>195</v>
      </c>
      <c r="AA52" s="13">
        <f t="shared" si="17"/>
        <v>210</v>
      </c>
      <c r="AB52" s="13">
        <f t="shared" si="17"/>
        <v>206</v>
      </c>
      <c r="AC52" s="13">
        <f t="shared" si="17"/>
        <v>185</v>
      </c>
      <c r="AD52" s="13">
        <f t="shared" si="17"/>
        <v>186</v>
      </c>
      <c r="AE52" s="13">
        <f t="shared" si="17"/>
        <v>213</v>
      </c>
      <c r="AF52" s="13">
        <f t="shared" si="17"/>
        <v>191</v>
      </c>
      <c r="AG52" s="13">
        <f t="shared" si="17"/>
        <v>223</v>
      </c>
      <c r="AH52" s="13">
        <f t="shared" si="17"/>
        <v>221</v>
      </c>
      <c r="AI52" s="13">
        <f t="shared" si="17"/>
        <v>164</v>
      </c>
      <c r="AJ52" s="13">
        <f t="shared" si="17"/>
        <v>228</v>
      </c>
      <c r="AK52" s="13">
        <f t="shared" si="17"/>
        <v>173</v>
      </c>
      <c r="AL52" s="13">
        <f t="shared" si="17"/>
        <v>197</v>
      </c>
      <c r="AM52" s="13">
        <f t="shared" si="17"/>
        <v>216</v>
      </c>
      <c r="AN52" s="13">
        <f t="shared" si="17"/>
        <v>197</v>
      </c>
      <c r="AO52" s="13">
        <f t="shared" si="17"/>
        <v>152</v>
      </c>
      <c r="AP52" s="13">
        <f t="shared" si="17"/>
        <v>233</v>
      </c>
      <c r="AQ52" s="13">
        <f t="shared" si="17"/>
        <v>230</v>
      </c>
      <c r="AR52" s="13">
        <f t="shared" si="17"/>
        <v>205</v>
      </c>
      <c r="AS52" s="13">
        <f t="shared" si="17"/>
        <v>244</v>
      </c>
      <c r="AT52" s="13">
        <f t="shared" si="17"/>
        <v>220</v>
      </c>
      <c r="AU52" s="13">
        <f t="shared" si="17"/>
        <v>199</v>
      </c>
      <c r="AV52" s="13">
        <f t="shared" si="17"/>
        <v>211</v>
      </c>
      <c r="AW52" s="13">
        <f t="shared" si="17"/>
        <v>218</v>
      </c>
      <c r="AX52" s="13">
        <f t="shared" si="16"/>
        <v>9095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U37"/>
    <mergeCell ref="B38:D38"/>
    <mergeCell ref="B39:C41"/>
    <mergeCell ref="A42:D42"/>
    <mergeCell ref="E42:AU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34:U34 W34:AP34 AR34:AW34">
    <cfRule type="expression" dxfId="0" priority="1">
      <formula>E34&lt;&gt;#REF!</formula>
    </cfRule>
  </conditionalFormatting>
  <conditionalFormatting sqref="E14:AW15 E45:AW47">
    <cfRule type="containsBlanks" dxfId="1" priority="2">
      <formula>LEN(TRIM(E14))=0</formula>
    </cfRule>
  </conditionalFormatting>
  <conditionalFormatting sqref="E19:AW20">
    <cfRule type="containsBlanks" dxfId="1" priority="3">
      <formula>LEN(TRIM(E19))=0</formula>
    </cfRule>
  </conditionalFormatting>
  <conditionalFormatting sqref="E22:AW23 E25:AW26 E33:AW33 E35:AW35 E39:AW40">
    <cfRule type="containsBlanks" dxfId="1" priority="4">
      <formula>LEN(TRIM(E22))=0</formula>
    </cfRule>
  </conditionalFormatting>
  <conditionalFormatting sqref="E30:AW30">
    <cfRule type="expression" dxfId="0" priority="5">
      <formula>E30&lt;&gt;E46</formula>
    </cfRule>
  </conditionalFormatting>
  <conditionalFormatting sqref="E30:AW30">
    <cfRule type="expression" dxfId="0" priority="6">
      <formula>E30&lt;&gt;E34</formula>
    </cfRule>
  </conditionalFormatting>
  <conditionalFormatting sqref="E34:AW34">
    <cfRule type="expression" dxfId="2" priority="7">
      <formula>E30&lt;&gt;E34</formula>
    </cfRule>
  </conditionalFormatting>
  <conditionalFormatting sqref="E34:AW34">
    <cfRule type="expression" dxfId="3" priority="8">
      <formula>E30=E34</formula>
    </cfRule>
  </conditionalFormatting>
  <conditionalFormatting sqref="E34:AW34">
    <cfRule type="expression" dxfId="0" priority="9">
      <formula>E34&lt;&gt;E30</formula>
    </cfRule>
  </conditionalFormatting>
  <conditionalFormatting sqref="E50:AW51">
    <cfRule type="containsBlanks" dxfId="1" priority="10">
      <formula>LEN(TRIM(E50))=0</formula>
    </cfRule>
  </conditionalFormatting>
  <conditionalFormatting sqref="V34">
    <cfRule type="expression" dxfId="0" priority="11">
      <formula>V34&lt;&gt;V46</formula>
    </cfRule>
  </conditionalFormatting>
  <conditionalFormatting sqref="AQ34">
    <cfRule type="expression" dxfId="0" priority="12">
      <formula>AQ34&lt;&gt;AQ46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8.71"/>
    <col customWidth="1" min="6" max="6" width="9.14"/>
    <col customWidth="1" min="7" max="37" width="8.71"/>
    <col customWidth="1" min="38" max="3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118.0</v>
      </c>
      <c r="G14" s="19">
        <v>119.0</v>
      </c>
      <c r="H14" s="19">
        <v>126.0</v>
      </c>
      <c r="I14" s="19">
        <v>112.0</v>
      </c>
      <c r="J14" s="19">
        <v>139.0</v>
      </c>
      <c r="K14" s="19">
        <v>141.0</v>
      </c>
      <c r="L14" s="19">
        <v>143.0</v>
      </c>
      <c r="M14" s="19">
        <v>110.0</v>
      </c>
      <c r="N14" s="19">
        <v>142.0</v>
      </c>
      <c r="O14" s="19">
        <v>114.0</v>
      </c>
      <c r="P14" s="19">
        <v>115.0</v>
      </c>
      <c r="Q14" s="19">
        <v>119.0</v>
      </c>
      <c r="R14" s="19">
        <v>146.0</v>
      </c>
      <c r="S14" s="19">
        <v>131.0</v>
      </c>
      <c r="T14" s="19">
        <v>105.0</v>
      </c>
      <c r="U14" s="19">
        <v>140.0</v>
      </c>
      <c r="V14" s="19">
        <v>152.0</v>
      </c>
      <c r="W14" s="19">
        <v>136.0</v>
      </c>
      <c r="X14" s="19">
        <v>121.0</v>
      </c>
      <c r="Y14" s="19">
        <v>108.0</v>
      </c>
      <c r="Z14" s="19">
        <v>112.0</v>
      </c>
      <c r="AA14" s="19">
        <v>148.0</v>
      </c>
      <c r="AB14" s="19">
        <v>143.0</v>
      </c>
      <c r="AC14" s="19">
        <v>149.0</v>
      </c>
      <c r="AD14" s="19">
        <v>144.0</v>
      </c>
      <c r="AE14" s="19">
        <v>146.0</v>
      </c>
      <c r="AF14" s="19">
        <v>150.0</v>
      </c>
      <c r="AG14" s="19">
        <v>154.0</v>
      </c>
      <c r="AH14" s="19">
        <v>146.0</v>
      </c>
      <c r="AI14" s="19">
        <v>158.0</v>
      </c>
      <c r="AJ14" s="19">
        <v>144.0</v>
      </c>
      <c r="AK14" s="19">
        <v>149.0</v>
      </c>
      <c r="AL14" s="13">
        <f t="shared" ref="AL14:AL16" si="1">SUM(E14:AK14)</f>
        <v>4429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113.0</v>
      </c>
      <c r="G15" s="19">
        <v>123.0</v>
      </c>
      <c r="H15" s="19">
        <v>137.0</v>
      </c>
      <c r="I15" s="19">
        <v>113.0</v>
      </c>
      <c r="J15" s="19">
        <v>131.0</v>
      </c>
      <c r="K15" s="19">
        <v>142.0</v>
      </c>
      <c r="L15" s="19">
        <v>134.0</v>
      </c>
      <c r="M15" s="19">
        <v>141.0</v>
      </c>
      <c r="N15" s="19">
        <v>150.0</v>
      </c>
      <c r="O15" s="19">
        <v>121.0</v>
      </c>
      <c r="P15" s="19">
        <v>131.0</v>
      </c>
      <c r="Q15" s="19">
        <v>122.0</v>
      </c>
      <c r="R15" s="19">
        <v>144.0</v>
      </c>
      <c r="S15" s="19">
        <v>117.0</v>
      </c>
      <c r="T15" s="19">
        <v>95.0</v>
      </c>
      <c r="U15" s="19">
        <v>126.0</v>
      </c>
      <c r="V15" s="19">
        <v>138.0</v>
      </c>
      <c r="W15" s="19">
        <v>149.0</v>
      </c>
      <c r="X15" s="19">
        <v>115.0</v>
      </c>
      <c r="Y15" s="19">
        <v>94.0</v>
      </c>
      <c r="Z15" s="19">
        <v>117.0</v>
      </c>
      <c r="AA15" s="19">
        <v>135.0</v>
      </c>
      <c r="AB15" s="19">
        <v>152.0</v>
      </c>
      <c r="AC15" s="19">
        <v>150.0</v>
      </c>
      <c r="AD15" s="19">
        <v>146.0</v>
      </c>
      <c r="AE15" s="19">
        <v>151.0</v>
      </c>
      <c r="AF15" s="19">
        <v>145.0</v>
      </c>
      <c r="AG15" s="19">
        <v>143.0</v>
      </c>
      <c r="AH15" s="19">
        <v>130.0</v>
      </c>
      <c r="AI15" s="19">
        <v>137.0</v>
      </c>
      <c r="AJ15" s="19">
        <v>147.0</v>
      </c>
      <c r="AK15" s="19">
        <v>146.0</v>
      </c>
      <c r="AL15" s="13">
        <f t="shared" si="1"/>
        <v>4371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285</v>
      </c>
      <c r="F16" s="13">
        <f t="shared" si="2"/>
        <v>231</v>
      </c>
      <c r="G16" s="13">
        <f t="shared" si="2"/>
        <v>242</v>
      </c>
      <c r="H16" s="13">
        <f t="shared" si="2"/>
        <v>263</v>
      </c>
      <c r="I16" s="13">
        <f t="shared" si="2"/>
        <v>225</v>
      </c>
      <c r="J16" s="13">
        <f t="shared" si="2"/>
        <v>270</v>
      </c>
      <c r="K16" s="13">
        <f t="shared" si="2"/>
        <v>283</v>
      </c>
      <c r="L16" s="13">
        <f t="shared" si="2"/>
        <v>277</v>
      </c>
      <c r="M16" s="13">
        <f t="shared" si="2"/>
        <v>251</v>
      </c>
      <c r="N16" s="13">
        <f t="shared" si="2"/>
        <v>292</v>
      </c>
      <c r="O16" s="13">
        <f t="shared" si="2"/>
        <v>235</v>
      </c>
      <c r="P16" s="13">
        <f t="shared" si="2"/>
        <v>246</v>
      </c>
      <c r="Q16" s="13">
        <f t="shared" si="2"/>
        <v>241</v>
      </c>
      <c r="R16" s="13">
        <f t="shared" si="2"/>
        <v>290</v>
      </c>
      <c r="S16" s="13">
        <f t="shared" si="2"/>
        <v>248</v>
      </c>
      <c r="T16" s="13">
        <f t="shared" si="2"/>
        <v>200</v>
      </c>
      <c r="U16" s="13">
        <f t="shared" si="2"/>
        <v>266</v>
      </c>
      <c r="V16" s="13">
        <f t="shared" si="2"/>
        <v>290</v>
      </c>
      <c r="W16" s="13">
        <f t="shared" si="2"/>
        <v>285</v>
      </c>
      <c r="X16" s="13">
        <f t="shared" si="2"/>
        <v>236</v>
      </c>
      <c r="Y16" s="13">
        <f t="shared" si="2"/>
        <v>202</v>
      </c>
      <c r="Z16" s="13">
        <f t="shared" si="2"/>
        <v>229</v>
      </c>
      <c r="AA16" s="13">
        <f t="shared" si="2"/>
        <v>283</v>
      </c>
      <c r="AB16" s="13">
        <f t="shared" si="2"/>
        <v>295</v>
      </c>
      <c r="AC16" s="13">
        <f t="shared" si="2"/>
        <v>299</v>
      </c>
      <c r="AD16" s="13">
        <f t="shared" si="2"/>
        <v>290</v>
      </c>
      <c r="AE16" s="13">
        <f t="shared" si="2"/>
        <v>297</v>
      </c>
      <c r="AF16" s="13">
        <f t="shared" si="2"/>
        <v>295</v>
      </c>
      <c r="AG16" s="13">
        <f t="shared" si="2"/>
        <v>297</v>
      </c>
      <c r="AH16" s="13">
        <f t="shared" si="2"/>
        <v>276</v>
      </c>
      <c r="AI16" s="13">
        <f t="shared" si="2"/>
        <v>295</v>
      </c>
      <c r="AJ16" s="13">
        <f t="shared" si="2"/>
        <v>291</v>
      </c>
      <c r="AK16" s="13">
        <f t="shared" si="2"/>
        <v>295</v>
      </c>
      <c r="AL16" s="13">
        <f t="shared" si="1"/>
        <v>8800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19"/>
      <c r="U17" s="19"/>
      <c r="V17" s="19"/>
      <c r="W17" s="19"/>
      <c r="X17" s="19"/>
      <c r="Y17" s="19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19"/>
      <c r="U18" s="19"/>
      <c r="V18" s="19"/>
      <c r="W18" s="19"/>
      <c r="X18" s="19"/>
      <c r="Y18" s="19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112.0</v>
      </c>
      <c r="F19" s="19">
        <v>80.0</v>
      </c>
      <c r="G19" s="19">
        <v>88.0</v>
      </c>
      <c r="H19" s="19">
        <v>87.0</v>
      </c>
      <c r="I19" s="19">
        <v>80.0</v>
      </c>
      <c r="J19" s="19">
        <v>96.0</v>
      </c>
      <c r="K19" s="19">
        <v>104.0</v>
      </c>
      <c r="L19" s="19">
        <v>105.0</v>
      </c>
      <c r="M19" s="19">
        <v>81.0</v>
      </c>
      <c r="N19" s="19">
        <v>98.0</v>
      </c>
      <c r="O19" s="19">
        <v>77.0</v>
      </c>
      <c r="P19" s="19">
        <v>80.0</v>
      </c>
      <c r="Q19" s="19">
        <v>83.0</v>
      </c>
      <c r="R19" s="19">
        <v>86.0</v>
      </c>
      <c r="S19" s="19">
        <v>103.0</v>
      </c>
      <c r="T19" s="19">
        <v>71.0</v>
      </c>
      <c r="U19" s="19">
        <v>93.0</v>
      </c>
      <c r="V19" s="19">
        <v>100.0</v>
      </c>
      <c r="W19" s="19">
        <v>97.0</v>
      </c>
      <c r="X19" s="19">
        <v>68.0</v>
      </c>
      <c r="Y19" s="19">
        <v>67.0</v>
      </c>
      <c r="Z19" s="19">
        <v>79.0</v>
      </c>
      <c r="AA19" s="19">
        <v>105.0</v>
      </c>
      <c r="AB19" s="19">
        <v>90.0</v>
      </c>
      <c r="AC19" s="19">
        <v>99.0</v>
      </c>
      <c r="AD19" s="19">
        <v>146.0</v>
      </c>
      <c r="AE19" s="19">
        <v>112.0</v>
      </c>
      <c r="AF19" s="19">
        <v>90.0</v>
      </c>
      <c r="AG19" s="19">
        <v>118.0</v>
      </c>
      <c r="AH19" s="19">
        <v>100.0</v>
      </c>
      <c r="AI19" s="19">
        <v>106.0</v>
      </c>
      <c r="AJ19" s="19">
        <v>107.0</v>
      </c>
      <c r="AK19" s="19">
        <v>117.0</v>
      </c>
      <c r="AL19" s="13">
        <f t="shared" ref="AL19:AL30" si="3">SUM(E19:AK19)</f>
        <v>3125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87.0</v>
      </c>
      <c r="G20" s="19">
        <v>90.0</v>
      </c>
      <c r="H20" s="19">
        <v>97.0</v>
      </c>
      <c r="I20" s="19">
        <v>81.0</v>
      </c>
      <c r="J20" s="19">
        <v>92.0</v>
      </c>
      <c r="K20" s="19">
        <v>110.0</v>
      </c>
      <c r="L20" s="19">
        <v>98.0</v>
      </c>
      <c r="M20" s="19">
        <v>104.0</v>
      </c>
      <c r="N20" s="19">
        <v>110.0</v>
      </c>
      <c r="O20" s="19">
        <v>99.0</v>
      </c>
      <c r="P20" s="19">
        <v>91.0</v>
      </c>
      <c r="Q20" s="19">
        <v>92.0</v>
      </c>
      <c r="R20" s="19">
        <v>96.0</v>
      </c>
      <c r="S20" s="19">
        <v>98.0</v>
      </c>
      <c r="T20" s="19">
        <v>76.0</v>
      </c>
      <c r="U20" s="19">
        <v>86.0</v>
      </c>
      <c r="V20" s="19">
        <v>94.0</v>
      </c>
      <c r="W20" s="19">
        <v>110.0</v>
      </c>
      <c r="X20" s="19">
        <v>77.0</v>
      </c>
      <c r="Y20" s="19">
        <v>75.0</v>
      </c>
      <c r="Z20" s="19">
        <v>86.0</v>
      </c>
      <c r="AA20" s="19">
        <v>108.0</v>
      </c>
      <c r="AB20" s="19">
        <v>106.0</v>
      </c>
      <c r="AC20" s="19">
        <v>119.0</v>
      </c>
      <c r="AD20" s="19">
        <v>66.0</v>
      </c>
      <c r="AE20" s="19">
        <v>128.0</v>
      </c>
      <c r="AF20" s="19">
        <v>95.0</v>
      </c>
      <c r="AG20" s="19">
        <v>119.0</v>
      </c>
      <c r="AH20" s="19">
        <v>95.0</v>
      </c>
      <c r="AI20" s="19">
        <v>104.0</v>
      </c>
      <c r="AJ20" s="19">
        <v>123.0</v>
      </c>
      <c r="AK20" s="19">
        <v>122.0</v>
      </c>
      <c r="AL20" s="13">
        <f t="shared" si="3"/>
        <v>3232</v>
      </c>
    </row>
    <row r="21" ht="12.75" customHeight="1">
      <c r="A21" s="35"/>
      <c r="B21" s="28"/>
      <c r="C21" s="36"/>
      <c r="D21" s="13" t="s">
        <v>14</v>
      </c>
      <c r="E21" s="13">
        <f t="shared" ref="E21:AK21" si="4">SUM(E19:E20)</f>
        <v>210</v>
      </c>
      <c r="F21" s="13">
        <f t="shared" si="4"/>
        <v>167</v>
      </c>
      <c r="G21" s="13">
        <f t="shared" si="4"/>
        <v>178</v>
      </c>
      <c r="H21" s="13">
        <f t="shared" si="4"/>
        <v>184</v>
      </c>
      <c r="I21" s="13">
        <f t="shared" si="4"/>
        <v>161</v>
      </c>
      <c r="J21" s="13">
        <f t="shared" si="4"/>
        <v>188</v>
      </c>
      <c r="K21" s="13">
        <f t="shared" si="4"/>
        <v>214</v>
      </c>
      <c r="L21" s="13">
        <f t="shared" si="4"/>
        <v>203</v>
      </c>
      <c r="M21" s="13">
        <f t="shared" si="4"/>
        <v>185</v>
      </c>
      <c r="N21" s="13">
        <f t="shared" si="4"/>
        <v>208</v>
      </c>
      <c r="O21" s="13">
        <f t="shared" si="4"/>
        <v>176</v>
      </c>
      <c r="P21" s="13">
        <f t="shared" si="4"/>
        <v>171</v>
      </c>
      <c r="Q21" s="13">
        <f t="shared" si="4"/>
        <v>175</v>
      </c>
      <c r="R21" s="13">
        <f t="shared" si="4"/>
        <v>182</v>
      </c>
      <c r="S21" s="13">
        <f t="shared" si="4"/>
        <v>201</v>
      </c>
      <c r="T21" s="13">
        <f t="shared" si="4"/>
        <v>147</v>
      </c>
      <c r="U21" s="13">
        <f t="shared" si="4"/>
        <v>179</v>
      </c>
      <c r="V21" s="13">
        <f t="shared" si="4"/>
        <v>194</v>
      </c>
      <c r="W21" s="13">
        <f t="shared" si="4"/>
        <v>207</v>
      </c>
      <c r="X21" s="13">
        <f t="shared" si="4"/>
        <v>145</v>
      </c>
      <c r="Y21" s="13">
        <f t="shared" si="4"/>
        <v>142</v>
      </c>
      <c r="Z21" s="13">
        <f t="shared" si="4"/>
        <v>165</v>
      </c>
      <c r="AA21" s="13">
        <f t="shared" si="4"/>
        <v>213</v>
      </c>
      <c r="AB21" s="13">
        <f t="shared" si="4"/>
        <v>196</v>
      </c>
      <c r="AC21" s="13">
        <f t="shared" si="4"/>
        <v>218</v>
      </c>
      <c r="AD21" s="13">
        <f t="shared" si="4"/>
        <v>212</v>
      </c>
      <c r="AE21" s="13">
        <f t="shared" si="4"/>
        <v>240</v>
      </c>
      <c r="AF21" s="13">
        <f t="shared" si="4"/>
        <v>185</v>
      </c>
      <c r="AG21" s="13">
        <f t="shared" si="4"/>
        <v>237</v>
      </c>
      <c r="AH21" s="13">
        <f t="shared" si="4"/>
        <v>195</v>
      </c>
      <c r="AI21" s="13">
        <f t="shared" si="4"/>
        <v>210</v>
      </c>
      <c r="AJ21" s="13">
        <f t="shared" si="4"/>
        <v>230</v>
      </c>
      <c r="AK21" s="13">
        <f t="shared" si="4"/>
        <v>239</v>
      </c>
      <c r="AL21" s="13">
        <f t="shared" si="3"/>
        <v>6357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1.0</v>
      </c>
      <c r="AJ22" s="19">
        <v>0.0</v>
      </c>
      <c r="AK22" s="19">
        <v>0.0</v>
      </c>
      <c r="AL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2.0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1.0</v>
      </c>
      <c r="AH23" s="19">
        <v>1.0</v>
      </c>
      <c r="AI23" s="19">
        <v>0.0</v>
      </c>
      <c r="AJ23" s="19">
        <v>0.0</v>
      </c>
      <c r="AK23" s="19">
        <v>1.0</v>
      </c>
      <c r="AL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K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0</v>
      </c>
      <c r="AK24" s="13">
        <f t="shared" si="5"/>
        <v>1</v>
      </c>
      <c r="AL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1.0</v>
      </c>
      <c r="J25" s="19">
        <v>2.0</v>
      </c>
      <c r="K25" s="19">
        <v>1.0</v>
      </c>
      <c r="L25" s="19">
        <v>2.0</v>
      </c>
      <c r="M25" s="19">
        <v>1.0</v>
      </c>
      <c r="N25" s="19">
        <v>1.0</v>
      </c>
      <c r="O25" s="19">
        <v>0.0</v>
      </c>
      <c r="P25" s="19">
        <v>1.0</v>
      </c>
      <c r="Q25" s="19">
        <v>1.0</v>
      </c>
      <c r="R25" s="19">
        <v>0.0</v>
      </c>
      <c r="S25" s="19">
        <v>1.0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2.0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  <c r="AH25" s="19">
        <v>0.0</v>
      </c>
      <c r="AI25" s="19">
        <v>0.0</v>
      </c>
      <c r="AJ25" s="19">
        <v>2.0</v>
      </c>
      <c r="AK25" s="19">
        <v>2.0</v>
      </c>
      <c r="AL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2.0</v>
      </c>
      <c r="J26" s="19">
        <v>2.0</v>
      </c>
      <c r="K26" s="19">
        <v>1.0</v>
      </c>
      <c r="L26" s="19">
        <v>2.0</v>
      </c>
      <c r="M26" s="19">
        <v>3.0</v>
      </c>
      <c r="N26" s="19">
        <v>4.0</v>
      </c>
      <c r="O26" s="19">
        <v>0.0</v>
      </c>
      <c r="P26" s="19">
        <v>2.0</v>
      </c>
      <c r="Q26" s="19">
        <v>1.0</v>
      </c>
      <c r="R26" s="19">
        <v>0.0</v>
      </c>
      <c r="S26" s="19">
        <v>1.0</v>
      </c>
      <c r="T26" s="19">
        <v>1.0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2.0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  <c r="AH26" s="19">
        <v>1.0</v>
      </c>
      <c r="AI26" s="19">
        <v>0.0</v>
      </c>
      <c r="AJ26" s="19">
        <v>2.0</v>
      </c>
      <c r="AK26" s="19">
        <v>3.0</v>
      </c>
      <c r="AL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AK27" si="6">SUM(E25:E26)</f>
        <v>0</v>
      </c>
      <c r="F27" s="13">
        <f t="shared" si="6"/>
        <v>0</v>
      </c>
      <c r="G27" s="13">
        <f t="shared" si="6"/>
        <v>2</v>
      </c>
      <c r="H27" s="13">
        <f t="shared" si="6"/>
        <v>1</v>
      </c>
      <c r="I27" s="13">
        <f t="shared" si="6"/>
        <v>3</v>
      </c>
      <c r="J27" s="13">
        <f t="shared" si="6"/>
        <v>4</v>
      </c>
      <c r="K27" s="13">
        <f t="shared" si="6"/>
        <v>2</v>
      </c>
      <c r="L27" s="13">
        <f t="shared" si="6"/>
        <v>4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3</v>
      </c>
      <c r="Q27" s="13">
        <f t="shared" si="6"/>
        <v>2</v>
      </c>
      <c r="R27" s="13">
        <f t="shared" si="6"/>
        <v>0</v>
      </c>
      <c r="S27" s="13">
        <f t="shared" si="6"/>
        <v>2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1</v>
      </c>
      <c r="AI27" s="13">
        <f t="shared" si="6"/>
        <v>0</v>
      </c>
      <c r="AJ27" s="13">
        <f t="shared" si="6"/>
        <v>4</v>
      </c>
      <c r="AK27" s="13">
        <f t="shared" si="6"/>
        <v>5</v>
      </c>
      <c r="AL27" s="13">
        <f t="shared" si="3"/>
        <v>47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K28" si="7">SUM(E19,E22,E25)</f>
        <v>112</v>
      </c>
      <c r="F28" s="13">
        <f t="shared" si="7"/>
        <v>80</v>
      </c>
      <c r="G28" s="13">
        <f t="shared" si="7"/>
        <v>89</v>
      </c>
      <c r="H28" s="13">
        <f t="shared" si="7"/>
        <v>88</v>
      </c>
      <c r="I28" s="13">
        <f t="shared" si="7"/>
        <v>82</v>
      </c>
      <c r="J28" s="13">
        <f t="shared" si="7"/>
        <v>99</v>
      </c>
      <c r="K28" s="13">
        <f t="shared" si="7"/>
        <v>106</v>
      </c>
      <c r="L28" s="13">
        <f t="shared" si="7"/>
        <v>107</v>
      </c>
      <c r="M28" s="13">
        <f t="shared" si="7"/>
        <v>82</v>
      </c>
      <c r="N28" s="13">
        <f t="shared" si="7"/>
        <v>99</v>
      </c>
      <c r="O28" s="13">
        <f t="shared" si="7"/>
        <v>78</v>
      </c>
      <c r="P28" s="13">
        <f t="shared" si="7"/>
        <v>81</v>
      </c>
      <c r="Q28" s="13">
        <f t="shared" si="7"/>
        <v>84</v>
      </c>
      <c r="R28" s="13">
        <f t="shared" si="7"/>
        <v>86</v>
      </c>
      <c r="S28" s="13">
        <f t="shared" si="7"/>
        <v>104</v>
      </c>
      <c r="T28" s="13">
        <f t="shared" si="7"/>
        <v>71</v>
      </c>
      <c r="U28" s="13">
        <f t="shared" si="7"/>
        <v>93</v>
      </c>
      <c r="V28" s="13">
        <f t="shared" si="7"/>
        <v>100</v>
      </c>
      <c r="W28" s="13">
        <f t="shared" si="7"/>
        <v>97</v>
      </c>
      <c r="X28" s="13">
        <f t="shared" si="7"/>
        <v>68</v>
      </c>
      <c r="Y28" s="13">
        <f t="shared" si="7"/>
        <v>67</v>
      </c>
      <c r="Z28" s="13">
        <f t="shared" si="7"/>
        <v>81</v>
      </c>
      <c r="AA28" s="13">
        <f t="shared" si="7"/>
        <v>105</v>
      </c>
      <c r="AB28" s="13">
        <f t="shared" si="7"/>
        <v>90</v>
      </c>
      <c r="AC28" s="13">
        <f t="shared" si="7"/>
        <v>100</v>
      </c>
      <c r="AD28" s="13">
        <f t="shared" si="7"/>
        <v>146</v>
      </c>
      <c r="AE28" s="13">
        <f t="shared" si="7"/>
        <v>112</v>
      </c>
      <c r="AF28" s="13">
        <f t="shared" si="7"/>
        <v>90</v>
      </c>
      <c r="AG28" s="13">
        <f t="shared" si="7"/>
        <v>118</v>
      </c>
      <c r="AH28" s="13">
        <f t="shared" si="7"/>
        <v>100</v>
      </c>
      <c r="AI28" s="13">
        <f t="shared" si="7"/>
        <v>107</v>
      </c>
      <c r="AJ28" s="13">
        <f t="shared" si="7"/>
        <v>109</v>
      </c>
      <c r="AK28" s="13">
        <f t="shared" si="7"/>
        <v>119</v>
      </c>
      <c r="AL28" s="13">
        <f t="shared" si="3"/>
        <v>3150</v>
      </c>
    </row>
    <row r="29" ht="12.75" customHeight="1">
      <c r="A29" s="35"/>
      <c r="B29" s="27"/>
      <c r="C29" s="34"/>
      <c r="D29" s="13" t="s">
        <v>13</v>
      </c>
      <c r="E29" s="13">
        <f t="shared" ref="E29:AK29" si="8">SUM(E20,E23,E26)</f>
        <v>98</v>
      </c>
      <c r="F29" s="13">
        <f t="shared" si="8"/>
        <v>87</v>
      </c>
      <c r="G29" s="13">
        <f t="shared" si="8"/>
        <v>93</v>
      </c>
      <c r="H29" s="13">
        <f t="shared" si="8"/>
        <v>99</v>
      </c>
      <c r="I29" s="13">
        <f t="shared" si="8"/>
        <v>83</v>
      </c>
      <c r="J29" s="13">
        <f t="shared" si="8"/>
        <v>94</v>
      </c>
      <c r="K29" s="13">
        <f t="shared" si="8"/>
        <v>111</v>
      </c>
      <c r="L29" s="13">
        <f t="shared" si="8"/>
        <v>100</v>
      </c>
      <c r="M29" s="13">
        <f t="shared" si="8"/>
        <v>107</v>
      </c>
      <c r="N29" s="13">
        <f t="shared" si="8"/>
        <v>115</v>
      </c>
      <c r="O29" s="13">
        <f t="shared" si="8"/>
        <v>99</v>
      </c>
      <c r="P29" s="13">
        <f t="shared" si="8"/>
        <v>93</v>
      </c>
      <c r="Q29" s="13">
        <f t="shared" si="8"/>
        <v>93</v>
      </c>
      <c r="R29" s="13">
        <f t="shared" si="8"/>
        <v>96</v>
      </c>
      <c r="S29" s="13">
        <f t="shared" si="8"/>
        <v>99</v>
      </c>
      <c r="T29" s="13">
        <f t="shared" si="8"/>
        <v>77</v>
      </c>
      <c r="U29" s="13">
        <f t="shared" si="8"/>
        <v>86</v>
      </c>
      <c r="V29" s="13">
        <f t="shared" si="8"/>
        <v>94</v>
      </c>
      <c r="W29" s="13">
        <f t="shared" si="8"/>
        <v>111</v>
      </c>
      <c r="X29" s="13">
        <f t="shared" si="8"/>
        <v>77</v>
      </c>
      <c r="Y29" s="13">
        <f t="shared" si="8"/>
        <v>75</v>
      </c>
      <c r="Z29" s="13">
        <f t="shared" si="8"/>
        <v>89</v>
      </c>
      <c r="AA29" s="13">
        <f t="shared" si="8"/>
        <v>108</v>
      </c>
      <c r="AB29" s="13">
        <f t="shared" si="8"/>
        <v>106</v>
      </c>
      <c r="AC29" s="13">
        <f t="shared" si="8"/>
        <v>119</v>
      </c>
      <c r="AD29" s="13">
        <f t="shared" si="8"/>
        <v>66</v>
      </c>
      <c r="AE29" s="13">
        <f t="shared" si="8"/>
        <v>128</v>
      </c>
      <c r="AF29" s="13">
        <f t="shared" si="8"/>
        <v>95</v>
      </c>
      <c r="AG29" s="13">
        <f t="shared" si="8"/>
        <v>120</v>
      </c>
      <c r="AH29" s="13">
        <f t="shared" si="8"/>
        <v>97</v>
      </c>
      <c r="AI29" s="13">
        <f t="shared" si="8"/>
        <v>104</v>
      </c>
      <c r="AJ29" s="13">
        <f t="shared" si="8"/>
        <v>125</v>
      </c>
      <c r="AK29" s="13">
        <f t="shared" si="8"/>
        <v>126</v>
      </c>
      <c r="AL29" s="13">
        <f t="shared" si="3"/>
        <v>3270</v>
      </c>
    </row>
    <row r="30" ht="12.75" customHeight="1">
      <c r="A30" s="35"/>
      <c r="B30" s="28"/>
      <c r="C30" s="36"/>
      <c r="D30" s="13" t="s">
        <v>14</v>
      </c>
      <c r="E30" s="13">
        <f t="shared" ref="E30:AK30" si="9">SUM(E28:E29)</f>
        <v>210</v>
      </c>
      <c r="F30" s="13">
        <f t="shared" si="9"/>
        <v>167</v>
      </c>
      <c r="G30" s="13">
        <f t="shared" si="9"/>
        <v>182</v>
      </c>
      <c r="H30" s="13">
        <f t="shared" si="9"/>
        <v>187</v>
      </c>
      <c r="I30" s="13">
        <f t="shared" si="9"/>
        <v>165</v>
      </c>
      <c r="J30" s="13">
        <f t="shared" si="9"/>
        <v>193</v>
      </c>
      <c r="K30" s="13">
        <f t="shared" si="9"/>
        <v>217</v>
      </c>
      <c r="L30" s="13">
        <f t="shared" si="9"/>
        <v>207</v>
      </c>
      <c r="M30" s="13">
        <f t="shared" si="9"/>
        <v>189</v>
      </c>
      <c r="N30" s="13">
        <f t="shared" si="9"/>
        <v>214</v>
      </c>
      <c r="O30" s="13">
        <f t="shared" si="9"/>
        <v>177</v>
      </c>
      <c r="P30" s="13">
        <f t="shared" si="9"/>
        <v>174</v>
      </c>
      <c r="Q30" s="13">
        <f t="shared" si="9"/>
        <v>177</v>
      </c>
      <c r="R30" s="13">
        <f t="shared" si="9"/>
        <v>182</v>
      </c>
      <c r="S30" s="13">
        <f t="shared" si="9"/>
        <v>203</v>
      </c>
      <c r="T30" s="13">
        <f t="shared" si="9"/>
        <v>148</v>
      </c>
      <c r="U30" s="13">
        <f t="shared" si="9"/>
        <v>179</v>
      </c>
      <c r="V30" s="13">
        <f t="shared" si="9"/>
        <v>194</v>
      </c>
      <c r="W30" s="13">
        <f t="shared" si="9"/>
        <v>208</v>
      </c>
      <c r="X30" s="13">
        <f t="shared" si="9"/>
        <v>145</v>
      </c>
      <c r="Y30" s="13">
        <f t="shared" si="9"/>
        <v>142</v>
      </c>
      <c r="Z30" s="13">
        <f t="shared" si="9"/>
        <v>170</v>
      </c>
      <c r="AA30" s="13">
        <f t="shared" si="9"/>
        <v>213</v>
      </c>
      <c r="AB30" s="13">
        <f t="shared" si="9"/>
        <v>196</v>
      </c>
      <c r="AC30" s="13">
        <f t="shared" si="9"/>
        <v>219</v>
      </c>
      <c r="AD30" s="13">
        <f t="shared" si="9"/>
        <v>212</v>
      </c>
      <c r="AE30" s="13">
        <f t="shared" si="9"/>
        <v>240</v>
      </c>
      <c r="AF30" s="13">
        <f t="shared" si="9"/>
        <v>185</v>
      </c>
      <c r="AG30" s="13">
        <f t="shared" si="9"/>
        <v>238</v>
      </c>
      <c r="AH30" s="13">
        <f t="shared" si="9"/>
        <v>197</v>
      </c>
      <c r="AI30" s="13">
        <f t="shared" si="9"/>
        <v>211</v>
      </c>
      <c r="AJ30" s="13">
        <f t="shared" si="9"/>
        <v>234</v>
      </c>
      <c r="AK30" s="13">
        <f t="shared" si="9"/>
        <v>245</v>
      </c>
      <c r="AL30" s="13">
        <f t="shared" si="3"/>
        <v>6420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19"/>
      <c r="U31" s="19"/>
      <c r="V31" s="19"/>
      <c r="W31" s="19"/>
      <c r="X31" s="19"/>
      <c r="Y31" s="19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59"/>
    </row>
    <row r="33" ht="12.75" customHeight="1">
      <c r="A33" s="19">
        <v>1.0</v>
      </c>
      <c r="B33" s="20" t="s">
        <v>27</v>
      </c>
      <c r="C33" s="15"/>
      <c r="D33" s="16"/>
      <c r="E33" s="19">
        <v>282.0</v>
      </c>
      <c r="F33" s="19">
        <v>228.0</v>
      </c>
      <c r="G33" s="19">
        <v>232.0</v>
      </c>
      <c r="H33" s="19">
        <v>256.0</v>
      </c>
      <c r="I33" s="19">
        <v>222.0</v>
      </c>
      <c r="J33" s="19">
        <v>265.0</v>
      </c>
      <c r="K33" s="19">
        <v>279.0</v>
      </c>
      <c r="L33" s="19">
        <v>272.0</v>
      </c>
      <c r="M33" s="19">
        <v>247.0</v>
      </c>
      <c r="N33" s="19">
        <v>285.0</v>
      </c>
      <c r="O33" s="19">
        <v>227.0</v>
      </c>
      <c r="P33" s="19">
        <v>242.0</v>
      </c>
      <c r="Q33" s="19">
        <v>235.0</v>
      </c>
      <c r="R33" s="19">
        <v>286.0</v>
      </c>
      <c r="S33" s="19">
        <v>243.0</v>
      </c>
      <c r="T33" s="19">
        <v>202.0</v>
      </c>
      <c r="U33" s="19">
        <v>262.0</v>
      </c>
      <c r="V33" s="19">
        <v>286.0</v>
      </c>
      <c r="W33" s="19">
        <v>280.0</v>
      </c>
      <c r="X33" s="19">
        <v>232.0</v>
      </c>
      <c r="Y33" s="19">
        <v>200.0</v>
      </c>
      <c r="Z33" s="19">
        <v>227.0</v>
      </c>
      <c r="AA33" s="19">
        <v>280.0</v>
      </c>
      <c r="AB33" s="19">
        <v>281.0</v>
      </c>
      <c r="AC33" s="19">
        <v>297.0</v>
      </c>
      <c r="AD33" s="19">
        <v>288.0</v>
      </c>
      <c r="AE33" s="19">
        <v>293.0</v>
      </c>
      <c r="AF33" s="19">
        <v>290.0</v>
      </c>
      <c r="AG33" s="19">
        <v>294.0</v>
      </c>
      <c r="AH33" s="19">
        <v>272.0</v>
      </c>
      <c r="AI33" s="19">
        <v>290.0</v>
      </c>
      <c r="AJ33" s="19">
        <v>287.0</v>
      </c>
      <c r="AK33" s="19">
        <v>291.0</v>
      </c>
      <c r="AL33" s="13">
        <f t="shared" ref="AL33:AL36" si="10">SUM(E33:AK33)</f>
        <v>8653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167.0</v>
      </c>
      <c r="G34" s="13">
        <v>182.0</v>
      </c>
      <c r="H34" s="13">
        <v>187.0</v>
      </c>
      <c r="I34" s="13">
        <v>165.0</v>
      </c>
      <c r="J34" s="13">
        <v>193.0</v>
      </c>
      <c r="K34" s="13">
        <v>217.0</v>
      </c>
      <c r="L34" s="13">
        <v>207.0</v>
      </c>
      <c r="M34" s="13">
        <v>189.0</v>
      </c>
      <c r="N34" s="13">
        <v>214.0</v>
      </c>
      <c r="O34" s="13">
        <v>177.0</v>
      </c>
      <c r="P34" s="13">
        <v>174.0</v>
      </c>
      <c r="Q34" s="13">
        <v>177.0</v>
      </c>
      <c r="R34" s="13">
        <v>182.0</v>
      </c>
      <c r="S34" s="13">
        <v>203.0</v>
      </c>
      <c r="T34" s="13">
        <v>148.0</v>
      </c>
      <c r="U34" s="13">
        <v>179.0</v>
      </c>
      <c r="V34" s="13">
        <v>194.0</v>
      </c>
      <c r="W34" s="13">
        <v>208.0</v>
      </c>
      <c r="X34" s="13">
        <v>145.0</v>
      </c>
      <c r="Y34" s="13">
        <v>142.0</v>
      </c>
      <c r="Z34" s="13">
        <v>170.0</v>
      </c>
      <c r="AA34" s="13">
        <v>213.0</v>
      </c>
      <c r="AB34" s="13">
        <v>196.0</v>
      </c>
      <c r="AC34" s="13">
        <v>219.0</v>
      </c>
      <c r="AD34" s="13">
        <v>212.0</v>
      </c>
      <c r="AE34" s="13">
        <v>240.0</v>
      </c>
      <c r="AF34" s="13">
        <v>185.0</v>
      </c>
      <c r="AG34" s="13">
        <v>238.0</v>
      </c>
      <c r="AH34" s="13">
        <v>197.0</v>
      </c>
      <c r="AI34" s="13">
        <v>211.0</v>
      </c>
      <c r="AJ34" s="13">
        <v>234.0</v>
      </c>
      <c r="AK34" s="13">
        <v>245.0</v>
      </c>
      <c r="AL34" s="13">
        <f t="shared" si="10"/>
        <v>6420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2.0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1.0</v>
      </c>
      <c r="AG35" s="19">
        <v>0.0</v>
      </c>
      <c r="AH35" s="19">
        <v>1.0</v>
      </c>
      <c r="AI35" s="19">
        <v>5.0</v>
      </c>
      <c r="AJ35" s="19">
        <v>0.0</v>
      </c>
      <c r="AK35" s="19">
        <v>5.0</v>
      </c>
      <c r="AL35" s="13">
        <f t="shared" si="10"/>
        <v>18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72</v>
      </c>
      <c r="F36" s="13">
        <f t="shared" si="11"/>
        <v>61</v>
      </c>
      <c r="G36" s="13">
        <f t="shared" si="11"/>
        <v>49</v>
      </c>
      <c r="H36" s="13">
        <f t="shared" si="11"/>
        <v>69</v>
      </c>
      <c r="I36" s="13">
        <f t="shared" si="11"/>
        <v>57</v>
      </c>
      <c r="J36" s="13">
        <f t="shared" si="11"/>
        <v>72</v>
      </c>
      <c r="K36" s="13">
        <f t="shared" si="11"/>
        <v>61</v>
      </c>
      <c r="L36" s="13">
        <f t="shared" si="11"/>
        <v>65</v>
      </c>
      <c r="M36" s="13">
        <f t="shared" si="11"/>
        <v>58</v>
      </c>
      <c r="N36" s="13">
        <f t="shared" si="11"/>
        <v>71</v>
      </c>
      <c r="O36" s="13">
        <f t="shared" si="11"/>
        <v>50</v>
      </c>
      <c r="P36" s="13">
        <f t="shared" si="11"/>
        <v>68</v>
      </c>
      <c r="Q36" s="13">
        <f t="shared" si="11"/>
        <v>58</v>
      </c>
      <c r="R36" s="13">
        <f t="shared" si="11"/>
        <v>102</v>
      </c>
      <c r="S36" s="13">
        <f t="shared" si="11"/>
        <v>40</v>
      </c>
      <c r="T36" s="13">
        <f t="shared" si="11"/>
        <v>54</v>
      </c>
      <c r="U36" s="13">
        <f t="shared" si="11"/>
        <v>83</v>
      </c>
      <c r="V36" s="13">
        <f t="shared" si="11"/>
        <v>90</v>
      </c>
      <c r="W36" s="13">
        <f t="shared" si="11"/>
        <v>72</v>
      </c>
      <c r="X36" s="13">
        <f t="shared" si="11"/>
        <v>87</v>
      </c>
      <c r="Y36" s="13">
        <f t="shared" si="11"/>
        <v>58</v>
      </c>
      <c r="Z36" s="13">
        <f t="shared" si="11"/>
        <v>57</v>
      </c>
      <c r="AA36" s="13">
        <f t="shared" si="11"/>
        <v>67</v>
      </c>
      <c r="AB36" s="13">
        <f t="shared" si="11"/>
        <v>85</v>
      </c>
      <c r="AC36" s="13">
        <f t="shared" si="11"/>
        <v>78</v>
      </c>
      <c r="AD36" s="13">
        <f t="shared" si="11"/>
        <v>76</v>
      </c>
      <c r="AE36" s="13">
        <f t="shared" si="11"/>
        <v>53</v>
      </c>
      <c r="AF36" s="13">
        <f t="shared" si="11"/>
        <v>104</v>
      </c>
      <c r="AG36" s="13">
        <f t="shared" si="11"/>
        <v>56</v>
      </c>
      <c r="AH36" s="13">
        <f t="shared" si="11"/>
        <v>74</v>
      </c>
      <c r="AI36" s="13">
        <f t="shared" si="11"/>
        <v>74</v>
      </c>
      <c r="AJ36" s="13">
        <f t="shared" si="11"/>
        <v>53</v>
      </c>
      <c r="AK36" s="13">
        <f t="shared" si="11"/>
        <v>41</v>
      </c>
      <c r="AL36" s="13">
        <f t="shared" si="10"/>
        <v>2215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58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3">
        <f t="shared" ref="AL39:AL41" si="12">SUM(E39:AK39)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1</v>
      </c>
      <c r="AF41" s="13">
        <f t="shared" si="13"/>
        <v>3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58"/>
      <c r="AA42" s="19"/>
      <c r="AB42" s="58"/>
      <c r="AC42" s="19"/>
      <c r="AD42" s="58"/>
      <c r="AE42" s="19"/>
      <c r="AF42" s="19"/>
      <c r="AG42" s="58"/>
      <c r="AH42" s="19"/>
      <c r="AI42" s="58"/>
      <c r="AJ42" s="19"/>
      <c r="AK42" s="58"/>
      <c r="A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60"/>
      <c r="AC43" s="13"/>
      <c r="AD43" s="60"/>
      <c r="AE43" s="13"/>
      <c r="AF43" s="13"/>
      <c r="AG43" s="60"/>
      <c r="AH43" s="13"/>
      <c r="AI43" s="60"/>
      <c r="AJ43" s="13"/>
      <c r="AK43" s="60"/>
      <c r="A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19"/>
      <c r="Z44" s="58"/>
      <c r="AA44" s="19"/>
      <c r="AB44" s="58"/>
      <c r="AC44" s="19"/>
      <c r="AD44" s="58"/>
      <c r="AE44" s="19"/>
      <c r="AF44" s="19"/>
      <c r="AG44" s="58"/>
      <c r="AH44" s="19"/>
      <c r="AI44" s="58"/>
      <c r="AJ44" s="19"/>
      <c r="AK44" s="58"/>
      <c r="AL44" s="13"/>
    </row>
    <row r="45" ht="12.75" customHeight="1">
      <c r="A45" s="30"/>
      <c r="B45" s="47">
        <v>1.0</v>
      </c>
      <c r="C45" s="48" t="s">
        <v>37</v>
      </c>
      <c r="D45" s="16"/>
      <c r="E45" s="19">
        <v>7.0</v>
      </c>
      <c r="F45" s="19">
        <v>7.0</v>
      </c>
      <c r="G45" s="19">
        <v>44.0</v>
      </c>
      <c r="H45" s="19">
        <v>49.0</v>
      </c>
      <c r="I45" s="19">
        <v>22.0</v>
      </c>
      <c r="J45" s="19">
        <v>26.0</v>
      </c>
      <c r="K45" s="19">
        <v>29.0</v>
      </c>
      <c r="L45" s="19">
        <v>31.0</v>
      </c>
      <c r="M45" s="19">
        <v>28.0</v>
      </c>
      <c r="N45" s="19">
        <v>47.0</v>
      </c>
      <c r="O45" s="19">
        <v>55.0</v>
      </c>
      <c r="P45" s="19">
        <v>26.0</v>
      </c>
      <c r="Q45" s="19">
        <v>28.0</v>
      </c>
      <c r="R45" s="19">
        <v>23.0</v>
      </c>
      <c r="S45" s="19">
        <v>9.0</v>
      </c>
      <c r="T45" s="19">
        <v>14.0</v>
      </c>
      <c r="U45" s="19">
        <v>23.0</v>
      </c>
      <c r="V45" s="19">
        <v>16.0</v>
      </c>
      <c r="W45" s="19">
        <v>16.0</v>
      </c>
      <c r="X45" s="19">
        <v>12.0</v>
      </c>
      <c r="Y45" s="19">
        <v>13.0</v>
      </c>
      <c r="Z45" s="19">
        <v>25.0</v>
      </c>
      <c r="AA45" s="19">
        <v>12.0</v>
      </c>
      <c r="AB45" s="19">
        <v>17.0</v>
      </c>
      <c r="AC45" s="19">
        <v>14.0</v>
      </c>
      <c r="AD45" s="19">
        <v>13.0</v>
      </c>
      <c r="AE45" s="19">
        <v>18.0</v>
      </c>
      <c r="AF45" s="19">
        <v>8.0</v>
      </c>
      <c r="AG45" s="19">
        <v>8.0</v>
      </c>
      <c r="AH45" s="19">
        <v>11.0</v>
      </c>
      <c r="AI45" s="19">
        <v>8.0</v>
      </c>
      <c r="AJ45" s="19">
        <v>6.0</v>
      </c>
      <c r="AK45" s="19">
        <v>10.0</v>
      </c>
      <c r="AL45" s="13">
        <f t="shared" ref="AL45:AL47" si="14">SUM(E45:AK45)</f>
        <v>675</v>
      </c>
    </row>
    <row r="46" ht="12.75" customHeight="1">
      <c r="A46" s="18"/>
      <c r="B46" s="47">
        <v>2.0</v>
      </c>
      <c r="C46" s="48" t="s">
        <v>38</v>
      </c>
      <c r="D46" s="16"/>
      <c r="E46" s="19">
        <v>162.0</v>
      </c>
      <c r="F46" s="19">
        <v>124.0</v>
      </c>
      <c r="G46" s="19">
        <v>111.0</v>
      </c>
      <c r="H46" s="19">
        <v>105.0</v>
      </c>
      <c r="I46" s="19">
        <v>121.0</v>
      </c>
      <c r="J46" s="19">
        <v>144.0</v>
      </c>
      <c r="K46" s="19">
        <v>145.0</v>
      </c>
      <c r="L46" s="19">
        <v>160.0</v>
      </c>
      <c r="M46" s="19">
        <v>136.0</v>
      </c>
      <c r="N46" s="19">
        <v>137.0</v>
      </c>
      <c r="O46" s="19">
        <v>100.0</v>
      </c>
      <c r="P46" s="19">
        <v>126.0</v>
      </c>
      <c r="Q46" s="19">
        <v>105.0</v>
      </c>
      <c r="R46" s="19">
        <v>135.0</v>
      </c>
      <c r="S46" s="19">
        <v>158.0</v>
      </c>
      <c r="T46" s="19">
        <v>112.0</v>
      </c>
      <c r="U46" s="19">
        <v>145.0</v>
      </c>
      <c r="V46" s="19">
        <v>154.0</v>
      </c>
      <c r="W46" s="19">
        <v>151.0</v>
      </c>
      <c r="X46" s="19">
        <v>108.0</v>
      </c>
      <c r="Y46" s="19">
        <v>105.0</v>
      </c>
      <c r="Z46" s="19">
        <v>118.0</v>
      </c>
      <c r="AA46" s="19">
        <v>180.0</v>
      </c>
      <c r="AB46" s="19">
        <v>146.0</v>
      </c>
      <c r="AC46" s="19">
        <v>159.0</v>
      </c>
      <c r="AD46" s="19">
        <v>162.0</v>
      </c>
      <c r="AE46" s="19">
        <v>169.0</v>
      </c>
      <c r="AF46" s="19">
        <v>128.0</v>
      </c>
      <c r="AG46" s="19">
        <v>195.0</v>
      </c>
      <c r="AH46" s="19">
        <v>143.0</v>
      </c>
      <c r="AI46" s="19">
        <v>159.0</v>
      </c>
      <c r="AJ46" s="19">
        <v>198.0</v>
      </c>
      <c r="AK46" s="19">
        <v>196.0</v>
      </c>
      <c r="AL46" s="13">
        <f t="shared" si="14"/>
        <v>4697</v>
      </c>
    </row>
    <row r="47" ht="12.75" customHeight="1">
      <c r="A47" s="18"/>
      <c r="B47" s="47">
        <v>3.0</v>
      </c>
      <c r="C47" s="48" t="s">
        <v>39</v>
      </c>
      <c r="D47" s="16"/>
      <c r="E47" s="19">
        <v>33.0</v>
      </c>
      <c r="F47" s="19">
        <v>33.0</v>
      </c>
      <c r="G47" s="19">
        <v>25.0</v>
      </c>
      <c r="H47" s="19">
        <v>31.0</v>
      </c>
      <c r="I47" s="19">
        <v>20.0</v>
      </c>
      <c r="J47" s="19">
        <v>19.0</v>
      </c>
      <c r="K47" s="19">
        <v>36.0</v>
      </c>
      <c r="L47" s="19">
        <v>16.0</v>
      </c>
      <c r="M47" s="19">
        <v>21.0</v>
      </c>
      <c r="N47" s="19">
        <v>23.0</v>
      </c>
      <c r="O47" s="19">
        <v>17.0</v>
      </c>
      <c r="P47" s="19">
        <v>21.0</v>
      </c>
      <c r="Q47" s="19">
        <v>35.0</v>
      </c>
      <c r="R47" s="19">
        <v>22.0</v>
      </c>
      <c r="S47" s="19">
        <v>33.0</v>
      </c>
      <c r="T47" s="19">
        <v>14.0</v>
      </c>
      <c r="U47" s="19">
        <v>11.0</v>
      </c>
      <c r="V47" s="19">
        <v>17.0</v>
      </c>
      <c r="W47" s="19">
        <v>38.0</v>
      </c>
      <c r="X47" s="19">
        <v>24.0</v>
      </c>
      <c r="Y47" s="19">
        <v>17.0</v>
      </c>
      <c r="Z47" s="19">
        <v>23.0</v>
      </c>
      <c r="AA47" s="19">
        <v>16.0</v>
      </c>
      <c r="AB47" s="19">
        <v>30.0</v>
      </c>
      <c r="AC47" s="19">
        <v>42.0</v>
      </c>
      <c r="AD47" s="19">
        <v>35.0</v>
      </c>
      <c r="AE47" s="19">
        <v>50.0</v>
      </c>
      <c r="AF47" s="19">
        <v>49.0</v>
      </c>
      <c r="AG47" s="19">
        <v>29.0</v>
      </c>
      <c r="AH47" s="19">
        <v>38.0</v>
      </c>
      <c r="AI47" s="19">
        <v>37.0</v>
      </c>
      <c r="AJ47" s="19">
        <v>19.0</v>
      </c>
      <c r="AK47" s="19">
        <v>24.0</v>
      </c>
      <c r="AL47" s="13">
        <f t="shared" si="14"/>
        <v>898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  <c r="T49" s="13"/>
      <c r="U49" s="13"/>
      <c r="V49" s="13"/>
      <c r="W49" s="13"/>
      <c r="X49" s="13"/>
      <c r="Y49" s="13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K50" si="15">SUM(E45:E47)</f>
        <v>202</v>
      </c>
      <c r="F50" s="19">
        <f t="shared" si="15"/>
        <v>164</v>
      </c>
      <c r="G50" s="19">
        <f t="shared" si="15"/>
        <v>180</v>
      </c>
      <c r="H50" s="19">
        <f t="shared" si="15"/>
        <v>185</v>
      </c>
      <c r="I50" s="19">
        <f t="shared" si="15"/>
        <v>163</v>
      </c>
      <c r="J50" s="19">
        <f t="shared" si="15"/>
        <v>189</v>
      </c>
      <c r="K50" s="19">
        <f t="shared" si="15"/>
        <v>210</v>
      </c>
      <c r="L50" s="19">
        <f t="shared" si="15"/>
        <v>207</v>
      </c>
      <c r="M50" s="19">
        <f t="shared" si="15"/>
        <v>185</v>
      </c>
      <c r="N50" s="19">
        <f t="shared" si="15"/>
        <v>207</v>
      </c>
      <c r="O50" s="19">
        <f t="shared" si="15"/>
        <v>172</v>
      </c>
      <c r="P50" s="19">
        <f t="shared" si="15"/>
        <v>173</v>
      </c>
      <c r="Q50" s="19">
        <f t="shared" si="15"/>
        <v>168</v>
      </c>
      <c r="R50" s="19">
        <f t="shared" si="15"/>
        <v>180</v>
      </c>
      <c r="S50" s="19">
        <f t="shared" si="15"/>
        <v>200</v>
      </c>
      <c r="T50" s="19">
        <f t="shared" si="15"/>
        <v>140</v>
      </c>
      <c r="U50" s="19">
        <f t="shared" si="15"/>
        <v>179</v>
      </c>
      <c r="V50" s="19">
        <f t="shared" si="15"/>
        <v>187</v>
      </c>
      <c r="W50" s="19">
        <f t="shared" si="15"/>
        <v>205</v>
      </c>
      <c r="X50" s="19">
        <f t="shared" si="15"/>
        <v>144</v>
      </c>
      <c r="Y50" s="19">
        <f t="shared" si="15"/>
        <v>135</v>
      </c>
      <c r="Z50" s="19">
        <f t="shared" si="15"/>
        <v>166</v>
      </c>
      <c r="AA50" s="19">
        <f t="shared" si="15"/>
        <v>208</v>
      </c>
      <c r="AB50" s="19">
        <f t="shared" si="15"/>
        <v>193</v>
      </c>
      <c r="AC50" s="19">
        <f t="shared" si="15"/>
        <v>215</v>
      </c>
      <c r="AD50" s="19">
        <f t="shared" si="15"/>
        <v>210</v>
      </c>
      <c r="AE50" s="19">
        <f t="shared" si="15"/>
        <v>237</v>
      </c>
      <c r="AF50" s="19">
        <f t="shared" si="15"/>
        <v>185</v>
      </c>
      <c r="AG50" s="19">
        <f t="shared" si="15"/>
        <v>232</v>
      </c>
      <c r="AH50" s="19">
        <f t="shared" si="15"/>
        <v>192</v>
      </c>
      <c r="AI50" s="19">
        <f t="shared" si="15"/>
        <v>204</v>
      </c>
      <c r="AJ50" s="19">
        <f t="shared" si="15"/>
        <v>223</v>
      </c>
      <c r="AK50" s="19">
        <f t="shared" si="15"/>
        <v>230</v>
      </c>
      <c r="AL50" s="13">
        <f t="shared" ref="AL50:AL52" si="16">SUM(E50:AK50)</f>
        <v>6270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8.0</v>
      </c>
      <c r="F51" s="19">
        <v>3.0</v>
      </c>
      <c r="G51" s="19">
        <v>2.0</v>
      </c>
      <c r="H51" s="19">
        <v>2.0</v>
      </c>
      <c r="I51" s="19">
        <v>2.0</v>
      </c>
      <c r="J51" s="19">
        <v>4.0</v>
      </c>
      <c r="K51" s="19">
        <v>7.0</v>
      </c>
      <c r="L51" s="19">
        <v>0.0</v>
      </c>
      <c r="M51" s="19">
        <v>4.0</v>
      </c>
      <c r="N51" s="19">
        <v>7.0</v>
      </c>
      <c r="O51" s="19">
        <v>5.0</v>
      </c>
      <c r="P51" s="19">
        <v>1.0</v>
      </c>
      <c r="Q51" s="19">
        <v>9.0</v>
      </c>
      <c r="R51" s="19">
        <v>2.0</v>
      </c>
      <c r="S51" s="19">
        <v>3.0</v>
      </c>
      <c r="T51" s="19">
        <v>8.0</v>
      </c>
      <c r="U51" s="19">
        <v>0.0</v>
      </c>
      <c r="V51" s="19">
        <v>7.0</v>
      </c>
      <c r="W51" s="19">
        <v>3.0</v>
      </c>
      <c r="X51" s="19">
        <v>1.0</v>
      </c>
      <c r="Y51" s="19">
        <v>7.0</v>
      </c>
      <c r="Z51" s="19">
        <v>4.0</v>
      </c>
      <c r="AA51" s="19">
        <v>5.0</v>
      </c>
      <c r="AB51" s="19">
        <v>3.0</v>
      </c>
      <c r="AC51" s="19">
        <v>4.0</v>
      </c>
      <c r="AD51" s="19">
        <v>2.0</v>
      </c>
      <c r="AE51" s="19">
        <v>3.0</v>
      </c>
      <c r="AF51" s="19">
        <v>0.0</v>
      </c>
      <c r="AG51" s="19">
        <v>6.0</v>
      </c>
      <c r="AH51" s="19">
        <v>5.0</v>
      </c>
      <c r="AI51" s="19">
        <v>7.0</v>
      </c>
      <c r="AJ51" s="19">
        <v>11.0</v>
      </c>
      <c r="AK51" s="19">
        <v>15.0</v>
      </c>
      <c r="AL51" s="13">
        <f t="shared" si="16"/>
        <v>150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K52" si="17">SUM(E50:E51)</f>
        <v>210</v>
      </c>
      <c r="F52" s="13">
        <f t="shared" si="17"/>
        <v>167</v>
      </c>
      <c r="G52" s="13">
        <f t="shared" si="17"/>
        <v>182</v>
      </c>
      <c r="H52" s="13">
        <f t="shared" si="17"/>
        <v>187</v>
      </c>
      <c r="I52" s="13">
        <f t="shared" si="17"/>
        <v>165</v>
      </c>
      <c r="J52" s="13">
        <f t="shared" si="17"/>
        <v>193</v>
      </c>
      <c r="K52" s="13">
        <f t="shared" si="17"/>
        <v>217</v>
      </c>
      <c r="L52" s="13">
        <f t="shared" si="17"/>
        <v>207</v>
      </c>
      <c r="M52" s="13">
        <f t="shared" si="17"/>
        <v>189</v>
      </c>
      <c r="N52" s="13">
        <f t="shared" si="17"/>
        <v>214</v>
      </c>
      <c r="O52" s="13">
        <f t="shared" si="17"/>
        <v>177</v>
      </c>
      <c r="P52" s="13">
        <f t="shared" si="17"/>
        <v>174</v>
      </c>
      <c r="Q52" s="13">
        <f t="shared" si="17"/>
        <v>177</v>
      </c>
      <c r="R52" s="13">
        <f t="shared" si="17"/>
        <v>182</v>
      </c>
      <c r="S52" s="13">
        <f t="shared" si="17"/>
        <v>203</v>
      </c>
      <c r="T52" s="13">
        <f t="shared" si="17"/>
        <v>148</v>
      </c>
      <c r="U52" s="13">
        <f t="shared" si="17"/>
        <v>179</v>
      </c>
      <c r="V52" s="13">
        <f t="shared" si="17"/>
        <v>194</v>
      </c>
      <c r="W52" s="13">
        <f t="shared" si="17"/>
        <v>208</v>
      </c>
      <c r="X52" s="13">
        <f t="shared" si="17"/>
        <v>145</v>
      </c>
      <c r="Y52" s="13">
        <f t="shared" si="17"/>
        <v>142</v>
      </c>
      <c r="Z52" s="13">
        <f t="shared" si="17"/>
        <v>170</v>
      </c>
      <c r="AA52" s="13">
        <f t="shared" si="17"/>
        <v>213</v>
      </c>
      <c r="AB52" s="13">
        <f t="shared" si="17"/>
        <v>196</v>
      </c>
      <c r="AC52" s="13">
        <f t="shared" si="17"/>
        <v>219</v>
      </c>
      <c r="AD52" s="13">
        <f t="shared" si="17"/>
        <v>212</v>
      </c>
      <c r="AE52" s="13">
        <f t="shared" si="17"/>
        <v>240</v>
      </c>
      <c r="AF52" s="13">
        <f t="shared" si="17"/>
        <v>185</v>
      </c>
      <c r="AG52" s="13">
        <f t="shared" si="17"/>
        <v>238</v>
      </c>
      <c r="AH52" s="13">
        <f t="shared" si="17"/>
        <v>197</v>
      </c>
      <c r="AI52" s="13">
        <f t="shared" si="17"/>
        <v>211</v>
      </c>
      <c r="AJ52" s="13">
        <f t="shared" si="17"/>
        <v>234</v>
      </c>
      <c r="AK52" s="13">
        <f t="shared" si="17"/>
        <v>245</v>
      </c>
      <c r="AL52" s="13">
        <f t="shared" si="16"/>
        <v>6420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U42"/>
    <mergeCell ref="B43:D43"/>
    <mergeCell ref="A44:D44"/>
    <mergeCell ref="C45:D45"/>
  </mergeCells>
  <conditionalFormatting sqref="E14:AK15 E45:AK47">
    <cfRule type="containsBlanks" dxfId="1" priority="1">
      <formula>LEN(TRIM(E14))=0</formula>
    </cfRule>
  </conditionalFormatting>
  <conditionalFormatting sqref="E19:AK20">
    <cfRule type="containsBlanks" dxfId="1" priority="2">
      <formula>LEN(TRIM(E19))=0</formula>
    </cfRule>
  </conditionalFormatting>
  <conditionalFormatting sqref="E22:AK23 E25:AK26 E33:AK33 E35:AK35 E39:AK40">
    <cfRule type="containsBlanks" dxfId="1" priority="3">
      <formula>LEN(TRIM(E22))=0</formula>
    </cfRule>
  </conditionalFormatting>
  <conditionalFormatting sqref="E30:AK30">
    <cfRule type="expression" dxfId="0" priority="4">
      <formula>E30&lt;&gt;E46</formula>
    </cfRule>
  </conditionalFormatting>
  <conditionalFormatting sqref="E30:AK30">
    <cfRule type="expression" dxfId="0" priority="5">
      <formula>E30&lt;&gt;E34</formula>
    </cfRule>
  </conditionalFormatting>
  <conditionalFormatting sqref="E34:AK34">
    <cfRule type="expression" dxfId="2" priority="6">
      <formula>E30&lt;&gt;E34</formula>
    </cfRule>
  </conditionalFormatting>
  <conditionalFormatting sqref="E34:AK34">
    <cfRule type="expression" dxfId="3" priority="7">
      <formula>E30=E34</formula>
    </cfRule>
  </conditionalFormatting>
  <conditionalFormatting sqref="E34:AK34">
    <cfRule type="expression" dxfId="0" priority="8">
      <formula>E34&lt;&gt;E30</formula>
    </cfRule>
  </conditionalFormatting>
  <conditionalFormatting sqref="E34:AK34">
    <cfRule type="expression" dxfId="0" priority="9">
      <formula>E34&lt;&gt;#REF!</formula>
    </cfRule>
  </conditionalFormatting>
  <conditionalFormatting sqref="E50:AK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2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136.0</v>
      </c>
      <c r="G14" s="19">
        <v>137.0</v>
      </c>
      <c r="H14" s="19">
        <v>141.0</v>
      </c>
      <c r="I14" s="19">
        <v>144.0</v>
      </c>
      <c r="J14" s="19">
        <v>147.0</v>
      </c>
      <c r="K14" s="19">
        <v>140.0</v>
      </c>
      <c r="L14" s="19">
        <v>128.0</v>
      </c>
      <c r="M14" s="19">
        <v>150.0</v>
      </c>
      <c r="N14" s="19">
        <v>138.0</v>
      </c>
      <c r="O14" s="19">
        <v>139.0</v>
      </c>
      <c r="P14" s="19">
        <v>136.0</v>
      </c>
      <c r="Q14" s="19">
        <v>140.0</v>
      </c>
      <c r="R14" s="19">
        <v>118.0</v>
      </c>
      <c r="S14" s="19">
        <v>129.0</v>
      </c>
      <c r="T14" s="19">
        <v>151.0</v>
      </c>
      <c r="U14" s="19">
        <v>105.0</v>
      </c>
      <c r="V14" s="19">
        <v>135.0</v>
      </c>
      <c r="W14" s="19">
        <v>147.0</v>
      </c>
      <c r="X14" s="19">
        <v>146.0</v>
      </c>
      <c r="Y14" s="19">
        <v>112.0</v>
      </c>
      <c r="Z14" s="19">
        <v>111.0</v>
      </c>
      <c r="AA14" s="19">
        <v>96.0</v>
      </c>
      <c r="AB14" s="19">
        <v>129.0</v>
      </c>
      <c r="AC14" s="19">
        <v>139.0</v>
      </c>
      <c r="AD14" s="19">
        <v>126.0</v>
      </c>
      <c r="AE14" s="19">
        <v>107.0</v>
      </c>
      <c r="AF14" s="19">
        <v>133.0</v>
      </c>
      <c r="AG14" s="13">
        <f t="shared" ref="AG14:AG16" si="1">SUM(E14:AF14)</f>
        <v>3702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155.0</v>
      </c>
      <c r="G15" s="19">
        <v>148.0</v>
      </c>
      <c r="H15" s="19">
        <v>139.0</v>
      </c>
      <c r="I15" s="19">
        <v>144.0</v>
      </c>
      <c r="J15" s="19">
        <v>137.0</v>
      </c>
      <c r="K15" s="19">
        <v>137.0</v>
      </c>
      <c r="L15" s="19">
        <v>148.0</v>
      </c>
      <c r="M15" s="19">
        <v>143.0</v>
      </c>
      <c r="N15" s="19">
        <v>146.0</v>
      </c>
      <c r="O15" s="19">
        <v>133.0</v>
      </c>
      <c r="P15" s="19">
        <v>153.0</v>
      </c>
      <c r="Q15" s="19">
        <v>148.0</v>
      </c>
      <c r="R15" s="19">
        <v>121.0</v>
      </c>
      <c r="S15" s="19">
        <v>150.0</v>
      </c>
      <c r="T15" s="19">
        <v>142.0</v>
      </c>
      <c r="U15" s="19">
        <v>132.0</v>
      </c>
      <c r="V15" s="19">
        <v>137.0</v>
      </c>
      <c r="W15" s="19">
        <v>141.0</v>
      </c>
      <c r="X15" s="19">
        <v>130.0</v>
      </c>
      <c r="Y15" s="19">
        <v>132.0</v>
      </c>
      <c r="Z15" s="19">
        <v>113.0</v>
      </c>
      <c r="AA15" s="19">
        <v>96.0</v>
      </c>
      <c r="AB15" s="19">
        <v>149.0</v>
      </c>
      <c r="AC15" s="19">
        <v>144.0</v>
      </c>
      <c r="AD15" s="19">
        <v>135.0</v>
      </c>
      <c r="AE15" s="19">
        <v>96.0</v>
      </c>
      <c r="AF15" s="19">
        <v>121.0</v>
      </c>
      <c r="AG15" s="13">
        <f t="shared" si="1"/>
        <v>3823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295</v>
      </c>
      <c r="F16" s="13">
        <f t="shared" si="2"/>
        <v>291</v>
      </c>
      <c r="G16" s="13">
        <f t="shared" si="2"/>
        <v>285</v>
      </c>
      <c r="H16" s="13">
        <f t="shared" si="2"/>
        <v>280</v>
      </c>
      <c r="I16" s="13">
        <f t="shared" si="2"/>
        <v>288</v>
      </c>
      <c r="J16" s="13">
        <f t="shared" si="2"/>
        <v>284</v>
      </c>
      <c r="K16" s="13">
        <f t="shared" si="2"/>
        <v>277</v>
      </c>
      <c r="L16" s="13">
        <f t="shared" si="2"/>
        <v>276</v>
      </c>
      <c r="M16" s="13">
        <f t="shared" si="2"/>
        <v>293</v>
      </c>
      <c r="N16" s="13">
        <f t="shared" si="2"/>
        <v>284</v>
      </c>
      <c r="O16" s="13">
        <f t="shared" si="2"/>
        <v>272</v>
      </c>
      <c r="P16" s="13">
        <f t="shared" si="2"/>
        <v>289</v>
      </c>
      <c r="Q16" s="13">
        <f t="shared" si="2"/>
        <v>288</v>
      </c>
      <c r="R16" s="13">
        <f t="shared" si="2"/>
        <v>239</v>
      </c>
      <c r="S16" s="13">
        <f t="shared" si="2"/>
        <v>279</v>
      </c>
      <c r="T16" s="13">
        <f t="shared" si="2"/>
        <v>293</v>
      </c>
      <c r="U16" s="13">
        <f t="shared" si="2"/>
        <v>237</v>
      </c>
      <c r="V16" s="13">
        <f t="shared" si="2"/>
        <v>272</v>
      </c>
      <c r="W16" s="13">
        <f t="shared" si="2"/>
        <v>288</v>
      </c>
      <c r="X16" s="13">
        <f t="shared" si="2"/>
        <v>276</v>
      </c>
      <c r="Y16" s="13">
        <f t="shared" si="2"/>
        <v>244</v>
      </c>
      <c r="Z16" s="13">
        <f t="shared" si="2"/>
        <v>224</v>
      </c>
      <c r="AA16" s="13">
        <f t="shared" si="2"/>
        <v>192</v>
      </c>
      <c r="AB16" s="13">
        <f t="shared" si="2"/>
        <v>278</v>
      </c>
      <c r="AC16" s="13">
        <f t="shared" si="2"/>
        <v>283</v>
      </c>
      <c r="AD16" s="13">
        <f t="shared" si="2"/>
        <v>261</v>
      </c>
      <c r="AE16" s="13">
        <f t="shared" si="2"/>
        <v>203</v>
      </c>
      <c r="AF16" s="13">
        <f t="shared" si="2"/>
        <v>254</v>
      </c>
      <c r="AG16" s="13">
        <f t="shared" si="1"/>
        <v>7525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58"/>
      <c r="X17" s="19"/>
      <c r="Y17" s="19"/>
      <c r="Z17" s="19"/>
      <c r="AA17" s="19"/>
      <c r="AB17" s="19"/>
      <c r="AC17" s="19"/>
      <c r="AD17" s="19"/>
      <c r="AE17" s="19"/>
      <c r="AF17" s="19"/>
      <c r="AG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58"/>
      <c r="X18" s="19"/>
      <c r="Y18" s="19"/>
      <c r="Z18" s="19"/>
      <c r="AA18" s="19"/>
      <c r="AB18" s="19"/>
      <c r="AC18" s="19"/>
      <c r="AD18" s="19"/>
      <c r="AE18" s="19"/>
      <c r="AF18" s="19"/>
      <c r="AG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104.0</v>
      </c>
      <c r="G19" s="19">
        <v>96.0</v>
      </c>
      <c r="H19" s="19">
        <v>81.0</v>
      </c>
      <c r="I19" s="19">
        <v>88.0</v>
      </c>
      <c r="J19" s="19">
        <v>102.0</v>
      </c>
      <c r="K19" s="19">
        <v>87.0</v>
      </c>
      <c r="L19" s="19">
        <v>84.0</v>
      </c>
      <c r="M19" s="19">
        <v>102.0</v>
      </c>
      <c r="N19" s="19">
        <v>106.0</v>
      </c>
      <c r="O19" s="19">
        <v>98.0</v>
      </c>
      <c r="P19" s="19">
        <v>79.0</v>
      </c>
      <c r="Q19" s="19">
        <v>99.0</v>
      </c>
      <c r="R19" s="19">
        <v>80.0</v>
      </c>
      <c r="S19" s="19">
        <v>87.0</v>
      </c>
      <c r="T19" s="19">
        <v>101.0</v>
      </c>
      <c r="U19" s="19">
        <v>72.0</v>
      </c>
      <c r="V19" s="19">
        <v>83.0</v>
      </c>
      <c r="W19" s="19">
        <v>104.0</v>
      </c>
      <c r="X19" s="19">
        <v>105.0</v>
      </c>
      <c r="Y19" s="19">
        <v>82.0</v>
      </c>
      <c r="Z19" s="19">
        <v>68.0</v>
      </c>
      <c r="AA19" s="19">
        <v>69.0</v>
      </c>
      <c r="AB19" s="19">
        <v>78.0</v>
      </c>
      <c r="AC19" s="19">
        <v>93.0</v>
      </c>
      <c r="AD19" s="19">
        <v>94.0</v>
      </c>
      <c r="AE19" s="19">
        <v>73.0</v>
      </c>
      <c r="AF19" s="19">
        <v>101.0</v>
      </c>
      <c r="AG19" s="13">
        <f t="shared" ref="AG19:AG30" si="3">SUM(E19:AF19)</f>
        <v>2516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126.0</v>
      </c>
      <c r="G20" s="19">
        <v>117.0</v>
      </c>
      <c r="H20" s="19">
        <v>109.0</v>
      </c>
      <c r="I20" s="19">
        <v>101.0</v>
      </c>
      <c r="J20" s="19">
        <v>98.0</v>
      </c>
      <c r="K20" s="19">
        <v>100.0</v>
      </c>
      <c r="L20" s="19">
        <v>97.0</v>
      </c>
      <c r="M20" s="19">
        <v>113.0</v>
      </c>
      <c r="N20" s="19">
        <v>120.0</v>
      </c>
      <c r="O20" s="19">
        <v>96.0</v>
      </c>
      <c r="P20" s="19">
        <v>102.0</v>
      </c>
      <c r="Q20" s="19">
        <v>106.0</v>
      </c>
      <c r="R20" s="62">
        <v>95.0</v>
      </c>
      <c r="S20" s="19">
        <v>116.0</v>
      </c>
      <c r="T20" s="19">
        <v>101.0</v>
      </c>
      <c r="U20" s="19">
        <v>90.0</v>
      </c>
      <c r="V20" s="19">
        <v>102.0</v>
      </c>
      <c r="W20" s="19">
        <v>104.0</v>
      </c>
      <c r="X20" s="19">
        <v>103.0</v>
      </c>
      <c r="Y20" s="19">
        <v>99.0</v>
      </c>
      <c r="Z20" s="19">
        <v>78.0</v>
      </c>
      <c r="AA20" s="62">
        <v>74.0</v>
      </c>
      <c r="AB20" s="19">
        <v>94.0</v>
      </c>
      <c r="AC20" s="19">
        <v>105.0</v>
      </c>
      <c r="AD20" s="19">
        <v>104.0</v>
      </c>
      <c r="AE20" s="19">
        <v>77.0</v>
      </c>
      <c r="AF20" s="19">
        <v>95.0</v>
      </c>
      <c r="AG20" s="13">
        <f t="shared" si="3"/>
        <v>2829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207</v>
      </c>
      <c r="F21" s="13">
        <f t="shared" si="4"/>
        <v>230</v>
      </c>
      <c r="G21" s="13">
        <f t="shared" si="4"/>
        <v>213</v>
      </c>
      <c r="H21" s="13">
        <f t="shared" si="4"/>
        <v>190</v>
      </c>
      <c r="I21" s="13">
        <f t="shared" si="4"/>
        <v>189</v>
      </c>
      <c r="J21" s="13">
        <f t="shared" si="4"/>
        <v>200</v>
      </c>
      <c r="K21" s="13">
        <f t="shared" si="4"/>
        <v>187</v>
      </c>
      <c r="L21" s="13">
        <f t="shared" si="4"/>
        <v>181</v>
      </c>
      <c r="M21" s="13">
        <f t="shared" si="4"/>
        <v>215</v>
      </c>
      <c r="N21" s="13">
        <f t="shared" si="4"/>
        <v>226</v>
      </c>
      <c r="O21" s="13">
        <f t="shared" si="4"/>
        <v>194</v>
      </c>
      <c r="P21" s="13">
        <f t="shared" si="4"/>
        <v>181</v>
      </c>
      <c r="Q21" s="13">
        <f t="shared" si="4"/>
        <v>205</v>
      </c>
      <c r="R21" s="13">
        <f t="shared" si="4"/>
        <v>175</v>
      </c>
      <c r="S21" s="13">
        <f t="shared" si="4"/>
        <v>203</v>
      </c>
      <c r="T21" s="13">
        <f t="shared" si="4"/>
        <v>202</v>
      </c>
      <c r="U21" s="13">
        <f t="shared" si="4"/>
        <v>162</v>
      </c>
      <c r="V21" s="13">
        <f t="shared" si="4"/>
        <v>185</v>
      </c>
      <c r="W21" s="13">
        <f t="shared" si="4"/>
        <v>208</v>
      </c>
      <c r="X21" s="13">
        <f t="shared" si="4"/>
        <v>208</v>
      </c>
      <c r="Y21" s="13">
        <f t="shared" si="4"/>
        <v>181</v>
      </c>
      <c r="Z21" s="13">
        <f t="shared" si="4"/>
        <v>146</v>
      </c>
      <c r="AA21" s="13">
        <f t="shared" si="4"/>
        <v>143</v>
      </c>
      <c r="AB21" s="13">
        <f t="shared" si="4"/>
        <v>172</v>
      </c>
      <c r="AC21" s="13">
        <f t="shared" si="4"/>
        <v>198</v>
      </c>
      <c r="AD21" s="13">
        <f t="shared" si="4"/>
        <v>198</v>
      </c>
      <c r="AE21" s="13">
        <f t="shared" si="4"/>
        <v>150</v>
      </c>
      <c r="AF21" s="13">
        <f t="shared" si="4"/>
        <v>196</v>
      </c>
      <c r="AG21" s="13">
        <f t="shared" si="3"/>
        <v>5345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1.0</v>
      </c>
      <c r="V22" s="19">
        <v>1.0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1.0</v>
      </c>
      <c r="AF22" s="19">
        <v>1.0</v>
      </c>
      <c r="AG22" s="13">
        <f t="shared" si="3"/>
        <v>11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0.0</v>
      </c>
      <c r="AF23" s="19">
        <v>0.0</v>
      </c>
      <c r="AG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1</v>
      </c>
      <c r="AF24" s="13">
        <f t="shared" si="5"/>
        <v>1</v>
      </c>
      <c r="AG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2.0</v>
      </c>
      <c r="N25" s="19">
        <v>1.0</v>
      </c>
      <c r="O25" s="19">
        <v>4.0</v>
      </c>
      <c r="P25" s="19">
        <v>0.0</v>
      </c>
      <c r="Q25" s="19">
        <v>1.0</v>
      </c>
      <c r="R25" s="19">
        <v>1.0</v>
      </c>
      <c r="S25" s="19">
        <v>2.0</v>
      </c>
      <c r="T25" s="19">
        <v>0.0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1.0</v>
      </c>
      <c r="AF25" s="19">
        <v>0.0</v>
      </c>
      <c r="AG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0.0</v>
      </c>
      <c r="G26" s="19">
        <v>1.0</v>
      </c>
      <c r="H26" s="19">
        <v>1.0</v>
      </c>
      <c r="I26" s="19">
        <v>0.0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5.0</v>
      </c>
      <c r="P26" s="19">
        <v>0.0</v>
      </c>
      <c r="Q26" s="19">
        <v>2.0</v>
      </c>
      <c r="R26" s="19">
        <v>0.0</v>
      </c>
      <c r="S26" s="19">
        <v>0.0</v>
      </c>
      <c r="T26" s="19">
        <v>2.0</v>
      </c>
      <c r="U26" s="19">
        <v>1.0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1.0</v>
      </c>
      <c r="AD26" s="19">
        <v>0.0</v>
      </c>
      <c r="AE26" s="19">
        <v>3.0</v>
      </c>
      <c r="AF26" s="19">
        <v>0.0</v>
      </c>
      <c r="AG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3</v>
      </c>
      <c r="N27" s="13">
        <f t="shared" si="6"/>
        <v>2</v>
      </c>
      <c r="O27" s="13">
        <f t="shared" si="6"/>
        <v>9</v>
      </c>
      <c r="P27" s="13">
        <f t="shared" si="6"/>
        <v>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4</v>
      </c>
      <c r="AF27" s="13">
        <f t="shared" si="6"/>
        <v>0</v>
      </c>
      <c r="AG27" s="13">
        <f t="shared" si="3"/>
        <v>39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101</v>
      </c>
      <c r="F28" s="13">
        <f t="shared" si="7"/>
        <v>105</v>
      </c>
      <c r="G28" s="13">
        <f t="shared" si="7"/>
        <v>97</v>
      </c>
      <c r="H28" s="13">
        <f t="shared" si="7"/>
        <v>81</v>
      </c>
      <c r="I28" s="13">
        <f t="shared" si="7"/>
        <v>89</v>
      </c>
      <c r="J28" s="13">
        <f t="shared" si="7"/>
        <v>102</v>
      </c>
      <c r="K28" s="13">
        <f t="shared" si="7"/>
        <v>87</v>
      </c>
      <c r="L28" s="13">
        <f t="shared" si="7"/>
        <v>85</v>
      </c>
      <c r="M28" s="13">
        <f t="shared" si="7"/>
        <v>104</v>
      </c>
      <c r="N28" s="13">
        <f t="shared" si="7"/>
        <v>107</v>
      </c>
      <c r="O28" s="13">
        <f t="shared" si="7"/>
        <v>103</v>
      </c>
      <c r="P28" s="13">
        <f t="shared" si="7"/>
        <v>79</v>
      </c>
      <c r="Q28" s="13">
        <f t="shared" si="7"/>
        <v>100</v>
      </c>
      <c r="R28" s="13">
        <f t="shared" si="7"/>
        <v>81</v>
      </c>
      <c r="S28" s="13">
        <f t="shared" si="7"/>
        <v>89</v>
      </c>
      <c r="T28" s="13">
        <f t="shared" si="7"/>
        <v>102</v>
      </c>
      <c r="U28" s="13">
        <f t="shared" si="7"/>
        <v>74</v>
      </c>
      <c r="V28" s="13">
        <f t="shared" si="7"/>
        <v>84</v>
      </c>
      <c r="W28" s="13">
        <f t="shared" si="7"/>
        <v>105</v>
      </c>
      <c r="X28" s="13">
        <f t="shared" si="7"/>
        <v>105</v>
      </c>
      <c r="Y28" s="13">
        <f t="shared" si="7"/>
        <v>82</v>
      </c>
      <c r="Z28" s="13">
        <f t="shared" si="7"/>
        <v>68</v>
      </c>
      <c r="AA28" s="13">
        <f t="shared" si="7"/>
        <v>69</v>
      </c>
      <c r="AB28" s="13">
        <f t="shared" si="7"/>
        <v>79</v>
      </c>
      <c r="AC28" s="13">
        <f t="shared" si="7"/>
        <v>93</v>
      </c>
      <c r="AD28" s="13">
        <f t="shared" si="7"/>
        <v>94</v>
      </c>
      <c r="AE28" s="13">
        <f t="shared" si="7"/>
        <v>75</v>
      </c>
      <c r="AF28" s="13">
        <f t="shared" si="7"/>
        <v>102</v>
      </c>
      <c r="AG28" s="13">
        <f t="shared" si="3"/>
        <v>2542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111</v>
      </c>
      <c r="F29" s="13">
        <f t="shared" si="8"/>
        <v>126</v>
      </c>
      <c r="G29" s="13">
        <f t="shared" si="8"/>
        <v>118</v>
      </c>
      <c r="H29" s="13">
        <f t="shared" si="8"/>
        <v>111</v>
      </c>
      <c r="I29" s="13">
        <f t="shared" si="8"/>
        <v>101</v>
      </c>
      <c r="J29" s="13">
        <f t="shared" si="8"/>
        <v>99</v>
      </c>
      <c r="K29" s="13">
        <f t="shared" si="8"/>
        <v>102</v>
      </c>
      <c r="L29" s="13">
        <f t="shared" si="8"/>
        <v>99</v>
      </c>
      <c r="M29" s="13">
        <f t="shared" si="8"/>
        <v>114</v>
      </c>
      <c r="N29" s="13">
        <f t="shared" si="8"/>
        <v>121</v>
      </c>
      <c r="O29" s="13">
        <f t="shared" si="8"/>
        <v>101</v>
      </c>
      <c r="P29" s="13">
        <f t="shared" si="8"/>
        <v>102</v>
      </c>
      <c r="Q29" s="13">
        <f t="shared" si="8"/>
        <v>108</v>
      </c>
      <c r="R29" s="13">
        <f t="shared" si="8"/>
        <v>95</v>
      </c>
      <c r="S29" s="13">
        <f t="shared" si="8"/>
        <v>116</v>
      </c>
      <c r="T29" s="13">
        <f t="shared" si="8"/>
        <v>104</v>
      </c>
      <c r="U29" s="13">
        <f t="shared" si="8"/>
        <v>91</v>
      </c>
      <c r="V29" s="13">
        <f t="shared" si="8"/>
        <v>102</v>
      </c>
      <c r="W29" s="13">
        <f t="shared" si="8"/>
        <v>104</v>
      </c>
      <c r="X29" s="13">
        <f t="shared" si="8"/>
        <v>103</v>
      </c>
      <c r="Y29" s="13">
        <f t="shared" si="8"/>
        <v>99</v>
      </c>
      <c r="Z29" s="13">
        <f t="shared" si="8"/>
        <v>78</v>
      </c>
      <c r="AA29" s="13">
        <f t="shared" si="8"/>
        <v>74</v>
      </c>
      <c r="AB29" s="13">
        <f t="shared" si="8"/>
        <v>94</v>
      </c>
      <c r="AC29" s="13">
        <f t="shared" si="8"/>
        <v>107</v>
      </c>
      <c r="AD29" s="13">
        <f t="shared" si="8"/>
        <v>104</v>
      </c>
      <c r="AE29" s="13">
        <f t="shared" si="8"/>
        <v>80</v>
      </c>
      <c r="AF29" s="13">
        <f t="shared" si="8"/>
        <v>95</v>
      </c>
      <c r="AG29" s="13">
        <f t="shared" si="3"/>
        <v>2859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212</v>
      </c>
      <c r="F30" s="13">
        <f t="shared" si="9"/>
        <v>231</v>
      </c>
      <c r="G30" s="13">
        <f t="shared" si="9"/>
        <v>215</v>
      </c>
      <c r="H30" s="13">
        <f t="shared" si="9"/>
        <v>192</v>
      </c>
      <c r="I30" s="13">
        <f t="shared" si="9"/>
        <v>190</v>
      </c>
      <c r="J30" s="13">
        <f t="shared" si="9"/>
        <v>201</v>
      </c>
      <c r="K30" s="13">
        <f t="shared" si="9"/>
        <v>189</v>
      </c>
      <c r="L30" s="13">
        <f t="shared" si="9"/>
        <v>184</v>
      </c>
      <c r="M30" s="13">
        <f t="shared" si="9"/>
        <v>218</v>
      </c>
      <c r="N30" s="13">
        <f t="shared" si="9"/>
        <v>228</v>
      </c>
      <c r="O30" s="13">
        <f t="shared" si="9"/>
        <v>204</v>
      </c>
      <c r="P30" s="13">
        <f t="shared" si="9"/>
        <v>181</v>
      </c>
      <c r="Q30" s="13">
        <f t="shared" si="9"/>
        <v>208</v>
      </c>
      <c r="R30" s="13">
        <f t="shared" si="9"/>
        <v>176</v>
      </c>
      <c r="S30" s="13">
        <f t="shared" si="9"/>
        <v>205</v>
      </c>
      <c r="T30" s="13">
        <f t="shared" si="9"/>
        <v>206</v>
      </c>
      <c r="U30" s="13">
        <f t="shared" si="9"/>
        <v>165</v>
      </c>
      <c r="V30" s="13">
        <f t="shared" si="9"/>
        <v>186</v>
      </c>
      <c r="W30" s="13">
        <f t="shared" si="9"/>
        <v>209</v>
      </c>
      <c r="X30" s="13">
        <f t="shared" si="9"/>
        <v>208</v>
      </c>
      <c r="Y30" s="13">
        <f t="shared" si="9"/>
        <v>181</v>
      </c>
      <c r="Z30" s="13">
        <f t="shared" si="9"/>
        <v>146</v>
      </c>
      <c r="AA30" s="13">
        <f t="shared" si="9"/>
        <v>143</v>
      </c>
      <c r="AB30" s="13">
        <f t="shared" si="9"/>
        <v>173</v>
      </c>
      <c r="AC30" s="13">
        <f t="shared" si="9"/>
        <v>200</v>
      </c>
      <c r="AD30" s="13">
        <f t="shared" si="9"/>
        <v>198</v>
      </c>
      <c r="AE30" s="13">
        <f t="shared" si="9"/>
        <v>155</v>
      </c>
      <c r="AF30" s="13">
        <f t="shared" si="9"/>
        <v>197</v>
      </c>
      <c r="AG30" s="13">
        <f t="shared" si="3"/>
        <v>5401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58"/>
      <c r="X31" s="19"/>
      <c r="Y31" s="19"/>
      <c r="Z31" s="19"/>
      <c r="AA31" s="19"/>
      <c r="AB31" s="19"/>
      <c r="AC31" s="19"/>
      <c r="AD31" s="19"/>
      <c r="AE31" s="19"/>
      <c r="AF31" s="19"/>
      <c r="AG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60"/>
      <c r="X32" s="13"/>
      <c r="Y32" s="13"/>
      <c r="Z32" s="13"/>
      <c r="AA32" s="13"/>
      <c r="AB32" s="13"/>
      <c r="AC32" s="13"/>
      <c r="AD32" s="13"/>
      <c r="AE32" s="13"/>
      <c r="AF32" s="13"/>
      <c r="AG32" s="59"/>
    </row>
    <row r="33" ht="12.75" customHeight="1">
      <c r="A33" s="19">
        <v>1.0</v>
      </c>
      <c r="B33" s="20" t="s">
        <v>27</v>
      </c>
      <c r="C33" s="15"/>
      <c r="D33" s="16"/>
      <c r="E33" s="19">
        <v>306.0</v>
      </c>
      <c r="F33" s="19">
        <v>276.0</v>
      </c>
      <c r="G33" s="19">
        <v>291.0</v>
      </c>
      <c r="H33" s="19">
        <v>286.0</v>
      </c>
      <c r="I33" s="19">
        <v>296.0</v>
      </c>
      <c r="J33" s="19">
        <v>291.0</v>
      </c>
      <c r="K33" s="19">
        <v>282.0</v>
      </c>
      <c r="L33" s="19">
        <v>280.0</v>
      </c>
      <c r="M33" s="19">
        <v>299.0</v>
      </c>
      <c r="N33" s="19">
        <v>290.0</v>
      </c>
      <c r="O33" s="19">
        <v>278.0</v>
      </c>
      <c r="P33" s="19">
        <v>295.0</v>
      </c>
      <c r="Q33" s="19">
        <v>294.0</v>
      </c>
      <c r="R33" s="19">
        <v>244.0</v>
      </c>
      <c r="S33" s="19">
        <v>289.0</v>
      </c>
      <c r="T33" s="19">
        <v>299.0</v>
      </c>
      <c r="U33" s="19">
        <v>242.0</v>
      </c>
      <c r="V33" s="19">
        <v>278.0</v>
      </c>
      <c r="W33" s="19">
        <v>294.0</v>
      </c>
      <c r="X33" s="19">
        <v>282.0</v>
      </c>
      <c r="Y33" s="19">
        <v>249.0</v>
      </c>
      <c r="Z33" s="19">
        <v>229.0</v>
      </c>
      <c r="AA33" s="19">
        <v>196.0</v>
      </c>
      <c r="AB33" s="19">
        <v>284.0</v>
      </c>
      <c r="AC33" s="19">
        <v>289.0</v>
      </c>
      <c r="AD33" s="19">
        <v>267.0</v>
      </c>
      <c r="AE33" s="19">
        <v>208.0</v>
      </c>
      <c r="AF33" s="19">
        <v>260.0</v>
      </c>
      <c r="AG33" s="13">
        <f t="shared" ref="AG33:AG36" si="10">SUM(E33:AF33)</f>
        <v>7674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231.0</v>
      </c>
      <c r="G34" s="13">
        <v>215.0</v>
      </c>
      <c r="H34" s="13">
        <v>192.0</v>
      </c>
      <c r="I34" s="13">
        <v>190.0</v>
      </c>
      <c r="J34" s="13">
        <v>201.0</v>
      </c>
      <c r="K34" s="13">
        <v>189.0</v>
      </c>
      <c r="L34" s="13">
        <v>184.0</v>
      </c>
      <c r="M34" s="13">
        <v>218.0</v>
      </c>
      <c r="N34" s="13">
        <v>228.0</v>
      </c>
      <c r="O34" s="13">
        <v>204.0</v>
      </c>
      <c r="P34" s="13">
        <v>181.0</v>
      </c>
      <c r="Q34" s="13">
        <v>208.0</v>
      </c>
      <c r="R34" s="13">
        <v>176.0</v>
      </c>
      <c r="S34" s="13">
        <v>205.0</v>
      </c>
      <c r="T34" s="13">
        <v>206.0</v>
      </c>
      <c r="U34" s="13">
        <v>165.0</v>
      </c>
      <c r="V34" s="13">
        <v>186.0</v>
      </c>
      <c r="W34" s="13">
        <v>209.0</v>
      </c>
      <c r="X34" s="13">
        <v>208.0</v>
      </c>
      <c r="Y34" s="13">
        <v>181.0</v>
      </c>
      <c r="Z34" s="13">
        <v>146.0</v>
      </c>
      <c r="AA34" s="13">
        <v>143.0</v>
      </c>
      <c r="AB34" s="13">
        <v>173.0</v>
      </c>
      <c r="AC34" s="13">
        <v>200.0</v>
      </c>
      <c r="AD34" s="13">
        <v>198.0</v>
      </c>
      <c r="AE34" s="13">
        <v>155.0</v>
      </c>
      <c r="AF34" s="13">
        <v>197.0</v>
      </c>
      <c r="AG34" s="13">
        <f t="shared" si="10"/>
        <v>5401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3.0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62">
        <v>1.0</v>
      </c>
      <c r="AC35" s="62">
        <v>0.0</v>
      </c>
      <c r="AD35" s="19">
        <v>0.0</v>
      </c>
      <c r="AE35" s="19">
        <v>0.0</v>
      </c>
      <c r="AF35" s="19">
        <v>0.0</v>
      </c>
      <c r="AG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93</v>
      </c>
      <c r="F36" s="13">
        <f t="shared" si="11"/>
        <v>45</v>
      </c>
      <c r="G36" s="13">
        <f t="shared" si="11"/>
        <v>73</v>
      </c>
      <c r="H36" s="13">
        <f t="shared" si="11"/>
        <v>94</v>
      </c>
      <c r="I36" s="13">
        <f t="shared" si="11"/>
        <v>106</v>
      </c>
      <c r="J36" s="13">
        <f t="shared" si="11"/>
        <v>90</v>
      </c>
      <c r="K36" s="13">
        <f t="shared" si="11"/>
        <v>93</v>
      </c>
      <c r="L36" s="13">
        <f t="shared" si="11"/>
        <v>95</v>
      </c>
      <c r="M36" s="13">
        <f t="shared" si="11"/>
        <v>81</v>
      </c>
      <c r="N36" s="13">
        <f t="shared" si="11"/>
        <v>62</v>
      </c>
      <c r="O36" s="13">
        <f t="shared" si="11"/>
        <v>74</v>
      </c>
      <c r="P36" s="13">
        <f t="shared" si="11"/>
        <v>114</v>
      </c>
      <c r="Q36" s="13">
        <f t="shared" si="11"/>
        <v>86</v>
      </c>
      <c r="R36" s="13">
        <f t="shared" si="11"/>
        <v>68</v>
      </c>
      <c r="S36" s="13">
        <f t="shared" si="11"/>
        <v>84</v>
      </c>
      <c r="T36" s="13">
        <f t="shared" si="11"/>
        <v>93</v>
      </c>
      <c r="U36" s="13">
        <f t="shared" si="11"/>
        <v>76</v>
      </c>
      <c r="V36" s="13">
        <f t="shared" si="11"/>
        <v>92</v>
      </c>
      <c r="W36" s="13">
        <f t="shared" si="11"/>
        <v>85</v>
      </c>
      <c r="X36" s="13">
        <f t="shared" si="11"/>
        <v>74</v>
      </c>
      <c r="Y36" s="13">
        <f t="shared" si="11"/>
        <v>68</v>
      </c>
      <c r="Z36" s="13">
        <f t="shared" si="11"/>
        <v>83</v>
      </c>
      <c r="AA36" s="13">
        <f t="shared" si="11"/>
        <v>53</v>
      </c>
      <c r="AB36" s="13">
        <f t="shared" si="11"/>
        <v>110</v>
      </c>
      <c r="AC36" s="13">
        <f t="shared" si="11"/>
        <v>89</v>
      </c>
      <c r="AD36" s="13">
        <f t="shared" si="11"/>
        <v>69</v>
      </c>
      <c r="AE36" s="13">
        <f t="shared" si="11"/>
        <v>53</v>
      </c>
      <c r="AF36" s="13">
        <f t="shared" si="11"/>
        <v>63</v>
      </c>
      <c r="AG36" s="13">
        <f t="shared" si="10"/>
        <v>2266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60"/>
      <c r="X38" s="13"/>
      <c r="Y38" s="13"/>
      <c r="Z38" s="13"/>
      <c r="AA38" s="13"/>
      <c r="AB38" s="13"/>
      <c r="AC38" s="13"/>
      <c r="AD38" s="13"/>
      <c r="AE38" s="13"/>
      <c r="AF38" s="13"/>
      <c r="AG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3.0</v>
      </c>
      <c r="J39" s="19">
        <v>1.0</v>
      </c>
      <c r="K39" s="19">
        <v>0.0</v>
      </c>
      <c r="L39" s="19">
        <v>0.0</v>
      </c>
      <c r="M39" s="19">
        <v>0.0</v>
      </c>
      <c r="N39" s="19">
        <v>1.0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1.0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3">
        <f t="shared" ref="AG39:AG41" si="12">SUM(E39:AF39)</f>
        <v>11</v>
      </c>
    </row>
    <row r="40" ht="12.75" customHeight="1">
      <c r="A40" s="33"/>
      <c r="C40" s="27"/>
      <c r="D40" s="19" t="s">
        <v>13</v>
      </c>
      <c r="E40" s="19">
        <v>4.0</v>
      </c>
      <c r="F40" s="19">
        <v>10.0</v>
      </c>
      <c r="G40" s="19">
        <v>0.0</v>
      </c>
      <c r="H40" s="19">
        <v>0.0</v>
      </c>
      <c r="I40" s="19">
        <v>6.0</v>
      </c>
      <c r="J40" s="19">
        <v>7.0</v>
      </c>
      <c r="K40" s="19">
        <v>1.0</v>
      </c>
      <c r="L40" s="19">
        <v>0.0</v>
      </c>
      <c r="M40" s="19">
        <v>2.0</v>
      </c>
      <c r="N40" s="19">
        <v>1.0</v>
      </c>
      <c r="O40" s="19">
        <v>3.0</v>
      </c>
      <c r="P40" s="19">
        <v>0.0</v>
      </c>
      <c r="Q40" s="19">
        <v>0.0</v>
      </c>
      <c r="R40" s="19">
        <v>0.0</v>
      </c>
      <c r="S40" s="19">
        <v>0.0</v>
      </c>
      <c r="T40" s="19">
        <v>4.0</v>
      </c>
      <c r="U40" s="19">
        <v>3.0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0.0</v>
      </c>
      <c r="AG40" s="13">
        <f t="shared" si="12"/>
        <v>43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5</v>
      </c>
      <c r="F41" s="13">
        <f t="shared" si="13"/>
        <v>11</v>
      </c>
      <c r="G41" s="13">
        <f t="shared" si="13"/>
        <v>0</v>
      </c>
      <c r="H41" s="13">
        <f t="shared" si="13"/>
        <v>0</v>
      </c>
      <c r="I41" s="13">
        <f t="shared" si="13"/>
        <v>9</v>
      </c>
      <c r="J41" s="13">
        <f t="shared" si="13"/>
        <v>8</v>
      </c>
      <c r="K41" s="13">
        <f t="shared" si="13"/>
        <v>1</v>
      </c>
      <c r="L41" s="13">
        <f t="shared" si="13"/>
        <v>0</v>
      </c>
      <c r="M41" s="13">
        <f t="shared" si="13"/>
        <v>2</v>
      </c>
      <c r="N41" s="13">
        <f t="shared" si="13"/>
        <v>2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5</v>
      </c>
      <c r="U41" s="13">
        <f t="shared" si="13"/>
        <v>4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2"/>
        <v>54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60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58"/>
      <c r="X44" s="19"/>
      <c r="Y44" s="19"/>
      <c r="Z44" s="19"/>
      <c r="AA44" s="19"/>
      <c r="AB44" s="19"/>
      <c r="AC44" s="19"/>
      <c r="AD44" s="19"/>
      <c r="AE44" s="19"/>
      <c r="AF44" s="19"/>
      <c r="AG44" s="13"/>
    </row>
    <row r="45" ht="12.75" customHeight="1">
      <c r="A45" s="30"/>
      <c r="B45" s="47">
        <v>1.0</v>
      </c>
      <c r="C45" s="48" t="s">
        <v>37</v>
      </c>
      <c r="D45" s="16"/>
      <c r="E45" s="19">
        <v>4.0</v>
      </c>
      <c r="F45" s="19">
        <v>15.0</v>
      </c>
      <c r="G45" s="19">
        <v>32.0</v>
      </c>
      <c r="H45" s="19">
        <v>30.0</v>
      </c>
      <c r="I45" s="19">
        <v>22.0</v>
      </c>
      <c r="J45" s="19">
        <v>27.0</v>
      </c>
      <c r="K45" s="19">
        <v>29.0</v>
      </c>
      <c r="L45" s="19">
        <v>29.0</v>
      </c>
      <c r="M45" s="19">
        <v>13.0</v>
      </c>
      <c r="N45" s="19">
        <v>23.0</v>
      </c>
      <c r="O45" s="19">
        <v>13.0</v>
      </c>
      <c r="P45" s="19">
        <v>12.0</v>
      </c>
      <c r="Q45" s="19">
        <v>10.0</v>
      </c>
      <c r="R45" s="19">
        <v>11.0</v>
      </c>
      <c r="S45" s="19">
        <v>13.0</v>
      </c>
      <c r="T45" s="19">
        <v>12.0</v>
      </c>
      <c r="U45" s="19">
        <v>5.0</v>
      </c>
      <c r="V45" s="19">
        <v>24.0</v>
      </c>
      <c r="W45" s="19">
        <v>10.0</v>
      </c>
      <c r="X45" s="19">
        <v>21.0</v>
      </c>
      <c r="Y45" s="19">
        <v>28.0</v>
      </c>
      <c r="Z45" s="19">
        <v>12.0</v>
      </c>
      <c r="AA45" s="19">
        <v>9.0</v>
      </c>
      <c r="AB45" s="19">
        <v>18.0</v>
      </c>
      <c r="AC45" s="19">
        <v>16.0</v>
      </c>
      <c r="AD45" s="19">
        <v>13.0</v>
      </c>
      <c r="AE45" s="19">
        <v>11.0</v>
      </c>
      <c r="AF45" s="19">
        <v>9.0</v>
      </c>
      <c r="AG45" s="13">
        <f t="shared" ref="AG45:AG47" si="14">SUM(E45:AF45)</f>
        <v>471</v>
      </c>
    </row>
    <row r="46" ht="12.75" customHeight="1">
      <c r="A46" s="18"/>
      <c r="B46" s="47">
        <v>2.0</v>
      </c>
      <c r="C46" s="48" t="s">
        <v>38</v>
      </c>
      <c r="D46" s="16"/>
      <c r="E46" s="19">
        <v>165.0</v>
      </c>
      <c r="F46" s="19">
        <v>176.0</v>
      </c>
      <c r="G46" s="19">
        <v>150.0</v>
      </c>
      <c r="H46" s="19">
        <v>127.0</v>
      </c>
      <c r="I46" s="19">
        <v>130.0</v>
      </c>
      <c r="J46" s="19">
        <v>148.0</v>
      </c>
      <c r="K46" s="19">
        <v>129.0</v>
      </c>
      <c r="L46" s="19">
        <v>123.0</v>
      </c>
      <c r="M46" s="19">
        <v>158.0</v>
      </c>
      <c r="N46" s="19">
        <v>151.0</v>
      </c>
      <c r="O46" s="19">
        <v>147.0</v>
      </c>
      <c r="P46" s="19">
        <v>113.0</v>
      </c>
      <c r="Q46" s="19">
        <v>115.0</v>
      </c>
      <c r="R46" s="19">
        <v>141.0</v>
      </c>
      <c r="S46" s="19">
        <v>168.0</v>
      </c>
      <c r="T46" s="19">
        <v>167.0</v>
      </c>
      <c r="U46" s="19">
        <v>139.0</v>
      </c>
      <c r="V46" s="19">
        <v>138.0</v>
      </c>
      <c r="W46" s="19">
        <v>174.0</v>
      </c>
      <c r="X46" s="19">
        <v>150.0</v>
      </c>
      <c r="Y46" s="19">
        <v>126.0</v>
      </c>
      <c r="Z46" s="19">
        <v>119.0</v>
      </c>
      <c r="AA46" s="19">
        <v>113.0</v>
      </c>
      <c r="AB46" s="19">
        <v>126.0</v>
      </c>
      <c r="AC46" s="19">
        <v>146.0</v>
      </c>
      <c r="AD46" s="19">
        <v>152.0</v>
      </c>
      <c r="AE46" s="19">
        <v>115.0</v>
      </c>
      <c r="AF46" s="19">
        <v>149.0</v>
      </c>
      <c r="AG46" s="13">
        <f t="shared" si="14"/>
        <v>3955</v>
      </c>
    </row>
    <row r="47" ht="12.75" customHeight="1">
      <c r="A47" s="18"/>
      <c r="B47" s="47">
        <v>3.0</v>
      </c>
      <c r="C47" s="48" t="s">
        <v>39</v>
      </c>
      <c r="D47" s="16"/>
      <c r="E47" s="19">
        <v>43.0</v>
      </c>
      <c r="F47" s="19">
        <v>35.0</v>
      </c>
      <c r="G47" s="19">
        <v>28.0</v>
      </c>
      <c r="H47" s="19">
        <v>33.0</v>
      </c>
      <c r="I47" s="19">
        <v>34.0</v>
      </c>
      <c r="J47" s="19">
        <v>23.0</v>
      </c>
      <c r="K47" s="19">
        <v>27.0</v>
      </c>
      <c r="L47" s="19">
        <v>27.0</v>
      </c>
      <c r="M47" s="19">
        <v>43.0</v>
      </c>
      <c r="N47" s="19">
        <v>51.0</v>
      </c>
      <c r="O47" s="19">
        <v>43.0</v>
      </c>
      <c r="P47" s="19">
        <v>53.0</v>
      </c>
      <c r="Q47" s="19">
        <v>79.0</v>
      </c>
      <c r="R47" s="19">
        <v>20.0</v>
      </c>
      <c r="S47" s="19">
        <v>21.0</v>
      </c>
      <c r="T47" s="19">
        <v>20.0</v>
      </c>
      <c r="U47" s="19">
        <v>17.0</v>
      </c>
      <c r="V47" s="19">
        <v>16.0</v>
      </c>
      <c r="W47" s="19">
        <v>17.0</v>
      </c>
      <c r="X47" s="19">
        <v>33.0</v>
      </c>
      <c r="Y47" s="19">
        <v>21.0</v>
      </c>
      <c r="Z47" s="19">
        <v>13.0</v>
      </c>
      <c r="AA47" s="19">
        <v>16.0</v>
      </c>
      <c r="AB47" s="19">
        <v>28.0</v>
      </c>
      <c r="AC47" s="19">
        <v>33.0</v>
      </c>
      <c r="AD47" s="19">
        <v>28.0</v>
      </c>
      <c r="AE47" s="19">
        <v>19.0</v>
      </c>
      <c r="AF47" s="19">
        <v>35.0</v>
      </c>
      <c r="AG47" s="13">
        <f t="shared" si="14"/>
        <v>856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  <c r="W49" s="60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F50" si="15">SUM(E45:E47)</f>
        <v>212</v>
      </c>
      <c r="F50" s="19">
        <f t="shared" si="15"/>
        <v>226</v>
      </c>
      <c r="G50" s="19">
        <f t="shared" si="15"/>
        <v>210</v>
      </c>
      <c r="H50" s="19">
        <f t="shared" si="15"/>
        <v>190</v>
      </c>
      <c r="I50" s="19">
        <f t="shared" si="15"/>
        <v>186</v>
      </c>
      <c r="J50" s="19">
        <f t="shared" si="15"/>
        <v>198</v>
      </c>
      <c r="K50" s="19">
        <f t="shared" si="15"/>
        <v>185</v>
      </c>
      <c r="L50" s="19">
        <f t="shared" si="15"/>
        <v>179</v>
      </c>
      <c r="M50" s="19">
        <f t="shared" si="15"/>
        <v>214</v>
      </c>
      <c r="N50" s="19">
        <f t="shared" si="15"/>
        <v>225</v>
      </c>
      <c r="O50" s="19">
        <f t="shared" si="15"/>
        <v>203</v>
      </c>
      <c r="P50" s="19">
        <f t="shared" si="15"/>
        <v>178</v>
      </c>
      <c r="Q50" s="19">
        <f t="shared" si="15"/>
        <v>204</v>
      </c>
      <c r="R50" s="19">
        <f t="shared" si="15"/>
        <v>172</v>
      </c>
      <c r="S50" s="19">
        <f t="shared" si="15"/>
        <v>202</v>
      </c>
      <c r="T50" s="19">
        <f t="shared" si="15"/>
        <v>199</v>
      </c>
      <c r="U50" s="19">
        <f t="shared" si="15"/>
        <v>161</v>
      </c>
      <c r="V50" s="19">
        <f t="shared" si="15"/>
        <v>178</v>
      </c>
      <c r="W50" s="19">
        <f t="shared" si="15"/>
        <v>201</v>
      </c>
      <c r="X50" s="19">
        <f t="shared" si="15"/>
        <v>204</v>
      </c>
      <c r="Y50" s="19">
        <f t="shared" si="15"/>
        <v>175</v>
      </c>
      <c r="Z50" s="19">
        <f t="shared" si="15"/>
        <v>144</v>
      </c>
      <c r="AA50" s="19">
        <f t="shared" si="15"/>
        <v>138</v>
      </c>
      <c r="AB50" s="19">
        <f t="shared" si="15"/>
        <v>172</v>
      </c>
      <c r="AC50" s="19">
        <f t="shared" si="15"/>
        <v>195</v>
      </c>
      <c r="AD50" s="19">
        <f t="shared" si="15"/>
        <v>193</v>
      </c>
      <c r="AE50" s="19">
        <f t="shared" si="15"/>
        <v>145</v>
      </c>
      <c r="AF50" s="19">
        <f t="shared" si="15"/>
        <v>193</v>
      </c>
      <c r="AG50" s="13">
        <f t="shared" ref="AG50:AG52" si="16">SUM(E50:AF50)</f>
        <v>5282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0.0</v>
      </c>
      <c r="F51" s="19">
        <v>5.0</v>
      </c>
      <c r="G51" s="19">
        <v>5.0</v>
      </c>
      <c r="H51" s="19">
        <v>2.0</v>
      </c>
      <c r="I51" s="19">
        <v>4.0</v>
      </c>
      <c r="J51" s="19">
        <v>3.0</v>
      </c>
      <c r="K51" s="19">
        <v>4.0</v>
      </c>
      <c r="L51" s="19">
        <v>5.0</v>
      </c>
      <c r="M51" s="19">
        <v>4.0</v>
      </c>
      <c r="N51" s="19">
        <v>3.0</v>
      </c>
      <c r="O51" s="19">
        <v>1.0</v>
      </c>
      <c r="P51" s="19">
        <v>3.0</v>
      </c>
      <c r="Q51" s="19">
        <v>4.0</v>
      </c>
      <c r="R51" s="19">
        <v>4.0</v>
      </c>
      <c r="S51" s="19">
        <v>3.0</v>
      </c>
      <c r="T51" s="19">
        <v>7.0</v>
      </c>
      <c r="U51" s="19">
        <v>4.0</v>
      </c>
      <c r="V51" s="19">
        <v>8.0</v>
      </c>
      <c r="W51" s="19">
        <v>8.0</v>
      </c>
      <c r="X51" s="19">
        <v>4.0</v>
      </c>
      <c r="Y51" s="19">
        <v>6.0</v>
      </c>
      <c r="Z51" s="19">
        <v>2.0</v>
      </c>
      <c r="AA51" s="19">
        <v>5.0</v>
      </c>
      <c r="AB51" s="19">
        <v>1.0</v>
      </c>
      <c r="AC51" s="19">
        <v>5.0</v>
      </c>
      <c r="AD51" s="19">
        <v>5.0</v>
      </c>
      <c r="AE51" s="19">
        <v>10.0</v>
      </c>
      <c r="AF51" s="19">
        <v>4.0</v>
      </c>
      <c r="AG51" s="13">
        <f t="shared" si="16"/>
        <v>119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F52" si="17">SUM(E50:E51)</f>
        <v>212</v>
      </c>
      <c r="F52" s="13">
        <f t="shared" si="17"/>
        <v>231</v>
      </c>
      <c r="G52" s="13">
        <f t="shared" si="17"/>
        <v>215</v>
      </c>
      <c r="H52" s="13">
        <f t="shared" si="17"/>
        <v>192</v>
      </c>
      <c r="I52" s="13">
        <f t="shared" si="17"/>
        <v>190</v>
      </c>
      <c r="J52" s="13">
        <f t="shared" si="17"/>
        <v>201</v>
      </c>
      <c r="K52" s="13">
        <f t="shared" si="17"/>
        <v>189</v>
      </c>
      <c r="L52" s="13">
        <f t="shared" si="17"/>
        <v>184</v>
      </c>
      <c r="M52" s="13">
        <f t="shared" si="17"/>
        <v>218</v>
      </c>
      <c r="N52" s="13">
        <f t="shared" si="17"/>
        <v>228</v>
      </c>
      <c r="O52" s="13">
        <f t="shared" si="17"/>
        <v>204</v>
      </c>
      <c r="P52" s="13">
        <f t="shared" si="17"/>
        <v>181</v>
      </c>
      <c r="Q52" s="13">
        <f t="shared" si="17"/>
        <v>208</v>
      </c>
      <c r="R52" s="13">
        <f t="shared" si="17"/>
        <v>176</v>
      </c>
      <c r="S52" s="13">
        <f t="shared" si="17"/>
        <v>205</v>
      </c>
      <c r="T52" s="13">
        <f t="shared" si="17"/>
        <v>206</v>
      </c>
      <c r="U52" s="13">
        <f t="shared" si="17"/>
        <v>165</v>
      </c>
      <c r="V52" s="13">
        <f t="shared" si="17"/>
        <v>186</v>
      </c>
      <c r="W52" s="13">
        <f t="shared" si="17"/>
        <v>209</v>
      </c>
      <c r="X52" s="13">
        <f t="shared" si="17"/>
        <v>208</v>
      </c>
      <c r="Y52" s="13">
        <f t="shared" si="17"/>
        <v>181</v>
      </c>
      <c r="Z52" s="13">
        <f t="shared" si="17"/>
        <v>146</v>
      </c>
      <c r="AA52" s="13">
        <f t="shared" si="17"/>
        <v>143</v>
      </c>
      <c r="AB52" s="13">
        <f t="shared" si="17"/>
        <v>173</v>
      </c>
      <c r="AC52" s="13">
        <f t="shared" si="17"/>
        <v>200</v>
      </c>
      <c r="AD52" s="13">
        <f t="shared" si="17"/>
        <v>198</v>
      </c>
      <c r="AE52" s="13">
        <f t="shared" si="17"/>
        <v>155</v>
      </c>
      <c r="AF52" s="13">
        <f t="shared" si="17"/>
        <v>197</v>
      </c>
      <c r="AG52" s="13">
        <f t="shared" si="16"/>
        <v>5401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F15 E19:AF20 E22:AF23 E25:AF26 E33:AF33 E35:AF35 E39:AF40 E45:AF47 E50:AF51">
    <cfRule type="containsBlanks" dxfId="1" priority="1">
      <formula>LEN(TRIM(E14))=0</formula>
    </cfRule>
  </conditionalFormatting>
  <conditionalFormatting sqref="E30:AF30">
    <cfRule type="expression" dxfId="0" priority="2">
      <formula>E30&lt;&gt;E46</formula>
    </cfRule>
  </conditionalFormatting>
  <conditionalFormatting sqref="E30:AF30">
    <cfRule type="expression" dxfId="0" priority="3">
      <formula>E30&lt;&gt;E34</formula>
    </cfRule>
  </conditionalFormatting>
  <conditionalFormatting sqref="E34:AF34">
    <cfRule type="expression" dxfId="2" priority="4">
      <formula>E30&lt;&gt;E34</formula>
    </cfRule>
  </conditionalFormatting>
  <conditionalFormatting sqref="E34:AF34">
    <cfRule type="expression" dxfId="3" priority="5">
      <formula>E30=E34</formula>
    </cfRule>
  </conditionalFormatting>
  <conditionalFormatting sqref="E34:AF34">
    <cfRule type="expression" dxfId="0" priority="6">
      <formula>E34&lt;&gt;E30</formula>
    </cfRule>
  </conditionalFormatting>
  <conditionalFormatting sqref="E34:AF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D11" s="1"/>
      <c r="AH11" s="1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82.0</v>
      </c>
      <c r="F14" s="19">
        <v>145.0</v>
      </c>
      <c r="G14" s="19">
        <v>137.0</v>
      </c>
      <c r="H14" s="19">
        <v>143.0</v>
      </c>
      <c r="I14" s="19">
        <v>118.0</v>
      </c>
      <c r="J14" s="19">
        <v>149.0</v>
      </c>
      <c r="K14" s="19">
        <v>148.0</v>
      </c>
      <c r="L14" s="19">
        <v>104.0</v>
      </c>
      <c r="M14" s="19">
        <v>96.0</v>
      </c>
      <c r="N14" s="19">
        <v>142.0</v>
      </c>
      <c r="O14" s="19">
        <v>144.0</v>
      </c>
      <c r="P14" s="19">
        <v>127.0</v>
      </c>
      <c r="Q14" s="19">
        <v>94.0</v>
      </c>
      <c r="R14" s="19">
        <v>135.0</v>
      </c>
      <c r="S14" s="19">
        <v>138.0</v>
      </c>
      <c r="T14" s="19">
        <v>145.0</v>
      </c>
      <c r="U14" s="19">
        <v>122.0</v>
      </c>
      <c r="V14" s="19">
        <v>144.0</v>
      </c>
      <c r="W14" s="19">
        <v>149.0</v>
      </c>
      <c r="X14" s="19">
        <v>146.0</v>
      </c>
      <c r="Y14" s="19">
        <v>147.0</v>
      </c>
      <c r="Z14" s="19">
        <v>141.0</v>
      </c>
      <c r="AA14" s="19">
        <v>138.0</v>
      </c>
      <c r="AB14" s="19">
        <v>141.0</v>
      </c>
      <c r="AC14" s="19">
        <v>141.0</v>
      </c>
      <c r="AD14" s="19">
        <v>130.0</v>
      </c>
      <c r="AE14" s="19">
        <v>139.0</v>
      </c>
      <c r="AF14" s="19">
        <v>134.0</v>
      </c>
      <c r="AG14" s="19">
        <v>137.0</v>
      </c>
      <c r="AH14" s="19">
        <v>128.0</v>
      </c>
      <c r="AI14" s="62">
        <v>126.0</v>
      </c>
      <c r="AJ14" s="13">
        <f t="shared" ref="AJ14:AJ16" si="1">SUM(E14:AI14)</f>
        <v>4110</v>
      </c>
    </row>
    <row r="15" ht="12.75" customHeight="1">
      <c r="A15" s="18"/>
      <c r="B15" s="26"/>
      <c r="C15" s="27"/>
      <c r="D15" s="19" t="s">
        <v>13</v>
      </c>
      <c r="E15" s="19">
        <v>88.0</v>
      </c>
      <c r="F15" s="19">
        <v>145.0</v>
      </c>
      <c r="G15" s="19">
        <v>131.0</v>
      </c>
      <c r="H15" s="19">
        <v>125.0</v>
      </c>
      <c r="I15" s="19">
        <v>152.0</v>
      </c>
      <c r="J15" s="19">
        <v>147.0</v>
      </c>
      <c r="K15" s="19">
        <v>144.0</v>
      </c>
      <c r="L15" s="19">
        <v>109.0</v>
      </c>
      <c r="M15" s="62">
        <v>103.0</v>
      </c>
      <c r="N15" s="19">
        <v>145.0</v>
      </c>
      <c r="O15" s="19">
        <v>134.0</v>
      </c>
      <c r="P15" s="19">
        <v>117.0</v>
      </c>
      <c r="Q15" s="19">
        <v>103.0</v>
      </c>
      <c r="R15" s="19">
        <v>128.0</v>
      </c>
      <c r="S15" s="19">
        <v>144.0</v>
      </c>
      <c r="T15" s="19">
        <v>149.0</v>
      </c>
      <c r="U15" s="19">
        <v>123.0</v>
      </c>
      <c r="V15" s="19">
        <v>144.0</v>
      </c>
      <c r="W15" s="19">
        <v>137.0</v>
      </c>
      <c r="X15" s="19">
        <v>140.0</v>
      </c>
      <c r="Y15" s="19">
        <v>145.0</v>
      </c>
      <c r="Z15" s="19">
        <v>130.0</v>
      </c>
      <c r="AA15" s="19">
        <v>130.0</v>
      </c>
      <c r="AB15" s="19">
        <v>144.0</v>
      </c>
      <c r="AC15" s="19">
        <v>146.0</v>
      </c>
      <c r="AD15" s="19">
        <v>149.0</v>
      </c>
      <c r="AE15" s="19">
        <v>138.0</v>
      </c>
      <c r="AF15" s="19">
        <v>152.0</v>
      </c>
      <c r="AG15" s="62">
        <v>133.0</v>
      </c>
      <c r="AH15" s="19">
        <v>124.0</v>
      </c>
      <c r="AI15" s="62">
        <v>147.0</v>
      </c>
      <c r="AJ15" s="13">
        <f t="shared" si="1"/>
        <v>4146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170</v>
      </c>
      <c r="F16" s="13">
        <f t="shared" si="2"/>
        <v>290</v>
      </c>
      <c r="G16" s="13">
        <f t="shared" si="2"/>
        <v>268</v>
      </c>
      <c r="H16" s="13">
        <f t="shared" si="2"/>
        <v>268</v>
      </c>
      <c r="I16" s="13">
        <f t="shared" si="2"/>
        <v>270</v>
      </c>
      <c r="J16" s="13">
        <f t="shared" si="2"/>
        <v>296</v>
      </c>
      <c r="K16" s="13">
        <f t="shared" si="2"/>
        <v>292</v>
      </c>
      <c r="L16" s="13">
        <f t="shared" si="2"/>
        <v>213</v>
      </c>
      <c r="M16" s="13">
        <f t="shared" si="2"/>
        <v>199</v>
      </c>
      <c r="N16" s="13">
        <f t="shared" si="2"/>
        <v>287</v>
      </c>
      <c r="O16" s="13">
        <f t="shared" si="2"/>
        <v>278</v>
      </c>
      <c r="P16" s="13">
        <f t="shared" si="2"/>
        <v>244</v>
      </c>
      <c r="Q16" s="13">
        <f t="shared" si="2"/>
        <v>197</v>
      </c>
      <c r="R16" s="13">
        <f t="shared" si="2"/>
        <v>263</v>
      </c>
      <c r="S16" s="13">
        <f t="shared" si="2"/>
        <v>282</v>
      </c>
      <c r="T16" s="13">
        <f t="shared" si="2"/>
        <v>294</v>
      </c>
      <c r="U16" s="13">
        <f t="shared" si="2"/>
        <v>245</v>
      </c>
      <c r="V16" s="13">
        <f t="shared" si="2"/>
        <v>288</v>
      </c>
      <c r="W16" s="13">
        <f t="shared" si="2"/>
        <v>286</v>
      </c>
      <c r="X16" s="13">
        <f t="shared" si="2"/>
        <v>286</v>
      </c>
      <c r="Y16" s="13">
        <f t="shared" si="2"/>
        <v>292</v>
      </c>
      <c r="Z16" s="13">
        <f t="shared" si="2"/>
        <v>271</v>
      </c>
      <c r="AA16" s="13">
        <f t="shared" si="2"/>
        <v>268</v>
      </c>
      <c r="AB16" s="13">
        <f t="shared" si="2"/>
        <v>285</v>
      </c>
      <c r="AC16" s="13">
        <f t="shared" si="2"/>
        <v>287</v>
      </c>
      <c r="AD16" s="13">
        <f t="shared" si="2"/>
        <v>279</v>
      </c>
      <c r="AE16" s="13">
        <f t="shared" si="2"/>
        <v>277</v>
      </c>
      <c r="AF16" s="13">
        <f t="shared" si="2"/>
        <v>286</v>
      </c>
      <c r="AG16" s="13">
        <f t="shared" si="2"/>
        <v>270</v>
      </c>
      <c r="AH16" s="13">
        <f t="shared" si="2"/>
        <v>252</v>
      </c>
      <c r="AI16" s="13">
        <f t="shared" si="2"/>
        <v>273</v>
      </c>
      <c r="AJ16" s="13">
        <f t="shared" si="1"/>
        <v>8256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19"/>
      <c r="T17" s="19"/>
      <c r="U17" s="19"/>
      <c r="V17" s="19"/>
      <c r="W17" s="19"/>
      <c r="X17" s="19"/>
      <c r="Y17" s="19"/>
      <c r="Z17" s="58"/>
      <c r="AA17" s="58"/>
      <c r="AB17" s="58"/>
      <c r="AC17" s="58"/>
      <c r="AD17" s="19"/>
      <c r="AE17" s="58"/>
      <c r="AF17" s="58"/>
      <c r="AG17" s="58"/>
      <c r="AH17" s="19"/>
      <c r="AI17" s="19"/>
      <c r="AJ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19"/>
      <c r="T18" s="19"/>
      <c r="U18" s="19"/>
      <c r="V18" s="19"/>
      <c r="W18" s="19"/>
      <c r="X18" s="19"/>
      <c r="Y18" s="19"/>
      <c r="Z18" s="58"/>
      <c r="AA18" s="58"/>
      <c r="AB18" s="58"/>
      <c r="AC18" s="58"/>
      <c r="AD18" s="19"/>
      <c r="AE18" s="58"/>
      <c r="AF18" s="58"/>
      <c r="AG18" s="58"/>
      <c r="AH18" s="19"/>
      <c r="AI18" s="19"/>
      <c r="AJ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63.0</v>
      </c>
      <c r="F19" s="19">
        <v>91.0</v>
      </c>
      <c r="G19" s="19">
        <v>95.0</v>
      </c>
      <c r="H19" s="19">
        <v>105.0</v>
      </c>
      <c r="I19" s="19">
        <v>82.0</v>
      </c>
      <c r="J19" s="19">
        <v>103.0</v>
      </c>
      <c r="K19" s="19">
        <v>105.0</v>
      </c>
      <c r="L19" s="19">
        <v>80.0</v>
      </c>
      <c r="M19" s="19">
        <v>75.0</v>
      </c>
      <c r="N19" s="19">
        <v>112.0</v>
      </c>
      <c r="O19" s="19">
        <v>107.0</v>
      </c>
      <c r="P19" s="19">
        <v>96.0</v>
      </c>
      <c r="Q19" s="19">
        <v>76.0</v>
      </c>
      <c r="R19" s="19">
        <v>101.0</v>
      </c>
      <c r="S19" s="19">
        <v>91.0</v>
      </c>
      <c r="T19" s="19">
        <v>107.0</v>
      </c>
      <c r="U19" s="19">
        <v>91.0</v>
      </c>
      <c r="V19" s="19">
        <v>95.0</v>
      </c>
      <c r="W19" s="19">
        <v>118.0</v>
      </c>
      <c r="X19" s="19">
        <v>111.0</v>
      </c>
      <c r="Y19" s="19">
        <v>108.0</v>
      </c>
      <c r="Z19" s="19">
        <v>94.0</v>
      </c>
      <c r="AA19" s="19">
        <v>97.0</v>
      </c>
      <c r="AB19" s="19">
        <v>100.0</v>
      </c>
      <c r="AC19" s="19">
        <v>109.0</v>
      </c>
      <c r="AD19" s="19">
        <v>88.0</v>
      </c>
      <c r="AE19" s="19">
        <v>103.0</v>
      </c>
      <c r="AF19" s="19">
        <v>98.0</v>
      </c>
      <c r="AG19" s="19">
        <v>102.0</v>
      </c>
      <c r="AH19" s="19">
        <v>83.0</v>
      </c>
      <c r="AI19" s="62">
        <v>99.0</v>
      </c>
      <c r="AJ19" s="13">
        <f t="shared" ref="AJ19:AJ30" si="3">SUM(E19:AI19)</f>
        <v>2985</v>
      </c>
    </row>
    <row r="20" ht="12.75" customHeight="1">
      <c r="A20" s="33"/>
      <c r="B20" s="27"/>
      <c r="C20" s="34"/>
      <c r="D20" s="19" t="s">
        <v>13</v>
      </c>
      <c r="E20" s="19">
        <v>67.0</v>
      </c>
      <c r="F20" s="19">
        <v>99.0</v>
      </c>
      <c r="G20" s="19">
        <v>93.0</v>
      </c>
      <c r="H20" s="19">
        <v>91.0</v>
      </c>
      <c r="I20" s="19">
        <v>107.0</v>
      </c>
      <c r="J20" s="19">
        <v>112.0</v>
      </c>
      <c r="K20" s="19">
        <v>110.0</v>
      </c>
      <c r="L20" s="19">
        <v>91.0</v>
      </c>
      <c r="M20" s="19">
        <v>73.0</v>
      </c>
      <c r="N20" s="19">
        <v>117.0</v>
      </c>
      <c r="O20" s="19">
        <v>106.0</v>
      </c>
      <c r="P20" s="19">
        <v>94.0</v>
      </c>
      <c r="Q20" s="19">
        <v>71.0</v>
      </c>
      <c r="R20" s="19">
        <v>100.0</v>
      </c>
      <c r="S20" s="19">
        <v>101.0</v>
      </c>
      <c r="T20" s="19">
        <v>108.0</v>
      </c>
      <c r="U20" s="19">
        <v>77.0</v>
      </c>
      <c r="V20" s="19">
        <v>109.0</v>
      </c>
      <c r="W20" s="19">
        <v>111.0</v>
      </c>
      <c r="X20" s="19">
        <v>99.0</v>
      </c>
      <c r="Y20" s="19">
        <v>124.0</v>
      </c>
      <c r="Z20" s="19">
        <v>94.0</v>
      </c>
      <c r="AA20" s="19">
        <v>99.0</v>
      </c>
      <c r="AB20" s="19">
        <v>111.0</v>
      </c>
      <c r="AC20" s="19">
        <v>119.0</v>
      </c>
      <c r="AD20" s="19">
        <v>109.0</v>
      </c>
      <c r="AE20" s="19">
        <v>119.0</v>
      </c>
      <c r="AF20" s="19">
        <v>120.0</v>
      </c>
      <c r="AG20" s="19">
        <v>102.0</v>
      </c>
      <c r="AH20" s="19">
        <v>94.0</v>
      </c>
      <c r="AI20" s="62">
        <v>120.0</v>
      </c>
      <c r="AJ20" s="13">
        <f t="shared" si="3"/>
        <v>3147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130</v>
      </c>
      <c r="F21" s="13">
        <f t="shared" si="4"/>
        <v>190</v>
      </c>
      <c r="G21" s="13">
        <f t="shared" si="4"/>
        <v>188</v>
      </c>
      <c r="H21" s="13">
        <f t="shared" si="4"/>
        <v>196</v>
      </c>
      <c r="I21" s="13">
        <f t="shared" si="4"/>
        <v>189</v>
      </c>
      <c r="J21" s="13">
        <f t="shared" si="4"/>
        <v>215</v>
      </c>
      <c r="K21" s="13">
        <f t="shared" si="4"/>
        <v>215</v>
      </c>
      <c r="L21" s="13">
        <f t="shared" si="4"/>
        <v>171</v>
      </c>
      <c r="M21" s="13">
        <f t="shared" si="4"/>
        <v>148</v>
      </c>
      <c r="N21" s="13">
        <f t="shared" si="4"/>
        <v>229</v>
      </c>
      <c r="O21" s="13">
        <f t="shared" si="4"/>
        <v>213</v>
      </c>
      <c r="P21" s="13">
        <f t="shared" si="4"/>
        <v>190</v>
      </c>
      <c r="Q21" s="13">
        <f t="shared" si="4"/>
        <v>147</v>
      </c>
      <c r="R21" s="13">
        <f t="shared" si="4"/>
        <v>201</v>
      </c>
      <c r="S21" s="13">
        <f t="shared" si="4"/>
        <v>192</v>
      </c>
      <c r="T21" s="13">
        <f t="shared" si="4"/>
        <v>215</v>
      </c>
      <c r="U21" s="13">
        <f t="shared" si="4"/>
        <v>168</v>
      </c>
      <c r="V21" s="13">
        <f t="shared" si="4"/>
        <v>204</v>
      </c>
      <c r="W21" s="13">
        <f t="shared" si="4"/>
        <v>229</v>
      </c>
      <c r="X21" s="13">
        <f t="shared" si="4"/>
        <v>210</v>
      </c>
      <c r="Y21" s="13">
        <f t="shared" si="4"/>
        <v>232</v>
      </c>
      <c r="Z21" s="13">
        <f t="shared" si="4"/>
        <v>188</v>
      </c>
      <c r="AA21" s="13">
        <f t="shared" si="4"/>
        <v>196</v>
      </c>
      <c r="AB21" s="13">
        <f t="shared" si="4"/>
        <v>211</v>
      </c>
      <c r="AC21" s="13">
        <f t="shared" si="4"/>
        <v>228</v>
      </c>
      <c r="AD21" s="13">
        <f t="shared" si="4"/>
        <v>197</v>
      </c>
      <c r="AE21" s="13">
        <f t="shared" si="4"/>
        <v>222</v>
      </c>
      <c r="AF21" s="13">
        <f t="shared" si="4"/>
        <v>218</v>
      </c>
      <c r="AG21" s="13">
        <f t="shared" si="4"/>
        <v>204</v>
      </c>
      <c r="AH21" s="13">
        <f t="shared" si="4"/>
        <v>177</v>
      </c>
      <c r="AI21" s="13">
        <f t="shared" si="4"/>
        <v>219</v>
      </c>
      <c r="AJ21" s="13">
        <f t="shared" si="3"/>
        <v>6132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0.0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62">
        <v>0.0</v>
      </c>
      <c r="AI22" s="62">
        <v>0.0</v>
      </c>
      <c r="AJ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62">
        <v>0.0</v>
      </c>
      <c r="AI23" s="62">
        <v>0.0</v>
      </c>
      <c r="AJ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1</v>
      </c>
      <c r="F24" s="13">
        <f t="shared" si="5"/>
        <v>1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2.0</v>
      </c>
      <c r="I25" s="19">
        <v>0.0</v>
      </c>
      <c r="J25" s="19">
        <v>0.0</v>
      </c>
      <c r="K25" s="19">
        <v>0.0</v>
      </c>
      <c r="L25" s="19">
        <v>1.0</v>
      </c>
      <c r="M25" s="19">
        <v>2.0</v>
      </c>
      <c r="N25" s="19">
        <v>0.0</v>
      </c>
      <c r="O25" s="19">
        <v>1.0</v>
      </c>
      <c r="P25" s="19">
        <v>0.0</v>
      </c>
      <c r="Q25" s="19">
        <v>0.0</v>
      </c>
      <c r="R25" s="19">
        <v>1.0</v>
      </c>
      <c r="S25" s="19">
        <v>0.0</v>
      </c>
      <c r="T25" s="19">
        <v>0.0</v>
      </c>
      <c r="U25" s="19">
        <v>1.0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2.0</v>
      </c>
      <c r="AC25" s="19">
        <v>0.0</v>
      </c>
      <c r="AD25" s="19">
        <v>1.0</v>
      </c>
      <c r="AE25" s="19">
        <v>0.0</v>
      </c>
      <c r="AF25" s="19">
        <v>0.0</v>
      </c>
      <c r="AG25" s="19">
        <v>1.0</v>
      </c>
      <c r="AH25" s="19">
        <v>1.0</v>
      </c>
      <c r="AI25" s="62">
        <v>0.0</v>
      </c>
      <c r="AJ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5.0</v>
      </c>
      <c r="G26" s="19">
        <v>0.0</v>
      </c>
      <c r="H26" s="19">
        <v>2.0</v>
      </c>
      <c r="I26" s="19">
        <v>2.0</v>
      </c>
      <c r="J26" s="19">
        <v>0.0</v>
      </c>
      <c r="K26" s="19">
        <v>1.0</v>
      </c>
      <c r="L26" s="19">
        <v>3.0</v>
      </c>
      <c r="M26" s="19">
        <v>0.0</v>
      </c>
      <c r="N26" s="19">
        <v>0.0</v>
      </c>
      <c r="O26" s="19">
        <v>2.0</v>
      </c>
      <c r="P26" s="19">
        <v>0.0</v>
      </c>
      <c r="Q26" s="19">
        <v>0.0</v>
      </c>
      <c r="R26" s="19">
        <v>0.0</v>
      </c>
      <c r="S26" s="19">
        <v>0.0</v>
      </c>
      <c r="T26" s="19">
        <v>1.0</v>
      </c>
      <c r="U26" s="19">
        <v>2.0</v>
      </c>
      <c r="V26" s="19">
        <v>0.0</v>
      </c>
      <c r="W26" s="19">
        <v>0.0</v>
      </c>
      <c r="X26" s="19">
        <v>0.0</v>
      </c>
      <c r="Y26" s="19">
        <v>3.0</v>
      </c>
      <c r="Z26" s="19">
        <v>0.0</v>
      </c>
      <c r="AA26" s="19">
        <v>0.0</v>
      </c>
      <c r="AB26" s="19">
        <v>5.0</v>
      </c>
      <c r="AC26" s="19">
        <v>1.0</v>
      </c>
      <c r="AD26" s="19">
        <v>1.0</v>
      </c>
      <c r="AE26" s="19">
        <v>0.0</v>
      </c>
      <c r="AF26" s="19">
        <v>3.0</v>
      </c>
      <c r="AG26" s="19">
        <v>1.0</v>
      </c>
      <c r="AH26" s="19">
        <v>6.0</v>
      </c>
      <c r="AI26" s="62">
        <v>0.0</v>
      </c>
      <c r="AJ26" s="13">
        <f t="shared" si="3"/>
        <v>38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0</v>
      </c>
      <c r="F27" s="13">
        <f t="shared" si="6"/>
        <v>6</v>
      </c>
      <c r="G27" s="13">
        <f t="shared" si="6"/>
        <v>0</v>
      </c>
      <c r="H27" s="13">
        <f t="shared" si="6"/>
        <v>4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4</v>
      </c>
      <c r="M27" s="13">
        <f t="shared" si="6"/>
        <v>2</v>
      </c>
      <c r="N27" s="13">
        <f t="shared" si="6"/>
        <v>0</v>
      </c>
      <c r="O27" s="13">
        <f t="shared" si="6"/>
        <v>3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3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0</v>
      </c>
      <c r="AB27" s="13">
        <f t="shared" si="6"/>
        <v>7</v>
      </c>
      <c r="AC27" s="13">
        <f t="shared" si="6"/>
        <v>1</v>
      </c>
      <c r="AD27" s="13">
        <f t="shared" si="6"/>
        <v>2</v>
      </c>
      <c r="AE27" s="13">
        <f t="shared" si="6"/>
        <v>0</v>
      </c>
      <c r="AF27" s="13">
        <f t="shared" si="6"/>
        <v>3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si="3"/>
        <v>52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63</v>
      </c>
      <c r="F28" s="13">
        <f t="shared" si="7"/>
        <v>92</v>
      </c>
      <c r="G28" s="13">
        <f t="shared" si="7"/>
        <v>95</v>
      </c>
      <c r="H28" s="13">
        <f t="shared" si="7"/>
        <v>108</v>
      </c>
      <c r="I28" s="13">
        <f t="shared" si="7"/>
        <v>82</v>
      </c>
      <c r="J28" s="13">
        <f t="shared" si="7"/>
        <v>103</v>
      </c>
      <c r="K28" s="13">
        <f t="shared" si="7"/>
        <v>105</v>
      </c>
      <c r="L28" s="13">
        <f t="shared" si="7"/>
        <v>81</v>
      </c>
      <c r="M28" s="13">
        <f t="shared" si="7"/>
        <v>77</v>
      </c>
      <c r="N28" s="13">
        <f t="shared" si="7"/>
        <v>112</v>
      </c>
      <c r="O28" s="13">
        <f t="shared" si="7"/>
        <v>108</v>
      </c>
      <c r="P28" s="13">
        <f t="shared" si="7"/>
        <v>96</v>
      </c>
      <c r="Q28" s="13">
        <f t="shared" si="7"/>
        <v>76</v>
      </c>
      <c r="R28" s="13">
        <f t="shared" si="7"/>
        <v>102</v>
      </c>
      <c r="S28" s="13">
        <f t="shared" si="7"/>
        <v>92</v>
      </c>
      <c r="T28" s="13">
        <f t="shared" si="7"/>
        <v>107</v>
      </c>
      <c r="U28" s="13">
        <f t="shared" si="7"/>
        <v>94</v>
      </c>
      <c r="V28" s="13">
        <f t="shared" si="7"/>
        <v>95</v>
      </c>
      <c r="W28" s="13">
        <f t="shared" si="7"/>
        <v>118</v>
      </c>
      <c r="X28" s="13">
        <f t="shared" si="7"/>
        <v>111</v>
      </c>
      <c r="Y28" s="13">
        <f t="shared" si="7"/>
        <v>108</v>
      </c>
      <c r="Z28" s="13">
        <f t="shared" si="7"/>
        <v>94</v>
      </c>
      <c r="AA28" s="13">
        <f t="shared" si="7"/>
        <v>97</v>
      </c>
      <c r="AB28" s="13">
        <f t="shared" si="7"/>
        <v>102</v>
      </c>
      <c r="AC28" s="13">
        <f t="shared" si="7"/>
        <v>109</v>
      </c>
      <c r="AD28" s="13">
        <f t="shared" si="7"/>
        <v>89</v>
      </c>
      <c r="AE28" s="13">
        <f t="shared" si="7"/>
        <v>103</v>
      </c>
      <c r="AF28" s="13">
        <f t="shared" si="7"/>
        <v>98</v>
      </c>
      <c r="AG28" s="13">
        <f t="shared" si="7"/>
        <v>103</v>
      </c>
      <c r="AH28" s="13">
        <f t="shared" si="7"/>
        <v>84</v>
      </c>
      <c r="AI28" s="13">
        <f t="shared" si="7"/>
        <v>99</v>
      </c>
      <c r="AJ28" s="13">
        <f t="shared" si="3"/>
        <v>3003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68</v>
      </c>
      <c r="F29" s="13">
        <f t="shared" si="8"/>
        <v>105</v>
      </c>
      <c r="G29" s="13">
        <f t="shared" si="8"/>
        <v>93</v>
      </c>
      <c r="H29" s="13">
        <f t="shared" si="8"/>
        <v>93</v>
      </c>
      <c r="I29" s="13">
        <f t="shared" si="8"/>
        <v>109</v>
      </c>
      <c r="J29" s="13">
        <f t="shared" si="8"/>
        <v>112</v>
      </c>
      <c r="K29" s="13">
        <f t="shared" si="8"/>
        <v>111</v>
      </c>
      <c r="L29" s="13">
        <f t="shared" si="8"/>
        <v>94</v>
      </c>
      <c r="M29" s="13">
        <f t="shared" si="8"/>
        <v>73</v>
      </c>
      <c r="N29" s="13">
        <f t="shared" si="8"/>
        <v>117</v>
      </c>
      <c r="O29" s="13">
        <f t="shared" si="8"/>
        <v>108</v>
      </c>
      <c r="P29" s="13">
        <f t="shared" si="8"/>
        <v>94</v>
      </c>
      <c r="Q29" s="13">
        <f t="shared" si="8"/>
        <v>71</v>
      </c>
      <c r="R29" s="13">
        <f t="shared" si="8"/>
        <v>100</v>
      </c>
      <c r="S29" s="13">
        <f t="shared" si="8"/>
        <v>101</v>
      </c>
      <c r="T29" s="13">
        <f t="shared" si="8"/>
        <v>109</v>
      </c>
      <c r="U29" s="13">
        <f t="shared" si="8"/>
        <v>80</v>
      </c>
      <c r="V29" s="13">
        <f t="shared" si="8"/>
        <v>109</v>
      </c>
      <c r="W29" s="13">
        <f t="shared" si="8"/>
        <v>111</v>
      </c>
      <c r="X29" s="13">
        <f t="shared" si="8"/>
        <v>99</v>
      </c>
      <c r="Y29" s="13">
        <f t="shared" si="8"/>
        <v>127</v>
      </c>
      <c r="Z29" s="13">
        <f t="shared" si="8"/>
        <v>94</v>
      </c>
      <c r="AA29" s="13">
        <f t="shared" si="8"/>
        <v>99</v>
      </c>
      <c r="AB29" s="13">
        <f t="shared" si="8"/>
        <v>116</v>
      </c>
      <c r="AC29" s="13">
        <f t="shared" si="8"/>
        <v>120</v>
      </c>
      <c r="AD29" s="13">
        <f t="shared" si="8"/>
        <v>110</v>
      </c>
      <c r="AE29" s="13">
        <f t="shared" si="8"/>
        <v>119</v>
      </c>
      <c r="AF29" s="13">
        <f t="shared" si="8"/>
        <v>123</v>
      </c>
      <c r="AG29" s="13">
        <f t="shared" si="8"/>
        <v>103</v>
      </c>
      <c r="AH29" s="13">
        <f t="shared" si="8"/>
        <v>100</v>
      </c>
      <c r="AI29" s="13">
        <f t="shared" si="8"/>
        <v>120</v>
      </c>
      <c r="AJ29" s="13">
        <f t="shared" si="3"/>
        <v>3188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131</v>
      </c>
      <c r="F30" s="13">
        <f t="shared" si="9"/>
        <v>197</v>
      </c>
      <c r="G30" s="13">
        <f t="shared" si="9"/>
        <v>188</v>
      </c>
      <c r="H30" s="13">
        <f t="shared" si="9"/>
        <v>201</v>
      </c>
      <c r="I30" s="13">
        <f t="shared" si="9"/>
        <v>191</v>
      </c>
      <c r="J30" s="13">
        <f t="shared" si="9"/>
        <v>215</v>
      </c>
      <c r="K30" s="13">
        <f t="shared" si="9"/>
        <v>216</v>
      </c>
      <c r="L30" s="13">
        <f t="shared" si="9"/>
        <v>175</v>
      </c>
      <c r="M30" s="13">
        <f t="shared" si="9"/>
        <v>150</v>
      </c>
      <c r="N30" s="13">
        <f t="shared" si="9"/>
        <v>229</v>
      </c>
      <c r="O30" s="13">
        <f t="shared" si="9"/>
        <v>216</v>
      </c>
      <c r="P30" s="13">
        <f t="shared" si="9"/>
        <v>190</v>
      </c>
      <c r="Q30" s="13">
        <f t="shared" si="9"/>
        <v>147</v>
      </c>
      <c r="R30" s="13">
        <f t="shared" si="9"/>
        <v>202</v>
      </c>
      <c r="S30" s="13">
        <f t="shared" si="9"/>
        <v>193</v>
      </c>
      <c r="T30" s="13">
        <f t="shared" si="9"/>
        <v>216</v>
      </c>
      <c r="U30" s="13">
        <f t="shared" si="9"/>
        <v>174</v>
      </c>
      <c r="V30" s="13">
        <f t="shared" si="9"/>
        <v>204</v>
      </c>
      <c r="W30" s="13">
        <f t="shared" si="9"/>
        <v>229</v>
      </c>
      <c r="X30" s="13">
        <f t="shared" si="9"/>
        <v>210</v>
      </c>
      <c r="Y30" s="13">
        <f t="shared" si="9"/>
        <v>235</v>
      </c>
      <c r="Z30" s="13">
        <f t="shared" si="9"/>
        <v>188</v>
      </c>
      <c r="AA30" s="13">
        <f t="shared" si="9"/>
        <v>196</v>
      </c>
      <c r="AB30" s="13">
        <f t="shared" si="9"/>
        <v>218</v>
      </c>
      <c r="AC30" s="13">
        <f t="shared" si="9"/>
        <v>229</v>
      </c>
      <c r="AD30" s="13">
        <f t="shared" si="9"/>
        <v>199</v>
      </c>
      <c r="AE30" s="13">
        <f t="shared" si="9"/>
        <v>222</v>
      </c>
      <c r="AF30" s="13">
        <f t="shared" si="9"/>
        <v>221</v>
      </c>
      <c r="AG30" s="13">
        <f t="shared" si="9"/>
        <v>206</v>
      </c>
      <c r="AH30" s="13">
        <f t="shared" si="9"/>
        <v>184</v>
      </c>
      <c r="AI30" s="13">
        <f t="shared" si="9"/>
        <v>219</v>
      </c>
      <c r="AJ30" s="13">
        <f t="shared" si="3"/>
        <v>6191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19"/>
      <c r="T31" s="19"/>
      <c r="U31" s="19"/>
      <c r="V31" s="19"/>
      <c r="W31" s="19"/>
      <c r="X31" s="19"/>
      <c r="Y31" s="19"/>
      <c r="Z31" s="58"/>
      <c r="AA31" s="58"/>
      <c r="AB31" s="58"/>
      <c r="AC31" s="58"/>
      <c r="AD31" s="19"/>
      <c r="AE31" s="58"/>
      <c r="AF31" s="58"/>
      <c r="AG31" s="58"/>
      <c r="AH31" s="19"/>
      <c r="AI31" s="19"/>
      <c r="AJ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60"/>
      <c r="AC32" s="60"/>
      <c r="AD32" s="13"/>
      <c r="AE32" s="60"/>
      <c r="AF32" s="60"/>
      <c r="AG32" s="60"/>
      <c r="AH32" s="13"/>
      <c r="AI32" s="13"/>
      <c r="AJ32" s="59"/>
    </row>
    <row r="33" ht="12.75" customHeight="1">
      <c r="A33" s="19">
        <v>1.0</v>
      </c>
      <c r="B33" s="20" t="s">
        <v>27</v>
      </c>
      <c r="C33" s="15"/>
      <c r="D33" s="16"/>
      <c r="E33" s="19">
        <v>175.0</v>
      </c>
      <c r="F33" s="19">
        <v>296.0</v>
      </c>
      <c r="G33" s="19">
        <v>274.0</v>
      </c>
      <c r="H33" s="19">
        <v>274.0</v>
      </c>
      <c r="I33" s="19">
        <v>276.0</v>
      </c>
      <c r="J33" s="19">
        <v>302.0</v>
      </c>
      <c r="K33" s="19">
        <v>298.0</v>
      </c>
      <c r="L33" s="19">
        <v>218.0</v>
      </c>
      <c r="M33" s="19">
        <v>202.0</v>
      </c>
      <c r="N33" s="19">
        <v>300.0</v>
      </c>
      <c r="O33" s="19">
        <v>284.0</v>
      </c>
      <c r="P33" s="19">
        <v>247.0</v>
      </c>
      <c r="Q33" s="19">
        <v>201.0</v>
      </c>
      <c r="R33" s="19">
        <v>269.0</v>
      </c>
      <c r="S33" s="19">
        <v>288.0</v>
      </c>
      <c r="T33" s="19">
        <v>299.0</v>
      </c>
      <c r="U33" s="19">
        <v>250.0</v>
      </c>
      <c r="V33" s="19">
        <v>294.0</v>
      </c>
      <c r="W33" s="19">
        <v>293.0</v>
      </c>
      <c r="X33" s="19">
        <v>292.0</v>
      </c>
      <c r="Y33" s="19">
        <v>300.0</v>
      </c>
      <c r="Z33" s="19">
        <v>277.0</v>
      </c>
      <c r="AA33" s="19">
        <v>272.0</v>
      </c>
      <c r="AB33" s="19">
        <v>291.0</v>
      </c>
      <c r="AC33" s="19">
        <v>293.0</v>
      </c>
      <c r="AD33" s="19">
        <v>285.0</v>
      </c>
      <c r="AE33" s="19">
        <v>283.0</v>
      </c>
      <c r="AF33" s="19">
        <v>292.0</v>
      </c>
      <c r="AG33" s="19">
        <v>276.0</v>
      </c>
      <c r="AH33" s="19">
        <v>256.0</v>
      </c>
      <c r="AI33" s="62">
        <v>279.0</v>
      </c>
      <c r="AJ33" s="13">
        <f t="shared" ref="AJ33:AJ36" si="10">SUM(E33:AI33)</f>
        <v>8436</v>
      </c>
    </row>
    <row r="34" ht="12.75" customHeight="1">
      <c r="A34" s="19">
        <v>2.0</v>
      </c>
      <c r="B34" s="20" t="s">
        <v>28</v>
      </c>
      <c r="C34" s="15"/>
      <c r="D34" s="16"/>
      <c r="E34" s="13">
        <v>131.0</v>
      </c>
      <c r="F34" s="13">
        <v>197.0</v>
      </c>
      <c r="G34" s="13">
        <v>188.0</v>
      </c>
      <c r="H34" s="13">
        <v>201.0</v>
      </c>
      <c r="I34" s="13">
        <v>191.0</v>
      </c>
      <c r="J34" s="13">
        <v>215.0</v>
      </c>
      <c r="K34" s="13">
        <v>216.0</v>
      </c>
      <c r="L34" s="13">
        <v>175.0</v>
      </c>
      <c r="M34" s="13">
        <v>150.0</v>
      </c>
      <c r="N34" s="13">
        <v>229.0</v>
      </c>
      <c r="O34" s="13">
        <v>216.0</v>
      </c>
      <c r="P34" s="13">
        <v>190.0</v>
      </c>
      <c r="Q34" s="13">
        <v>147.0</v>
      </c>
      <c r="R34" s="13">
        <v>202.0</v>
      </c>
      <c r="S34" s="13">
        <v>193.0</v>
      </c>
      <c r="T34" s="13">
        <v>216.0</v>
      </c>
      <c r="U34" s="13">
        <v>174.0</v>
      </c>
      <c r="V34" s="13">
        <v>204.0</v>
      </c>
      <c r="W34" s="13">
        <v>229.0</v>
      </c>
      <c r="X34" s="13">
        <v>210.0</v>
      </c>
      <c r="Y34" s="13">
        <v>235.0</v>
      </c>
      <c r="Z34" s="13">
        <v>188.0</v>
      </c>
      <c r="AA34" s="13">
        <v>196.0</v>
      </c>
      <c r="AB34" s="13">
        <v>218.0</v>
      </c>
      <c r="AC34" s="13">
        <v>229.0</v>
      </c>
      <c r="AD34" s="13">
        <v>199.0</v>
      </c>
      <c r="AE34" s="13">
        <v>222.0</v>
      </c>
      <c r="AF34" s="13">
        <v>221.0</v>
      </c>
      <c r="AG34" s="13">
        <v>206.0</v>
      </c>
      <c r="AH34" s="13">
        <v>184.0</v>
      </c>
      <c r="AI34" s="63">
        <v>219.0</v>
      </c>
      <c r="AJ34" s="13">
        <f t="shared" si="10"/>
        <v>6191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3.0</v>
      </c>
      <c r="G35" s="19">
        <v>0.0</v>
      </c>
      <c r="H35" s="19">
        <v>0.0</v>
      </c>
      <c r="I35" s="19">
        <v>0.0</v>
      </c>
      <c r="J35" s="19">
        <v>1.0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1.0</v>
      </c>
      <c r="AI35" s="62">
        <v>0.0</v>
      </c>
      <c r="AJ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43</v>
      </c>
      <c r="F36" s="13">
        <f t="shared" si="11"/>
        <v>96</v>
      </c>
      <c r="G36" s="13">
        <f t="shared" si="11"/>
        <v>86</v>
      </c>
      <c r="H36" s="13">
        <f t="shared" si="11"/>
        <v>73</v>
      </c>
      <c r="I36" s="13">
        <f t="shared" si="11"/>
        <v>85</v>
      </c>
      <c r="J36" s="13">
        <f t="shared" si="11"/>
        <v>86</v>
      </c>
      <c r="K36" s="13">
        <f t="shared" si="11"/>
        <v>80</v>
      </c>
      <c r="L36" s="13">
        <f t="shared" si="11"/>
        <v>43</v>
      </c>
      <c r="M36" s="13">
        <f t="shared" si="11"/>
        <v>52</v>
      </c>
      <c r="N36" s="13">
        <f t="shared" si="11"/>
        <v>71</v>
      </c>
      <c r="O36" s="13">
        <f t="shared" si="11"/>
        <v>68</v>
      </c>
      <c r="P36" s="13">
        <f t="shared" si="11"/>
        <v>57</v>
      </c>
      <c r="Q36" s="13">
        <f t="shared" si="11"/>
        <v>52</v>
      </c>
      <c r="R36" s="13">
        <f t="shared" si="11"/>
        <v>67</v>
      </c>
      <c r="S36" s="13">
        <f t="shared" si="11"/>
        <v>95</v>
      </c>
      <c r="T36" s="13">
        <f t="shared" si="11"/>
        <v>83</v>
      </c>
      <c r="U36" s="13">
        <f t="shared" si="11"/>
        <v>76</v>
      </c>
      <c r="V36" s="13">
        <f t="shared" si="11"/>
        <v>90</v>
      </c>
      <c r="W36" s="13">
        <f t="shared" si="11"/>
        <v>64</v>
      </c>
      <c r="X36" s="13">
        <f t="shared" si="11"/>
        <v>82</v>
      </c>
      <c r="Y36" s="13">
        <f t="shared" si="11"/>
        <v>65</v>
      </c>
      <c r="Z36" s="13">
        <f t="shared" si="11"/>
        <v>89</v>
      </c>
      <c r="AA36" s="13">
        <f t="shared" si="11"/>
        <v>76</v>
      </c>
      <c r="AB36" s="13">
        <f t="shared" si="11"/>
        <v>73</v>
      </c>
      <c r="AC36" s="13">
        <f t="shared" si="11"/>
        <v>64</v>
      </c>
      <c r="AD36" s="13">
        <f t="shared" si="11"/>
        <v>86</v>
      </c>
      <c r="AE36" s="13">
        <f t="shared" si="11"/>
        <v>61</v>
      </c>
      <c r="AF36" s="13">
        <f t="shared" si="11"/>
        <v>71</v>
      </c>
      <c r="AG36" s="13">
        <f t="shared" si="11"/>
        <v>70</v>
      </c>
      <c r="AH36" s="13">
        <f t="shared" si="11"/>
        <v>71</v>
      </c>
      <c r="AI36" s="13">
        <f t="shared" si="11"/>
        <v>60</v>
      </c>
      <c r="AJ36" s="13">
        <f t="shared" si="10"/>
        <v>2235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60"/>
      <c r="AC38" s="60"/>
      <c r="AD38" s="13"/>
      <c r="AE38" s="60"/>
      <c r="AF38" s="60"/>
      <c r="AG38" s="60"/>
      <c r="AH38" s="13"/>
      <c r="AI38" s="13"/>
      <c r="AJ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1.0</v>
      </c>
      <c r="AE39" s="19">
        <v>0.0</v>
      </c>
      <c r="AF39" s="19">
        <v>0.0</v>
      </c>
      <c r="AG39" s="19">
        <v>0.0</v>
      </c>
      <c r="AH39" s="62">
        <v>0.0</v>
      </c>
      <c r="AI39" s="62">
        <v>0.0</v>
      </c>
      <c r="AJ39" s="13">
        <f t="shared" ref="AJ39:AJ41" si="12">SUM(E39:AI39)</f>
        <v>5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62">
        <v>0.0</v>
      </c>
      <c r="AI40" s="62">
        <v>0.0</v>
      </c>
      <c r="AJ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v>2.0</v>
      </c>
      <c r="F41" s="13">
        <v>1.0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3">
        <f t="shared" ref="T41:AI41" si="13">SUM(T39:T40)</f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60"/>
      <c r="AC43" s="60"/>
      <c r="AD43" s="13"/>
      <c r="AE43" s="13"/>
      <c r="AF43" s="60"/>
      <c r="AG43" s="60"/>
      <c r="AH43" s="13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19"/>
      <c r="Z44" s="58"/>
      <c r="AA44" s="19"/>
      <c r="AB44" s="58"/>
      <c r="AC44" s="58"/>
      <c r="AD44" s="19"/>
      <c r="AE44" s="19"/>
      <c r="AF44" s="58"/>
      <c r="AG44" s="58"/>
      <c r="AH44" s="19"/>
      <c r="AI44" s="19"/>
      <c r="AJ44" s="13"/>
    </row>
    <row r="45" ht="12.75" customHeight="1">
      <c r="A45" s="30"/>
      <c r="B45" s="47">
        <v>1.0</v>
      </c>
      <c r="C45" s="48" t="s">
        <v>37</v>
      </c>
      <c r="D45" s="16"/>
      <c r="E45" s="19">
        <v>3.0</v>
      </c>
      <c r="F45" s="19">
        <v>18.0</v>
      </c>
      <c r="G45" s="19">
        <v>7.0</v>
      </c>
      <c r="H45" s="19">
        <v>5.0</v>
      </c>
      <c r="I45" s="19">
        <v>14.0</v>
      </c>
      <c r="J45" s="19">
        <v>8.0</v>
      </c>
      <c r="K45" s="19">
        <v>24.0</v>
      </c>
      <c r="L45" s="19">
        <v>6.0</v>
      </c>
      <c r="M45" s="19">
        <v>12.0</v>
      </c>
      <c r="N45" s="19">
        <v>5.0</v>
      </c>
      <c r="O45" s="19">
        <v>4.0</v>
      </c>
      <c r="P45" s="19">
        <v>11.0</v>
      </c>
      <c r="Q45" s="19">
        <v>11.0</v>
      </c>
      <c r="R45" s="19">
        <v>6.0</v>
      </c>
      <c r="S45" s="19">
        <v>16.0</v>
      </c>
      <c r="T45" s="19">
        <v>54.0</v>
      </c>
      <c r="U45" s="19">
        <v>12.0</v>
      </c>
      <c r="V45" s="19">
        <v>11.0</v>
      </c>
      <c r="W45" s="19">
        <v>19.0</v>
      </c>
      <c r="X45" s="19">
        <v>13.0</v>
      </c>
      <c r="Y45" s="19">
        <v>23.0</v>
      </c>
      <c r="Z45" s="19">
        <v>26.0</v>
      </c>
      <c r="AA45" s="19">
        <v>17.0</v>
      </c>
      <c r="AB45" s="19">
        <v>24.0</v>
      </c>
      <c r="AC45" s="19">
        <v>15.0</v>
      </c>
      <c r="AD45" s="19">
        <v>24.0</v>
      </c>
      <c r="AE45" s="19">
        <v>25.0</v>
      </c>
      <c r="AF45" s="19">
        <v>19.0</v>
      </c>
      <c r="AG45" s="19">
        <v>31.0</v>
      </c>
      <c r="AH45" s="19">
        <v>17.0</v>
      </c>
      <c r="AI45" s="62">
        <v>22.0</v>
      </c>
      <c r="AJ45" s="13">
        <f t="shared" ref="AJ45:AJ47" si="14">SUM(E45:AI45)</f>
        <v>502</v>
      </c>
    </row>
    <row r="46" ht="12.75" customHeight="1">
      <c r="A46" s="18"/>
      <c r="B46" s="47">
        <v>2.0</v>
      </c>
      <c r="C46" s="48" t="s">
        <v>38</v>
      </c>
      <c r="D46" s="16"/>
      <c r="E46" s="19">
        <v>99.0</v>
      </c>
      <c r="F46" s="19">
        <v>126.0</v>
      </c>
      <c r="G46" s="19">
        <v>147.0</v>
      </c>
      <c r="H46" s="19">
        <v>151.0</v>
      </c>
      <c r="I46" s="19">
        <v>106.0</v>
      </c>
      <c r="J46" s="19">
        <v>168.0</v>
      </c>
      <c r="K46" s="19">
        <v>159.0</v>
      </c>
      <c r="L46" s="19">
        <v>152.0</v>
      </c>
      <c r="M46" s="19">
        <v>106.0</v>
      </c>
      <c r="N46" s="19">
        <v>161.0</v>
      </c>
      <c r="O46" s="19">
        <v>150.0</v>
      </c>
      <c r="P46" s="19">
        <v>106.0</v>
      </c>
      <c r="Q46" s="19">
        <v>83.0</v>
      </c>
      <c r="R46" s="19">
        <v>154.0</v>
      </c>
      <c r="S46" s="19">
        <v>133.0</v>
      </c>
      <c r="T46" s="19">
        <v>131.0</v>
      </c>
      <c r="U46" s="19">
        <v>125.0</v>
      </c>
      <c r="V46" s="19">
        <v>145.0</v>
      </c>
      <c r="W46" s="19">
        <v>163.0</v>
      </c>
      <c r="X46" s="19">
        <v>152.0</v>
      </c>
      <c r="Y46" s="19">
        <v>162.0</v>
      </c>
      <c r="Z46" s="19">
        <v>106.0</v>
      </c>
      <c r="AA46" s="19">
        <v>115.0</v>
      </c>
      <c r="AB46" s="19">
        <v>141.0</v>
      </c>
      <c r="AC46" s="19">
        <v>158.0</v>
      </c>
      <c r="AD46" s="19">
        <v>107.0</v>
      </c>
      <c r="AE46" s="19">
        <v>154.0</v>
      </c>
      <c r="AF46" s="19">
        <v>150.0</v>
      </c>
      <c r="AG46" s="19">
        <v>144.0</v>
      </c>
      <c r="AH46" s="19">
        <v>117.0</v>
      </c>
      <c r="AI46" s="62">
        <v>165.0</v>
      </c>
      <c r="AJ46" s="13">
        <f t="shared" si="14"/>
        <v>4236</v>
      </c>
    </row>
    <row r="47" ht="12.75" customHeight="1">
      <c r="A47" s="18"/>
      <c r="B47" s="47">
        <v>3.0</v>
      </c>
      <c r="C47" s="48" t="s">
        <v>39</v>
      </c>
      <c r="D47" s="16"/>
      <c r="E47" s="19">
        <v>27.0</v>
      </c>
      <c r="F47" s="19">
        <v>47.0</v>
      </c>
      <c r="G47" s="19">
        <v>27.0</v>
      </c>
      <c r="H47" s="19">
        <v>44.0</v>
      </c>
      <c r="I47" s="19">
        <v>61.0</v>
      </c>
      <c r="J47" s="19">
        <v>31.0</v>
      </c>
      <c r="K47" s="19">
        <v>27.0</v>
      </c>
      <c r="L47" s="19">
        <v>13.0</v>
      </c>
      <c r="M47" s="19">
        <v>28.0</v>
      </c>
      <c r="N47" s="19">
        <v>60.0</v>
      </c>
      <c r="O47" s="19">
        <v>60.0</v>
      </c>
      <c r="P47" s="19">
        <v>67.0</v>
      </c>
      <c r="Q47" s="19">
        <v>48.0</v>
      </c>
      <c r="R47" s="19">
        <v>38.0</v>
      </c>
      <c r="S47" s="19">
        <v>36.0</v>
      </c>
      <c r="T47" s="19">
        <v>26.0</v>
      </c>
      <c r="U47" s="19">
        <v>29.0</v>
      </c>
      <c r="V47" s="19">
        <v>43.0</v>
      </c>
      <c r="W47" s="19">
        <v>43.0</v>
      </c>
      <c r="X47" s="19">
        <v>40.0</v>
      </c>
      <c r="Y47" s="19">
        <v>42.0</v>
      </c>
      <c r="Z47" s="19">
        <v>53.0</v>
      </c>
      <c r="AA47" s="19">
        <v>58.0</v>
      </c>
      <c r="AB47" s="19">
        <v>50.0</v>
      </c>
      <c r="AC47" s="19">
        <v>55.0</v>
      </c>
      <c r="AD47" s="19">
        <v>64.0</v>
      </c>
      <c r="AE47" s="19">
        <v>42.0</v>
      </c>
      <c r="AF47" s="19">
        <v>39.0</v>
      </c>
      <c r="AG47" s="19">
        <v>25.0</v>
      </c>
      <c r="AH47" s="19">
        <v>43.0</v>
      </c>
      <c r="AI47" s="62">
        <v>29.0</v>
      </c>
      <c r="AJ47" s="13">
        <f t="shared" si="14"/>
        <v>1295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13"/>
      <c r="R49" s="13"/>
      <c r="S49" s="13"/>
      <c r="T49" s="13"/>
      <c r="U49" s="13"/>
      <c r="V49" s="13"/>
      <c r="W49" s="13"/>
      <c r="X49" s="13"/>
      <c r="Y49" s="13"/>
      <c r="Z49" s="60"/>
      <c r="AA49" s="60"/>
      <c r="AB49" s="60"/>
      <c r="AC49" s="60"/>
      <c r="AD49" s="13"/>
      <c r="AE49" s="60"/>
      <c r="AF49" s="60"/>
      <c r="AG49" s="60"/>
      <c r="AH49" s="13"/>
      <c r="AI49" s="13"/>
      <c r="AJ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I50" si="15">SUM(E45:E47)</f>
        <v>129</v>
      </c>
      <c r="F50" s="19">
        <f t="shared" si="15"/>
        <v>191</v>
      </c>
      <c r="G50" s="19">
        <f t="shared" si="15"/>
        <v>181</v>
      </c>
      <c r="H50" s="19">
        <f t="shared" si="15"/>
        <v>200</v>
      </c>
      <c r="I50" s="19">
        <f t="shared" si="15"/>
        <v>181</v>
      </c>
      <c r="J50" s="19">
        <f t="shared" si="15"/>
        <v>207</v>
      </c>
      <c r="K50" s="19">
        <f t="shared" si="15"/>
        <v>210</v>
      </c>
      <c r="L50" s="19">
        <f t="shared" si="15"/>
        <v>171</v>
      </c>
      <c r="M50" s="19">
        <f t="shared" si="15"/>
        <v>146</v>
      </c>
      <c r="N50" s="19">
        <f t="shared" si="15"/>
        <v>226</v>
      </c>
      <c r="O50" s="19">
        <f t="shared" si="15"/>
        <v>214</v>
      </c>
      <c r="P50" s="19">
        <f t="shared" si="15"/>
        <v>184</v>
      </c>
      <c r="Q50" s="19">
        <f t="shared" si="15"/>
        <v>142</v>
      </c>
      <c r="R50" s="19">
        <f t="shared" si="15"/>
        <v>198</v>
      </c>
      <c r="S50" s="19">
        <f t="shared" si="15"/>
        <v>185</v>
      </c>
      <c r="T50" s="19">
        <f t="shared" si="15"/>
        <v>211</v>
      </c>
      <c r="U50" s="19">
        <f t="shared" si="15"/>
        <v>166</v>
      </c>
      <c r="V50" s="19">
        <f t="shared" si="15"/>
        <v>199</v>
      </c>
      <c r="W50" s="19">
        <f t="shared" si="15"/>
        <v>225</v>
      </c>
      <c r="X50" s="19">
        <f t="shared" si="15"/>
        <v>205</v>
      </c>
      <c r="Y50" s="19">
        <f t="shared" si="15"/>
        <v>227</v>
      </c>
      <c r="Z50" s="19">
        <f t="shared" si="15"/>
        <v>185</v>
      </c>
      <c r="AA50" s="19">
        <f t="shared" si="15"/>
        <v>190</v>
      </c>
      <c r="AB50" s="19">
        <f t="shared" si="15"/>
        <v>215</v>
      </c>
      <c r="AC50" s="19">
        <f t="shared" si="15"/>
        <v>228</v>
      </c>
      <c r="AD50" s="19">
        <f t="shared" si="15"/>
        <v>195</v>
      </c>
      <c r="AE50" s="19">
        <f t="shared" si="15"/>
        <v>221</v>
      </c>
      <c r="AF50" s="19">
        <f t="shared" si="15"/>
        <v>208</v>
      </c>
      <c r="AG50" s="19">
        <f t="shared" si="15"/>
        <v>200</v>
      </c>
      <c r="AH50" s="19">
        <f t="shared" si="15"/>
        <v>177</v>
      </c>
      <c r="AI50" s="19">
        <f t="shared" si="15"/>
        <v>216</v>
      </c>
      <c r="AJ50" s="13">
        <f t="shared" ref="AJ50:AJ52" si="16">SUM(E50:AI50)</f>
        <v>6033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6.0</v>
      </c>
      <c r="G51" s="19">
        <v>7.0</v>
      </c>
      <c r="H51" s="19">
        <v>1.0</v>
      </c>
      <c r="I51" s="19">
        <v>10.0</v>
      </c>
      <c r="J51" s="19">
        <v>8.0</v>
      </c>
      <c r="K51" s="19">
        <v>6.0</v>
      </c>
      <c r="L51" s="19">
        <v>4.0</v>
      </c>
      <c r="M51" s="19">
        <v>4.0</v>
      </c>
      <c r="N51" s="19">
        <v>3.0</v>
      </c>
      <c r="O51" s="19">
        <v>2.0</v>
      </c>
      <c r="P51" s="19">
        <v>6.0</v>
      </c>
      <c r="Q51" s="19">
        <v>5.0</v>
      </c>
      <c r="R51" s="19">
        <v>4.0</v>
      </c>
      <c r="S51" s="19">
        <v>8.0</v>
      </c>
      <c r="T51" s="19">
        <v>5.0</v>
      </c>
      <c r="U51" s="19">
        <v>8.0</v>
      </c>
      <c r="V51" s="19">
        <v>5.0</v>
      </c>
      <c r="W51" s="19">
        <v>4.0</v>
      </c>
      <c r="X51" s="19">
        <v>5.0</v>
      </c>
      <c r="Y51" s="19">
        <v>8.0</v>
      </c>
      <c r="Z51" s="19">
        <v>3.0</v>
      </c>
      <c r="AA51" s="19">
        <v>6.0</v>
      </c>
      <c r="AB51" s="19">
        <v>3.0</v>
      </c>
      <c r="AC51" s="19">
        <v>1.0</v>
      </c>
      <c r="AD51" s="19">
        <v>4.0</v>
      </c>
      <c r="AE51" s="19">
        <v>1.0</v>
      </c>
      <c r="AF51" s="19">
        <v>13.0</v>
      </c>
      <c r="AG51" s="19">
        <v>6.0</v>
      </c>
      <c r="AH51" s="19">
        <v>7.0</v>
      </c>
      <c r="AI51" s="62">
        <v>3.0</v>
      </c>
      <c r="AJ51" s="13">
        <f t="shared" si="16"/>
        <v>158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I52" si="17">SUM(E50:E51)</f>
        <v>131</v>
      </c>
      <c r="F52" s="13">
        <f t="shared" si="17"/>
        <v>197</v>
      </c>
      <c r="G52" s="13">
        <f t="shared" si="17"/>
        <v>188</v>
      </c>
      <c r="H52" s="13">
        <f t="shared" si="17"/>
        <v>201</v>
      </c>
      <c r="I52" s="13">
        <f t="shared" si="17"/>
        <v>191</v>
      </c>
      <c r="J52" s="13">
        <f t="shared" si="17"/>
        <v>215</v>
      </c>
      <c r="K52" s="13">
        <f t="shared" si="17"/>
        <v>216</v>
      </c>
      <c r="L52" s="13">
        <f t="shared" si="17"/>
        <v>175</v>
      </c>
      <c r="M52" s="13">
        <f t="shared" si="17"/>
        <v>150</v>
      </c>
      <c r="N52" s="13">
        <f t="shared" si="17"/>
        <v>229</v>
      </c>
      <c r="O52" s="13">
        <f t="shared" si="17"/>
        <v>216</v>
      </c>
      <c r="P52" s="13">
        <f t="shared" si="17"/>
        <v>190</v>
      </c>
      <c r="Q52" s="13">
        <f t="shared" si="17"/>
        <v>147</v>
      </c>
      <c r="R52" s="13">
        <f t="shared" si="17"/>
        <v>202</v>
      </c>
      <c r="S52" s="13">
        <f t="shared" si="17"/>
        <v>193</v>
      </c>
      <c r="T52" s="13">
        <f t="shared" si="17"/>
        <v>216</v>
      </c>
      <c r="U52" s="13">
        <f t="shared" si="17"/>
        <v>174</v>
      </c>
      <c r="V52" s="13">
        <f t="shared" si="17"/>
        <v>204</v>
      </c>
      <c r="W52" s="13">
        <f t="shared" si="17"/>
        <v>229</v>
      </c>
      <c r="X52" s="13">
        <f t="shared" si="17"/>
        <v>210</v>
      </c>
      <c r="Y52" s="13">
        <f t="shared" si="17"/>
        <v>235</v>
      </c>
      <c r="Z52" s="13">
        <f t="shared" si="17"/>
        <v>188</v>
      </c>
      <c r="AA52" s="13">
        <f t="shared" si="17"/>
        <v>196</v>
      </c>
      <c r="AB52" s="13">
        <f t="shared" si="17"/>
        <v>218</v>
      </c>
      <c r="AC52" s="13">
        <f t="shared" si="17"/>
        <v>229</v>
      </c>
      <c r="AD52" s="13">
        <f t="shared" si="17"/>
        <v>199</v>
      </c>
      <c r="AE52" s="13">
        <f t="shared" si="17"/>
        <v>222</v>
      </c>
      <c r="AF52" s="13">
        <f t="shared" si="17"/>
        <v>221</v>
      </c>
      <c r="AG52" s="13">
        <f t="shared" si="17"/>
        <v>206</v>
      </c>
      <c r="AH52" s="13">
        <f t="shared" si="17"/>
        <v>184</v>
      </c>
      <c r="AI52" s="13">
        <f t="shared" si="17"/>
        <v>219</v>
      </c>
      <c r="AJ52" s="13">
        <f t="shared" si="16"/>
        <v>6191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I37"/>
    <mergeCell ref="B38:D38"/>
    <mergeCell ref="B39:C41"/>
    <mergeCell ref="A42:D42"/>
    <mergeCell ref="E42:AI42"/>
    <mergeCell ref="C28:C30"/>
    <mergeCell ref="A31:D31"/>
    <mergeCell ref="B32:D32"/>
    <mergeCell ref="B33:D33"/>
    <mergeCell ref="B34:D34"/>
    <mergeCell ref="B35:D35"/>
    <mergeCell ref="B36:D36"/>
    <mergeCell ref="C51:D51"/>
    <mergeCell ref="C52:D52"/>
    <mergeCell ref="B43:D43"/>
    <mergeCell ref="A44:D44"/>
    <mergeCell ref="C45:D45"/>
    <mergeCell ref="C46:D46"/>
    <mergeCell ref="C47:D47"/>
    <mergeCell ref="B49:D49"/>
    <mergeCell ref="C50:D50"/>
  </mergeCells>
  <conditionalFormatting sqref="E14:AI15 E45:AI47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E30&lt;&gt;E46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E34&lt;&gt;#REF!</formula>
    </cfRule>
  </conditionalFormatting>
  <conditionalFormatting sqref="E50:AI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3" t="s">
        <v>54</v>
      </c>
      <c r="K13" s="13" t="s">
        <v>55</v>
      </c>
      <c r="L13" s="13" t="s">
        <v>56</v>
      </c>
      <c r="M13" s="13" t="s">
        <v>57</v>
      </c>
      <c r="N13" s="13" t="s">
        <v>58</v>
      </c>
      <c r="O13" s="13" t="s">
        <v>59</v>
      </c>
      <c r="P13" s="13" t="s">
        <v>60</v>
      </c>
      <c r="Q13" s="13" t="s">
        <v>61</v>
      </c>
      <c r="R13" s="13" t="s">
        <v>62</v>
      </c>
      <c r="S13" s="13" t="s">
        <v>63</v>
      </c>
      <c r="T13" s="13" t="s">
        <v>64</v>
      </c>
      <c r="U13" s="13" t="s">
        <v>65</v>
      </c>
      <c r="V13" s="13" t="s">
        <v>66</v>
      </c>
      <c r="W13" s="13" t="s">
        <v>67</v>
      </c>
      <c r="X13" s="13" t="s">
        <v>68</v>
      </c>
      <c r="Y13" s="13" t="s">
        <v>70</v>
      </c>
      <c r="Z13" s="13" t="s">
        <v>71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126.0</v>
      </c>
      <c r="G14" s="19">
        <v>145.0</v>
      </c>
      <c r="H14" s="19">
        <v>150.0</v>
      </c>
      <c r="I14" s="19">
        <v>110.0</v>
      </c>
      <c r="J14" s="19">
        <v>125.0</v>
      </c>
      <c r="K14" s="19">
        <v>148.0</v>
      </c>
      <c r="L14" s="19">
        <v>119.0</v>
      </c>
      <c r="M14" s="19">
        <v>144.0</v>
      </c>
      <c r="N14" s="19">
        <v>146.0</v>
      </c>
      <c r="O14" s="19">
        <v>125.0</v>
      </c>
      <c r="P14" s="19">
        <v>150.0</v>
      </c>
      <c r="Q14" s="19">
        <v>148.0</v>
      </c>
      <c r="R14" s="19">
        <v>139.0</v>
      </c>
      <c r="S14" s="19">
        <v>112.0</v>
      </c>
      <c r="T14" s="19">
        <v>144.0</v>
      </c>
      <c r="U14" s="19">
        <v>142.0</v>
      </c>
      <c r="V14" s="19">
        <v>127.0</v>
      </c>
      <c r="W14" s="19">
        <v>150.0</v>
      </c>
      <c r="X14" s="19">
        <v>139.0</v>
      </c>
      <c r="Y14" s="19">
        <v>127.0</v>
      </c>
      <c r="Z14" s="19">
        <v>130.0</v>
      </c>
      <c r="AA14" s="13">
        <f t="shared" ref="AA14:AA16" si="1">SUM(E14:Z14)</f>
        <v>2992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126.0</v>
      </c>
      <c r="G15" s="19">
        <v>96.0</v>
      </c>
      <c r="H15" s="19">
        <v>142.0</v>
      </c>
      <c r="I15" s="19">
        <v>118.0</v>
      </c>
      <c r="J15" s="19">
        <v>141.0</v>
      </c>
      <c r="K15" s="19">
        <v>143.0</v>
      </c>
      <c r="L15" s="19">
        <v>119.0</v>
      </c>
      <c r="M15" s="19">
        <v>149.0</v>
      </c>
      <c r="N15" s="19">
        <v>143.0</v>
      </c>
      <c r="O15" s="19">
        <v>140.0</v>
      </c>
      <c r="P15" s="19">
        <v>147.0</v>
      </c>
      <c r="Q15" s="19">
        <v>147.0</v>
      </c>
      <c r="R15" s="19">
        <v>147.0</v>
      </c>
      <c r="S15" s="19">
        <v>134.0</v>
      </c>
      <c r="T15" s="19">
        <v>149.0</v>
      </c>
      <c r="U15" s="19">
        <v>147.0</v>
      </c>
      <c r="V15" s="19">
        <v>148.0</v>
      </c>
      <c r="W15" s="19">
        <v>139.0</v>
      </c>
      <c r="X15" s="19">
        <v>149.0</v>
      </c>
      <c r="Y15" s="19">
        <v>132.0</v>
      </c>
      <c r="Z15" s="19">
        <v>138.0</v>
      </c>
      <c r="AA15" s="13">
        <f t="shared" si="1"/>
        <v>3030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282</v>
      </c>
      <c r="F16" s="13">
        <f t="shared" si="2"/>
        <v>252</v>
      </c>
      <c r="G16" s="13">
        <f t="shared" si="2"/>
        <v>241</v>
      </c>
      <c r="H16" s="13">
        <f t="shared" si="2"/>
        <v>292</v>
      </c>
      <c r="I16" s="13">
        <f t="shared" si="2"/>
        <v>228</v>
      </c>
      <c r="J16" s="13">
        <f t="shared" si="2"/>
        <v>266</v>
      </c>
      <c r="K16" s="13">
        <f t="shared" si="2"/>
        <v>291</v>
      </c>
      <c r="L16" s="13">
        <f t="shared" si="2"/>
        <v>238</v>
      </c>
      <c r="M16" s="13">
        <f t="shared" si="2"/>
        <v>293</v>
      </c>
      <c r="N16" s="13">
        <f t="shared" si="2"/>
        <v>289</v>
      </c>
      <c r="O16" s="13">
        <f t="shared" si="2"/>
        <v>265</v>
      </c>
      <c r="P16" s="13">
        <f t="shared" si="2"/>
        <v>297</v>
      </c>
      <c r="Q16" s="13">
        <f t="shared" si="2"/>
        <v>295</v>
      </c>
      <c r="R16" s="13">
        <f t="shared" si="2"/>
        <v>286</v>
      </c>
      <c r="S16" s="13">
        <f t="shared" si="2"/>
        <v>246</v>
      </c>
      <c r="T16" s="13">
        <f t="shared" si="2"/>
        <v>293</v>
      </c>
      <c r="U16" s="13">
        <f t="shared" si="2"/>
        <v>289</v>
      </c>
      <c r="V16" s="13">
        <f t="shared" si="2"/>
        <v>275</v>
      </c>
      <c r="W16" s="13">
        <f t="shared" si="2"/>
        <v>289</v>
      </c>
      <c r="X16" s="13">
        <f t="shared" si="2"/>
        <v>288</v>
      </c>
      <c r="Y16" s="13">
        <f t="shared" si="2"/>
        <v>259</v>
      </c>
      <c r="Z16" s="13">
        <f t="shared" si="2"/>
        <v>268</v>
      </c>
      <c r="AA16" s="13">
        <f t="shared" si="1"/>
        <v>6022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58"/>
      <c r="W17" s="58"/>
      <c r="X17" s="58"/>
      <c r="Y17" s="58"/>
      <c r="Z17" s="19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58"/>
      <c r="W18" s="58"/>
      <c r="X18" s="58"/>
      <c r="Y18" s="58"/>
      <c r="Z18" s="19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119.0</v>
      </c>
      <c r="F19" s="19">
        <v>82.0</v>
      </c>
      <c r="G19" s="19">
        <v>91.0</v>
      </c>
      <c r="H19" s="19">
        <v>121.0</v>
      </c>
      <c r="I19" s="19">
        <v>66.0</v>
      </c>
      <c r="J19" s="19">
        <v>100.0</v>
      </c>
      <c r="K19" s="19">
        <v>106.0</v>
      </c>
      <c r="L19" s="19">
        <v>84.0</v>
      </c>
      <c r="M19" s="19">
        <v>108.0</v>
      </c>
      <c r="N19" s="19">
        <v>116.0</v>
      </c>
      <c r="O19" s="19">
        <v>91.0</v>
      </c>
      <c r="P19" s="19">
        <v>110.0</v>
      </c>
      <c r="Q19" s="19">
        <v>87.0</v>
      </c>
      <c r="R19" s="19">
        <v>99.0</v>
      </c>
      <c r="S19" s="19">
        <v>83.0</v>
      </c>
      <c r="T19" s="19">
        <v>108.0</v>
      </c>
      <c r="U19" s="19">
        <v>108.0</v>
      </c>
      <c r="V19" s="19">
        <v>92.0</v>
      </c>
      <c r="W19" s="19">
        <v>106.0</v>
      </c>
      <c r="X19" s="19">
        <v>91.0</v>
      </c>
      <c r="Y19" s="19">
        <v>81.0</v>
      </c>
      <c r="Z19" s="19">
        <v>100.0</v>
      </c>
      <c r="AA19" s="13">
        <f t="shared" ref="AA19:AA30" si="3">SUM(E19:Z19)</f>
        <v>2149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96.0</v>
      </c>
      <c r="G20" s="19">
        <v>90.0</v>
      </c>
      <c r="H20" s="19">
        <v>118.0</v>
      </c>
      <c r="I20" s="19">
        <v>82.0</v>
      </c>
      <c r="J20" s="19">
        <v>117.0</v>
      </c>
      <c r="K20" s="19">
        <v>105.0</v>
      </c>
      <c r="L20" s="19">
        <v>89.0</v>
      </c>
      <c r="M20" s="19">
        <v>115.0</v>
      </c>
      <c r="N20" s="19">
        <v>108.0</v>
      </c>
      <c r="O20" s="19">
        <v>107.0</v>
      </c>
      <c r="P20" s="19">
        <v>120.0</v>
      </c>
      <c r="Q20" s="19">
        <v>111.0</v>
      </c>
      <c r="R20" s="19">
        <v>111.0</v>
      </c>
      <c r="S20" s="19">
        <v>108.0</v>
      </c>
      <c r="T20" s="19">
        <v>120.0</v>
      </c>
      <c r="U20" s="19">
        <v>118.0</v>
      </c>
      <c r="V20" s="19">
        <v>111.0</v>
      </c>
      <c r="W20" s="19">
        <v>110.0</v>
      </c>
      <c r="X20" s="19">
        <v>108.0</v>
      </c>
      <c r="Y20" s="19">
        <v>103.0</v>
      </c>
      <c r="Z20" s="19">
        <v>117.0</v>
      </c>
      <c r="AA20" s="13">
        <f t="shared" si="3"/>
        <v>2380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235</v>
      </c>
      <c r="F21" s="13">
        <f t="shared" si="4"/>
        <v>178</v>
      </c>
      <c r="G21" s="13">
        <f t="shared" si="4"/>
        <v>181</v>
      </c>
      <c r="H21" s="13">
        <f t="shared" si="4"/>
        <v>239</v>
      </c>
      <c r="I21" s="13">
        <f t="shared" si="4"/>
        <v>148</v>
      </c>
      <c r="J21" s="13">
        <f t="shared" si="4"/>
        <v>217</v>
      </c>
      <c r="K21" s="13">
        <f t="shared" si="4"/>
        <v>211</v>
      </c>
      <c r="L21" s="13">
        <f t="shared" si="4"/>
        <v>173</v>
      </c>
      <c r="M21" s="13">
        <f t="shared" si="4"/>
        <v>223</v>
      </c>
      <c r="N21" s="13">
        <f t="shared" si="4"/>
        <v>224</v>
      </c>
      <c r="O21" s="13">
        <f t="shared" si="4"/>
        <v>198</v>
      </c>
      <c r="P21" s="13">
        <f t="shared" si="4"/>
        <v>230</v>
      </c>
      <c r="Q21" s="13">
        <f t="shared" si="4"/>
        <v>198</v>
      </c>
      <c r="R21" s="13">
        <f t="shared" si="4"/>
        <v>210</v>
      </c>
      <c r="S21" s="13">
        <f t="shared" si="4"/>
        <v>191</v>
      </c>
      <c r="T21" s="13">
        <f t="shared" si="4"/>
        <v>228</v>
      </c>
      <c r="U21" s="13">
        <f t="shared" si="4"/>
        <v>226</v>
      </c>
      <c r="V21" s="13">
        <f t="shared" si="4"/>
        <v>203</v>
      </c>
      <c r="W21" s="13">
        <f t="shared" si="4"/>
        <v>216</v>
      </c>
      <c r="X21" s="13">
        <f t="shared" si="4"/>
        <v>199</v>
      </c>
      <c r="Y21" s="13">
        <f t="shared" si="4"/>
        <v>184</v>
      </c>
      <c r="Z21" s="13">
        <f t="shared" si="4"/>
        <v>217</v>
      </c>
      <c r="AA21" s="13">
        <f t="shared" si="3"/>
        <v>4529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2.0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2.0</v>
      </c>
      <c r="M22" s="19">
        <v>0.0</v>
      </c>
      <c r="N22" s="19">
        <v>1.0</v>
      </c>
      <c r="O22" s="19">
        <v>0.0</v>
      </c>
      <c r="P22" s="19">
        <v>1.0</v>
      </c>
      <c r="Q22" s="19">
        <v>1.0</v>
      </c>
      <c r="R22" s="19">
        <v>0.0</v>
      </c>
      <c r="S22" s="19">
        <v>1.0</v>
      </c>
      <c r="T22" s="19">
        <v>5.0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1.0</v>
      </c>
      <c r="G23" s="19">
        <v>1.0</v>
      </c>
      <c r="H23" s="19">
        <v>0.0</v>
      </c>
      <c r="I23" s="19">
        <v>0.0</v>
      </c>
      <c r="J23" s="19">
        <v>2.0</v>
      </c>
      <c r="K23" s="19">
        <v>0.0</v>
      </c>
      <c r="L23" s="19">
        <v>1.0</v>
      </c>
      <c r="M23" s="19">
        <v>0.0</v>
      </c>
      <c r="N23" s="19">
        <v>2.0</v>
      </c>
      <c r="O23" s="19">
        <v>0.0</v>
      </c>
      <c r="P23" s="19">
        <v>1.0</v>
      </c>
      <c r="Q23" s="19">
        <v>1.0</v>
      </c>
      <c r="R23" s="19">
        <v>1.0</v>
      </c>
      <c r="S23" s="19">
        <v>1.0</v>
      </c>
      <c r="T23" s="19">
        <v>6.0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6</v>
      </c>
      <c r="F24" s="13">
        <f t="shared" si="5"/>
        <v>3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2</v>
      </c>
      <c r="Q24" s="13">
        <f t="shared" si="5"/>
        <v>2</v>
      </c>
      <c r="R24" s="13">
        <f t="shared" si="5"/>
        <v>1</v>
      </c>
      <c r="S24" s="13">
        <f t="shared" si="5"/>
        <v>2</v>
      </c>
      <c r="T24" s="13">
        <f t="shared" si="5"/>
        <v>11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38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8.0</v>
      </c>
      <c r="F25" s="19">
        <v>3.0</v>
      </c>
      <c r="G25" s="19">
        <v>2.0</v>
      </c>
      <c r="H25" s="19">
        <v>0.0</v>
      </c>
      <c r="I25" s="19">
        <v>0.0</v>
      </c>
      <c r="J25" s="19">
        <v>1.0</v>
      </c>
      <c r="K25" s="19">
        <v>1.0</v>
      </c>
      <c r="L25" s="19">
        <v>4.0</v>
      </c>
      <c r="M25" s="19">
        <v>1.0</v>
      </c>
      <c r="N25" s="19">
        <v>2.0</v>
      </c>
      <c r="O25" s="19">
        <v>1.0</v>
      </c>
      <c r="P25" s="19">
        <v>2.0</v>
      </c>
      <c r="Q25" s="19">
        <v>2.0</v>
      </c>
      <c r="R25" s="19">
        <v>1.0</v>
      </c>
      <c r="S25" s="19">
        <v>1.0</v>
      </c>
      <c r="T25" s="19">
        <v>0.0</v>
      </c>
      <c r="U25" s="19">
        <v>0.0</v>
      </c>
      <c r="V25" s="19">
        <v>2.0</v>
      </c>
      <c r="W25" s="19">
        <v>0.0</v>
      </c>
      <c r="X25" s="19">
        <v>0.0</v>
      </c>
      <c r="Y25" s="19">
        <v>2.0</v>
      </c>
      <c r="Z25" s="19">
        <v>3.0</v>
      </c>
      <c r="AA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8.0</v>
      </c>
      <c r="F26" s="19">
        <v>3.0</v>
      </c>
      <c r="G26" s="19">
        <v>5.0</v>
      </c>
      <c r="H26" s="19">
        <v>0.0</v>
      </c>
      <c r="I26" s="19">
        <v>1.0</v>
      </c>
      <c r="J26" s="19">
        <v>2.0</v>
      </c>
      <c r="K26" s="19">
        <v>1.0</v>
      </c>
      <c r="L26" s="19">
        <v>1.0</v>
      </c>
      <c r="M26" s="19">
        <v>0.0</v>
      </c>
      <c r="N26" s="19">
        <v>2.0</v>
      </c>
      <c r="O26" s="19">
        <v>3.0</v>
      </c>
      <c r="P26" s="19">
        <v>1.0</v>
      </c>
      <c r="Q26" s="19">
        <v>2.0</v>
      </c>
      <c r="R26" s="19">
        <v>0.0</v>
      </c>
      <c r="S26" s="19">
        <v>6.0</v>
      </c>
      <c r="T26" s="19">
        <v>0.0</v>
      </c>
      <c r="U26" s="19">
        <v>0.0</v>
      </c>
      <c r="V26" s="19">
        <v>2.0</v>
      </c>
      <c r="W26" s="19">
        <v>3.0</v>
      </c>
      <c r="X26" s="19">
        <v>1.0</v>
      </c>
      <c r="Y26" s="19">
        <v>0.0</v>
      </c>
      <c r="Z26" s="19">
        <v>4.0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16</v>
      </c>
      <c r="F27" s="13">
        <f t="shared" si="6"/>
        <v>6</v>
      </c>
      <c r="G27" s="13">
        <f t="shared" si="6"/>
        <v>7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2</v>
      </c>
      <c r="L27" s="13">
        <f t="shared" si="6"/>
        <v>5</v>
      </c>
      <c r="M27" s="13">
        <f t="shared" si="6"/>
        <v>1</v>
      </c>
      <c r="N27" s="13">
        <f t="shared" si="6"/>
        <v>4</v>
      </c>
      <c r="O27" s="13">
        <f t="shared" si="6"/>
        <v>4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7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3</v>
      </c>
      <c r="X27" s="13">
        <f t="shared" si="6"/>
        <v>1</v>
      </c>
      <c r="Y27" s="13">
        <f t="shared" si="6"/>
        <v>2</v>
      </c>
      <c r="Z27" s="13">
        <f t="shared" si="6"/>
        <v>7</v>
      </c>
      <c r="AA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130</v>
      </c>
      <c r="F28" s="13">
        <f t="shared" si="7"/>
        <v>87</v>
      </c>
      <c r="G28" s="13">
        <f t="shared" si="7"/>
        <v>93</v>
      </c>
      <c r="H28" s="13">
        <f t="shared" si="7"/>
        <v>121</v>
      </c>
      <c r="I28" s="13">
        <f t="shared" si="7"/>
        <v>67</v>
      </c>
      <c r="J28" s="13">
        <f t="shared" si="7"/>
        <v>101</v>
      </c>
      <c r="K28" s="13">
        <f t="shared" si="7"/>
        <v>107</v>
      </c>
      <c r="L28" s="13">
        <f t="shared" si="7"/>
        <v>90</v>
      </c>
      <c r="M28" s="13">
        <f t="shared" si="7"/>
        <v>109</v>
      </c>
      <c r="N28" s="13">
        <f t="shared" si="7"/>
        <v>119</v>
      </c>
      <c r="O28" s="13">
        <f t="shared" si="7"/>
        <v>92</v>
      </c>
      <c r="P28" s="13">
        <f t="shared" si="7"/>
        <v>113</v>
      </c>
      <c r="Q28" s="13">
        <f t="shared" si="7"/>
        <v>90</v>
      </c>
      <c r="R28" s="13">
        <f t="shared" si="7"/>
        <v>100</v>
      </c>
      <c r="S28" s="13">
        <f t="shared" si="7"/>
        <v>85</v>
      </c>
      <c r="T28" s="13">
        <f t="shared" si="7"/>
        <v>113</v>
      </c>
      <c r="U28" s="13">
        <f t="shared" si="7"/>
        <v>108</v>
      </c>
      <c r="V28" s="13">
        <f t="shared" si="7"/>
        <v>94</v>
      </c>
      <c r="W28" s="13">
        <f t="shared" si="7"/>
        <v>106</v>
      </c>
      <c r="X28" s="13">
        <f t="shared" si="7"/>
        <v>91</v>
      </c>
      <c r="Y28" s="13">
        <f t="shared" si="7"/>
        <v>83</v>
      </c>
      <c r="Z28" s="13">
        <f t="shared" si="7"/>
        <v>103</v>
      </c>
      <c r="AA28" s="13">
        <f t="shared" si="3"/>
        <v>2202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127</v>
      </c>
      <c r="F29" s="13">
        <f t="shared" si="8"/>
        <v>100</v>
      </c>
      <c r="G29" s="13">
        <f t="shared" si="8"/>
        <v>96</v>
      </c>
      <c r="H29" s="13">
        <f t="shared" si="8"/>
        <v>118</v>
      </c>
      <c r="I29" s="13">
        <f t="shared" si="8"/>
        <v>83</v>
      </c>
      <c r="J29" s="13">
        <f t="shared" si="8"/>
        <v>121</v>
      </c>
      <c r="K29" s="13">
        <f t="shared" si="8"/>
        <v>106</v>
      </c>
      <c r="L29" s="13">
        <f t="shared" si="8"/>
        <v>91</v>
      </c>
      <c r="M29" s="13">
        <f t="shared" si="8"/>
        <v>115</v>
      </c>
      <c r="N29" s="13">
        <f t="shared" si="8"/>
        <v>112</v>
      </c>
      <c r="O29" s="13">
        <f t="shared" si="8"/>
        <v>110</v>
      </c>
      <c r="P29" s="13">
        <f t="shared" si="8"/>
        <v>122</v>
      </c>
      <c r="Q29" s="13">
        <f t="shared" si="8"/>
        <v>114</v>
      </c>
      <c r="R29" s="13">
        <f t="shared" si="8"/>
        <v>112</v>
      </c>
      <c r="S29" s="13">
        <f t="shared" si="8"/>
        <v>115</v>
      </c>
      <c r="T29" s="13">
        <f t="shared" si="8"/>
        <v>126</v>
      </c>
      <c r="U29" s="13">
        <f t="shared" si="8"/>
        <v>118</v>
      </c>
      <c r="V29" s="13">
        <f t="shared" si="8"/>
        <v>114</v>
      </c>
      <c r="W29" s="13">
        <f t="shared" si="8"/>
        <v>113</v>
      </c>
      <c r="X29" s="13">
        <f t="shared" si="8"/>
        <v>109</v>
      </c>
      <c r="Y29" s="13">
        <f t="shared" si="8"/>
        <v>103</v>
      </c>
      <c r="Z29" s="13">
        <f t="shared" si="8"/>
        <v>121</v>
      </c>
      <c r="AA29" s="13">
        <f t="shared" si="3"/>
        <v>2446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257</v>
      </c>
      <c r="F30" s="13">
        <f t="shared" si="9"/>
        <v>187</v>
      </c>
      <c r="G30" s="13">
        <f t="shared" si="9"/>
        <v>189</v>
      </c>
      <c r="H30" s="13">
        <f t="shared" si="9"/>
        <v>239</v>
      </c>
      <c r="I30" s="13">
        <f t="shared" si="9"/>
        <v>150</v>
      </c>
      <c r="J30" s="13">
        <f t="shared" si="9"/>
        <v>222</v>
      </c>
      <c r="K30" s="13">
        <f t="shared" si="9"/>
        <v>213</v>
      </c>
      <c r="L30" s="13">
        <f t="shared" si="9"/>
        <v>181</v>
      </c>
      <c r="M30" s="13">
        <f t="shared" si="9"/>
        <v>224</v>
      </c>
      <c r="N30" s="13">
        <f t="shared" si="9"/>
        <v>231</v>
      </c>
      <c r="O30" s="13">
        <f t="shared" si="9"/>
        <v>202</v>
      </c>
      <c r="P30" s="13">
        <f t="shared" si="9"/>
        <v>235</v>
      </c>
      <c r="Q30" s="13">
        <f t="shared" si="9"/>
        <v>204</v>
      </c>
      <c r="R30" s="13">
        <f t="shared" si="9"/>
        <v>212</v>
      </c>
      <c r="S30" s="13">
        <f t="shared" si="9"/>
        <v>200</v>
      </c>
      <c r="T30" s="13">
        <f t="shared" si="9"/>
        <v>239</v>
      </c>
      <c r="U30" s="13">
        <f t="shared" si="9"/>
        <v>226</v>
      </c>
      <c r="V30" s="13">
        <f t="shared" si="9"/>
        <v>208</v>
      </c>
      <c r="W30" s="13">
        <f t="shared" si="9"/>
        <v>219</v>
      </c>
      <c r="X30" s="13">
        <f t="shared" si="9"/>
        <v>200</v>
      </c>
      <c r="Y30" s="13">
        <f t="shared" si="9"/>
        <v>186</v>
      </c>
      <c r="Z30" s="13">
        <f t="shared" si="9"/>
        <v>224</v>
      </c>
      <c r="AA30" s="13">
        <f t="shared" si="3"/>
        <v>4648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58"/>
      <c r="W31" s="58"/>
      <c r="X31" s="58"/>
      <c r="Y31" s="58"/>
      <c r="Z31" s="19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60"/>
      <c r="W32" s="60"/>
      <c r="X32" s="60"/>
      <c r="Y32" s="60"/>
      <c r="Z32" s="13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260.0</v>
      </c>
      <c r="G33" s="19">
        <v>271.0</v>
      </c>
      <c r="H33" s="19">
        <v>306.0</v>
      </c>
      <c r="I33" s="19">
        <v>234.0</v>
      </c>
      <c r="J33" s="19">
        <v>273.0</v>
      </c>
      <c r="K33" s="19">
        <v>297.0</v>
      </c>
      <c r="L33" s="19">
        <v>243.0</v>
      </c>
      <c r="M33" s="19">
        <v>299.0</v>
      </c>
      <c r="N33" s="19">
        <v>296.0</v>
      </c>
      <c r="O33" s="19">
        <v>270.0</v>
      </c>
      <c r="P33" s="19">
        <v>302.0</v>
      </c>
      <c r="Q33" s="19">
        <v>301.0</v>
      </c>
      <c r="R33" s="19">
        <v>292.0</v>
      </c>
      <c r="S33" s="19">
        <v>251.0</v>
      </c>
      <c r="T33" s="19">
        <v>300.0</v>
      </c>
      <c r="U33" s="19">
        <v>295.0</v>
      </c>
      <c r="V33" s="19">
        <v>281.0</v>
      </c>
      <c r="W33" s="19">
        <v>295.0</v>
      </c>
      <c r="X33" s="19">
        <v>294.0</v>
      </c>
      <c r="Y33" s="19">
        <v>265.0</v>
      </c>
      <c r="Z33" s="19">
        <v>249.0</v>
      </c>
      <c r="AA33" s="13">
        <f t="shared" ref="AA33:AA36" si="10">SUM(E33:Z33)</f>
        <v>6162</v>
      </c>
    </row>
    <row r="34" ht="12.75" customHeight="1">
      <c r="A34" s="19">
        <v>2.0</v>
      </c>
      <c r="B34" s="20" t="s">
        <v>28</v>
      </c>
      <c r="C34" s="15"/>
      <c r="D34" s="16"/>
      <c r="E34" s="13">
        <v>257.0</v>
      </c>
      <c r="F34" s="13">
        <v>187.0</v>
      </c>
      <c r="G34" s="13">
        <v>189.0</v>
      </c>
      <c r="H34" s="13">
        <v>239.0</v>
      </c>
      <c r="I34" s="13">
        <v>150.0</v>
      </c>
      <c r="J34" s="13">
        <v>222.0</v>
      </c>
      <c r="K34" s="13">
        <v>213.0</v>
      </c>
      <c r="L34" s="13">
        <v>181.0</v>
      </c>
      <c r="M34" s="13">
        <v>224.0</v>
      </c>
      <c r="N34" s="13">
        <v>231.0</v>
      </c>
      <c r="O34" s="13">
        <v>202.0</v>
      </c>
      <c r="P34" s="13">
        <v>235.0</v>
      </c>
      <c r="Q34" s="13">
        <v>204.0</v>
      </c>
      <c r="R34" s="13">
        <v>212.0</v>
      </c>
      <c r="S34" s="13">
        <v>200.0</v>
      </c>
      <c r="T34" s="13">
        <v>239.0</v>
      </c>
      <c r="U34" s="13">
        <v>226.0</v>
      </c>
      <c r="V34" s="13">
        <v>208.0</v>
      </c>
      <c r="W34" s="13">
        <v>219.0</v>
      </c>
      <c r="X34" s="13">
        <v>200.0</v>
      </c>
      <c r="Y34" s="13">
        <v>186.0</v>
      </c>
      <c r="Z34" s="13">
        <v>224.0</v>
      </c>
      <c r="AA34" s="13">
        <f t="shared" si="10"/>
        <v>4648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3.0</v>
      </c>
      <c r="H35" s="19">
        <v>8.0</v>
      </c>
      <c r="I35" s="19">
        <v>82.0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3">
        <f t="shared" si="10"/>
        <v>93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31</v>
      </c>
      <c r="F36" s="13">
        <f t="shared" si="11"/>
        <v>73</v>
      </c>
      <c r="G36" s="13">
        <f t="shared" si="11"/>
        <v>79</v>
      </c>
      <c r="H36" s="13">
        <f t="shared" si="11"/>
        <v>59</v>
      </c>
      <c r="I36" s="13">
        <f t="shared" si="11"/>
        <v>2</v>
      </c>
      <c r="J36" s="13">
        <f t="shared" si="11"/>
        <v>51</v>
      </c>
      <c r="K36" s="13">
        <f t="shared" si="11"/>
        <v>84</v>
      </c>
      <c r="L36" s="13">
        <f t="shared" si="11"/>
        <v>62</v>
      </c>
      <c r="M36" s="13">
        <f t="shared" si="11"/>
        <v>75</v>
      </c>
      <c r="N36" s="13">
        <f t="shared" si="11"/>
        <v>65</v>
      </c>
      <c r="O36" s="13">
        <f t="shared" si="11"/>
        <v>68</v>
      </c>
      <c r="P36" s="13">
        <f t="shared" si="11"/>
        <v>67</v>
      </c>
      <c r="Q36" s="13">
        <f t="shared" si="11"/>
        <v>97</v>
      </c>
      <c r="R36" s="13">
        <f t="shared" si="11"/>
        <v>80</v>
      </c>
      <c r="S36" s="13">
        <f t="shared" si="11"/>
        <v>51</v>
      </c>
      <c r="T36" s="13">
        <f t="shared" si="11"/>
        <v>61</v>
      </c>
      <c r="U36" s="13">
        <f t="shared" si="11"/>
        <v>69</v>
      </c>
      <c r="V36" s="13">
        <f t="shared" si="11"/>
        <v>73</v>
      </c>
      <c r="W36" s="13">
        <f t="shared" si="11"/>
        <v>76</v>
      </c>
      <c r="X36" s="13">
        <f t="shared" si="11"/>
        <v>94</v>
      </c>
      <c r="Y36" s="13">
        <f t="shared" si="11"/>
        <v>79</v>
      </c>
      <c r="Z36" s="13">
        <f t="shared" si="11"/>
        <v>25</v>
      </c>
      <c r="AA36" s="13">
        <f t="shared" si="10"/>
        <v>1421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58"/>
      <c r="W37" s="61"/>
      <c r="X37" s="61"/>
      <c r="Y37" s="61"/>
      <c r="Z37" s="19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60"/>
      <c r="W38" s="60"/>
      <c r="X38" s="60"/>
      <c r="Y38" s="60"/>
      <c r="Z38" s="13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58"/>
      <c r="W42" s="19"/>
      <c r="X42" s="58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60"/>
      <c r="W43" s="13"/>
      <c r="X43" s="6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58"/>
      <c r="W44" s="19"/>
      <c r="X44" s="58"/>
      <c r="Y44" s="19"/>
      <c r="Z44" s="19"/>
      <c r="AA44" s="13"/>
    </row>
    <row r="45" ht="12.75" customHeight="1">
      <c r="A45" s="30"/>
      <c r="B45" s="47">
        <v>1.0</v>
      </c>
      <c r="C45" s="48" t="s">
        <v>37</v>
      </c>
      <c r="D45" s="16"/>
      <c r="E45" s="19">
        <v>20.0</v>
      </c>
      <c r="F45" s="19">
        <v>21.0</v>
      </c>
      <c r="G45" s="19">
        <v>10.0</v>
      </c>
      <c r="H45" s="19">
        <v>14.0</v>
      </c>
      <c r="I45" s="19">
        <v>26.0</v>
      </c>
      <c r="J45" s="19">
        <v>24.0</v>
      </c>
      <c r="K45" s="19">
        <v>36.0</v>
      </c>
      <c r="L45" s="19">
        <v>21.0</v>
      </c>
      <c r="M45" s="19">
        <v>26.0</v>
      </c>
      <c r="N45" s="19">
        <v>24.0</v>
      </c>
      <c r="O45" s="19">
        <v>14.0</v>
      </c>
      <c r="P45" s="19">
        <v>21.0</v>
      </c>
      <c r="Q45" s="19">
        <v>21.0</v>
      </c>
      <c r="R45" s="19">
        <v>17.0</v>
      </c>
      <c r="S45" s="19">
        <v>21.0</v>
      </c>
      <c r="T45" s="19">
        <v>31.0</v>
      </c>
      <c r="U45" s="19">
        <v>42.0</v>
      </c>
      <c r="V45" s="19">
        <v>34.0</v>
      </c>
      <c r="W45" s="19">
        <v>25.0</v>
      </c>
      <c r="X45" s="19">
        <v>11.0</v>
      </c>
      <c r="Y45" s="19">
        <v>18.0</v>
      </c>
      <c r="Z45" s="19">
        <v>25.0</v>
      </c>
      <c r="AA45" s="13">
        <f t="shared" ref="AA45:AA47" si="14">SUM(E45:Z45)</f>
        <v>502</v>
      </c>
    </row>
    <row r="46" ht="12.75" customHeight="1">
      <c r="A46" s="18"/>
      <c r="B46" s="47">
        <v>2.0</v>
      </c>
      <c r="C46" s="48" t="s">
        <v>38</v>
      </c>
      <c r="D46" s="16"/>
      <c r="E46" s="19">
        <v>154.0</v>
      </c>
      <c r="F46" s="19">
        <v>116.0</v>
      </c>
      <c r="G46" s="19">
        <v>124.0</v>
      </c>
      <c r="H46" s="19">
        <v>189.0</v>
      </c>
      <c r="I46" s="19">
        <v>95.0</v>
      </c>
      <c r="J46" s="19">
        <v>160.0</v>
      </c>
      <c r="K46" s="19">
        <v>141.0</v>
      </c>
      <c r="L46" s="19">
        <v>131.0</v>
      </c>
      <c r="M46" s="19">
        <v>122.0</v>
      </c>
      <c r="N46" s="19">
        <v>123.0</v>
      </c>
      <c r="O46" s="19">
        <v>130.0</v>
      </c>
      <c r="P46" s="19">
        <v>174.0</v>
      </c>
      <c r="Q46" s="19">
        <v>105.0</v>
      </c>
      <c r="R46" s="19">
        <v>147.0</v>
      </c>
      <c r="S46" s="19">
        <v>113.0</v>
      </c>
      <c r="T46" s="19">
        <v>121.0</v>
      </c>
      <c r="U46" s="19">
        <v>123.0</v>
      </c>
      <c r="V46" s="19">
        <v>118.0</v>
      </c>
      <c r="W46" s="19">
        <v>128.0</v>
      </c>
      <c r="X46" s="19">
        <v>118.0</v>
      </c>
      <c r="Y46" s="19">
        <v>101.0</v>
      </c>
      <c r="Z46" s="19">
        <v>136.0</v>
      </c>
      <c r="AA46" s="13">
        <f t="shared" si="14"/>
        <v>2869</v>
      </c>
    </row>
    <row r="47" ht="12.75" customHeight="1">
      <c r="A47" s="18"/>
      <c r="B47" s="47">
        <v>3.0</v>
      </c>
      <c r="C47" s="48" t="s">
        <v>39</v>
      </c>
      <c r="D47" s="16"/>
      <c r="E47" s="19">
        <v>77.0</v>
      </c>
      <c r="F47" s="19">
        <v>45.0</v>
      </c>
      <c r="G47" s="19">
        <v>50.0</v>
      </c>
      <c r="H47" s="19">
        <v>31.0</v>
      </c>
      <c r="I47" s="19">
        <v>25.0</v>
      </c>
      <c r="J47" s="19">
        <v>34.0</v>
      </c>
      <c r="K47" s="19">
        <v>34.0</v>
      </c>
      <c r="L47" s="19">
        <v>28.0</v>
      </c>
      <c r="M47" s="19">
        <v>66.0</v>
      </c>
      <c r="N47" s="19">
        <v>80.0</v>
      </c>
      <c r="O47" s="19">
        <v>52.0</v>
      </c>
      <c r="P47" s="19">
        <v>32.0</v>
      </c>
      <c r="Q47" s="19">
        <v>72.0</v>
      </c>
      <c r="R47" s="19">
        <v>40.0</v>
      </c>
      <c r="S47" s="19">
        <v>60.0</v>
      </c>
      <c r="T47" s="19">
        <v>82.0</v>
      </c>
      <c r="U47" s="19">
        <v>59.0</v>
      </c>
      <c r="V47" s="19">
        <v>53.0</v>
      </c>
      <c r="W47" s="19">
        <v>62.0</v>
      </c>
      <c r="X47" s="19">
        <v>65.0</v>
      </c>
      <c r="Y47" s="19">
        <v>64.0</v>
      </c>
      <c r="Z47" s="19">
        <v>58.0</v>
      </c>
      <c r="AA47" s="13">
        <f t="shared" si="14"/>
        <v>1169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60"/>
      <c r="W49" s="60"/>
      <c r="X49" s="60"/>
      <c r="Y49" s="60"/>
      <c r="Z49" s="13"/>
      <c r="AA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Z50" si="15">SUM(E45:E47)</f>
        <v>251</v>
      </c>
      <c r="F50" s="19">
        <f t="shared" si="15"/>
        <v>182</v>
      </c>
      <c r="G50" s="19">
        <f t="shared" si="15"/>
        <v>184</v>
      </c>
      <c r="H50" s="19">
        <f t="shared" si="15"/>
        <v>234</v>
      </c>
      <c r="I50" s="19">
        <f t="shared" si="15"/>
        <v>146</v>
      </c>
      <c r="J50" s="19">
        <f t="shared" si="15"/>
        <v>218</v>
      </c>
      <c r="K50" s="19">
        <f t="shared" si="15"/>
        <v>211</v>
      </c>
      <c r="L50" s="19">
        <f t="shared" si="15"/>
        <v>180</v>
      </c>
      <c r="M50" s="19">
        <f t="shared" si="15"/>
        <v>214</v>
      </c>
      <c r="N50" s="19">
        <f t="shared" si="15"/>
        <v>227</v>
      </c>
      <c r="O50" s="19">
        <f t="shared" si="15"/>
        <v>196</v>
      </c>
      <c r="P50" s="19">
        <f t="shared" si="15"/>
        <v>227</v>
      </c>
      <c r="Q50" s="19">
        <f t="shared" si="15"/>
        <v>198</v>
      </c>
      <c r="R50" s="19">
        <f t="shared" si="15"/>
        <v>204</v>
      </c>
      <c r="S50" s="19">
        <f t="shared" si="15"/>
        <v>194</v>
      </c>
      <c r="T50" s="19">
        <f t="shared" si="15"/>
        <v>234</v>
      </c>
      <c r="U50" s="19">
        <f t="shared" si="15"/>
        <v>224</v>
      </c>
      <c r="V50" s="19">
        <f t="shared" si="15"/>
        <v>205</v>
      </c>
      <c r="W50" s="19">
        <f t="shared" si="15"/>
        <v>215</v>
      </c>
      <c r="X50" s="19">
        <f t="shared" si="15"/>
        <v>194</v>
      </c>
      <c r="Y50" s="19">
        <f t="shared" si="15"/>
        <v>183</v>
      </c>
      <c r="Z50" s="19">
        <f t="shared" si="15"/>
        <v>219</v>
      </c>
      <c r="AA50" s="13">
        <f t="shared" ref="AA50:AA52" si="16">SUM(E50:Z50)</f>
        <v>4540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6.0</v>
      </c>
      <c r="F51" s="19">
        <v>5.0</v>
      </c>
      <c r="G51" s="19">
        <v>5.0</v>
      </c>
      <c r="H51" s="19">
        <v>5.0</v>
      </c>
      <c r="I51" s="19">
        <v>4.0</v>
      </c>
      <c r="J51" s="19">
        <v>4.0</v>
      </c>
      <c r="K51" s="19">
        <v>2.0</v>
      </c>
      <c r="L51" s="19">
        <v>1.0</v>
      </c>
      <c r="M51" s="19">
        <v>10.0</v>
      </c>
      <c r="N51" s="19">
        <v>4.0</v>
      </c>
      <c r="O51" s="19">
        <v>6.0</v>
      </c>
      <c r="P51" s="19">
        <v>8.0</v>
      </c>
      <c r="Q51" s="19">
        <v>6.0</v>
      </c>
      <c r="R51" s="19">
        <v>8.0</v>
      </c>
      <c r="S51" s="19">
        <v>6.0</v>
      </c>
      <c r="T51" s="19">
        <v>5.0</v>
      </c>
      <c r="U51" s="19">
        <v>2.0</v>
      </c>
      <c r="V51" s="19">
        <v>3.0</v>
      </c>
      <c r="W51" s="19">
        <v>4.0</v>
      </c>
      <c r="X51" s="19">
        <v>6.0</v>
      </c>
      <c r="Y51" s="19">
        <v>3.0</v>
      </c>
      <c r="Z51" s="19">
        <v>5.0</v>
      </c>
      <c r="AA51" s="13">
        <f t="shared" si="16"/>
        <v>108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Z52" si="17">SUM(E50:E51)</f>
        <v>257</v>
      </c>
      <c r="F52" s="13">
        <f t="shared" si="17"/>
        <v>187</v>
      </c>
      <c r="G52" s="13">
        <f t="shared" si="17"/>
        <v>189</v>
      </c>
      <c r="H52" s="13">
        <f t="shared" si="17"/>
        <v>239</v>
      </c>
      <c r="I52" s="13">
        <f t="shared" si="17"/>
        <v>150</v>
      </c>
      <c r="J52" s="13">
        <f t="shared" si="17"/>
        <v>222</v>
      </c>
      <c r="K52" s="13">
        <f t="shared" si="17"/>
        <v>213</v>
      </c>
      <c r="L52" s="13">
        <f t="shared" si="17"/>
        <v>181</v>
      </c>
      <c r="M52" s="13">
        <f t="shared" si="17"/>
        <v>224</v>
      </c>
      <c r="N52" s="13">
        <f t="shared" si="17"/>
        <v>231</v>
      </c>
      <c r="O52" s="13">
        <f t="shared" si="17"/>
        <v>202</v>
      </c>
      <c r="P52" s="13">
        <f t="shared" si="17"/>
        <v>235</v>
      </c>
      <c r="Q52" s="13">
        <f t="shared" si="17"/>
        <v>204</v>
      </c>
      <c r="R52" s="13">
        <f t="shared" si="17"/>
        <v>212</v>
      </c>
      <c r="S52" s="13">
        <f t="shared" si="17"/>
        <v>200</v>
      </c>
      <c r="T52" s="13">
        <f t="shared" si="17"/>
        <v>239</v>
      </c>
      <c r="U52" s="13">
        <f t="shared" si="17"/>
        <v>226</v>
      </c>
      <c r="V52" s="13">
        <f t="shared" si="17"/>
        <v>208</v>
      </c>
      <c r="W52" s="13">
        <f t="shared" si="17"/>
        <v>219</v>
      </c>
      <c r="X52" s="13">
        <f t="shared" si="17"/>
        <v>200</v>
      </c>
      <c r="Y52" s="13">
        <f t="shared" si="17"/>
        <v>186</v>
      </c>
      <c r="Z52" s="13">
        <f t="shared" si="17"/>
        <v>224</v>
      </c>
      <c r="AA52" s="13">
        <f t="shared" si="16"/>
        <v>4648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Q42"/>
    <mergeCell ref="B43:D43"/>
    <mergeCell ref="A44:D44"/>
    <mergeCell ref="C45:D45"/>
  </mergeCells>
  <conditionalFormatting sqref="E14:Z15 E45:Z47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E30&lt;&gt;E46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34:Z34">
    <cfRule type="expression" dxfId="0" priority="9">
      <formula>E34&lt;&gt;#REF!</formula>
    </cfRule>
  </conditionalFormatting>
  <conditionalFormatting sqref="E50:Z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