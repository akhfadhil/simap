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PWP" sheetId="1" r:id="rId4"/>
    <sheet state="visible" name="SONGGON" sheetId="2" r:id="rId5"/>
    <sheet state="visible" name="BALAK" sheetId="3" r:id="rId6"/>
    <sheet state="visible" name="SRAGI" sheetId="4" r:id="rId7"/>
    <sheet state="visible" name="PARANGHARJO" sheetId="5" r:id="rId8"/>
    <sheet state="visible" name="BEDEWANG" sheetId="6" r:id="rId9"/>
    <sheet state="visible" name="BAYU" sheetId="7" r:id="rId10"/>
    <sheet state="visible" name="SUMBERARUM" sheetId="8" r:id="rId11"/>
    <sheet state="visible" name="SUMBERBULU" sheetId="9" r:id="rId12"/>
    <sheet state="visible" name="BANGUNSARI" sheetId="10" r:id="rId13"/>
  </sheets>
  <definedNames/>
  <calcPr/>
  <extLst>
    <ext uri="GoogleSheetsCustomDataVersion2">
      <go:sheetsCustomData xmlns:go="http://customooxmlschemas.google.com/" r:id="rId14" roundtripDataChecksum="c5eUzC729aZP2WCodfld3lqXJuMoVdokcCS7zjC72oI="/>
    </ext>
  </extLst>
</workbook>
</file>

<file path=xl/sharedStrings.xml><?xml version="1.0" encoding="utf-8"?>
<sst xmlns="http://schemas.openxmlformats.org/spreadsheetml/2006/main" count="799" uniqueCount="76">
  <si>
    <t>Kecamatan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</si>
  <si>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</si>
  <si>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</si>
  <si>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</si>
  <si>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</si>
  <si>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</si>
  <si>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</si>
  <si>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</si>
  <si>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</si>
  <si>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</si>
  <si>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</si>
  <si>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</si>
  <si>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</si>
  <si>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</si>
  <si>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</si>
  <si>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</si>
  <si>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</si>
  <si>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</si>
  <si>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</si>
  <si>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</si>
  <si>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</si>
  <si>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</si>
  <si>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</si>
  <si>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</si>
  <si>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</si>
  <si>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</si>
  <si>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</si>
  <si>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</si>
  <si>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</si>
  <si>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</si>
  <si>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</si>
  <si>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</si>
  <si>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</si>
  <si>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</si>
  <si>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</si>
  <si>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</si>
  <si>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H. ANIES RASYID BASWEDAN, Ph.D. - Dr. (H.C.) H. A. MUHAIMIN ISKANDAR</t>
  </si>
  <si>
    <t>H. PRABOWO SUBIANTO - GIBRAN RAKABUMING RAKA</t>
  </si>
  <si>
    <t>H. GANJAR PRANOWO, S.H., M.I.P. - Prof. Dr. H. M. MAHFUD MD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</si>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</sst>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b/>
      <sz val="10.0"/>
      <color rgb="FF000000"/>
      <name val="Bookman Old Style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13" fillId="0" fontId="3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6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7" numFmtId="0" xfId="0" applyBorder="1" applyFont="1"/>
    <xf borderId="1" fillId="0" fontId="1" numFmtId="0" xfId="0" applyAlignment="1" applyBorder="1" applyFont="1">
      <alignment vertical="center"/>
    </xf>
    <xf borderId="5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/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1</v>
      </c>
      <c r="D9" s="8" t="s">
        <v>2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3</v>
      </c>
      <c r="D10" s="8" t="s">
        <v>4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5</v>
      </c>
      <c r="B12" s="14" t="s">
        <v>6</v>
      </c>
      <c r="C12" s="15"/>
      <c r="D12" s="16"/>
      <c r="E12" s="17" t="s">
        <v>7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8</v>
      </c>
      <c r="B13" s="20" t="s">
        <v>9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10</v>
      </c>
      <c r="C14" s="23"/>
      <c r="D14" s="19" t="s">
        <v>11</v>
      </c>
      <c r="E14" s="24">
        <f>SONGGON!AF14+BALAK!X14+SRAGI!AG14+PARANGHARJO!S14+BEDEWANG!W14+BAYU!AB14+SUMBERARUM!X14+SUMBERBULU!Q14+BANGUNSARI!O14</f>
        <v>22660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12</v>
      </c>
      <c r="E15" s="24">
        <f>SONGGON!AF15+BALAK!X15+SRAGI!AG15+PARANGHARJO!S15+BEDEWANG!W15+BAYU!AB15+SUMBERARUM!X15+SUMBERBULU!Q15+BANGUNSARI!O15</f>
        <v>22859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13</v>
      </c>
      <c r="E16" s="29">
        <f>SUM(E14:E15)</f>
        <v>45519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14</v>
      </c>
      <c r="B18" s="20" t="s">
        <v>15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16</v>
      </c>
      <c r="C19" s="32" t="s">
        <v>17</v>
      </c>
      <c r="D19" s="19" t="s">
        <v>11</v>
      </c>
      <c r="E19" s="24">
        <f>SONGGON!AF19+BALAK!X19+SRAGI!AG19+PARANGHARJO!S19+BEDEWANG!W19+BAYU!AB19+SUMBERARUM!X19+SUMBERBULU!Q19+BANGUNSARI!O19</f>
        <v>16766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12</v>
      </c>
      <c r="E20" s="24">
        <f>SONGGON!AF20+BALAK!X20+SRAGI!AG20+PARANGHARJO!S20+BEDEWANG!W20+BAYU!AB20+SUMBERARUM!X20+SUMBERBULU!Q20+BANGUNSARI!O20</f>
        <v>18135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13</v>
      </c>
      <c r="E21" s="29">
        <f>SUM(E19:E20)</f>
        <v>34901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18</v>
      </c>
      <c r="C22" s="32" t="s">
        <v>19</v>
      </c>
      <c r="D22" s="19" t="s">
        <v>11</v>
      </c>
      <c r="E22" s="24">
        <f>SONGGON!AF22+BALAK!X22+SRAGI!AG22+PARANGHARJO!S22+BEDEWANG!W22+BAYU!AB22+SUMBERARUM!X22+SUMBERBULU!Q22+BANGUNSARI!O22</f>
        <v>10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12</v>
      </c>
      <c r="E23" s="24">
        <f>SONGGON!AF23+BALAK!X23+SRAGI!AG23+PARANGHARJO!S23+BEDEWANG!W23+BAYU!AB23+SUMBERARUM!X23+SUMBERBULU!Q23+BANGUNSARI!O23</f>
        <v>45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13</v>
      </c>
      <c r="E24" s="29">
        <f>SUM(E22:E23)</f>
        <v>55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20</v>
      </c>
      <c r="C25" s="32" t="s">
        <v>21</v>
      </c>
      <c r="D25" s="19" t="s">
        <v>11</v>
      </c>
      <c r="E25" s="24">
        <f>SONGGON!AF25+BALAK!X25+SRAGI!AG25+PARANGHARJO!S25+BEDEWANG!W25+BAYU!AB25+SUMBERARUM!X25+SUMBERBULU!Q25+BANGUNSARI!O25</f>
        <v>110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12</v>
      </c>
      <c r="E26" s="24">
        <f>SONGGON!AF26+BALAK!X26+SRAGI!AG26+PARANGHARJO!S26+BEDEWANG!W26+BAYU!AB26+SUMBERARUM!X26+SUMBERBULU!Q26+BANGUNSARI!O26</f>
        <v>111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13</v>
      </c>
      <c r="E27" s="29">
        <f>SUM(E25:E26)</f>
        <v>221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22</v>
      </c>
      <c r="C28" s="38" t="s">
        <v>23</v>
      </c>
      <c r="D28" s="13" t="s">
        <v>11</v>
      </c>
      <c r="E28" s="29">
        <f t="shared" ref="E28:E29" si="1">E19+E22+E25</f>
        <v>16886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12</v>
      </c>
      <c r="E29" s="29">
        <f t="shared" si="1"/>
        <v>18291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13</v>
      </c>
      <c r="E30" s="29">
        <f>SUM(E28:E29)</f>
        <v>35177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24</v>
      </c>
      <c r="B32" s="14" t="s">
        <v>25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26</v>
      </c>
      <c r="C33" s="15"/>
      <c r="D33" s="16"/>
      <c r="E33" s="24">
        <f>SONGGON!AF33+BALAK!X33+SRAGI!AG33+PARANGHARJO!S33+BEDEWANG!W33+BAYU!AB33+SUMBERARUM!X33+SUMBERBULU!Q33+BANGUNSARI!O33</f>
        <v>45591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27</v>
      </c>
      <c r="C34" s="15"/>
      <c r="D34" s="16"/>
      <c r="E34" s="24">
        <f>SONGGON!AF34+BALAK!X34+SRAGI!AG34+PARANGHARJO!S34+BEDEWANG!W34+BAYU!AB34+SUMBERARUM!X34+SUMBERBULU!Q34+BANGUNSARI!O34</f>
        <v>35177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28</v>
      </c>
      <c r="C35" s="15"/>
      <c r="D35" s="16"/>
      <c r="E35" s="24">
        <f>SONGGON!AF35+BALAK!X35+SRAGI!AG35+PARANGHARJO!S35+BEDEWANG!W35+BAYU!AB35+SUMBERARUM!X35+SUMBERBULU!Q35+BANGUNSARI!O35</f>
        <v>40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29</v>
      </c>
      <c r="C36" s="15"/>
      <c r="D36" s="16"/>
      <c r="E36" s="29">
        <f>E33-(E34+E35)</f>
        <v>10374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30</v>
      </c>
      <c r="B38" s="14" t="s">
        <v>31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32</v>
      </c>
      <c r="C39" s="23"/>
      <c r="D39" s="19" t="s">
        <v>11</v>
      </c>
      <c r="E39" s="24">
        <f>SONGGON!AF39+BALAK!X39+SRAGI!AG39+PARANGHARJO!S39+BEDEWANG!W39+BAYU!AB39+SUMBERARUM!X39+SUMBERBULU!Q39+BANGUNSARI!O39</f>
        <v>22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12</v>
      </c>
      <c r="E40" s="24">
        <f>SONGGON!AF40+BALAK!X40+SRAGI!AG40+PARANGHARJO!S40+BEDEWANG!W40+BAYU!AB40+SUMBERARUM!X40+SUMBERBULU!Q40+BANGUNSARI!O40</f>
        <v>30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13</v>
      </c>
      <c r="E41" s="29">
        <f>SUM(E39:E40)</f>
        <v>52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33</v>
      </c>
      <c r="B43" s="14" t="s">
        <v>34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35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/>
      <c r="B45" s="47">
        <v>1.0</v>
      </c>
      <c r="C45" s="48" t="s">
        <v>36</v>
      </c>
      <c r="D45" s="16"/>
      <c r="E45" s="24">
        <f>SONGGON!AF45+BALAK!X45+SRAGI!AG45+PARANGHARJO!S45+BEDEWANG!W45+BAYU!AB45+SUMBERARUM!X45+SUMBERBULU!Q45+BANGUNSARI!O45</f>
        <v>3207</v>
      </c>
      <c r="F45" s="49"/>
      <c r="G45" s="50"/>
      <c r="H45" s="50"/>
      <c r="I45" s="50"/>
      <c r="J45" s="50"/>
      <c r="K45" s="50"/>
      <c r="L45" s="50"/>
      <c r="M45" s="50"/>
      <c r="N45" s="50"/>
      <c r="O45" s="50"/>
      <c r="P45" s="51"/>
      <c r="Q45" s="3"/>
      <c r="R45" s="3"/>
      <c r="S45" s="3"/>
      <c r="T45" s="3"/>
      <c r="U45" s="3"/>
      <c r="V45" s="3"/>
      <c r="W45" s="52"/>
      <c r="X45" s="3"/>
      <c r="Y45" s="3"/>
      <c r="Z45" s="3"/>
    </row>
    <row r="46" ht="15.75" customHeight="1">
      <c r="A46" s="33"/>
      <c r="B46" s="47">
        <v>2.0</v>
      </c>
      <c r="C46" s="48" t="s">
        <v>37</v>
      </c>
      <c r="D46" s="16"/>
      <c r="E46" s="24">
        <f>SONGGON!AF46+BALAK!X46+SRAGI!AG46+PARANGHARJO!S46+BEDEWANG!W46+BAYU!AB46+SUMBERARUM!X46+SUMBERBULU!Q46+BANGUNSARI!O46</f>
        <v>24397</v>
      </c>
      <c r="F46" s="18"/>
      <c r="G46" s="5"/>
      <c r="H46" s="5"/>
      <c r="I46" s="5"/>
      <c r="J46" s="5"/>
      <c r="K46" s="5"/>
      <c r="L46" s="5"/>
      <c r="M46" s="5"/>
      <c r="N46" s="5"/>
      <c r="O46" s="5"/>
      <c r="P46" s="6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3"/>
      <c r="B47" s="47">
        <v>3.0</v>
      </c>
      <c r="C47" s="48" t="s">
        <v>38</v>
      </c>
      <c r="D47" s="16"/>
      <c r="E47" s="24">
        <f>SONGGON!AF47+BALAK!X47+SRAGI!AG47+PARANGHARJO!S47+BEDEWANG!W47+BAYU!AB47+SUMBERARUM!X47+SUMBERBULU!Q47+BANGUNSARI!O47</f>
        <v>6735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F48" s="18"/>
      <c r="G48" s="5"/>
      <c r="H48" s="5"/>
      <c r="I48" s="5"/>
      <c r="J48" s="5"/>
      <c r="K48" s="5"/>
      <c r="L48" s="5"/>
      <c r="M48" s="5"/>
      <c r="N48" s="5"/>
      <c r="O48" s="5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2" t="s">
        <v>39</v>
      </c>
      <c r="B49" s="14" t="s">
        <v>40</v>
      </c>
      <c r="C49" s="15"/>
      <c r="D49" s="16"/>
      <c r="E49" s="13"/>
      <c r="F49" s="18"/>
      <c r="G49" s="5"/>
      <c r="H49" s="5"/>
      <c r="I49" s="5"/>
      <c r="J49" s="5"/>
      <c r="K49" s="5"/>
      <c r="L49" s="5"/>
      <c r="M49" s="5"/>
      <c r="N49" s="5"/>
      <c r="O49" s="5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2"/>
      <c r="B50" s="54" t="s">
        <v>41</v>
      </c>
      <c r="C50" s="55" t="s">
        <v>42</v>
      </c>
      <c r="D50" s="16"/>
      <c r="E50" s="24">
        <f>SONGGON!AF50+BALAK!X50+SRAGI!AG50+PARANGHARJO!S50+BEDEWANG!W50+BAYU!AB50+SUMBERARUM!X50+SUMBERBULU!Q50+BANGUNSARI!O50</f>
        <v>34349</v>
      </c>
      <c r="F50" s="18"/>
      <c r="G50" s="5"/>
      <c r="H50" s="5"/>
      <c r="I50" s="5"/>
      <c r="J50" s="5"/>
      <c r="K50" s="5"/>
      <c r="L50" s="5"/>
      <c r="M50" s="5"/>
      <c r="N50" s="5"/>
      <c r="O50" s="10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5"/>
      <c r="B51" s="54" t="s">
        <v>43</v>
      </c>
      <c r="C51" s="55" t="s">
        <v>44</v>
      </c>
      <c r="D51" s="16"/>
      <c r="E51" s="24">
        <f>SONGGON!AF51+BALAK!X51+SRAGI!AG51+PARANGHARJO!S51+BEDEWANG!W51+BAYU!AB51+SUMBERARUM!X51+SUMBERBULU!Q51+BANGUNSARI!O51</f>
        <v>828</v>
      </c>
      <c r="F51" s="18"/>
      <c r="G51" s="5"/>
      <c r="H51" s="5"/>
      <c r="I51" s="5"/>
      <c r="J51" s="5"/>
      <c r="K51" s="5"/>
      <c r="L51" s="5"/>
      <c r="M51" s="5"/>
      <c r="N51" s="5"/>
      <c r="O51" s="10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1"/>
      <c r="B52" s="54" t="s">
        <v>45</v>
      </c>
      <c r="C52" s="55" t="s">
        <v>46</v>
      </c>
      <c r="D52" s="16"/>
      <c r="E52" s="13">
        <f>SUM(E50:E51)</f>
        <v>35177</v>
      </c>
      <c r="F52" s="18"/>
      <c r="G52" s="5"/>
      <c r="H52" s="5"/>
      <c r="I52" s="5"/>
      <c r="J52" s="5"/>
      <c r="K52" s="5"/>
      <c r="L52" s="5"/>
      <c r="M52" s="5"/>
      <c r="N52" s="5"/>
      <c r="O52" s="10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5"/>
      <c r="B53" s="56"/>
      <c r="C53" s="5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10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5"/>
      <c r="B54" s="56"/>
      <c r="C54" s="5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10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5"/>
      <c r="B55" s="56"/>
      <c r="C55" s="5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10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hidden="1" customHeight="1">
      <c r="A56" s="5"/>
      <c r="B56" s="56"/>
      <c r="C56" s="5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10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hidden="1" customHeight="1">
      <c r="A57" s="5"/>
      <c r="B57" s="56"/>
      <c r="C57" s="5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10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hidden="1" customHeight="1">
      <c r="A58" s="5"/>
      <c r="B58" s="56"/>
      <c r="C58" s="5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10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hidden="1" customHeight="1">
      <c r="A59" s="5"/>
      <c r="B59" s="56"/>
      <c r="C59" s="5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10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hidden="1" customHeight="1">
      <c r="A60" s="5"/>
      <c r="B60" s="56"/>
      <c r="C60" s="5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1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hidden="1" customHeight="1">
      <c r="A61" s="5"/>
      <c r="B61" s="56"/>
      <c r="C61" s="5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10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hidden="1" customHeight="1">
      <c r="A62" s="5"/>
      <c r="B62" s="56"/>
      <c r="C62" s="5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10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hidden="1" customHeight="1">
      <c r="A63" s="5"/>
      <c r="B63" s="56"/>
      <c r="C63" s="5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10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hidden="1" customHeight="1">
      <c r="A64" s="5"/>
      <c r="B64" s="56"/>
      <c r="C64" s="5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10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hidden="1" customHeight="1">
      <c r="A65" s="5"/>
      <c r="B65" s="56"/>
      <c r="C65" s="5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10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hidden="1" customHeight="1">
      <c r="A66" s="5"/>
      <c r="B66" s="56"/>
      <c r="C66" s="5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10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hidden="1" customHeight="1">
      <c r="A67" s="5"/>
      <c r="B67" s="56"/>
      <c r="C67" s="5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0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hidden="1" customHeight="1">
      <c r="A68" s="5"/>
      <c r="B68" s="56"/>
      <c r="C68" s="5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10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hidden="1" customHeight="1">
      <c r="A69" s="5"/>
      <c r="B69" s="56"/>
      <c r="C69" s="5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0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hidden="1" customHeight="1">
      <c r="A70" s="5"/>
      <c r="B70" s="56"/>
      <c r="C70" s="5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1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hidden="1" customHeight="1">
      <c r="A71" s="5"/>
      <c r="B71" s="56"/>
      <c r="C71" s="5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hidden="1" customHeight="1">
      <c r="A72" s="5"/>
      <c r="B72" s="56"/>
      <c r="C72" s="5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10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hidden="1" customHeight="1">
      <c r="A73" s="5"/>
      <c r="B73" s="56"/>
      <c r="C73" s="5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10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hidden="1" customHeight="1">
      <c r="A74" s="5"/>
      <c r="B74" s="56"/>
      <c r="C74" s="5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10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hidden="1" customHeight="1">
      <c r="A75" s="5"/>
      <c r="B75" s="56"/>
      <c r="C75" s="5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0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hidden="1" customHeight="1">
      <c r="A76" s="5"/>
      <c r="B76" s="56"/>
      <c r="C76" s="5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10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hidden="1" customHeight="1">
      <c r="A77" s="5"/>
      <c r="B77" s="56"/>
      <c r="C77" s="5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0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hidden="1" customHeight="1">
      <c r="A78" s="5"/>
      <c r="B78" s="56"/>
      <c r="C78" s="5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10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hidden="1" customHeight="1">
      <c r="A79" s="5"/>
      <c r="B79" s="56"/>
      <c r="C79" s="5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10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hidden="1" customHeight="1">
      <c r="A80" s="5"/>
      <c r="B80" s="56"/>
      <c r="C80" s="5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hidden="1" customHeight="1">
      <c r="A81" s="5"/>
      <c r="B81" s="56"/>
      <c r="C81" s="5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0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hidden="1" customHeight="1">
      <c r="A82" s="5"/>
      <c r="B82" s="56"/>
      <c r="C82" s="5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10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hidden="1" customHeight="1">
      <c r="A83" s="5"/>
      <c r="B83" s="56"/>
      <c r="C83" s="5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0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hidden="1" customHeight="1">
      <c r="A84" s="5"/>
      <c r="B84" s="56"/>
      <c r="C84" s="5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10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hidden="1" customHeight="1">
      <c r="A85" s="5"/>
      <c r="B85" s="56"/>
      <c r="C85" s="5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0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hidden="1" customHeight="1">
      <c r="A86" s="5"/>
      <c r="B86" s="56"/>
      <c r="C86" s="5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10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hidden="1" customHeight="1">
      <c r="A87" s="5"/>
      <c r="B87" s="56"/>
      <c r="C87" s="5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10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hidden="1" customHeight="1">
      <c r="A88" s="5"/>
      <c r="B88" s="56"/>
      <c r="C88" s="5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0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hidden="1" customHeight="1">
      <c r="A89" s="5"/>
      <c r="B89" s="56"/>
      <c r="C89" s="5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0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hidden="1" customHeight="1">
      <c r="A90" s="5"/>
      <c r="B90" s="56"/>
      <c r="C90" s="5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1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hidden="1" customHeight="1">
      <c r="A91" s="5"/>
      <c r="B91" s="56"/>
      <c r="C91" s="5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0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hidden="1" customHeight="1">
      <c r="A92" s="5"/>
      <c r="B92" s="56"/>
      <c r="C92" s="5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10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hidden="1" customHeight="1">
      <c r="A93" s="5"/>
      <c r="B93" s="56"/>
      <c r="C93" s="5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10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hidden="1" customHeight="1">
      <c r="A94" s="5"/>
      <c r="B94" s="56"/>
      <c r="C94" s="5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0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hidden="1" customHeight="1">
      <c r="A95" s="5"/>
      <c r="B95" s="56"/>
      <c r="C95" s="5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10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hidden="1" customHeight="1">
      <c r="A96" s="5"/>
      <c r="B96" s="56"/>
      <c r="C96" s="5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10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hidden="1" customHeight="1">
      <c r="A97" s="5"/>
      <c r="B97" s="56"/>
      <c r="C97" s="5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10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hidden="1" customHeight="1">
      <c r="A98" s="5"/>
      <c r="B98" s="56"/>
      <c r="C98" s="5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10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hidden="1" customHeight="1">
      <c r="A99" s="5"/>
      <c r="B99" s="56"/>
      <c r="C99" s="5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10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hidden="1" customHeight="1">
      <c r="A100" s="5"/>
      <c r="B100" s="56"/>
      <c r="C100" s="5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1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hidden="1" customHeight="1">
      <c r="A101" s="5"/>
      <c r="B101" s="56"/>
      <c r="C101" s="5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10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hidden="1" customHeight="1">
      <c r="A102" s="5"/>
      <c r="B102" s="56"/>
      <c r="C102" s="5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10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hidden="1" customHeight="1">
      <c r="A103" s="5"/>
      <c r="B103" s="56"/>
      <c r="C103" s="5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10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hidden="1" customHeight="1">
      <c r="A104" s="5"/>
      <c r="B104" s="56"/>
      <c r="C104" s="5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10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hidden="1" customHeight="1">
      <c r="A105" s="5"/>
      <c r="B105" s="56"/>
      <c r="C105" s="5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10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hidden="1" customHeight="1">
      <c r="A106" s="5"/>
      <c r="B106" s="56"/>
      <c r="C106" s="5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10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hidden="1" customHeight="1">
      <c r="A107" s="5"/>
      <c r="B107" s="56"/>
      <c r="C107" s="5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10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hidden="1" customHeight="1">
      <c r="A108" s="5"/>
      <c r="B108" s="56"/>
      <c r="C108" s="5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0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hidden="1" customHeight="1">
      <c r="A109" s="5"/>
      <c r="B109" s="56"/>
      <c r="C109" s="5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10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hidden="1" customHeight="1">
      <c r="A110" s="5"/>
      <c r="B110" s="56"/>
      <c r="C110" s="5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hidden="1" customHeight="1">
      <c r="A111" s="5"/>
      <c r="B111" s="56"/>
      <c r="C111" s="5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10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hidden="1" customHeight="1">
      <c r="A112" s="5"/>
      <c r="B112" s="56"/>
      <c r="C112" s="5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10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hidden="1" customHeight="1">
      <c r="A113" s="5"/>
      <c r="B113" s="56"/>
      <c r="C113" s="5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10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hidden="1" customHeight="1">
      <c r="A114" s="5"/>
      <c r="B114" s="56"/>
      <c r="C114" s="5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10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hidden="1" customHeight="1">
      <c r="A115" s="5"/>
      <c r="B115" s="56"/>
      <c r="C115" s="5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10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hidden="1" customHeight="1">
      <c r="A116" s="5"/>
      <c r="B116" s="56"/>
      <c r="C116" s="5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0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hidden="1" customHeight="1">
      <c r="A117" s="5"/>
      <c r="B117" s="56"/>
      <c r="C117" s="5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10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hidden="1" customHeight="1">
      <c r="A118" s="5"/>
      <c r="B118" s="56"/>
      <c r="C118" s="5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10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hidden="1" customHeight="1">
      <c r="A119" s="5"/>
      <c r="B119" s="56"/>
      <c r="C119" s="5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10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hidden="1" customHeight="1">
      <c r="A120" s="5"/>
      <c r="B120" s="56"/>
      <c r="C120" s="5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10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hidden="1" customHeight="1">
      <c r="A121" s="5"/>
      <c r="B121" s="56"/>
      <c r="C121" s="5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10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hidden="1" customHeight="1">
      <c r="A122" s="5"/>
      <c r="B122" s="56"/>
      <c r="C122" s="5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10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hidden="1" customHeight="1">
      <c r="A123" s="5"/>
      <c r="B123" s="56"/>
      <c r="C123" s="5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10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hidden="1" customHeight="1">
      <c r="A124" s="5"/>
      <c r="B124" s="56"/>
      <c r="C124" s="5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10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hidden="1" customHeight="1">
      <c r="A125" s="5"/>
      <c r="B125" s="56"/>
      <c r="C125" s="5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10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hidden="1" customHeight="1">
      <c r="A126" s="5"/>
      <c r="B126" s="56"/>
      <c r="C126" s="5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10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hidden="1" customHeight="1">
      <c r="A127" s="5"/>
      <c r="B127" s="56"/>
      <c r="C127" s="5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10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hidden="1" customHeight="1">
      <c r="A128" s="5"/>
      <c r="B128" s="56"/>
      <c r="C128" s="5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10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hidden="1" customHeight="1">
      <c r="A129" s="5"/>
      <c r="B129" s="56"/>
      <c r="C129" s="5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10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hidden="1" customHeight="1">
      <c r="A130" s="5"/>
      <c r="B130" s="56"/>
      <c r="C130" s="5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10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hidden="1" customHeight="1">
      <c r="A131" s="5"/>
      <c r="B131" s="56"/>
      <c r="C131" s="5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0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hidden="1" customHeight="1">
      <c r="A132" s="5"/>
      <c r="B132" s="56"/>
      <c r="C132" s="5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10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hidden="1" customHeight="1">
      <c r="A133" s="5"/>
      <c r="B133" s="56"/>
      <c r="C133" s="5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0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hidden="1" customHeight="1">
      <c r="A134" s="5"/>
      <c r="B134" s="56"/>
      <c r="C134" s="5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10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hidden="1" customHeight="1">
      <c r="A135" s="5"/>
      <c r="B135" s="56"/>
      <c r="C135" s="5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0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hidden="1" customHeight="1">
      <c r="A136" s="5"/>
      <c r="B136" s="56"/>
      <c r="C136" s="5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0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hidden="1" customHeight="1">
      <c r="A137" s="5"/>
      <c r="B137" s="56"/>
      <c r="C137" s="5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10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hidden="1" customHeight="1">
      <c r="A138" s="5"/>
      <c r="B138" s="56"/>
      <c r="C138" s="5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10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hidden="1" customHeight="1">
      <c r="A139" s="5"/>
      <c r="B139" s="56"/>
      <c r="C139" s="5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10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hidden="1" customHeight="1">
      <c r="A140" s="5"/>
      <c r="B140" s="56"/>
      <c r="C140" s="5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10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hidden="1" customHeight="1">
      <c r="A141" s="5"/>
      <c r="B141" s="56"/>
      <c r="C141" s="5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10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hidden="1" customHeight="1">
      <c r="A142" s="5"/>
      <c r="B142" s="56"/>
      <c r="C142" s="5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10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hidden="1" customHeight="1">
      <c r="A143" s="5"/>
      <c r="B143" s="56"/>
      <c r="C143" s="5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10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hidden="1" customHeight="1">
      <c r="A144" s="5"/>
      <c r="B144" s="56"/>
      <c r="C144" s="5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0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hidden="1" customHeight="1">
      <c r="A145" s="5"/>
      <c r="B145" s="56"/>
      <c r="C145" s="5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10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hidden="1" customHeight="1">
      <c r="A146" s="5"/>
      <c r="B146" s="56"/>
      <c r="C146" s="5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10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hidden="1" customHeight="1">
      <c r="A147" s="5"/>
      <c r="B147" s="56"/>
      <c r="C147" s="5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10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hidden="1" customHeight="1">
      <c r="A148" s="5"/>
      <c r="B148" s="56"/>
      <c r="C148" s="5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10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hidden="1" customHeight="1">
      <c r="A149" s="5"/>
      <c r="B149" s="56"/>
      <c r="C149" s="5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10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hidden="1" customHeight="1">
      <c r="A150" s="5"/>
      <c r="B150" s="56"/>
      <c r="C150" s="5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0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hidden="1" customHeight="1">
      <c r="A151" s="5"/>
      <c r="B151" s="56"/>
      <c r="C151" s="5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10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hidden="1" customHeight="1">
      <c r="A152" s="5"/>
      <c r="B152" s="56"/>
      <c r="C152" s="5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10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hidden="1" customHeight="1">
      <c r="A153" s="5"/>
      <c r="B153" s="56"/>
      <c r="C153" s="5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10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hidden="1" customHeight="1">
      <c r="A154" s="5"/>
      <c r="B154" s="56"/>
      <c r="C154" s="5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10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hidden="1" customHeight="1">
      <c r="A155" s="5"/>
      <c r="B155" s="56"/>
      <c r="C155" s="5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10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hidden="1" customHeight="1">
      <c r="A156" s="5"/>
      <c r="B156" s="56"/>
      <c r="C156" s="5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10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hidden="1" customHeight="1">
      <c r="A157" s="5"/>
      <c r="B157" s="56"/>
      <c r="C157" s="5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10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hidden="1" customHeight="1">
      <c r="A158" s="5"/>
      <c r="B158" s="56"/>
      <c r="C158" s="5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10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hidden="1" customHeight="1">
      <c r="A159" s="5"/>
      <c r="B159" s="56"/>
      <c r="C159" s="5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0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hidden="1" customHeight="1">
      <c r="A160" s="5"/>
      <c r="B160" s="56"/>
      <c r="C160" s="5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0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hidden="1" customHeight="1">
      <c r="A161" s="5"/>
      <c r="B161" s="56"/>
      <c r="C161" s="5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0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hidden="1" customHeight="1">
      <c r="A162" s="5"/>
      <c r="B162" s="56"/>
      <c r="C162" s="5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0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hidden="1" customHeight="1">
      <c r="A163" s="5"/>
      <c r="B163" s="56"/>
      <c r="C163" s="5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0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hidden="1" customHeight="1">
      <c r="A164" s="5"/>
      <c r="B164" s="56"/>
      <c r="C164" s="5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10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hidden="1" customHeight="1">
      <c r="A165" s="5"/>
      <c r="B165" s="56"/>
      <c r="C165" s="5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10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hidden="1" customHeight="1">
      <c r="A166" s="5"/>
      <c r="B166" s="56"/>
      <c r="C166" s="5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0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hidden="1" customHeight="1">
      <c r="A167" s="5"/>
      <c r="B167" s="56"/>
      <c r="C167" s="5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0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hidden="1" customHeight="1">
      <c r="A168" s="5"/>
      <c r="B168" s="56"/>
      <c r="C168" s="5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0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hidden="1" customHeight="1">
      <c r="A169" s="5"/>
      <c r="B169" s="56"/>
      <c r="C169" s="5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0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hidden="1" customHeight="1">
      <c r="A170" s="5"/>
      <c r="B170" s="56"/>
      <c r="C170" s="5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0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hidden="1" customHeight="1">
      <c r="A171" s="5"/>
      <c r="B171" s="56"/>
      <c r="C171" s="5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0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hidden="1" customHeight="1">
      <c r="A172" s="5"/>
      <c r="B172" s="56"/>
      <c r="C172" s="5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0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hidden="1" customHeight="1">
      <c r="A173" s="5"/>
      <c r="B173" s="56"/>
      <c r="C173" s="5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0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hidden="1" customHeight="1">
      <c r="A174" s="5"/>
      <c r="B174" s="56"/>
      <c r="C174" s="5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0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hidden="1" customHeight="1">
      <c r="A175" s="5"/>
      <c r="B175" s="56"/>
      <c r="C175" s="5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0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hidden="1" customHeight="1">
      <c r="A176" s="5"/>
      <c r="B176" s="56"/>
      <c r="C176" s="5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0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hidden="1" customHeight="1">
      <c r="A177" s="5"/>
      <c r="B177" s="56"/>
      <c r="C177" s="5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0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hidden="1" customHeight="1">
      <c r="A178" s="5"/>
      <c r="B178" s="56"/>
      <c r="C178" s="5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0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hidden="1" customHeight="1">
      <c r="A179" s="5"/>
      <c r="B179" s="56"/>
      <c r="C179" s="5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0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hidden="1" customHeight="1">
      <c r="A180" s="5"/>
      <c r="B180" s="56"/>
      <c r="C180" s="5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0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hidden="1" customHeight="1">
      <c r="A181" s="5"/>
      <c r="B181" s="56"/>
      <c r="C181" s="5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0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hidden="1" customHeight="1">
      <c r="A182" s="5"/>
      <c r="B182" s="56"/>
      <c r="C182" s="5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0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hidden="1" customHeight="1">
      <c r="A183" s="5"/>
      <c r="B183" s="56"/>
      <c r="C183" s="5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0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hidden="1" customHeight="1">
      <c r="A184" s="5"/>
      <c r="B184" s="56"/>
      <c r="C184" s="5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0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hidden="1" customHeight="1">
      <c r="A185" s="5"/>
      <c r="B185" s="56"/>
      <c r="C185" s="5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0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hidden="1" customHeight="1">
      <c r="A186" s="5"/>
      <c r="B186" s="56"/>
      <c r="C186" s="5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0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hidden="1" customHeight="1">
      <c r="A187" s="5"/>
      <c r="B187" s="56"/>
      <c r="C187" s="5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0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hidden="1" customHeight="1">
      <c r="A188" s="5"/>
      <c r="B188" s="56"/>
      <c r="C188" s="5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0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>
      <c r="A189" s="5"/>
      <c r="B189" s="56"/>
      <c r="C189" s="5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0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hidden="1" customHeight="1">
      <c r="A190" s="5"/>
      <c r="B190" s="56"/>
      <c r="C190" s="5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0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>
      <c r="A191" s="5"/>
      <c r="B191" s="56"/>
      <c r="C191" s="5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0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>
      <c r="A192" s="5"/>
      <c r="B192" s="56"/>
      <c r="C192" s="5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0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>
      <c r="A193" s="5"/>
      <c r="B193" s="56"/>
      <c r="C193" s="5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>
      <c r="A194" s="5"/>
      <c r="B194" s="56"/>
      <c r="C194" s="5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hidden="1" customHeight="1">
      <c r="A195" s="5"/>
      <c r="B195" s="56"/>
      <c r="C195" s="5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5"/>
      <c r="B196" s="56"/>
      <c r="C196" s="5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5"/>
      <c r="B197" s="56"/>
      <c r="C197" s="5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5"/>
      <c r="B198" s="56"/>
      <c r="C198" s="5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5"/>
      <c r="B199" s="56"/>
      <c r="C199" s="5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5"/>
      <c r="B200" s="56"/>
      <c r="C200" s="5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5"/>
      <c r="B201" s="56"/>
      <c r="C201" s="5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5"/>
      <c r="B202" s="56"/>
      <c r="C202" s="5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5"/>
      <c r="B203" s="56"/>
      <c r="C203" s="5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>
      <c r="A204" s="5"/>
      <c r="B204" s="56"/>
      <c r="C204" s="5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>
      <c r="A205" s="5"/>
      <c r="B205" s="56"/>
      <c r="C205" s="5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5"/>
      <c r="B206" s="56"/>
      <c r="C206" s="5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>
      <c r="A207" s="5"/>
      <c r="B207" s="56"/>
      <c r="C207" s="5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>
      <c r="A208" s="5"/>
      <c r="B208" s="56"/>
      <c r="C208" s="5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5"/>
      <c r="B209" s="56"/>
      <c r="C209" s="5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5"/>
      <c r="B210" s="56"/>
      <c r="C210" s="5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5"/>
      <c r="B211" s="56"/>
      <c r="C211" s="5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5"/>
      <c r="B212" s="56"/>
      <c r="C212" s="5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5"/>
      <c r="B213" s="56"/>
      <c r="C213" s="5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5"/>
      <c r="B214" s="56"/>
      <c r="C214" s="5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5"/>
      <c r="B215" s="56"/>
      <c r="C215" s="5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>
      <c r="A216" s="5"/>
      <c r="B216" s="56"/>
      <c r="C216" s="5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5"/>
      <c r="B217" s="56"/>
      <c r="C217" s="5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5"/>
      <c r="B218" s="56"/>
      <c r="C218" s="5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5"/>
      <c r="B219" s="56"/>
      <c r="C219" s="5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5"/>
      <c r="B220" s="56"/>
      <c r="C220" s="5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5"/>
      <c r="B221" s="56"/>
      <c r="C221" s="5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>
      <c r="A222" s="5"/>
      <c r="B222" s="56"/>
      <c r="C222" s="5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hidden="1" customHeight="1">
      <c r="A223" s="5"/>
      <c r="B223" s="56"/>
      <c r="C223" s="5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5"/>
      <c r="B224" s="56"/>
      <c r="C224" s="5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5"/>
      <c r="B225" s="56"/>
      <c r="C225" s="5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5"/>
      <c r="B226" s="56"/>
      <c r="C226" s="5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5"/>
      <c r="B227" s="56"/>
      <c r="C227" s="5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5"/>
      <c r="B228" s="56"/>
      <c r="C228" s="5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5"/>
      <c r="B229" s="56"/>
      <c r="C229" s="5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5"/>
      <c r="B230" s="56"/>
      <c r="C230" s="5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5"/>
      <c r="B231" s="56"/>
      <c r="C231" s="5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5"/>
      <c r="B232" s="56"/>
      <c r="C232" s="5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5"/>
      <c r="B233" s="56"/>
      <c r="C233" s="5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5"/>
      <c r="B234" s="56"/>
      <c r="C234" s="5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5"/>
      <c r="B235" s="56"/>
      <c r="C235" s="5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5"/>
      <c r="B236" s="56"/>
      <c r="C236" s="5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5"/>
      <c r="B237" s="56"/>
      <c r="C237" s="5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5"/>
      <c r="B238" s="56"/>
      <c r="C238" s="5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5"/>
      <c r="B239" s="56"/>
      <c r="C239" s="5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5"/>
      <c r="B240" s="56"/>
      <c r="C240" s="5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5"/>
      <c r="B241" s="56"/>
      <c r="C241" s="5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5"/>
      <c r="B242" s="56"/>
      <c r="C242" s="5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5"/>
      <c r="B243" s="56"/>
      <c r="C243" s="5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5"/>
      <c r="B244" s="56"/>
      <c r="C244" s="5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5"/>
      <c r="B245" s="56"/>
      <c r="C245" s="5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5"/>
      <c r="B246" s="56"/>
      <c r="C246" s="5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5"/>
      <c r="B247" s="56"/>
      <c r="C247" s="5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5"/>
      <c r="B248" s="56"/>
      <c r="C248" s="5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5"/>
      <c r="B249" s="56"/>
      <c r="C249" s="5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5"/>
      <c r="B250" s="56"/>
      <c r="C250" s="57"/>
      <c r="D250" s="5"/>
      <c r="E250" s="5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5"/>
      <c r="B251" s="56"/>
      <c r="C251" s="57"/>
      <c r="D251" s="5"/>
      <c r="E251" s="5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5"/>
      <c r="B252" s="56"/>
      <c r="C252" s="57"/>
      <c r="D252" s="5"/>
      <c r="E252" s="5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C47:D47"/>
    <mergeCell ref="B49:D49"/>
    <mergeCell ref="C50:D50"/>
    <mergeCell ref="C51:D51"/>
    <mergeCell ref="C52:D52"/>
    <mergeCell ref="B38:D38"/>
    <mergeCell ref="B39:C41"/>
    <mergeCell ref="A42:D42"/>
    <mergeCell ref="B43:D43"/>
    <mergeCell ref="A44:D44"/>
    <mergeCell ref="C45:D45"/>
    <mergeCell ref="C46:D46"/>
  </mergeCells>
  <conditionalFormatting sqref="E30">
    <cfRule type="expression" dxfId="0" priority="1">
      <formula>E30&lt;&gt;E52</formula>
    </cfRule>
  </conditionalFormatting>
  <conditionalFormatting sqref="E30">
    <cfRule type="expression" dxfId="0" priority="2">
      <formula>E30&lt;&gt;E34</formula>
    </cfRule>
  </conditionalFormatting>
  <conditionalFormatting sqref="F48:O49">
    <cfRule type="cellIs" dxfId="0" priority="3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1" width="8.71"/>
    <col customWidth="1" min="32" max="32" width="13.29"/>
  </cols>
  <sheetData>
    <row r="1" ht="12.75" customHeight="1"/>
    <row r="2" ht="12.75" customHeight="1">
      <c r="C2" s="8" t="s">
        <v>0</v>
      </c>
      <c r="D2" s="8"/>
    </row>
    <row r="3" ht="12.75" customHeight="1">
      <c r="C3" s="8" t="s">
        <v>1</v>
      </c>
      <c r="D3" s="8" t="s">
        <v>2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47</v>
      </c>
      <c r="D9" s="8"/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58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48</v>
      </c>
      <c r="F13" s="13" t="s">
        <v>49</v>
      </c>
      <c r="G13" s="13" t="s">
        <v>50</v>
      </c>
      <c r="H13" s="13" t="s">
        <v>51</v>
      </c>
      <c r="I13" s="13" t="s">
        <v>52</v>
      </c>
      <c r="J13" s="13" t="s">
        <v>53</v>
      </c>
      <c r="K13" s="13" t="s">
        <v>54</v>
      </c>
      <c r="L13" s="13" t="s">
        <v>55</v>
      </c>
      <c r="M13" s="13" t="s">
        <v>56</v>
      </c>
      <c r="N13" s="13" t="s">
        <v>57</v>
      </c>
      <c r="O13" s="13" t="s">
        <v>58</v>
      </c>
      <c r="P13" s="13" t="s">
        <v>59</v>
      </c>
      <c r="Q13" s="13" t="s">
        <v>60</v>
      </c>
      <c r="R13" s="13" t="s">
        <v>61</v>
      </c>
      <c r="S13" s="13" t="s">
        <v>62</v>
      </c>
      <c r="T13" s="13" t="s">
        <v>63</v>
      </c>
      <c r="U13" s="13" t="s">
        <v>64</v>
      </c>
      <c r="V13" s="13" t="s">
        <v>65</v>
      </c>
      <c r="W13" s="13" t="s">
        <v>66</v>
      </c>
      <c r="X13" s="13" t="s">
        <v>67</v>
      </c>
      <c r="Y13" s="13" t="s">
        <v>68</v>
      </c>
      <c r="Z13" s="13" t="s">
        <v>69</v>
      </c>
      <c r="AA13" s="13" t="s">
        <v>70</v>
      </c>
      <c r="AB13" s="13" t="s">
        <v>71</v>
      </c>
      <c r="AC13" s="13" t="s">
        <v>72</v>
      </c>
      <c r="AD13" s="13" t="s">
        <v>73</v>
      </c>
      <c r="AE13" s="13" t="s">
        <v>74</v>
      </c>
      <c r="AF13" s="36"/>
    </row>
    <row r="14" ht="12.75" customHeight="1">
      <c r="A14" s="18"/>
      <c r="B14" s="22" t="s">
        <v>10</v>
      </c>
      <c r="C14" s="23"/>
      <c r="D14" s="19" t="s">
        <v>11</v>
      </c>
      <c r="E14" s="19">
        <v>105.0</v>
      </c>
      <c r="F14" s="19">
        <v>135.0</v>
      </c>
      <c r="G14" s="19">
        <v>112.0</v>
      </c>
      <c r="H14" s="19">
        <v>110.0</v>
      </c>
      <c r="I14" s="19">
        <v>120.0</v>
      </c>
      <c r="J14" s="19">
        <v>136.0</v>
      </c>
      <c r="K14" s="19">
        <v>146.0</v>
      </c>
      <c r="L14" s="19">
        <v>92.0</v>
      </c>
      <c r="M14" s="19">
        <v>81.0</v>
      </c>
      <c r="N14" s="19">
        <v>119.0</v>
      </c>
      <c r="O14" s="19">
        <v>140.0</v>
      </c>
      <c r="P14" s="19">
        <v>140.0</v>
      </c>
      <c r="Q14" s="19">
        <v>140.0</v>
      </c>
      <c r="R14" s="19">
        <v>145.0</v>
      </c>
      <c r="S14" s="19">
        <v>139.0</v>
      </c>
      <c r="T14" s="19">
        <v>94.0</v>
      </c>
      <c r="U14" s="19">
        <v>127.0</v>
      </c>
      <c r="V14" s="19">
        <v>157.0</v>
      </c>
      <c r="W14" s="19">
        <v>149.0</v>
      </c>
      <c r="X14" s="19">
        <v>127.0</v>
      </c>
      <c r="Y14" s="19">
        <v>140.0</v>
      </c>
      <c r="Z14" s="19">
        <v>127.0</v>
      </c>
      <c r="AA14" s="19">
        <v>122.0</v>
      </c>
      <c r="AB14" s="19">
        <v>147.0</v>
      </c>
      <c r="AC14" s="19">
        <v>150.0</v>
      </c>
      <c r="AD14" s="19">
        <v>148.0</v>
      </c>
      <c r="AE14" s="19">
        <v>136.0</v>
      </c>
      <c r="AF14" s="13">
        <f t="shared" ref="AF14:AF16" si="1">SUM(E14:AE14)</f>
        <v>3484</v>
      </c>
    </row>
    <row r="15" ht="12.75" customHeight="1">
      <c r="A15" s="18"/>
      <c r="B15" s="26"/>
      <c r="C15" s="27"/>
      <c r="D15" s="19" t="s">
        <v>12</v>
      </c>
      <c r="E15" s="19">
        <v>127.0</v>
      </c>
      <c r="F15" s="19">
        <v>134.0</v>
      </c>
      <c r="G15" s="19">
        <v>128.0</v>
      </c>
      <c r="H15" s="19">
        <v>110.0</v>
      </c>
      <c r="I15" s="19">
        <v>127.0</v>
      </c>
      <c r="J15" s="19">
        <v>130.0</v>
      </c>
      <c r="K15" s="19">
        <v>142.0</v>
      </c>
      <c r="L15" s="19">
        <v>98.0</v>
      </c>
      <c r="M15" s="19">
        <v>97.0</v>
      </c>
      <c r="N15" s="19">
        <v>129.0</v>
      </c>
      <c r="O15" s="19">
        <v>140.0</v>
      </c>
      <c r="P15" s="19">
        <v>136.0</v>
      </c>
      <c r="Q15" s="19">
        <v>134.0</v>
      </c>
      <c r="R15" s="19">
        <v>139.0</v>
      </c>
      <c r="S15" s="19">
        <v>141.0</v>
      </c>
      <c r="T15" s="19">
        <v>103.0</v>
      </c>
      <c r="U15" s="19">
        <v>127.0</v>
      </c>
      <c r="V15" s="19">
        <v>142.0</v>
      </c>
      <c r="W15" s="19">
        <v>148.0</v>
      </c>
      <c r="X15" s="19">
        <v>131.0</v>
      </c>
      <c r="Y15" s="19">
        <v>150.0</v>
      </c>
      <c r="Z15" s="19">
        <v>137.0</v>
      </c>
      <c r="AA15" s="19">
        <v>110.0</v>
      </c>
      <c r="AB15" s="19">
        <v>132.0</v>
      </c>
      <c r="AC15" s="19">
        <v>148.0</v>
      </c>
      <c r="AD15" s="19">
        <v>151.0</v>
      </c>
      <c r="AE15" s="19">
        <v>144.0</v>
      </c>
      <c r="AF15" s="13">
        <f t="shared" si="1"/>
        <v>3535</v>
      </c>
    </row>
    <row r="16" ht="12.75" customHeight="1">
      <c r="A16" s="25"/>
      <c r="B16" s="21"/>
      <c r="C16" s="28"/>
      <c r="D16" s="13" t="s">
        <v>13</v>
      </c>
      <c r="E16" s="13">
        <f t="shared" ref="E16:AE16" si="2">SUM(E14:E15)</f>
        <v>232</v>
      </c>
      <c r="F16" s="13">
        <f t="shared" si="2"/>
        <v>269</v>
      </c>
      <c r="G16" s="13">
        <f t="shared" si="2"/>
        <v>240</v>
      </c>
      <c r="H16" s="13">
        <f t="shared" si="2"/>
        <v>220</v>
      </c>
      <c r="I16" s="13">
        <f t="shared" si="2"/>
        <v>247</v>
      </c>
      <c r="J16" s="13">
        <f t="shared" si="2"/>
        <v>266</v>
      </c>
      <c r="K16" s="13">
        <f t="shared" si="2"/>
        <v>288</v>
      </c>
      <c r="L16" s="13">
        <f t="shared" si="2"/>
        <v>190</v>
      </c>
      <c r="M16" s="13">
        <f t="shared" si="2"/>
        <v>178</v>
      </c>
      <c r="N16" s="13">
        <f t="shared" si="2"/>
        <v>248</v>
      </c>
      <c r="O16" s="13">
        <f t="shared" si="2"/>
        <v>280</v>
      </c>
      <c r="P16" s="13">
        <f t="shared" si="2"/>
        <v>276</v>
      </c>
      <c r="Q16" s="13">
        <f t="shared" si="2"/>
        <v>274</v>
      </c>
      <c r="R16" s="13">
        <f t="shared" si="2"/>
        <v>284</v>
      </c>
      <c r="S16" s="13">
        <f t="shared" si="2"/>
        <v>280</v>
      </c>
      <c r="T16" s="13">
        <f t="shared" si="2"/>
        <v>197</v>
      </c>
      <c r="U16" s="13">
        <f t="shared" si="2"/>
        <v>254</v>
      </c>
      <c r="V16" s="13">
        <f t="shared" si="2"/>
        <v>299</v>
      </c>
      <c r="W16" s="13">
        <f t="shared" si="2"/>
        <v>297</v>
      </c>
      <c r="X16" s="13">
        <f t="shared" si="2"/>
        <v>258</v>
      </c>
      <c r="Y16" s="13">
        <f t="shared" si="2"/>
        <v>290</v>
      </c>
      <c r="Z16" s="13">
        <f t="shared" si="2"/>
        <v>264</v>
      </c>
      <c r="AA16" s="13">
        <f t="shared" si="2"/>
        <v>232</v>
      </c>
      <c r="AB16" s="13">
        <f t="shared" si="2"/>
        <v>279</v>
      </c>
      <c r="AC16" s="13">
        <f t="shared" si="2"/>
        <v>298</v>
      </c>
      <c r="AD16" s="13">
        <f t="shared" si="2"/>
        <v>299</v>
      </c>
      <c r="AE16" s="13">
        <f t="shared" si="2"/>
        <v>280</v>
      </c>
      <c r="AF16" s="13">
        <f t="shared" si="1"/>
        <v>7019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19"/>
      <c r="P17" s="19"/>
      <c r="Q17" s="19"/>
      <c r="R17" s="19"/>
      <c r="S17" s="59"/>
      <c r="T17" s="19"/>
      <c r="U17" s="19"/>
      <c r="V17" s="19"/>
      <c r="W17" s="19"/>
      <c r="X17" s="59"/>
      <c r="Y17" s="19"/>
      <c r="Z17" s="19"/>
      <c r="AA17" s="19"/>
      <c r="AB17" s="19"/>
      <c r="AC17" s="59"/>
      <c r="AD17" s="19"/>
      <c r="AE17" s="19"/>
      <c r="AF17" s="60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19"/>
      <c r="P18" s="19"/>
      <c r="Q18" s="19"/>
      <c r="R18" s="19"/>
      <c r="S18" s="59"/>
      <c r="T18" s="19"/>
      <c r="U18" s="19"/>
      <c r="V18" s="19"/>
      <c r="W18" s="19"/>
      <c r="X18" s="59"/>
      <c r="Y18" s="19"/>
      <c r="Z18" s="19"/>
      <c r="AA18" s="19"/>
      <c r="AB18" s="19"/>
      <c r="AC18" s="59"/>
      <c r="AD18" s="19"/>
      <c r="AE18" s="19"/>
      <c r="AF18" s="60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77.0</v>
      </c>
      <c r="F19" s="19">
        <v>95.0</v>
      </c>
      <c r="G19" s="19">
        <v>67.0</v>
      </c>
      <c r="H19" s="19">
        <v>84.0</v>
      </c>
      <c r="I19" s="19">
        <v>101.0</v>
      </c>
      <c r="J19" s="19">
        <v>95.0</v>
      </c>
      <c r="K19" s="19">
        <v>104.0</v>
      </c>
      <c r="L19" s="19">
        <v>65.0</v>
      </c>
      <c r="M19" s="19">
        <v>59.0</v>
      </c>
      <c r="N19" s="19">
        <v>80.0</v>
      </c>
      <c r="O19" s="19">
        <v>108.0</v>
      </c>
      <c r="P19" s="19">
        <v>103.0</v>
      </c>
      <c r="Q19" s="19">
        <v>109.0</v>
      </c>
      <c r="R19" s="19">
        <v>105.0</v>
      </c>
      <c r="S19" s="19">
        <v>101.0</v>
      </c>
      <c r="T19" s="19">
        <v>76.0</v>
      </c>
      <c r="U19" s="19">
        <v>95.0</v>
      </c>
      <c r="V19" s="19">
        <v>119.0</v>
      </c>
      <c r="W19" s="19">
        <v>110.0</v>
      </c>
      <c r="X19" s="19">
        <v>95.0</v>
      </c>
      <c r="Y19" s="19">
        <v>99.0</v>
      </c>
      <c r="Z19" s="19">
        <v>98.0</v>
      </c>
      <c r="AA19" s="19">
        <v>95.0</v>
      </c>
      <c r="AB19" s="19">
        <v>110.0</v>
      </c>
      <c r="AC19" s="19">
        <v>115.0</v>
      </c>
      <c r="AD19" s="19">
        <v>127.0</v>
      </c>
      <c r="AE19" s="19">
        <v>112.0</v>
      </c>
      <c r="AF19" s="13">
        <f t="shared" ref="AF19:AF30" si="3">SUM(E19:AE19)</f>
        <v>2604</v>
      </c>
    </row>
    <row r="20" ht="12.75" customHeight="1">
      <c r="A20" s="33"/>
      <c r="B20" s="27"/>
      <c r="C20" s="34"/>
      <c r="D20" s="19" t="s">
        <v>12</v>
      </c>
      <c r="E20" s="19">
        <v>107.0</v>
      </c>
      <c r="F20" s="19">
        <v>106.0</v>
      </c>
      <c r="G20" s="19">
        <v>88.0</v>
      </c>
      <c r="H20" s="19">
        <v>90.0</v>
      </c>
      <c r="I20" s="19">
        <v>104.0</v>
      </c>
      <c r="J20" s="19">
        <v>104.0</v>
      </c>
      <c r="K20" s="19">
        <v>108.0</v>
      </c>
      <c r="L20" s="19">
        <v>69.0</v>
      </c>
      <c r="M20" s="19">
        <v>68.0</v>
      </c>
      <c r="N20" s="19">
        <v>100.0</v>
      </c>
      <c r="O20" s="19">
        <v>108.0</v>
      </c>
      <c r="P20" s="19">
        <v>115.0</v>
      </c>
      <c r="Q20" s="19">
        <v>103.0</v>
      </c>
      <c r="R20" s="19">
        <v>115.0</v>
      </c>
      <c r="S20" s="19">
        <v>115.0</v>
      </c>
      <c r="T20" s="19">
        <v>81.0</v>
      </c>
      <c r="U20" s="19">
        <v>105.0</v>
      </c>
      <c r="V20" s="19">
        <v>120.0</v>
      </c>
      <c r="W20" s="19">
        <v>128.0</v>
      </c>
      <c r="X20" s="19">
        <v>110.0</v>
      </c>
      <c r="Y20" s="19">
        <v>116.0</v>
      </c>
      <c r="Z20" s="19">
        <v>116.0</v>
      </c>
      <c r="AA20" s="19">
        <v>93.0</v>
      </c>
      <c r="AB20" s="19">
        <v>109.0</v>
      </c>
      <c r="AC20" s="19">
        <v>114.0</v>
      </c>
      <c r="AD20" s="19">
        <v>132.0</v>
      </c>
      <c r="AE20" s="19">
        <v>127.0</v>
      </c>
      <c r="AF20" s="13">
        <f t="shared" si="3"/>
        <v>2851</v>
      </c>
    </row>
    <row r="21" ht="12.75" customHeight="1">
      <c r="A21" s="35"/>
      <c r="B21" s="28"/>
      <c r="C21" s="36"/>
      <c r="D21" s="13" t="s">
        <v>13</v>
      </c>
      <c r="E21" s="13">
        <f t="shared" ref="E21:AE21" si="4">SUM(E19:E20)</f>
        <v>184</v>
      </c>
      <c r="F21" s="13">
        <f t="shared" si="4"/>
        <v>201</v>
      </c>
      <c r="G21" s="13">
        <f t="shared" si="4"/>
        <v>155</v>
      </c>
      <c r="H21" s="13">
        <f t="shared" si="4"/>
        <v>174</v>
      </c>
      <c r="I21" s="13">
        <f t="shared" si="4"/>
        <v>205</v>
      </c>
      <c r="J21" s="13">
        <f t="shared" si="4"/>
        <v>199</v>
      </c>
      <c r="K21" s="13">
        <f t="shared" si="4"/>
        <v>212</v>
      </c>
      <c r="L21" s="13">
        <f t="shared" si="4"/>
        <v>134</v>
      </c>
      <c r="M21" s="13">
        <f t="shared" si="4"/>
        <v>127</v>
      </c>
      <c r="N21" s="13">
        <f t="shared" si="4"/>
        <v>180</v>
      </c>
      <c r="O21" s="13">
        <f t="shared" si="4"/>
        <v>216</v>
      </c>
      <c r="P21" s="13">
        <f t="shared" si="4"/>
        <v>218</v>
      </c>
      <c r="Q21" s="13">
        <f t="shared" si="4"/>
        <v>212</v>
      </c>
      <c r="R21" s="13">
        <f t="shared" si="4"/>
        <v>220</v>
      </c>
      <c r="S21" s="13">
        <f t="shared" si="4"/>
        <v>216</v>
      </c>
      <c r="T21" s="13">
        <f t="shared" si="4"/>
        <v>157</v>
      </c>
      <c r="U21" s="13">
        <f t="shared" si="4"/>
        <v>200</v>
      </c>
      <c r="V21" s="13">
        <f t="shared" si="4"/>
        <v>239</v>
      </c>
      <c r="W21" s="13">
        <f t="shared" si="4"/>
        <v>238</v>
      </c>
      <c r="X21" s="13">
        <f t="shared" si="4"/>
        <v>205</v>
      </c>
      <c r="Y21" s="13">
        <f t="shared" si="4"/>
        <v>215</v>
      </c>
      <c r="Z21" s="13">
        <f t="shared" si="4"/>
        <v>214</v>
      </c>
      <c r="AA21" s="13">
        <f t="shared" si="4"/>
        <v>188</v>
      </c>
      <c r="AB21" s="13">
        <f t="shared" si="4"/>
        <v>219</v>
      </c>
      <c r="AC21" s="13">
        <f t="shared" si="4"/>
        <v>229</v>
      </c>
      <c r="AD21" s="13">
        <f t="shared" si="4"/>
        <v>259</v>
      </c>
      <c r="AE21" s="13">
        <f t="shared" si="4"/>
        <v>239</v>
      </c>
      <c r="AF21" s="13">
        <f t="shared" si="3"/>
        <v>5455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1.0</v>
      </c>
      <c r="X22" s="19">
        <v>0.0</v>
      </c>
      <c r="Y22" s="19">
        <v>1.0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3">
        <f t="shared" si="3"/>
        <v>2</v>
      </c>
    </row>
    <row r="23" ht="12.75" customHeight="1">
      <c r="A23" s="33"/>
      <c r="B23" s="27"/>
      <c r="C23" s="34"/>
      <c r="D23" s="19" t="s">
        <v>12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1.0</v>
      </c>
      <c r="N23" s="19">
        <v>0.0</v>
      </c>
      <c r="O23" s="19">
        <v>0.0</v>
      </c>
      <c r="P23" s="19">
        <v>1.0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1.0</v>
      </c>
      <c r="W23" s="19">
        <v>1.0</v>
      </c>
      <c r="X23" s="19">
        <v>0.0</v>
      </c>
      <c r="Y23" s="19">
        <v>1.0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3">
        <f t="shared" si="3"/>
        <v>5</v>
      </c>
    </row>
    <row r="24" ht="12.75" customHeight="1">
      <c r="A24" s="35"/>
      <c r="B24" s="28"/>
      <c r="C24" s="36"/>
      <c r="D24" s="13" t="s">
        <v>13</v>
      </c>
      <c r="E24" s="13">
        <f t="shared" ref="E24:AE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1</v>
      </c>
      <c r="N24" s="13">
        <f t="shared" si="5"/>
        <v>0</v>
      </c>
      <c r="O24" s="13">
        <f t="shared" si="5"/>
        <v>0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1</v>
      </c>
      <c r="W24" s="13">
        <f t="shared" si="5"/>
        <v>2</v>
      </c>
      <c r="X24" s="13">
        <f t="shared" si="5"/>
        <v>0</v>
      </c>
      <c r="Y24" s="13">
        <f t="shared" si="5"/>
        <v>2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3"/>
        <v>7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0.0</v>
      </c>
      <c r="F25" s="19">
        <v>2.0</v>
      </c>
      <c r="G25" s="19">
        <v>1.0</v>
      </c>
      <c r="H25" s="19">
        <v>1.0</v>
      </c>
      <c r="I25" s="19">
        <v>3.0</v>
      </c>
      <c r="J25" s="19">
        <v>0.0</v>
      </c>
      <c r="K25" s="19">
        <v>0.0</v>
      </c>
      <c r="L25" s="19">
        <v>0.0</v>
      </c>
      <c r="M25" s="19">
        <v>0.0</v>
      </c>
      <c r="N25" s="19">
        <v>1.0</v>
      </c>
      <c r="O25" s="19">
        <v>1.0</v>
      </c>
      <c r="P25" s="19">
        <v>2.0</v>
      </c>
      <c r="Q25" s="19">
        <v>1.0</v>
      </c>
      <c r="R25" s="19">
        <v>1.0</v>
      </c>
      <c r="S25" s="19">
        <v>0.0</v>
      </c>
      <c r="T25" s="19">
        <v>1.0</v>
      </c>
      <c r="U25" s="19">
        <v>0.0</v>
      </c>
      <c r="V25" s="19">
        <v>0.0</v>
      </c>
      <c r="W25" s="19">
        <v>5.0</v>
      </c>
      <c r="X25" s="19">
        <v>0.0</v>
      </c>
      <c r="Y25" s="19">
        <v>0.0</v>
      </c>
      <c r="Z25" s="19">
        <v>1.0</v>
      </c>
      <c r="AA25" s="19">
        <v>1.0</v>
      </c>
      <c r="AB25" s="19">
        <v>0.0</v>
      </c>
      <c r="AC25" s="19">
        <v>0.0</v>
      </c>
      <c r="AD25" s="19">
        <v>0.0</v>
      </c>
      <c r="AE25" s="19">
        <v>0.0</v>
      </c>
      <c r="AF25" s="13">
        <f t="shared" si="3"/>
        <v>21</v>
      </c>
    </row>
    <row r="26" ht="12.75" customHeight="1">
      <c r="A26" s="33"/>
      <c r="B26" s="27"/>
      <c r="C26" s="34"/>
      <c r="D26" s="19" t="s">
        <v>12</v>
      </c>
      <c r="E26" s="19">
        <v>1.0</v>
      </c>
      <c r="F26" s="19">
        <v>0.0</v>
      </c>
      <c r="G26" s="19">
        <v>0.0</v>
      </c>
      <c r="H26" s="19">
        <v>0.0</v>
      </c>
      <c r="I26" s="19">
        <v>1.0</v>
      </c>
      <c r="J26" s="19">
        <v>0.0</v>
      </c>
      <c r="K26" s="19">
        <v>0.0</v>
      </c>
      <c r="L26" s="19">
        <v>0.0</v>
      </c>
      <c r="M26" s="19">
        <v>0.0</v>
      </c>
      <c r="N26" s="19">
        <v>0.0</v>
      </c>
      <c r="O26" s="19">
        <v>0.0</v>
      </c>
      <c r="P26" s="19">
        <v>0.0</v>
      </c>
      <c r="Q26" s="19">
        <v>1.0</v>
      </c>
      <c r="R26" s="19">
        <v>1.0</v>
      </c>
      <c r="S26" s="19">
        <v>0.0</v>
      </c>
      <c r="T26" s="19">
        <v>0.0</v>
      </c>
      <c r="U26" s="19">
        <v>0.0</v>
      </c>
      <c r="V26" s="19">
        <v>0.0</v>
      </c>
      <c r="W26" s="19">
        <v>4.0</v>
      </c>
      <c r="X26" s="19">
        <v>1.0</v>
      </c>
      <c r="Y26" s="19">
        <v>1.0</v>
      </c>
      <c r="Z26" s="19">
        <v>0.0</v>
      </c>
      <c r="AA26" s="19">
        <v>2.0</v>
      </c>
      <c r="AB26" s="19">
        <v>0.0</v>
      </c>
      <c r="AC26" s="19">
        <v>0.0</v>
      </c>
      <c r="AD26" s="19">
        <v>0.0</v>
      </c>
      <c r="AE26" s="19">
        <v>0.0</v>
      </c>
      <c r="AF26" s="13">
        <f t="shared" si="3"/>
        <v>12</v>
      </c>
    </row>
    <row r="27" ht="12.75" customHeight="1">
      <c r="A27" s="35"/>
      <c r="B27" s="28"/>
      <c r="C27" s="36"/>
      <c r="D27" s="13" t="s">
        <v>13</v>
      </c>
      <c r="E27" s="13">
        <f t="shared" ref="E27:AE27" si="6">SUM(E25:E26)</f>
        <v>1</v>
      </c>
      <c r="F27" s="13">
        <f t="shared" si="6"/>
        <v>2</v>
      </c>
      <c r="G27" s="13">
        <f t="shared" si="6"/>
        <v>1</v>
      </c>
      <c r="H27" s="13">
        <f t="shared" si="6"/>
        <v>1</v>
      </c>
      <c r="I27" s="13">
        <f t="shared" si="6"/>
        <v>4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1</v>
      </c>
      <c r="O27" s="13">
        <f t="shared" si="6"/>
        <v>1</v>
      </c>
      <c r="P27" s="13">
        <f t="shared" si="6"/>
        <v>2</v>
      </c>
      <c r="Q27" s="13">
        <f t="shared" si="6"/>
        <v>2</v>
      </c>
      <c r="R27" s="13">
        <f t="shared" si="6"/>
        <v>2</v>
      </c>
      <c r="S27" s="13">
        <f t="shared" si="6"/>
        <v>0</v>
      </c>
      <c r="T27" s="13">
        <f t="shared" si="6"/>
        <v>1</v>
      </c>
      <c r="U27" s="13">
        <f t="shared" si="6"/>
        <v>0</v>
      </c>
      <c r="V27" s="13">
        <f t="shared" si="6"/>
        <v>0</v>
      </c>
      <c r="W27" s="13">
        <f t="shared" si="6"/>
        <v>9</v>
      </c>
      <c r="X27" s="13">
        <f t="shared" si="6"/>
        <v>1</v>
      </c>
      <c r="Y27" s="13">
        <f t="shared" si="6"/>
        <v>1</v>
      </c>
      <c r="Z27" s="13">
        <f t="shared" si="6"/>
        <v>1</v>
      </c>
      <c r="AA27" s="13">
        <f t="shared" si="6"/>
        <v>3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6"/>
        <v>0</v>
      </c>
      <c r="AF27" s="13">
        <f t="shared" si="3"/>
        <v>33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AE28" si="7">SUM(E19,E22,E25)</f>
        <v>77</v>
      </c>
      <c r="F28" s="13">
        <f t="shared" si="7"/>
        <v>97</v>
      </c>
      <c r="G28" s="13">
        <f t="shared" si="7"/>
        <v>68</v>
      </c>
      <c r="H28" s="13">
        <f t="shared" si="7"/>
        <v>85</v>
      </c>
      <c r="I28" s="13">
        <f t="shared" si="7"/>
        <v>104</v>
      </c>
      <c r="J28" s="13">
        <f t="shared" si="7"/>
        <v>95</v>
      </c>
      <c r="K28" s="13">
        <f t="shared" si="7"/>
        <v>104</v>
      </c>
      <c r="L28" s="13">
        <f t="shared" si="7"/>
        <v>65</v>
      </c>
      <c r="M28" s="13">
        <f t="shared" si="7"/>
        <v>59</v>
      </c>
      <c r="N28" s="13">
        <f t="shared" si="7"/>
        <v>81</v>
      </c>
      <c r="O28" s="13">
        <f t="shared" si="7"/>
        <v>109</v>
      </c>
      <c r="P28" s="13">
        <f t="shared" si="7"/>
        <v>105</v>
      </c>
      <c r="Q28" s="13">
        <f t="shared" si="7"/>
        <v>110</v>
      </c>
      <c r="R28" s="13">
        <f t="shared" si="7"/>
        <v>106</v>
      </c>
      <c r="S28" s="13">
        <f t="shared" si="7"/>
        <v>101</v>
      </c>
      <c r="T28" s="13">
        <f t="shared" si="7"/>
        <v>77</v>
      </c>
      <c r="U28" s="13">
        <f t="shared" si="7"/>
        <v>95</v>
      </c>
      <c r="V28" s="13">
        <f t="shared" si="7"/>
        <v>119</v>
      </c>
      <c r="W28" s="13">
        <f t="shared" si="7"/>
        <v>116</v>
      </c>
      <c r="X28" s="13">
        <f t="shared" si="7"/>
        <v>95</v>
      </c>
      <c r="Y28" s="13">
        <f t="shared" si="7"/>
        <v>100</v>
      </c>
      <c r="Z28" s="13">
        <f t="shared" si="7"/>
        <v>99</v>
      </c>
      <c r="AA28" s="13">
        <f t="shared" si="7"/>
        <v>96</v>
      </c>
      <c r="AB28" s="13">
        <f t="shared" si="7"/>
        <v>110</v>
      </c>
      <c r="AC28" s="13">
        <f t="shared" si="7"/>
        <v>115</v>
      </c>
      <c r="AD28" s="13">
        <f t="shared" si="7"/>
        <v>127</v>
      </c>
      <c r="AE28" s="13">
        <f t="shared" si="7"/>
        <v>112</v>
      </c>
      <c r="AF28" s="13">
        <f t="shared" si="3"/>
        <v>2627</v>
      </c>
    </row>
    <row r="29" ht="12.75" customHeight="1">
      <c r="A29" s="35"/>
      <c r="B29" s="27"/>
      <c r="C29" s="34"/>
      <c r="D29" s="13" t="s">
        <v>12</v>
      </c>
      <c r="E29" s="13">
        <f t="shared" ref="E29:AE29" si="8">SUM(E20,E23,E26)</f>
        <v>108</v>
      </c>
      <c r="F29" s="13">
        <f t="shared" si="8"/>
        <v>106</v>
      </c>
      <c r="G29" s="13">
        <f t="shared" si="8"/>
        <v>88</v>
      </c>
      <c r="H29" s="13">
        <f t="shared" si="8"/>
        <v>90</v>
      </c>
      <c r="I29" s="13">
        <f t="shared" si="8"/>
        <v>105</v>
      </c>
      <c r="J29" s="13">
        <f t="shared" si="8"/>
        <v>104</v>
      </c>
      <c r="K29" s="13">
        <f t="shared" si="8"/>
        <v>108</v>
      </c>
      <c r="L29" s="13">
        <f t="shared" si="8"/>
        <v>69</v>
      </c>
      <c r="M29" s="13">
        <f t="shared" si="8"/>
        <v>69</v>
      </c>
      <c r="N29" s="13">
        <f t="shared" si="8"/>
        <v>100</v>
      </c>
      <c r="O29" s="13">
        <f t="shared" si="8"/>
        <v>108</v>
      </c>
      <c r="P29" s="13">
        <f t="shared" si="8"/>
        <v>116</v>
      </c>
      <c r="Q29" s="13">
        <f t="shared" si="8"/>
        <v>104</v>
      </c>
      <c r="R29" s="13">
        <f t="shared" si="8"/>
        <v>116</v>
      </c>
      <c r="S29" s="13">
        <f t="shared" si="8"/>
        <v>115</v>
      </c>
      <c r="T29" s="13">
        <f t="shared" si="8"/>
        <v>81</v>
      </c>
      <c r="U29" s="13">
        <f t="shared" si="8"/>
        <v>105</v>
      </c>
      <c r="V29" s="13">
        <f t="shared" si="8"/>
        <v>121</v>
      </c>
      <c r="W29" s="13">
        <f t="shared" si="8"/>
        <v>133</v>
      </c>
      <c r="X29" s="13">
        <f t="shared" si="8"/>
        <v>111</v>
      </c>
      <c r="Y29" s="13">
        <f t="shared" si="8"/>
        <v>118</v>
      </c>
      <c r="Z29" s="13">
        <f t="shared" si="8"/>
        <v>116</v>
      </c>
      <c r="AA29" s="13">
        <f t="shared" si="8"/>
        <v>95</v>
      </c>
      <c r="AB29" s="13">
        <f t="shared" si="8"/>
        <v>109</v>
      </c>
      <c r="AC29" s="13">
        <f t="shared" si="8"/>
        <v>114</v>
      </c>
      <c r="AD29" s="13">
        <f t="shared" si="8"/>
        <v>132</v>
      </c>
      <c r="AE29" s="13">
        <f t="shared" si="8"/>
        <v>127</v>
      </c>
      <c r="AF29" s="13">
        <f t="shared" si="3"/>
        <v>2868</v>
      </c>
    </row>
    <row r="30" ht="12.75" customHeight="1">
      <c r="A30" s="35"/>
      <c r="B30" s="28"/>
      <c r="C30" s="36"/>
      <c r="D30" s="13" t="s">
        <v>13</v>
      </c>
      <c r="E30" s="13">
        <f t="shared" ref="E30:AE30" si="9">SUM(E28:E29)</f>
        <v>185</v>
      </c>
      <c r="F30" s="13">
        <f t="shared" si="9"/>
        <v>203</v>
      </c>
      <c r="G30" s="13">
        <f t="shared" si="9"/>
        <v>156</v>
      </c>
      <c r="H30" s="13">
        <f t="shared" si="9"/>
        <v>175</v>
      </c>
      <c r="I30" s="13">
        <f t="shared" si="9"/>
        <v>209</v>
      </c>
      <c r="J30" s="13">
        <f t="shared" si="9"/>
        <v>199</v>
      </c>
      <c r="K30" s="13">
        <f t="shared" si="9"/>
        <v>212</v>
      </c>
      <c r="L30" s="13">
        <f t="shared" si="9"/>
        <v>134</v>
      </c>
      <c r="M30" s="13">
        <f t="shared" si="9"/>
        <v>128</v>
      </c>
      <c r="N30" s="13">
        <f t="shared" si="9"/>
        <v>181</v>
      </c>
      <c r="O30" s="13">
        <f t="shared" si="9"/>
        <v>217</v>
      </c>
      <c r="P30" s="13">
        <f t="shared" si="9"/>
        <v>221</v>
      </c>
      <c r="Q30" s="13">
        <f t="shared" si="9"/>
        <v>214</v>
      </c>
      <c r="R30" s="13">
        <f t="shared" si="9"/>
        <v>222</v>
      </c>
      <c r="S30" s="13">
        <f t="shared" si="9"/>
        <v>216</v>
      </c>
      <c r="T30" s="13">
        <f t="shared" si="9"/>
        <v>158</v>
      </c>
      <c r="U30" s="13">
        <f t="shared" si="9"/>
        <v>200</v>
      </c>
      <c r="V30" s="13">
        <f t="shared" si="9"/>
        <v>240</v>
      </c>
      <c r="W30" s="13">
        <f t="shared" si="9"/>
        <v>249</v>
      </c>
      <c r="X30" s="13">
        <f t="shared" si="9"/>
        <v>206</v>
      </c>
      <c r="Y30" s="13">
        <f t="shared" si="9"/>
        <v>218</v>
      </c>
      <c r="Z30" s="13">
        <f t="shared" si="9"/>
        <v>215</v>
      </c>
      <c r="AA30" s="13">
        <f t="shared" si="9"/>
        <v>191</v>
      </c>
      <c r="AB30" s="13">
        <f t="shared" si="9"/>
        <v>219</v>
      </c>
      <c r="AC30" s="13">
        <f t="shared" si="9"/>
        <v>229</v>
      </c>
      <c r="AD30" s="13">
        <f t="shared" si="9"/>
        <v>259</v>
      </c>
      <c r="AE30" s="13">
        <f t="shared" si="9"/>
        <v>239</v>
      </c>
      <c r="AF30" s="13">
        <f t="shared" si="3"/>
        <v>5495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19"/>
      <c r="P31" s="19"/>
      <c r="Q31" s="19"/>
      <c r="R31" s="19"/>
      <c r="S31" s="59"/>
      <c r="T31" s="19"/>
      <c r="U31" s="19"/>
      <c r="V31" s="19"/>
      <c r="W31" s="19"/>
      <c r="X31" s="59"/>
      <c r="Y31" s="19"/>
      <c r="Z31" s="19"/>
      <c r="AA31" s="19"/>
      <c r="AB31" s="19"/>
      <c r="AC31" s="59"/>
      <c r="AD31" s="19"/>
      <c r="AE31" s="19"/>
      <c r="AF31" s="60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13"/>
      <c r="P32" s="13"/>
      <c r="Q32" s="13"/>
      <c r="R32" s="13"/>
      <c r="S32" s="61"/>
      <c r="T32" s="13"/>
      <c r="U32" s="13"/>
      <c r="V32" s="13"/>
      <c r="W32" s="13"/>
      <c r="X32" s="61"/>
      <c r="Y32" s="13"/>
      <c r="Z32" s="13"/>
      <c r="AA32" s="13"/>
      <c r="AB32" s="13"/>
      <c r="AC32" s="61"/>
      <c r="AD32" s="13"/>
      <c r="AE32" s="13"/>
      <c r="AF32" s="60"/>
    </row>
    <row r="33" ht="12.75" customHeight="1">
      <c r="A33" s="19">
        <v>1.0</v>
      </c>
      <c r="B33" s="20" t="s">
        <v>26</v>
      </c>
      <c r="C33" s="15"/>
      <c r="D33" s="16"/>
      <c r="E33" s="19">
        <v>227.0</v>
      </c>
      <c r="F33" s="19">
        <v>261.0</v>
      </c>
      <c r="G33" s="19">
        <v>235.0</v>
      </c>
      <c r="H33" s="19">
        <v>214.0</v>
      </c>
      <c r="I33" s="19">
        <v>242.0</v>
      </c>
      <c r="J33" s="19">
        <v>263.0</v>
      </c>
      <c r="K33" s="19">
        <v>284.0</v>
      </c>
      <c r="L33" s="19">
        <v>184.0</v>
      </c>
      <c r="M33" s="19">
        <v>172.0</v>
      </c>
      <c r="N33" s="19">
        <v>244.0</v>
      </c>
      <c r="O33" s="19">
        <v>286.0</v>
      </c>
      <c r="P33" s="19">
        <v>272.0</v>
      </c>
      <c r="Q33" s="19">
        <v>272.0</v>
      </c>
      <c r="R33" s="19">
        <v>280.0</v>
      </c>
      <c r="S33" s="19">
        <v>286.0</v>
      </c>
      <c r="T33" s="19">
        <v>192.0</v>
      </c>
      <c r="U33" s="19">
        <v>259.0</v>
      </c>
      <c r="V33" s="19">
        <v>295.0</v>
      </c>
      <c r="W33" s="19">
        <v>289.0</v>
      </c>
      <c r="X33" s="19">
        <v>255.0</v>
      </c>
      <c r="Y33" s="19">
        <v>285.0</v>
      </c>
      <c r="Z33" s="19">
        <v>270.0</v>
      </c>
      <c r="AA33" s="19">
        <v>227.0</v>
      </c>
      <c r="AB33" s="19">
        <v>279.0</v>
      </c>
      <c r="AC33" s="19">
        <v>295.0</v>
      </c>
      <c r="AD33" s="19">
        <v>295.0</v>
      </c>
      <c r="AE33" s="19">
        <v>278.0</v>
      </c>
      <c r="AF33" s="13">
        <f t="shared" ref="AF33:AF36" si="10">SUM(E33:AE33)</f>
        <v>6941</v>
      </c>
    </row>
    <row r="34" ht="12.75" customHeight="1">
      <c r="A34" s="19">
        <v>2.0</v>
      </c>
      <c r="B34" s="20" t="s">
        <v>27</v>
      </c>
      <c r="C34" s="15"/>
      <c r="D34" s="16"/>
      <c r="E34" s="13">
        <v>185.0</v>
      </c>
      <c r="F34" s="13">
        <v>203.0</v>
      </c>
      <c r="G34" s="13">
        <v>156.0</v>
      </c>
      <c r="H34" s="13">
        <v>175.0</v>
      </c>
      <c r="I34" s="13">
        <v>209.0</v>
      </c>
      <c r="J34" s="13">
        <v>199.0</v>
      </c>
      <c r="K34" s="13">
        <v>212.0</v>
      </c>
      <c r="L34" s="13">
        <v>134.0</v>
      </c>
      <c r="M34" s="13">
        <v>128.0</v>
      </c>
      <c r="N34" s="13">
        <v>181.0</v>
      </c>
      <c r="O34" s="13">
        <v>217.0</v>
      </c>
      <c r="P34" s="13">
        <v>221.0</v>
      </c>
      <c r="Q34" s="13">
        <v>214.0</v>
      </c>
      <c r="R34" s="13">
        <v>222.0</v>
      </c>
      <c r="S34" s="13">
        <v>216.0</v>
      </c>
      <c r="T34" s="13">
        <v>158.0</v>
      </c>
      <c r="U34" s="13">
        <v>200.0</v>
      </c>
      <c r="V34" s="13">
        <v>240.0</v>
      </c>
      <c r="W34" s="13">
        <v>249.0</v>
      </c>
      <c r="X34" s="13">
        <v>206.0</v>
      </c>
      <c r="Y34" s="13">
        <v>218.0</v>
      </c>
      <c r="Z34" s="13">
        <v>215.0</v>
      </c>
      <c r="AA34" s="13">
        <v>191.0</v>
      </c>
      <c r="AB34" s="13">
        <v>219.0</v>
      </c>
      <c r="AC34" s="13">
        <v>229.0</v>
      </c>
      <c r="AD34" s="13">
        <v>259.0</v>
      </c>
      <c r="AE34" s="13">
        <v>239.0</v>
      </c>
      <c r="AF34" s="13">
        <f t="shared" si="10"/>
        <v>5495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2.0</v>
      </c>
      <c r="G35" s="19">
        <v>0.0</v>
      </c>
      <c r="H35" s="19">
        <v>0.0</v>
      </c>
      <c r="I35" s="19">
        <v>1.0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1.0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0.0</v>
      </c>
      <c r="AF35" s="13">
        <f t="shared" si="10"/>
        <v>4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AE36" si="11">E33-(E34+E35)</f>
        <v>42</v>
      </c>
      <c r="F36" s="13">
        <f t="shared" si="11"/>
        <v>56</v>
      </c>
      <c r="G36" s="13">
        <f t="shared" si="11"/>
        <v>79</v>
      </c>
      <c r="H36" s="13">
        <f t="shared" si="11"/>
        <v>39</v>
      </c>
      <c r="I36" s="13">
        <f t="shared" si="11"/>
        <v>32</v>
      </c>
      <c r="J36" s="13">
        <f t="shared" si="11"/>
        <v>64</v>
      </c>
      <c r="K36" s="13">
        <f t="shared" si="11"/>
        <v>72</v>
      </c>
      <c r="L36" s="13">
        <f t="shared" si="11"/>
        <v>50</v>
      </c>
      <c r="M36" s="13">
        <f t="shared" si="11"/>
        <v>44</v>
      </c>
      <c r="N36" s="13">
        <f t="shared" si="11"/>
        <v>63</v>
      </c>
      <c r="O36" s="13">
        <f t="shared" si="11"/>
        <v>68</v>
      </c>
      <c r="P36" s="13">
        <f t="shared" si="11"/>
        <v>51</v>
      </c>
      <c r="Q36" s="13">
        <f t="shared" si="11"/>
        <v>58</v>
      </c>
      <c r="R36" s="13">
        <f t="shared" si="11"/>
        <v>58</v>
      </c>
      <c r="S36" s="13">
        <f t="shared" si="11"/>
        <v>70</v>
      </c>
      <c r="T36" s="13">
        <f t="shared" si="11"/>
        <v>34</v>
      </c>
      <c r="U36" s="13">
        <f t="shared" si="11"/>
        <v>59</v>
      </c>
      <c r="V36" s="13">
        <f t="shared" si="11"/>
        <v>55</v>
      </c>
      <c r="W36" s="13">
        <f t="shared" si="11"/>
        <v>40</v>
      </c>
      <c r="X36" s="13">
        <f t="shared" si="11"/>
        <v>49</v>
      </c>
      <c r="Y36" s="13">
        <f t="shared" si="11"/>
        <v>67</v>
      </c>
      <c r="Z36" s="13">
        <f t="shared" si="11"/>
        <v>55</v>
      </c>
      <c r="AA36" s="13">
        <f t="shared" si="11"/>
        <v>36</v>
      </c>
      <c r="AB36" s="13">
        <f t="shared" si="11"/>
        <v>60</v>
      </c>
      <c r="AC36" s="13">
        <f t="shared" si="11"/>
        <v>66</v>
      </c>
      <c r="AD36" s="13">
        <f t="shared" si="11"/>
        <v>36</v>
      </c>
      <c r="AE36" s="13">
        <f t="shared" si="11"/>
        <v>39</v>
      </c>
      <c r="AF36" s="13">
        <f t="shared" si="10"/>
        <v>1442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19"/>
      <c r="P37" s="19"/>
      <c r="Q37" s="19"/>
      <c r="R37" s="19"/>
      <c r="S37" s="59"/>
      <c r="T37" s="19"/>
      <c r="U37" s="19"/>
      <c r="V37" s="19"/>
      <c r="W37" s="19"/>
      <c r="X37" s="59"/>
      <c r="Y37" s="19"/>
      <c r="Z37" s="19"/>
      <c r="AA37" s="19"/>
      <c r="AB37" s="19"/>
      <c r="AC37" s="59"/>
      <c r="AD37" s="19"/>
      <c r="AE37" s="19"/>
      <c r="AF37" s="60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13"/>
      <c r="P38" s="13"/>
      <c r="Q38" s="13"/>
      <c r="R38" s="13"/>
      <c r="S38" s="61"/>
      <c r="T38" s="13"/>
      <c r="U38" s="13"/>
      <c r="V38" s="13"/>
      <c r="W38" s="13"/>
      <c r="X38" s="61"/>
      <c r="Y38" s="13"/>
      <c r="Z38" s="13"/>
      <c r="AA38" s="13"/>
      <c r="AB38" s="13"/>
      <c r="AC38" s="61"/>
      <c r="AD38" s="13"/>
      <c r="AE38" s="13"/>
      <c r="AF38" s="60"/>
    </row>
    <row r="39" ht="12.75" customHeight="1">
      <c r="A39" s="30"/>
      <c r="B39" s="43" t="s">
        <v>32</v>
      </c>
      <c r="C39" s="23"/>
      <c r="D39" s="19" t="s">
        <v>11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1.0</v>
      </c>
      <c r="L39" s="19">
        <v>0.0</v>
      </c>
      <c r="M39" s="19">
        <v>1.0</v>
      </c>
      <c r="N39" s="19">
        <v>0.0</v>
      </c>
      <c r="O39" s="19">
        <v>0.0</v>
      </c>
      <c r="P39" s="19">
        <v>0.0</v>
      </c>
      <c r="Q39" s="19">
        <v>0.0</v>
      </c>
      <c r="R39" s="19">
        <v>2.0</v>
      </c>
      <c r="S39" s="19">
        <v>0.0</v>
      </c>
      <c r="T39" s="19">
        <v>0.0</v>
      </c>
      <c r="U39" s="19">
        <v>0.0</v>
      </c>
      <c r="V39" s="19">
        <v>2.0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3">
        <f t="shared" ref="AF39:AF41" si="12">SUM(E39:AE39)</f>
        <v>6</v>
      </c>
    </row>
    <row r="40" ht="12.75" customHeight="1">
      <c r="A40" s="33"/>
      <c r="C40" s="27"/>
      <c r="D40" s="19" t="s">
        <v>12</v>
      </c>
      <c r="E40" s="19">
        <v>0.0</v>
      </c>
      <c r="F40" s="19">
        <v>0.0</v>
      </c>
      <c r="G40" s="19">
        <v>0.0</v>
      </c>
      <c r="H40" s="19">
        <v>0.0</v>
      </c>
      <c r="I40" s="19">
        <v>1.0</v>
      </c>
      <c r="J40" s="19">
        <v>0.0</v>
      </c>
      <c r="K40" s="19">
        <v>0.0</v>
      </c>
      <c r="L40" s="19">
        <v>0.0</v>
      </c>
      <c r="M40" s="19">
        <v>2.0</v>
      </c>
      <c r="N40" s="19">
        <v>2.0</v>
      </c>
      <c r="O40" s="19">
        <v>0.0</v>
      </c>
      <c r="P40" s="19">
        <v>0.0</v>
      </c>
      <c r="Q40" s="19">
        <v>0.0</v>
      </c>
      <c r="R40" s="19">
        <v>4.0</v>
      </c>
      <c r="S40" s="19">
        <v>0.0</v>
      </c>
      <c r="T40" s="19">
        <v>0.0</v>
      </c>
      <c r="U40" s="19">
        <v>0.0</v>
      </c>
      <c r="V40" s="19">
        <v>2.0</v>
      </c>
      <c r="W40" s="19">
        <v>0.0</v>
      </c>
      <c r="X40" s="19">
        <v>0.0</v>
      </c>
      <c r="Y40" s="19">
        <v>2.0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3">
        <f t="shared" si="12"/>
        <v>13</v>
      </c>
    </row>
    <row r="41" ht="12.75" customHeight="1">
      <c r="A41" s="41"/>
      <c r="B41" s="44"/>
      <c r="C41" s="28"/>
      <c r="D41" s="13" t="s">
        <v>13</v>
      </c>
      <c r="E41" s="13">
        <f t="shared" ref="E41:AE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0</v>
      </c>
      <c r="K41" s="13">
        <f t="shared" si="13"/>
        <v>1</v>
      </c>
      <c r="L41" s="13">
        <f t="shared" si="13"/>
        <v>0</v>
      </c>
      <c r="M41" s="13">
        <f t="shared" si="13"/>
        <v>3</v>
      </c>
      <c r="N41" s="13">
        <f t="shared" si="13"/>
        <v>2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6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4</v>
      </c>
      <c r="W41" s="13">
        <f t="shared" si="13"/>
        <v>0</v>
      </c>
      <c r="X41" s="13">
        <f t="shared" si="13"/>
        <v>0</v>
      </c>
      <c r="Y41" s="13">
        <f t="shared" si="13"/>
        <v>2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2"/>
        <v>19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19"/>
      <c r="Q42" s="19"/>
      <c r="R42" s="19"/>
      <c r="S42" s="59"/>
      <c r="T42" s="19"/>
      <c r="U42" s="19"/>
      <c r="V42" s="19"/>
      <c r="W42" s="19"/>
      <c r="X42" s="59"/>
      <c r="Y42" s="19"/>
      <c r="Z42" s="19"/>
      <c r="AA42" s="19"/>
      <c r="AB42" s="19"/>
      <c r="AC42" s="59"/>
      <c r="AD42" s="19"/>
      <c r="AE42" s="19"/>
      <c r="AF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13"/>
      <c r="Q43" s="13"/>
      <c r="R43" s="13"/>
      <c r="S43" s="61"/>
      <c r="T43" s="13"/>
      <c r="U43" s="13"/>
      <c r="V43" s="13"/>
      <c r="W43" s="13"/>
      <c r="X43" s="61"/>
      <c r="Y43" s="13"/>
      <c r="Z43" s="13"/>
      <c r="AA43" s="13"/>
      <c r="AB43" s="13"/>
      <c r="AC43" s="61"/>
      <c r="AD43" s="13"/>
      <c r="AE43" s="13"/>
      <c r="AF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19"/>
      <c r="Q44" s="19"/>
      <c r="R44" s="19"/>
      <c r="S44" s="59"/>
      <c r="T44" s="19"/>
      <c r="U44" s="19"/>
      <c r="V44" s="19"/>
      <c r="W44" s="19"/>
      <c r="X44" s="59"/>
      <c r="Y44" s="19"/>
      <c r="Z44" s="19"/>
      <c r="AA44" s="19"/>
      <c r="AB44" s="19"/>
      <c r="AC44" s="59"/>
      <c r="AD44" s="19"/>
      <c r="AE44" s="19"/>
      <c r="AF44" s="13"/>
    </row>
    <row r="45" ht="12.75" customHeight="1">
      <c r="A45" s="62"/>
      <c r="B45" s="47">
        <v>1.0</v>
      </c>
      <c r="C45" s="48" t="s">
        <v>36</v>
      </c>
      <c r="D45" s="16"/>
      <c r="E45" s="19">
        <v>23.0</v>
      </c>
      <c r="F45" s="19">
        <v>44.0</v>
      </c>
      <c r="G45" s="19">
        <v>17.0</v>
      </c>
      <c r="H45" s="19">
        <v>14.0</v>
      </c>
      <c r="I45" s="19">
        <v>9.0</v>
      </c>
      <c r="J45" s="19">
        <v>33.0</v>
      </c>
      <c r="K45" s="19">
        <v>8.0</v>
      </c>
      <c r="L45" s="19">
        <v>6.0</v>
      </c>
      <c r="M45" s="19">
        <v>6.0</v>
      </c>
      <c r="N45" s="19">
        <v>18.0</v>
      </c>
      <c r="O45" s="19">
        <v>28.0</v>
      </c>
      <c r="P45" s="19">
        <v>13.0</v>
      </c>
      <c r="Q45" s="19">
        <v>4.0</v>
      </c>
      <c r="R45" s="19">
        <v>23.0</v>
      </c>
      <c r="S45" s="19">
        <v>20.0</v>
      </c>
      <c r="T45" s="19">
        <v>8.0</v>
      </c>
      <c r="U45" s="19">
        <v>9.0</v>
      </c>
      <c r="V45" s="19">
        <v>35.0</v>
      </c>
      <c r="W45" s="19">
        <v>39.0</v>
      </c>
      <c r="X45" s="19">
        <v>17.0</v>
      </c>
      <c r="Y45" s="19">
        <v>16.0</v>
      </c>
      <c r="Z45" s="19">
        <v>25.0</v>
      </c>
      <c r="AA45" s="19">
        <v>7.0</v>
      </c>
      <c r="AB45" s="19">
        <v>15.0</v>
      </c>
      <c r="AC45" s="19">
        <v>27.0</v>
      </c>
      <c r="AD45" s="19">
        <v>33.0</v>
      </c>
      <c r="AE45" s="19">
        <v>7.0</v>
      </c>
      <c r="AF45" s="13">
        <f t="shared" ref="AF45:AF47" si="14">SUM(E45:AE45)</f>
        <v>504</v>
      </c>
    </row>
    <row r="46" ht="12.75" customHeight="1">
      <c r="A46" s="18"/>
      <c r="B46" s="47">
        <v>2.0</v>
      </c>
      <c r="C46" s="48" t="s">
        <v>37</v>
      </c>
      <c r="D46" s="16"/>
      <c r="E46" s="19">
        <v>129.0</v>
      </c>
      <c r="F46" s="19">
        <v>131.0</v>
      </c>
      <c r="G46" s="19">
        <v>93.0</v>
      </c>
      <c r="H46" s="19">
        <v>117.0</v>
      </c>
      <c r="I46" s="19">
        <v>147.0</v>
      </c>
      <c r="J46" s="19">
        <v>135.0</v>
      </c>
      <c r="K46" s="19">
        <v>170.0</v>
      </c>
      <c r="L46" s="19">
        <v>87.0</v>
      </c>
      <c r="M46" s="19">
        <v>88.0</v>
      </c>
      <c r="N46" s="19">
        <v>129.0</v>
      </c>
      <c r="O46" s="19">
        <v>129.0</v>
      </c>
      <c r="P46" s="19">
        <v>161.0</v>
      </c>
      <c r="Q46" s="19">
        <v>153.0</v>
      </c>
      <c r="R46" s="19">
        <v>158.0</v>
      </c>
      <c r="S46" s="19">
        <v>130.0</v>
      </c>
      <c r="T46" s="19">
        <v>100.0</v>
      </c>
      <c r="U46" s="19">
        <v>133.0</v>
      </c>
      <c r="V46" s="19">
        <v>159.0</v>
      </c>
      <c r="W46" s="19">
        <v>174.0</v>
      </c>
      <c r="X46" s="19">
        <v>136.0</v>
      </c>
      <c r="Y46" s="19">
        <v>128.0</v>
      </c>
      <c r="Z46" s="19">
        <v>134.0</v>
      </c>
      <c r="AA46" s="19">
        <v>144.0</v>
      </c>
      <c r="AB46" s="19">
        <v>148.0</v>
      </c>
      <c r="AC46" s="19">
        <v>125.0</v>
      </c>
      <c r="AD46" s="19">
        <v>157.0</v>
      </c>
      <c r="AE46" s="19">
        <v>170.0</v>
      </c>
      <c r="AF46" s="13">
        <f t="shared" si="14"/>
        <v>3665</v>
      </c>
    </row>
    <row r="47" ht="12.75" customHeight="1">
      <c r="A47" s="45"/>
      <c r="B47" s="47">
        <v>3.0</v>
      </c>
      <c r="C47" s="48" t="s">
        <v>38</v>
      </c>
      <c r="D47" s="16"/>
      <c r="E47" s="19">
        <v>26.0</v>
      </c>
      <c r="F47" s="19">
        <v>25.0</v>
      </c>
      <c r="G47" s="19">
        <v>39.0</v>
      </c>
      <c r="H47" s="19">
        <v>41.0</v>
      </c>
      <c r="I47" s="19">
        <v>51.0</v>
      </c>
      <c r="J47" s="19">
        <v>29.0</v>
      </c>
      <c r="K47" s="19">
        <v>32.0</v>
      </c>
      <c r="L47" s="19">
        <v>40.0</v>
      </c>
      <c r="M47" s="19">
        <v>28.0</v>
      </c>
      <c r="N47" s="19">
        <v>33.0</v>
      </c>
      <c r="O47" s="19">
        <v>55.0</v>
      </c>
      <c r="P47" s="19">
        <v>45.0</v>
      </c>
      <c r="Q47" s="19">
        <v>55.0</v>
      </c>
      <c r="R47" s="19">
        <v>39.0</v>
      </c>
      <c r="S47" s="19">
        <v>52.0</v>
      </c>
      <c r="T47" s="19">
        <v>43.0</v>
      </c>
      <c r="U47" s="19">
        <v>55.0</v>
      </c>
      <c r="V47" s="19">
        <v>43.0</v>
      </c>
      <c r="W47" s="19">
        <v>33.0</v>
      </c>
      <c r="X47" s="19">
        <v>47.0</v>
      </c>
      <c r="Y47" s="19">
        <v>72.0</v>
      </c>
      <c r="Z47" s="19">
        <v>52.0</v>
      </c>
      <c r="AA47" s="19">
        <v>37.0</v>
      </c>
      <c r="AB47" s="19">
        <v>51.0</v>
      </c>
      <c r="AC47" s="19">
        <v>76.0</v>
      </c>
      <c r="AD47" s="19">
        <v>65.0</v>
      </c>
      <c r="AE47" s="19">
        <v>50.0</v>
      </c>
      <c r="AF47" s="13">
        <f t="shared" si="14"/>
        <v>1214</v>
      </c>
    </row>
    <row r="48" ht="12.75" customHeight="1"/>
    <row r="49" ht="12.75" customHeight="1">
      <c r="A49" s="42" t="s">
        <v>39</v>
      </c>
      <c r="B49" s="14" t="s">
        <v>40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1"/>
      <c r="O49" s="13"/>
      <c r="P49" s="13"/>
      <c r="Q49" s="13"/>
      <c r="R49" s="13"/>
      <c r="S49" s="61"/>
      <c r="T49" s="13"/>
      <c r="U49" s="13"/>
      <c r="V49" s="13"/>
      <c r="W49" s="13"/>
      <c r="X49" s="61"/>
      <c r="Y49" s="13"/>
      <c r="Z49" s="13"/>
      <c r="AA49" s="13"/>
      <c r="AB49" s="13"/>
      <c r="AC49" s="61"/>
      <c r="AD49" s="13"/>
      <c r="AE49" s="13"/>
      <c r="AF49" s="13"/>
    </row>
    <row r="50" ht="12.75" customHeight="1">
      <c r="A50" s="42"/>
      <c r="B50" s="54" t="s">
        <v>41</v>
      </c>
      <c r="C50" s="55" t="s">
        <v>42</v>
      </c>
      <c r="D50" s="16"/>
      <c r="E50" s="19">
        <f t="shared" ref="E50:AE50" si="15">SUM(E45:E47)</f>
        <v>178</v>
      </c>
      <c r="F50" s="19">
        <f t="shared" si="15"/>
        <v>200</v>
      </c>
      <c r="G50" s="19">
        <f t="shared" si="15"/>
        <v>149</v>
      </c>
      <c r="H50" s="19">
        <f t="shared" si="15"/>
        <v>172</v>
      </c>
      <c r="I50" s="19">
        <f t="shared" si="15"/>
        <v>207</v>
      </c>
      <c r="J50" s="19">
        <f t="shared" si="15"/>
        <v>197</v>
      </c>
      <c r="K50" s="19">
        <f t="shared" si="15"/>
        <v>210</v>
      </c>
      <c r="L50" s="19">
        <f t="shared" si="15"/>
        <v>133</v>
      </c>
      <c r="M50" s="19">
        <f t="shared" si="15"/>
        <v>122</v>
      </c>
      <c r="N50" s="19">
        <f t="shared" si="15"/>
        <v>180</v>
      </c>
      <c r="O50" s="19">
        <f t="shared" si="15"/>
        <v>212</v>
      </c>
      <c r="P50" s="19">
        <f t="shared" si="15"/>
        <v>219</v>
      </c>
      <c r="Q50" s="19">
        <f t="shared" si="15"/>
        <v>212</v>
      </c>
      <c r="R50" s="19">
        <f t="shared" si="15"/>
        <v>220</v>
      </c>
      <c r="S50" s="19">
        <f t="shared" si="15"/>
        <v>202</v>
      </c>
      <c r="T50" s="19">
        <f t="shared" si="15"/>
        <v>151</v>
      </c>
      <c r="U50" s="19">
        <f t="shared" si="15"/>
        <v>197</v>
      </c>
      <c r="V50" s="19">
        <f t="shared" si="15"/>
        <v>237</v>
      </c>
      <c r="W50" s="19">
        <f t="shared" si="15"/>
        <v>246</v>
      </c>
      <c r="X50" s="19">
        <f t="shared" si="15"/>
        <v>200</v>
      </c>
      <c r="Y50" s="19">
        <f t="shared" si="15"/>
        <v>216</v>
      </c>
      <c r="Z50" s="19">
        <f t="shared" si="15"/>
        <v>211</v>
      </c>
      <c r="AA50" s="19">
        <f t="shared" si="15"/>
        <v>188</v>
      </c>
      <c r="AB50" s="19">
        <f t="shared" si="15"/>
        <v>214</v>
      </c>
      <c r="AC50" s="19">
        <f t="shared" si="15"/>
        <v>228</v>
      </c>
      <c r="AD50" s="19">
        <f t="shared" si="15"/>
        <v>255</v>
      </c>
      <c r="AE50" s="19">
        <f t="shared" si="15"/>
        <v>227</v>
      </c>
      <c r="AF50" s="13">
        <f t="shared" ref="AF50:AF52" si="16">SUM(E50:AE50)</f>
        <v>5383</v>
      </c>
    </row>
    <row r="51" ht="12.75" customHeight="1">
      <c r="A51" s="35"/>
      <c r="B51" s="54" t="s">
        <v>43</v>
      </c>
      <c r="C51" s="55" t="s">
        <v>44</v>
      </c>
      <c r="D51" s="16"/>
      <c r="E51" s="19">
        <v>7.0</v>
      </c>
      <c r="F51" s="19">
        <v>3.0</v>
      </c>
      <c r="G51" s="19">
        <v>7.0</v>
      </c>
      <c r="H51" s="19">
        <v>3.0</v>
      </c>
      <c r="I51" s="19">
        <v>2.0</v>
      </c>
      <c r="J51" s="19">
        <v>2.0</v>
      </c>
      <c r="K51" s="19">
        <v>2.0</v>
      </c>
      <c r="L51" s="19">
        <v>1.0</v>
      </c>
      <c r="M51" s="19">
        <v>6.0</v>
      </c>
      <c r="N51" s="19">
        <v>1.0</v>
      </c>
      <c r="O51" s="19">
        <v>5.0</v>
      </c>
      <c r="P51" s="19">
        <v>2.0</v>
      </c>
      <c r="Q51" s="19">
        <v>2.0</v>
      </c>
      <c r="R51" s="19">
        <v>2.0</v>
      </c>
      <c r="S51" s="19">
        <v>14.0</v>
      </c>
      <c r="T51" s="19">
        <v>7.0</v>
      </c>
      <c r="U51" s="19">
        <v>3.0</v>
      </c>
      <c r="V51" s="19">
        <v>3.0</v>
      </c>
      <c r="W51" s="19">
        <v>3.0</v>
      </c>
      <c r="X51" s="19">
        <v>6.0</v>
      </c>
      <c r="Y51" s="19">
        <v>2.0</v>
      </c>
      <c r="Z51" s="19">
        <v>4.0</v>
      </c>
      <c r="AA51" s="19">
        <v>3.0</v>
      </c>
      <c r="AB51" s="19">
        <v>5.0</v>
      </c>
      <c r="AC51" s="19">
        <v>1.0</v>
      </c>
      <c r="AD51" s="19">
        <v>4.0</v>
      </c>
      <c r="AE51" s="19">
        <v>12.0</v>
      </c>
      <c r="AF51" s="13">
        <f t="shared" si="16"/>
        <v>112</v>
      </c>
    </row>
    <row r="52" ht="12.75" customHeight="1">
      <c r="A52" s="41"/>
      <c r="B52" s="54" t="s">
        <v>45</v>
      </c>
      <c r="C52" s="55" t="s">
        <v>46</v>
      </c>
      <c r="D52" s="16"/>
      <c r="E52" s="13">
        <f t="shared" ref="E52:AE52" si="17">SUM(E50:E51)</f>
        <v>185</v>
      </c>
      <c r="F52" s="13">
        <f t="shared" si="17"/>
        <v>203</v>
      </c>
      <c r="G52" s="13">
        <f t="shared" si="17"/>
        <v>156</v>
      </c>
      <c r="H52" s="13">
        <f t="shared" si="17"/>
        <v>175</v>
      </c>
      <c r="I52" s="13">
        <f t="shared" si="17"/>
        <v>209</v>
      </c>
      <c r="J52" s="13">
        <f t="shared" si="17"/>
        <v>199</v>
      </c>
      <c r="K52" s="13">
        <f t="shared" si="17"/>
        <v>212</v>
      </c>
      <c r="L52" s="13">
        <f t="shared" si="17"/>
        <v>134</v>
      </c>
      <c r="M52" s="13">
        <f t="shared" si="17"/>
        <v>128</v>
      </c>
      <c r="N52" s="13">
        <f t="shared" si="17"/>
        <v>181</v>
      </c>
      <c r="O52" s="13">
        <f t="shared" si="17"/>
        <v>217</v>
      </c>
      <c r="P52" s="13">
        <f t="shared" si="17"/>
        <v>221</v>
      </c>
      <c r="Q52" s="13">
        <f t="shared" si="17"/>
        <v>214</v>
      </c>
      <c r="R52" s="13">
        <f t="shared" si="17"/>
        <v>222</v>
      </c>
      <c r="S52" s="13">
        <f t="shared" si="17"/>
        <v>216</v>
      </c>
      <c r="T52" s="13">
        <f t="shared" si="17"/>
        <v>158</v>
      </c>
      <c r="U52" s="13">
        <f t="shared" si="17"/>
        <v>200</v>
      </c>
      <c r="V52" s="13">
        <f t="shared" si="17"/>
        <v>240</v>
      </c>
      <c r="W52" s="13">
        <f t="shared" si="17"/>
        <v>249</v>
      </c>
      <c r="X52" s="13">
        <f t="shared" si="17"/>
        <v>206</v>
      </c>
      <c r="Y52" s="13">
        <f t="shared" si="17"/>
        <v>218</v>
      </c>
      <c r="Z52" s="13">
        <f t="shared" si="17"/>
        <v>215</v>
      </c>
      <c r="AA52" s="13">
        <f t="shared" si="17"/>
        <v>191</v>
      </c>
      <c r="AB52" s="13">
        <f t="shared" si="17"/>
        <v>219</v>
      </c>
      <c r="AC52" s="13">
        <f t="shared" si="17"/>
        <v>229</v>
      </c>
      <c r="AD52" s="13">
        <f t="shared" si="17"/>
        <v>259</v>
      </c>
      <c r="AE52" s="13">
        <f t="shared" si="17"/>
        <v>239</v>
      </c>
      <c r="AF52" s="13">
        <f t="shared" si="16"/>
        <v>5495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E12"/>
    <mergeCell ref="AF12:AF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34:AE34">
    <cfRule type="expression" dxfId="0" priority="1">
      <formula>E34&lt;&gt;#REF!</formula>
    </cfRule>
  </conditionalFormatting>
  <conditionalFormatting sqref="E14:AE15 E45:AE47">
    <cfRule type="containsBlanks" dxfId="1" priority="2">
      <formula>LEN(TRIM(E14))=0</formula>
    </cfRule>
  </conditionalFormatting>
  <conditionalFormatting sqref="E19:AE20">
    <cfRule type="containsBlanks" dxfId="1" priority="3">
      <formula>LEN(TRIM(E19))=0</formula>
    </cfRule>
  </conditionalFormatting>
  <conditionalFormatting sqref="E22:AE23 E25:AE26 E33:AE33 E35:AE35 E39:AE40">
    <cfRule type="containsBlanks" dxfId="1" priority="4">
      <formula>LEN(TRIM(E22))=0</formula>
    </cfRule>
  </conditionalFormatting>
  <conditionalFormatting sqref="E30:AE30">
    <cfRule type="expression" dxfId="0" priority="5">
      <formula>E30&lt;&gt;E46</formula>
    </cfRule>
  </conditionalFormatting>
  <conditionalFormatting sqref="E30:AE30">
    <cfRule type="expression" dxfId="0" priority="6">
      <formula>E30&lt;&gt;E34</formula>
    </cfRule>
  </conditionalFormatting>
  <conditionalFormatting sqref="E34:AE34">
    <cfRule type="expression" dxfId="2" priority="7">
      <formula>E30&lt;&gt;E34</formula>
    </cfRule>
  </conditionalFormatting>
  <conditionalFormatting sqref="E34:AE34">
    <cfRule type="expression" dxfId="3" priority="8">
      <formula>E30=E34</formula>
    </cfRule>
  </conditionalFormatting>
  <conditionalFormatting sqref="E34:AE34">
    <cfRule type="expression" dxfId="0" priority="9">
      <formula>E34&lt;&gt;E30</formula>
    </cfRule>
  </conditionalFormatting>
  <conditionalFormatting sqref="E50:AE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3" width="8.71"/>
    <col customWidth="1" min="24" max="24" width="13.29"/>
  </cols>
  <sheetData>
    <row r="1" ht="12.75" customHeight="1"/>
    <row r="2" ht="12.75" customHeight="1">
      <c r="C2" s="8" t="s">
        <v>0</v>
      </c>
      <c r="D2" s="8"/>
    </row>
    <row r="3" ht="12.75" customHeight="1">
      <c r="C3" s="8" t="s">
        <v>1</v>
      </c>
      <c r="D3" s="8" t="s">
        <v>2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47</v>
      </c>
      <c r="D9" s="8"/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58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48</v>
      </c>
      <c r="F13" s="13" t="s">
        <v>49</v>
      </c>
      <c r="G13" s="13" t="s">
        <v>50</v>
      </c>
      <c r="H13" s="13" t="s">
        <v>51</v>
      </c>
      <c r="I13" s="13" t="s">
        <v>52</v>
      </c>
      <c r="J13" s="13" t="s">
        <v>53</v>
      </c>
      <c r="K13" s="13" t="s">
        <v>54</v>
      </c>
      <c r="L13" s="13" t="s">
        <v>55</v>
      </c>
      <c r="M13" s="13" t="s">
        <v>56</v>
      </c>
      <c r="N13" s="13" t="s">
        <v>57</v>
      </c>
      <c r="O13" s="13" t="s">
        <v>58</v>
      </c>
      <c r="P13" s="13" t="s">
        <v>59</v>
      </c>
      <c r="Q13" s="13" t="s">
        <v>60</v>
      </c>
      <c r="R13" s="13" t="s">
        <v>61</v>
      </c>
      <c r="S13" s="13" t="s">
        <v>62</v>
      </c>
      <c r="T13" s="13" t="s">
        <v>63</v>
      </c>
      <c r="U13" s="13" t="s">
        <v>64</v>
      </c>
      <c r="V13" s="13" t="s">
        <v>65</v>
      </c>
      <c r="W13" s="13" t="s">
        <v>66</v>
      </c>
      <c r="X13" s="36"/>
    </row>
    <row r="14" ht="12.75" customHeight="1">
      <c r="A14" s="18"/>
      <c r="B14" s="22" t="s">
        <v>10</v>
      </c>
      <c r="C14" s="23"/>
      <c r="D14" s="19" t="s">
        <v>11</v>
      </c>
      <c r="E14" s="19">
        <v>138.0</v>
      </c>
      <c r="F14" s="19">
        <v>141.0</v>
      </c>
      <c r="G14" s="19">
        <v>136.0</v>
      </c>
      <c r="H14" s="19">
        <v>140.0</v>
      </c>
      <c r="I14" s="19">
        <v>129.0</v>
      </c>
      <c r="J14" s="19">
        <v>138.0</v>
      </c>
      <c r="K14" s="19">
        <v>139.0</v>
      </c>
      <c r="L14" s="19">
        <v>139.0</v>
      </c>
      <c r="M14" s="19">
        <v>137.0</v>
      </c>
      <c r="N14" s="19">
        <v>138.0</v>
      </c>
      <c r="O14" s="19">
        <v>132.0</v>
      </c>
      <c r="P14" s="19">
        <v>140.0</v>
      </c>
      <c r="Q14" s="19">
        <v>134.0</v>
      </c>
      <c r="R14" s="19">
        <v>141.0</v>
      </c>
      <c r="S14" s="19">
        <v>131.0</v>
      </c>
      <c r="T14" s="19">
        <v>125.0</v>
      </c>
      <c r="U14" s="19">
        <v>136.0</v>
      </c>
      <c r="V14" s="19">
        <v>136.0</v>
      </c>
      <c r="W14" s="19">
        <v>141.0</v>
      </c>
      <c r="X14" s="13">
        <f t="shared" ref="X14:X16" si="1">SUM(E14:W14)</f>
        <v>2591</v>
      </c>
    </row>
    <row r="15" ht="12.75" customHeight="1">
      <c r="A15" s="18"/>
      <c r="B15" s="26"/>
      <c r="C15" s="27"/>
      <c r="D15" s="19" t="s">
        <v>12</v>
      </c>
      <c r="E15" s="19">
        <v>128.0</v>
      </c>
      <c r="F15" s="19">
        <v>135.0</v>
      </c>
      <c r="G15" s="19">
        <v>145.0</v>
      </c>
      <c r="H15" s="19">
        <v>126.0</v>
      </c>
      <c r="I15" s="19">
        <v>124.0</v>
      </c>
      <c r="J15" s="19">
        <v>136.0</v>
      </c>
      <c r="K15" s="19">
        <v>142.0</v>
      </c>
      <c r="L15" s="19">
        <v>143.0</v>
      </c>
      <c r="M15" s="19">
        <v>147.0</v>
      </c>
      <c r="N15" s="19">
        <v>137.0</v>
      </c>
      <c r="O15" s="19">
        <v>143.0</v>
      </c>
      <c r="P15" s="19">
        <v>150.0</v>
      </c>
      <c r="Q15" s="19">
        <v>149.0</v>
      </c>
      <c r="R15" s="19">
        <v>145.0</v>
      </c>
      <c r="S15" s="19">
        <v>150.0</v>
      </c>
      <c r="T15" s="19">
        <v>137.0</v>
      </c>
      <c r="U15" s="19">
        <v>141.0</v>
      </c>
      <c r="V15" s="19">
        <v>144.0</v>
      </c>
      <c r="W15" s="19">
        <v>140.0</v>
      </c>
      <c r="X15" s="13">
        <f t="shared" si="1"/>
        <v>2662</v>
      </c>
    </row>
    <row r="16" ht="12.75" customHeight="1">
      <c r="A16" s="25"/>
      <c r="B16" s="21"/>
      <c r="C16" s="28"/>
      <c r="D16" s="13" t="s">
        <v>13</v>
      </c>
      <c r="E16" s="13">
        <f t="shared" ref="E16:W16" si="2">SUM(E14:E15)</f>
        <v>266</v>
      </c>
      <c r="F16" s="13">
        <f t="shared" si="2"/>
        <v>276</v>
      </c>
      <c r="G16" s="13">
        <f t="shared" si="2"/>
        <v>281</v>
      </c>
      <c r="H16" s="13">
        <f t="shared" si="2"/>
        <v>266</v>
      </c>
      <c r="I16" s="13">
        <f t="shared" si="2"/>
        <v>253</v>
      </c>
      <c r="J16" s="13">
        <f t="shared" si="2"/>
        <v>274</v>
      </c>
      <c r="K16" s="13">
        <f t="shared" si="2"/>
        <v>281</v>
      </c>
      <c r="L16" s="13">
        <f t="shared" si="2"/>
        <v>282</v>
      </c>
      <c r="M16" s="13">
        <f t="shared" si="2"/>
        <v>284</v>
      </c>
      <c r="N16" s="13">
        <f t="shared" si="2"/>
        <v>275</v>
      </c>
      <c r="O16" s="13">
        <f t="shared" si="2"/>
        <v>275</v>
      </c>
      <c r="P16" s="13">
        <f t="shared" si="2"/>
        <v>290</v>
      </c>
      <c r="Q16" s="13">
        <f t="shared" si="2"/>
        <v>283</v>
      </c>
      <c r="R16" s="13">
        <f t="shared" si="2"/>
        <v>286</v>
      </c>
      <c r="S16" s="13">
        <f t="shared" si="2"/>
        <v>281</v>
      </c>
      <c r="T16" s="13">
        <f t="shared" si="2"/>
        <v>262</v>
      </c>
      <c r="U16" s="13">
        <f t="shared" si="2"/>
        <v>277</v>
      </c>
      <c r="V16" s="13">
        <f t="shared" si="2"/>
        <v>280</v>
      </c>
      <c r="W16" s="13">
        <f t="shared" si="2"/>
        <v>281</v>
      </c>
      <c r="X16" s="13">
        <f t="shared" si="1"/>
        <v>5253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19"/>
      <c r="P17" s="19"/>
      <c r="Q17" s="19"/>
      <c r="R17" s="19"/>
      <c r="S17" s="59"/>
      <c r="T17" s="19"/>
      <c r="U17" s="19"/>
      <c r="V17" s="19"/>
      <c r="W17" s="19"/>
      <c r="X17" s="60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19"/>
      <c r="P18" s="19"/>
      <c r="Q18" s="19"/>
      <c r="R18" s="19"/>
      <c r="S18" s="59"/>
      <c r="T18" s="19"/>
      <c r="U18" s="19"/>
      <c r="V18" s="19"/>
      <c r="W18" s="19"/>
      <c r="X18" s="60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73.0</v>
      </c>
      <c r="F19" s="19">
        <v>109.0</v>
      </c>
      <c r="G19" s="19">
        <v>112.0</v>
      </c>
      <c r="H19" s="19">
        <v>93.0</v>
      </c>
      <c r="I19" s="19">
        <v>95.0</v>
      </c>
      <c r="J19" s="19">
        <v>104.0</v>
      </c>
      <c r="K19" s="19">
        <v>96.0</v>
      </c>
      <c r="L19" s="19">
        <v>110.0</v>
      </c>
      <c r="M19" s="19">
        <v>98.0</v>
      </c>
      <c r="N19" s="19">
        <v>104.0</v>
      </c>
      <c r="O19" s="19">
        <v>102.0</v>
      </c>
      <c r="P19" s="19">
        <v>107.0</v>
      </c>
      <c r="Q19" s="19">
        <v>109.0</v>
      </c>
      <c r="R19" s="19">
        <v>97.0</v>
      </c>
      <c r="S19" s="19">
        <v>93.0</v>
      </c>
      <c r="T19" s="19">
        <v>98.0</v>
      </c>
      <c r="U19" s="19">
        <v>113.0</v>
      </c>
      <c r="V19" s="19">
        <v>104.0</v>
      </c>
      <c r="W19" s="19">
        <v>123.0</v>
      </c>
      <c r="X19" s="13">
        <f t="shared" ref="X19:X30" si="3">SUM(E19:W19)</f>
        <v>1940</v>
      </c>
    </row>
    <row r="20" ht="12.75" customHeight="1">
      <c r="A20" s="33"/>
      <c r="B20" s="27"/>
      <c r="C20" s="34"/>
      <c r="D20" s="19" t="s">
        <v>12</v>
      </c>
      <c r="E20" s="19">
        <v>90.0</v>
      </c>
      <c r="F20" s="19">
        <v>112.0</v>
      </c>
      <c r="G20" s="19">
        <v>118.0</v>
      </c>
      <c r="H20" s="19">
        <v>97.0</v>
      </c>
      <c r="I20" s="19">
        <v>88.0</v>
      </c>
      <c r="J20" s="19">
        <v>110.0</v>
      </c>
      <c r="K20" s="19">
        <v>115.0</v>
      </c>
      <c r="L20" s="19">
        <v>117.0</v>
      </c>
      <c r="M20" s="19">
        <v>127.0</v>
      </c>
      <c r="N20" s="19">
        <v>106.0</v>
      </c>
      <c r="O20" s="19">
        <v>119.0</v>
      </c>
      <c r="P20" s="19">
        <v>122.0</v>
      </c>
      <c r="Q20" s="19">
        <v>113.0</v>
      </c>
      <c r="R20" s="19">
        <v>122.0</v>
      </c>
      <c r="S20" s="19">
        <v>120.0</v>
      </c>
      <c r="T20" s="19">
        <v>108.0</v>
      </c>
      <c r="U20" s="19">
        <v>116.0</v>
      </c>
      <c r="V20" s="19">
        <v>119.0</v>
      </c>
      <c r="W20" s="19">
        <v>123.0</v>
      </c>
      <c r="X20" s="13">
        <f t="shared" si="3"/>
        <v>2142</v>
      </c>
    </row>
    <row r="21" ht="12.75" customHeight="1">
      <c r="A21" s="35"/>
      <c r="B21" s="28"/>
      <c r="C21" s="36"/>
      <c r="D21" s="13" t="s">
        <v>13</v>
      </c>
      <c r="E21" s="13">
        <f t="shared" ref="E21:W21" si="4">SUM(E19:E20)</f>
        <v>163</v>
      </c>
      <c r="F21" s="13">
        <f t="shared" si="4"/>
        <v>221</v>
      </c>
      <c r="G21" s="13">
        <f t="shared" si="4"/>
        <v>230</v>
      </c>
      <c r="H21" s="13">
        <f t="shared" si="4"/>
        <v>190</v>
      </c>
      <c r="I21" s="13">
        <f t="shared" si="4"/>
        <v>183</v>
      </c>
      <c r="J21" s="13">
        <f t="shared" si="4"/>
        <v>214</v>
      </c>
      <c r="K21" s="13">
        <f t="shared" si="4"/>
        <v>211</v>
      </c>
      <c r="L21" s="13">
        <f t="shared" si="4"/>
        <v>227</v>
      </c>
      <c r="M21" s="13">
        <f t="shared" si="4"/>
        <v>225</v>
      </c>
      <c r="N21" s="13">
        <f t="shared" si="4"/>
        <v>210</v>
      </c>
      <c r="O21" s="13">
        <f t="shared" si="4"/>
        <v>221</v>
      </c>
      <c r="P21" s="13">
        <f t="shared" si="4"/>
        <v>229</v>
      </c>
      <c r="Q21" s="13">
        <f t="shared" si="4"/>
        <v>222</v>
      </c>
      <c r="R21" s="13">
        <f t="shared" si="4"/>
        <v>219</v>
      </c>
      <c r="S21" s="13">
        <f t="shared" si="4"/>
        <v>213</v>
      </c>
      <c r="T21" s="13">
        <f t="shared" si="4"/>
        <v>206</v>
      </c>
      <c r="U21" s="13">
        <f t="shared" si="4"/>
        <v>229</v>
      </c>
      <c r="V21" s="13">
        <f t="shared" si="4"/>
        <v>223</v>
      </c>
      <c r="W21" s="13">
        <f t="shared" si="4"/>
        <v>246</v>
      </c>
      <c r="X21" s="13">
        <f t="shared" si="3"/>
        <v>4082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3">
        <f t="shared" si="3"/>
        <v>0</v>
      </c>
    </row>
    <row r="23" ht="12.75" customHeight="1">
      <c r="A23" s="33"/>
      <c r="B23" s="27"/>
      <c r="C23" s="34"/>
      <c r="D23" s="19" t="s">
        <v>12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3">
        <f t="shared" si="3"/>
        <v>0</v>
      </c>
    </row>
    <row r="24" ht="12.75" customHeight="1">
      <c r="A24" s="35"/>
      <c r="B24" s="28"/>
      <c r="C24" s="36"/>
      <c r="D24" s="13" t="s">
        <v>13</v>
      </c>
      <c r="E24" s="13">
        <f t="shared" ref="E24:W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3"/>
        <v>0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0.0</v>
      </c>
      <c r="F25" s="19">
        <v>0.0</v>
      </c>
      <c r="G25" s="19">
        <v>2.0</v>
      </c>
      <c r="H25" s="19">
        <v>3.0</v>
      </c>
      <c r="I25" s="19">
        <v>1.0</v>
      </c>
      <c r="J25" s="19">
        <v>0.0</v>
      </c>
      <c r="K25" s="19">
        <v>0.0</v>
      </c>
      <c r="L25" s="19">
        <v>3.0</v>
      </c>
      <c r="M25" s="19">
        <v>0.0</v>
      </c>
      <c r="N25" s="19">
        <v>0.0</v>
      </c>
      <c r="O25" s="19">
        <v>0.0</v>
      </c>
      <c r="P25" s="19">
        <v>0.0</v>
      </c>
      <c r="Q25" s="19">
        <v>0.0</v>
      </c>
      <c r="R25" s="19">
        <v>3.0</v>
      </c>
      <c r="S25" s="19">
        <v>2.0</v>
      </c>
      <c r="T25" s="19">
        <v>0.0</v>
      </c>
      <c r="U25" s="19">
        <v>0.0</v>
      </c>
      <c r="V25" s="19">
        <v>1.0</v>
      </c>
      <c r="W25" s="19">
        <v>0.0</v>
      </c>
      <c r="X25" s="13">
        <f t="shared" si="3"/>
        <v>15</v>
      </c>
    </row>
    <row r="26" ht="12.75" customHeight="1">
      <c r="A26" s="33"/>
      <c r="B26" s="27"/>
      <c r="C26" s="34"/>
      <c r="D26" s="19" t="s">
        <v>12</v>
      </c>
      <c r="E26" s="19">
        <v>1.0</v>
      </c>
      <c r="F26" s="19">
        <v>0.0</v>
      </c>
      <c r="G26" s="19">
        <v>1.0</v>
      </c>
      <c r="H26" s="19">
        <v>3.0</v>
      </c>
      <c r="I26" s="19">
        <v>3.0</v>
      </c>
      <c r="J26" s="19">
        <v>1.0</v>
      </c>
      <c r="K26" s="19">
        <v>0.0</v>
      </c>
      <c r="L26" s="19">
        <v>1.0</v>
      </c>
      <c r="M26" s="19">
        <v>0.0</v>
      </c>
      <c r="N26" s="19">
        <v>0.0</v>
      </c>
      <c r="O26" s="19">
        <v>1.0</v>
      </c>
      <c r="P26" s="19">
        <v>0.0</v>
      </c>
      <c r="Q26" s="19">
        <v>0.0</v>
      </c>
      <c r="R26" s="19">
        <v>3.0</v>
      </c>
      <c r="S26" s="19">
        <v>2.0</v>
      </c>
      <c r="T26" s="19">
        <v>0.0</v>
      </c>
      <c r="U26" s="19">
        <v>2.0</v>
      </c>
      <c r="V26" s="19">
        <v>0.0</v>
      </c>
      <c r="W26" s="19">
        <v>1.0</v>
      </c>
      <c r="X26" s="13">
        <f t="shared" si="3"/>
        <v>19</v>
      </c>
    </row>
    <row r="27" ht="12.75" customHeight="1">
      <c r="A27" s="35"/>
      <c r="B27" s="28"/>
      <c r="C27" s="36"/>
      <c r="D27" s="13" t="s">
        <v>13</v>
      </c>
      <c r="E27" s="13">
        <f t="shared" ref="E27:W27" si="6">SUM(E25:E26)</f>
        <v>1</v>
      </c>
      <c r="F27" s="13">
        <f t="shared" si="6"/>
        <v>0</v>
      </c>
      <c r="G27" s="13">
        <f t="shared" si="6"/>
        <v>3</v>
      </c>
      <c r="H27" s="13">
        <f t="shared" si="6"/>
        <v>6</v>
      </c>
      <c r="I27" s="13">
        <f t="shared" si="6"/>
        <v>4</v>
      </c>
      <c r="J27" s="13">
        <f t="shared" si="6"/>
        <v>1</v>
      </c>
      <c r="K27" s="13">
        <f t="shared" si="6"/>
        <v>0</v>
      </c>
      <c r="L27" s="13">
        <f t="shared" si="6"/>
        <v>4</v>
      </c>
      <c r="M27" s="13">
        <f t="shared" si="6"/>
        <v>0</v>
      </c>
      <c r="N27" s="13">
        <f t="shared" si="6"/>
        <v>0</v>
      </c>
      <c r="O27" s="13">
        <f t="shared" si="6"/>
        <v>1</v>
      </c>
      <c r="P27" s="13">
        <f t="shared" si="6"/>
        <v>0</v>
      </c>
      <c r="Q27" s="13">
        <f t="shared" si="6"/>
        <v>0</v>
      </c>
      <c r="R27" s="13">
        <f t="shared" si="6"/>
        <v>6</v>
      </c>
      <c r="S27" s="13">
        <f t="shared" si="6"/>
        <v>4</v>
      </c>
      <c r="T27" s="13">
        <f t="shared" si="6"/>
        <v>0</v>
      </c>
      <c r="U27" s="13">
        <f t="shared" si="6"/>
        <v>2</v>
      </c>
      <c r="V27" s="13">
        <f t="shared" si="6"/>
        <v>1</v>
      </c>
      <c r="W27" s="13">
        <f t="shared" si="6"/>
        <v>1</v>
      </c>
      <c r="X27" s="13">
        <f t="shared" si="3"/>
        <v>34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W28" si="7">SUM(E19,E22,E25)</f>
        <v>73</v>
      </c>
      <c r="F28" s="13">
        <f t="shared" si="7"/>
        <v>109</v>
      </c>
      <c r="G28" s="13">
        <f t="shared" si="7"/>
        <v>114</v>
      </c>
      <c r="H28" s="13">
        <f t="shared" si="7"/>
        <v>96</v>
      </c>
      <c r="I28" s="13">
        <f t="shared" si="7"/>
        <v>96</v>
      </c>
      <c r="J28" s="13">
        <f t="shared" si="7"/>
        <v>104</v>
      </c>
      <c r="K28" s="13">
        <f t="shared" si="7"/>
        <v>96</v>
      </c>
      <c r="L28" s="13">
        <f t="shared" si="7"/>
        <v>113</v>
      </c>
      <c r="M28" s="13">
        <f t="shared" si="7"/>
        <v>98</v>
      </c>
      <c r="N28" s="13">
        <f t="shared" si="7"/>
        <v>104</v>
      </c>
      <c r="O28" s="13">
        <f t="shared" si="7"/>
        <v>102</v>
      </c>
      <c r="P28" s="13">
        <f t="shared" si="7"/>
        <v>107</v>
      </c>
      <c r="Q28" s="13">
        <f t="shared" si="7"/>
        <v>109</v>
      </c>
      <c r="R28" s="13">
        <f t="shared" si="7"/>
        <v>100</v>
      </c>
      <c r="S28" s="13">
        <f t="shared" si="7"/>
        <v>95</v>
      </c>
      <c r="T28" s="13">
        <f t="shared" si="7"/>
        <v>98</v>
      </c>
      <c r="U28" s="13">
        <f t="shared" si="7"/>
        <v>113</v>
      </c>
      <c r="V28" s="13">
        <f t="shared" si="7"/>
        <v>105</v>
      </c>
      <c r="W28" s="13">
        <f t="shared" si="7"/>
        <v>123</v>
      </c>
      <c r="X28" s="13">
        <f t="shared" si="3"/>
        <v>1955</v>
      </c>
    </row>
    <row r="29" ht="12.75" customHeight="1">
      <c r="A29" s="35"/>
      <c r="B29" s="27"/>
      <c r="C29" s="34"/>
      <c r="D29" s="13" t="s">
        <v>12</v>
      </c>
      <c r="E29" s="13">
        <f t="shared" ref="E29:W29" si="8">SUM(E20,E23,E26)</f>
        <v>91</v>
      </c>
      <c r="F29" s="13">
        <f t="shared" si="8"/>
        <v>112</v>
      </c>
      <c r="G29" s="13">
        <f t="shared" si="8"/>
        <v>119</v>
      </c>
      <c r="H29" s="13">
        <f t="shared" si="8"/>
        <v>100</v>
      </c>
      <c r="I29" s="13">
        <f t="shared" si="8"/>
        <v>91</v>
      </c>
      <c r="J29" s="13">
        <f t="shared" si="8"/>
        <v>111</v>
      </c>
      <c r="K29" s="13">
        <f t="shared" si="8"/>
        <v>115</v>
      </c>
      <c r="L29" s="13">
        <f t="shared" si="8"/>
        <v>118</v>
      </c>
      <c r="M29" s="13">
        <f t="shared" si="8"/>
        <v>127</v>
      </c>
      <c r="N29" s="13">
        <f t="shared" si="8"/>
        <v>106</v>
      </c>
      <c r="O29" s="13">
        <f t="shared" si="8"/>
        <v>120</v>
      </c>
      <c r="P29" s="13">
        <f t="shared" si="8"/>
        <v>122</v>
      </c>
      <c r="Q29" s="13">
        <f t="shared" si="8"/>
        <v>113</v>
      </c>
      <c r="R29" s="13">
        <f t="shared" si="8"/>
        <v>125</v>
      </c>
      <c r="S29" s="13">
        <f t="shared" si="8"/>
        <v>122</v>
      </c>
      <c r="T29" s="13">
        <f t="shared" si="8"/>
        <v>108</v>
      </c>
      <c r="U29" s="13">
        <f t="shared" si="8"/>
        <v>118</v>
      </c>
      <c r="V29" s="13">
        <f t="shared" si="8"/>
        <v>119</v>
      </c>
      <c r="W29" s="13">
        <f t="shared" si="8"/>
        <v>124</v>
      </c>
      <c r="X29" s="13">
        <f t="shared" si="3"/>
        <v>2161</v>
      </c>
    </row>
    <row r="30" ht="12.75" customHeight="1">
      <c r="A30" s="35"/>
      <c r="B30" s="28"/>
      <c r="C30" s="36"/>
      <c r="D30" s="13" t="s">
        <v>13</v>
      </c>
      <c r="E30" s="13">
        <f t="shared" ref="E30:W30" si="9">SUM(E28:E29)</f>
        <v>164</v>
      </c>
      <c r="F30" s="13">
        <f t="shared" si="9"/>
        <v>221</v>
      </c>
      <c r="G30" s="13">
        <f t="shared" si="9"/>
        <v>233</v>
      </c>
      <c r="H30" s="13">
        <f t="shared" si="9"/>
        <v>196</v>
      </c>
      <c r="I30" s="13">
        <f t="shared" si="9"/>
        <v>187</v>
      </c>
      <c r="J30" s="13">
        <f t="shared" si="9"/>
        <v>215</v>
      </c>
      <c r="K30" s="13">
        <f t="shared" si="9"/>
        <v>211</v>
      </c>
      <c r="L30" s="13">
        <f t="shared" si="9"/>
        <v>231</v>
      </c>
      <c r="M30" s="13">
        <f t="shared" si="9"/>
        <v>225</v>
      </c>
      <c r="N30" s="13">
        <f t="shared" si="9"/>
        <v>210</v>
      </c>
      <c r="O30" s="13">
        <f t="shared" si="9"/>
        <v>222</v>
      </c>
      <c r="P30" s="13">
        <f t="shared" si="9"/>
        <v>229</v>
      </c>
      <c r="Q30" s="13">
        <f t="shared" si="9"/>
        <v>222</v>
      </c>
      <c r="R30" s="13">
        <f t="shared" si="9"/>
        <v>225</v>
      </c>
      <c r="S30" s="13">
        <f t="shared" si="9"/>
        <v>217</v>
      </c>
      <c r="T30" s="13">
        <f t="shared" si="9"/>
        <v>206</v>
      </c>
      <c r="U30" s="13">
        <f t="shared" si="9"/>
        <v>231</v>
      </c>
      <c r="V30" s="13">
        <f t="shared" si="9"/>
        <v>224</v>
      </c>
      <c r="W30" s="13">
        <f t="shared" si="9"/>
        <v>247</v>
      </c>
      <c r="X30" s="13">
        <f t="shared" si="3"/>
        <v>4116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19"/>
      <c r="P31" s="19"/>
      <c r="Q31" s="19"/>
      <c r="R31" s="19"/>
      <c r="S31" s="59"/>
      <c r="T31" s="19"/>
      <c r="U31" s="19"/>
      <c r="V31" s="19"/>
      <c r="W31" s="19"/>
      <c r="X31" s="60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13"/>
      <c r="P32" s="13"/>
      <c r="Q32" s="13"/>
      <c r="R32" s="13"/>
      <c r="S32" s="61"/>
      <c r="T32" s="13"/>
      <c r="U32" s="13"/>
      <c r="V32" s="13"/>
      <c r="W32" s="13"/>
      <c r="X32" s="60"/>
    </row>
    <row r="33" ht="12.75" customHeight="1">
      <c r="A33" s="19">
        <v>1.0</v>
      </c>
      <c r="B33" s="20" t="s">
        <v>26</v>
      </c>
      <c r="C33" s="15"/>
      <c r="D33" s="16"/>
      <c r="E33" s="19">
        <v>262.0</v>
      </c>
      <c r="F33" s="19">
        <v>283.0</v>
      </c>
      <c r="G33" s="19">
        <v>277.0</v>
      </c>
      <c r="H33" s="19">
        <v>265.0</v>
      </c>
      <c r="I33" s="19">
        <v>250.0</v>
      </c>
      <c r="J33" s="19">
        <v>269.0</v>
      </c>
      <c r="K33" s="19">
        <v>273.0</v>
      </c>
      <c r="L33" s="19">
        <v>288.0</v>
      </c>
      <c r="M33" s="19">
        <v>291.0</v>
      </c>
      <c r="N33" s="19">
        <v>281.0</v>
      </c>
      <c r="O33" s="19">
        <v>285.0</v>
      </c>
      <c r="P33" s="19">
        <v>288.0</v>
      </c>
      <c r="Q33" s="19">
        <v>282.0</v>
      </c>
      <c r="R33" s="19">
        <v>281.0</v>
      </c>
      <c r="S33" s="19">
        <v>275.0</v>
      </c>
      <c r="T33" s="19">
        <v>258.0</v>
      </c>
      <c r="U33" s="19">
        <v>272.0</v>
      </c>
      <c r="V33" s="19">
        <v>276.0</v>
      </c>
      <c r="W33" s="19">
        <v>273.0</v>
      </c>
      <c r="X33" s="13">
        <f t="shared" ref="X33:X36" si="10">SUM(E33:W33)</f>
        <v>5229</v>
      </c>
    </row>
    <row r="34" ht="12.75" customHeight="1">
      <c r="A34" s="19">
        <v>2.0</v>
      </c>
      <c r="B34" s="20" t="s">
        <v>27</v>
      </c>
      <c r="C34" s="15"/>
      <c r="D34" s="16"/>
      <c r="E34" s="13">
        <v>164.0</v>
      </c>
      <c r="F34" s="13">
        <v>221.0</v>
      </c>
      <c r="G34" s="13">
        <v>233.0</v>
      </c>
      <c r="H34" s="13">
        <v>196.0</v>
      </c>
      <c r="I34" s="13">
        <v>187.0</v>
      </c>
      <c r="J34" s="13">
        <v>215.0</v>
      </c>
      <c r="K34" s="13">
        <v>211.0</v>
      </c>
      <c r="L34" s="13">
        <v>231.0</v>
      </c>
      <c r="M34" s="13">
        <v>225.0</v>
      </c>
      <c r="N34" s="13">
        <v>210.0</v>
      </c>
      <c r="O34" s="13">
        <v>222.0</v>
      </c>
      <c r="P34" s="13">
        <v>229.0</v>
      </c>
      <c r="Q34" s="13">
        <v>222.0</v>
      </c>
      <c r="R34" s="13">
        <v>225.0</v>
      </c>
      <c r="S34" s="13">
        <v>217.0</v>
      </c>
      <c r="T34" s="13">
        <v>206.0</v>
      </c>
      <c r="U34" s="13">
        <v>231.0</v>
      </c>
      <c r="V34" s="13">
        <v>224.0</v>
      </c>
      <c r="W34" s="13">
        <v>247.0</v>
      </c>
      <c r="X34" s="13">
        <f t="shared" si="10"/>
        <v>4116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0.0</v>
      </c>
      <c r="G35" s="19">
        <v>1.0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2.0</v>
      </c>
      <c r="R35" s="19">
        <v>0.0</v>
      </c>
      <c r="S35" s="19">
        <v>0.0</v>
      </c>
      <c r="T35" s="19">
        <v>0.0</v>
      </c>
      <c r="U35" s="19">
        <v>1.0</v>
      </c>
      <c r="V35" s="19">
        <v>1.0</v>
      </c>
      <c r="W35" s="19">
        <v>0.0</v>
      </c>
      <c r="X35" s="13">
        <f t="shared" si="10"/>
        <v>5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W36" si="11">E33-(E34+E35)</f>
        <v>98</v>
      </c>
      <c r="F36" s="13">
        <f t="shared" si="11"/>
        <v>62</v>
      </c>
      <c r="G36" s="13">
        <f t="shared" si="11"/>
        <v>43</v>
      </c>
      <c r="H36" s="13">
        <f t="shared" si="11"/>
        <v>69</v>
      </c>
      <c r="I36" s="13">
        <f t="shared" si="11"/>
        <v>63</v>
      </c>
      <c r="J36" s="13">
        <f t="shared" si="11"/>
        <v>54</v>
      </c>
      <c r="K36" s="13">
        <f t="shared" si="11"/>
        <v>62</v>
      </c>
      <c r="L36" s="13">
        <f t="shared" si="11"/>
        <v>57</v>
      </c>
      <c r="M36" s="13">
        <f t="shared" si="11"/>
        <v>66</v>
      </c>
      <c r="N36" s="13">
        <f t="shared" si="11"/>
        <v>71</v>
      </c>
      <c r="O36" s="13">
        <f t="shared" si="11"/>
        <v>63</v>
      </c>
      <c r="P36" s="13">
        <f t="shared" si="11"/>
        <v>59</v>
      </c>
      <c r="Q36" s="13">
        <f t="shared" si="11"/>
        <v>58</v>
      </c>
      <c r="R36" s="13">
        <f t="shared" si="11"/>
        <v>56</v>
      </c>
      <c r="S36" s="13">
        <f t="shared" si="11"/>
        <v>58</v>
      </c>
      <c r="T36" s="13">
        <f t="shared" si="11"/>
        <v>52</v>
      </c>
      <c r="U36" s="13">
        <f t="shared" si="11"/>
        <v>40</v>
      </c>
      <c r="V36" s="13">
        <f t="shared" si="11"/>
        <v>51</v>
      </c>
      <c r="W36" s="13">
        <f t="shared" si="11"/>
        <v>26</v>
      </c>
      <c r="X36" s="13">
        <f t="shared" si="10"/>
        <v>1108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19"/>
      <c r="P37" s="19"/>
      <c r="Q37" s="19"/>
      <c r="R37" s="19"/>
      <c r="S37" s="59"/>
      <c r="T37" s="19"/>
      <c r="U37" s="19"/>
      <c r="V37" s="19"/>
      <c r="W37" s="19"/>
      <c r="X37" s="60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13"/>
      <c r="P38" s="13"/>
      <c r="Q38" s="13"/>
      <c r="R38" s="13"/>
      <c r="S38" s="61"/>
      <c r="T38" s="13"/>
      <c r="U38" s="13"/>
      <c r="V38" s="13"/>
      <c r="W38" s="13"/>
      <c r="X38" s="60"/>
    </row>
    <row r="39" ht="12.75" customHeight="1">
      <c r="A39" s="30"/>
      <c r="B39" s="43" t="s">
        <v>32</v>
      </c>
      <c r="C39" s="23"/>
      <c r="D39" s="19" t="s">
        <v>11</v>
      </c>
      <c r="E39" s="19">
        <v>0.0</v>
      </c>
      <c r="F39" s="19">
        <v>0.0</v>
      </c>
      <c r="G39" s="19">
        <v>2.0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1.0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3">
        <f t="shared" ref="X39:X41" si="12">SUM(E39:W39)</f>
        <v>3</v>
      </c>
    </row>
    <row r="40" ht="12.75" customHeight="1">
      <c r="A40" s="33"/>
      <c r="C40" s="27"/>
      <c r="D40" s="19" t="s">
        <v>12</v>
      </c>
      <c r="E40" s="19">
        <v>0.0</v>
      </c>
      <c r="F40" s="19">
        <v>0.0</v>
      </c>
      <c r="G40" s="19">
        <v>1.0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1.0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3">
        <f t="shared" si="12"/>
        <v>2</v>
      </c>
    </row>
    <row r="41" ht="12.75" customHeight="1">
      <c r="A41" s="41"/>
      <c r="B41" s="44"/>
      <c r="C41" s="28"/>
      <c r="D41" s="13" t="s">
        <v>13</v>
      </c>
      <c r="E41" s="13">
        <f t="shared" ref="E41:W41" si="13">SUM(E39:E40)</f>
        <v>0</v>
      </c>
      <c r="F41" s="13">
        <f t="shared" si="13"/>
        <v>0</v>
      </c>
      <c r="G41" s="13">
        <f t="shared" si="13"/>
        <v>3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2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2"/>
        <v>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19"/>
      <c r="Q42" s="19"/>
      <c r="R42" s="19"/>
      <c r="S42" s="59"/>
      <c r="T42" s="19"/>
      <c r="U42" s="19"/>
      <c r="V42" s="19"/>
      <c r="W42" s="19"/>
      <c r="X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13"/>
      <c r="Q43" s="13"/>
      <c r="R43" s="13"/>
      <c r="S43" s="61"/>
      <c r="T43" s="13"/>
      <c r="U43" s="13"/>
      <c r="V43" s="13"/>
      <c r="W43" s="13"/>
      <c r="X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19"/>
      <c r="Q44" s="19"/>
      <c r="R44" s="19"/>
      <c r="S44" s="59"/>
      <c r="T44" s="19"/>
      <c r="U44" s="19"/>
      <c r="V44" s="19"/>
      <c r="W44" s="19"/>
      <c r="X44" s="13"/>
    </row>
    <row r="45" ht="12.75" customHeight="1">
      <c r="A45" s="62"/>
      <c r="B45" s="47">
        <v>1.0</v>
      </c>
      <c r="C45" s="48" t="s">
        <v>36</v>
      </c>
      <c r="D45" s="16"/>
      <c r="E45" s="19">
        <v>15.0</v>
      </c>
      <c r="F45" s="19">
        <v>16.0</v>
      </c>
      <c r="G45" s="19">
        <v>24.0</v>
      </c>
      <c r="H45" s="19">
        <v>17.0</v>
      </c>
      <c r="I45" s="19">
        <v>32.0</v>
      </c>
      <c r="J45" s="19">
        <v>24.0</v>
      </c>
      <c r="K45" s="19">
        <v>16.0</v>
      </c>
      <c r="L45" s="19">
        <v>14.0</v>
      </c>
      <c r="M45" s="19">
        <v>7.0</v>
      </c>
      <c r="N45" s="19">
        <v>13.0</v>
      </c>
      <c r="O45" s="19">
        <v>12.0</v>
      </c>
      <c r="P45" s="19">
        <v>22.0</v>
      </c>
      <c r="Q45" s="19">
        <v>38.0</v>
      </c>
      <c r="R45" s="19">
        <v>28.0</v>
      </c>
      <c r="S45" s="19">
        <v>22.0</v>
      </c>
      <c r="T45" s="19">
        <v>38.0</v>
      </c>
      <c r="U45" s="19">
        <v>24.0</v>
      </c>
      <c r="V45" s="19">
        <v>40.0</v>
      </c>
      <c r="W45" s="19">
        <v>6.0</v>
      </c>
      <c r="X45" s="13">
        <f t="shared" ref="X45:X47" si="14">SUM(E45:W45)</f>
        <v>408</v>
      </c>
    </row>
    <row r="46" ht="12.75" customHeight="1">
      <c r="A46" s="18"/>
      <c r="B46" s="47">
        <v>2.0</v>
      </c>
      <c r="C46" s="48" t="s">
        <v>37</v>
      </c>
      <c r="D46" s="16"/>
      <c r="E46" s="19">
        <v>108.0</v>
      </c>
      <c r="F46" s="19">
        <v>148.0</v>
      </c>
      <c r="G46" s="19">
        <v>149.0</v>
      </c>
      <c r="H46" s="19">
        <v>143.0</v>
      </c>
      <c r="I46" s="19">
        <v>131.0</v>
      </c>
      <c r="J46" s="19">
        <v>142.0</v>
      </c>
      <c r="K46" s="19">
        <v>142.0</v>
      </c>
      <c r="L46" s="19">
        <v>157.0</v>
      </c>
      <c r="M46" s="19">
        <v>110.0</v>
      </c>
      <c r="N46" s="19">
        <v>122.0</v>
      </c>
      <c r="O46" s="19">
        <v>145.0</v>
      </c>
      <c r="P46" s="19">
        <v>172.0</v>
      </c>
      <c r="Q46" s="19">
        <v>111.0</v>
      </c>
      <c r="R46" s="19">
        <v>128.0</v>
      </c>
      <c r="S46" s="19">
        <v>129.0</v>
      </c>
      <c r="T46" s="19">
        <v>134.0</v>
      </c>
      <c r="U46" s="19">
        <v>169.0</v>
      </c>
      <c r="V46" s="19">
        <v>152.0</v>
      </c>
      <c r="W46" s="19">
        <v>161.0</v>
      </c>
      <c r="X46" s="13">
        <f t="shared" si="14"/>
        <v>2653</v>
      </c>
    </row>
    <row r="47" ht="12.75" customHeight="1">
      <c r="A47" s="45"/>
      <c r="B47" s="47">
        <v>3.0</v>
      </c>
      <c r="C47" s="48" t="s">
        <v>38</v>
      </c>
      <c r="D47" s="16"/>
      <c r="E47" s="19">
        <v>31.0</v>
      </c>
      <c r="F47" s="19">
        <v>41.0</v>
      </c>
      <c r="G47" s="19">
        <v>54.0</v>
      </c>
      <c r="H47" s="19">
        <v>33.0</v>
      </c>
      <c r="I47" s="19">
        <v>20.0</v>
      </c>
      <c r="J47" s="19">
        <v>47.0</v>
      </c>
      <c r="K47" s="19">
        <v>48.0</v>
      </c>
      <c r="L47" s="19">
        <v>55.0</v>
      </c>
      <c r="M47" s="19">
        <v>104.0</v>
      </c>
      <c r="N47" s="19">
        <v>69.0</v>
      </c>
      <c r="O47" s="19">
        <v>59.0</v>
      </c>
      <c r="P47" s="19">
        <v>31.0</v>
      </c>
      <c r="Q47" s="19">
        <v>68.0</v>
      </c>
      <c r="R47" s="19">
        <v>60.0</v>
      </c>
      <c r="S47" s="19">
        <v>54.0</v>
      </c>
      <c r="T47" s="19">
        <v>27.0</v>
      </c>
      <c r="U47" s="19">
        <v>30.0</v>
      </c>
      <c r="V47" s="19">
        <v>25.0</v>
      </c>
      <c r="W47" s="19">
        <v>76.0</v>
      </c>
      <c r="X47" s="13">
        <f t="shared" si="14"/>
        <v>932</v>
      </c>
    </row>
    <row r="48" ht="12.75" customHeight="1"/>
    <row r="49" ht="12.75" customHeight="1">
      <c r="A49" s="42" t="s">
        <v>39</v>
      </c>
      <c r="B49" s="14" t="s">
        <v>40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1"/>
      <c r="O49" s="13"/>
      <c r="P49" s="13"/>
      <c r="Q49" s="13"/>
      <c r="R49" s="13"/>
      <c r="S49" s="61"/>
      <c r="T49" s="13"/>
      <c r="U49" s="13"/>
      <c r="V49" s="13"/>
      <c r="W49" s="13"/>
      <c r="X49" s="13"/>
    </row>
    <row r="50" ht="12.75" customHeight="1">
      <c r="A50" s="42"/>
      <c r="B50" s="54" t="s">
        <v>41</v>
      </c>
      <c r="C50" s="55" t="s">
        <v>42</v>
      </c>
      <c r="D50" s="16"/>
      <c r="E50" s="19">
        <f t="shared" ref="E50:W50" si="15">SUM(E45:E47)</f>
        <v>154</v>
      </c>
      <c r="F50" s="19">
        <f t="shared" si="15"/>
        <v>205</v>
      </c>
      <c r="G50" s="19">
        <f t="shared" si="15"/>
        <v>227</v>
      </c>
      <c r="H50" s="19">
        <f t="shared" si="15"/>
        <v>193</v>
      </c>
      <c r="I50" s="19">
        <f t="shared" si="15"/>
        <v>183</v>
      </c>
      <c r="J50" s="19">
        <f t="shared" si="15"/>
        <v>213</v>
      </c>
      <c r="K50" s="19">
        <f t="shared" si="15"/>
        <v>206</v>
      </c>
      <c r="L50" s="19">
        <f t="shared" si="15"/>
        <v>226</v>
      </c>
      <c r="M50" s="19">
        <f t="shared" si="15"/>
        <v>221</v>
      </c>
      <c r="N50" s="19">
        <f t="shared" si="15"/>
        <v>204</v>
      </c>
      <c r="O50" s="19">
        <f t="shared" si="15"/>
        <v>216</v>
      </c>
      <c r="P50" s="19">
        <f t="shared" si="15"/>
        <v>225</v>
      </c>
      <c r="Q50" s="19">
        <f t="shared" si="15"/>
        <v>217</v>
      </c>
      <c r="R50" s="19">
        <f t="shared" si="15"/>
        <v>216</v>
      </c>
      <c r="S50" s="19">
        <f t="shared" si="15"/>
        <v>205</v>
      </c>
      <c r="T50" s="19">
        <f t="shared" si="15"/>
        <v>199</v>
      </c>
      <c r="U50" s="19">
        <f t="shared" si="15"/>
        <v>223</v>
      </c>
      <c r="V50" s="19">
        <f t="shared" si="15"/>
        <v>217</v>
      </c>
      <c r="W50" s="19">
        <f t="shared" si="15"/>
        <v>243</v>
      </c>
      <c r="X50" s="13">
        <f t="shared" ref="X50:X52" si="16">SUM(E50:W50)</f>
        <v>3993</v>
      </c>
    </row>
    <row r="51" ht="12.75" customHeight="1">
      <c r="A51" s="35"/>
      <c r="B51" s="54" t="s">
        <v>43</v>
      </c>
      <c r="C51" s="55" t="s">
        <v>44</v>
      </c>
      <c r="D51" s="16"/>
      <c r="E51" s="19">
        <v>10.0</v>
      </c>
      <c r="F51" s="19">
        <v>16.0</v>
      </c>
      <c r="G51" s="19">
        <v>6.0</v>
      </c>
      <c r="H51" s="19">
        <v>3.0</v>
      </c>
      <c r="I51" s="19">
        <v>4.0</v>
      </c>
      <c r="J51" s="19">
        <v>2.0</v>
      </c>
      <c r="K51" s="19">
        <v>5.0</v>
      </c>
      <c r="L51" s="19">
        <v>5.0</v>
      </c>
      <c r="M51" s="19">
        <v>4.0</v>
      </c>
      <c r="N51" s="19">
        <v>6.0</v>
      </c>
      <c r="O51" s="19">
        <v>6.0</v>
      </c>
      <c r="P51" s="19">
        <v>4.0</v>
      </c>
      <c r="Q51" s="19">
        <v>5.0</v>
      </c>
      <c r="R51" s="19">
        <v>9.0</v>
      </c>
      <c r="S51" s="19">
        <v>12.0</v>
      </c>
      <c r="T51" s="19">
        <v>7.0</v>
      </c>
      <c r="U51" s="19">
        <v>8.0</v>
      </c>
      <c r="V51" s="19">
        <v>7.0</v>
      </c>
      <c r="W51" s="19">
        <v>4.0</v>
      </c>
      <c r="X51" s="13">
        <f t="shared" si="16"/>
        <v>123</v>
      </c>
    </row>
    <row r="52" ht="12.75" customHeight="1">
      <c r="A52" s="41"/>
      <c r="B52" s="54" t="s">
        <v>45</v>
      </c>
      <c r="C52" s="55" t="s">
        <v>46</v>
      </c>
      <c r="D52" s="16"/>
      <c r="E52" s="13">
        <f t="shared" ref="E52:W52" si="17">SUM(E50:E51)</f>
        <v>164</v>
      </c>
      <c r="F52" s="13">
        <f t="shared" si="17"/>
        <v>221</v>
      </c>
      <c r="G52" s="13">
        <f t="shared" si="17"/>
        <v>233</v>
      </c>
      <c r="H52" s="13">
        <f t="shared" si="17"/>
        <v>196</v>
      </c>
      <c r="I52" s="13">
        <f t="shared" si="17"/>
        <v>187</v>
      </c>
      <c r="J52" s="13">
        <f t="shared" si="17"/>
        <v>215</v>
      </c>
      <c r="K52" s="13">
        <f t="shared" si="17"/>
        <v>211</v>
      </c>
      <c r="L52" s="13">
        <f t="shared" si="17"/>
        <v>231</v>
      </c>
      <c r="M52" s="13">
        <f t="shared" si="17"/>
        <v>225</v>
      </c>
      <c r="N52" s="13">
        <f t="shared" si="17"/>
        <v>210</v>
      </c>
      <c r="O52" s="13">
        <f t="shared" si="17"/>
        <v>222</v>
      </c>
      <c r="P52" s="13">
        <f t="shared" si="17"/>
        <v>229</v>
      </c>
      <c r="Q52" s="13">
        <f t="shared" si="17"/>
        <v>222</v>
      </c>
      <c r="R52" s="13">
        <f t="shared" si="17"/>
        <v>225</v>
      </c>
      <c r="S52" s="13">
        <f t="shared" si="17"/>
        <v>217</v>
      </c>
      <c r="T52" s="13">
        <f t="shared" si="17"/>
        <v>206</v>
      </c>
      <c r="U52" s="13">
        <f t="shared" si="17"/>
        <v>231</v>
      </c>
      <c r="V52" s="13">
        <f t="shared" si="17"/>
        <v>224</v>
      </c>
      <c r="W52" s="13">
        <f t="shared" si="17"/>
        <v>247</v>
      </c>
      <c r="X52" s="13">
        <f t="shared" si="16"/>
        <v>4116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W12"/>
    <mergeCell ref="X12:X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W15 E45:W47">
    <cfRule type="containsBlanks" dxfId="1" priority="1">
      <formula>LEN(TRIM(E14))=0</formula>
    </cfRule>
  </conditionalFormatting>
  <conditionalFormatting sqref="E19:W20">
    <cfRule type="containsBlanks" dxfId="1" priority="2">
      <formula>LEN(TRIM(E19))=0</formula>
    </cfRule>
  </conditionalFormatting>
  <conditionalFormatting sqref="E22:W23 E25:W26 E33:W33 E35:W35 E39:W40">
    <cfRule type="containsBlanks" dxfId="1" priority="3">
      <formula>LEN(TRIM(E22))=0</formula>
    </cfRule>
  </conditionalFormatting>
  <conditionalFormatting sqref="E30:W30">
    <cfRule type="expression" dxfId="0" priority="4">
      <formula>E30&lt;&gt;E46</formula>
    </cfRule>
  </conditionalFormatting>
  <conditionalFormatting sqref="E30:W30">
    <cfRule type="expression" dxfId="0" priority="5">
      <formula>E30&lt;&gt;E34</formula>
    </cfRule>
  </conditionalFormatting>
  <conditionalFormatting sqref="E34:W34">
    <cfRule type="expression" dxfId="2" priority="6">
      <formula>E30&lt;&gt;E34</formula>
    </cfRule>
  </conditionalFormatting>
  <conditionalFormatting sqref="E34:W34">
    <cfRule type="expression" dxfId="3" priority="7">
      <formula>E30=E34</formula>
    </cfRule>
  </conditionalFormatting>
  <conditionalFormatting sqref="E34:W34">
    <cfRule type="expression" dxfId="0" priority="8">
      <formula>E34&lt;&gt;E30</formula>
    </cfRule>
  </conditionalFormatting>
  <conditionalFormatting sqref="E34:W34">
    <cfRule type="expression" dxfId="0" priority="9">
      <formula>E34&lt;&gt;#REF!</formula>
    </cfRule>
  </conditionalFormatting>
  <conditionalFormatting sqref="E50:W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2" width="8.71"/>
    <col customWidth="1" min="33" max="33" width="13.29"/>
  </cols>
  <sheetData>
    <row r="1" ht="12.75" customHeight="1"/>
    <row r="2" ht="12.75" customHeight="1">
      <c r="C2" s="8" t="s">
        <v>0</v>
      </c>
      <c r="D2" s="8"/>
    </row>
    <row r="3" ht="12.75" customHeight="1">
      <c r="C3" s="8" t="s">
        <v>1</v>
      </c>
      <c r="D3" s="8" t="s">
        <v>2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47</v>
      </c>
      <c r="D9" s="8"/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58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48</v>
      </c>
      <c r="F13" s="13" t="s">
        <v>49</v>
      </c>
      <c r="G13" s="13" t="s">
        <v>50</v>
      </c>
      <c r="H13" s="13" t="s">
        <v>51</v>
      </c>
      <c r="I13" s="13" t="s">
        <v>52</v>
      </c>
      <c r="J13" s="13" t="s">
        <v>53</v>
      </c>
      <c r="K13" s="13" t="s">
        <v>54</v>
      </c>
      <c r="L13" s="13" t="s">
        <v>55</v>
      </c>
      <c r="M13" s="13" t="s">
        <v>56</v>
      </c>
      <c r="N13" s="13" t="s">
        <v>57</v>
      </c>
      <c r="O13" s="13" t="s">
        <v>58</v>
      </c>
      <c r="P13" s="13" t="s">
        <v>59</v>
      </c>
      <c r="Q13" s="13" t="s">
        <v>60</v>
      </c>
      <c r="R13" s="13" t="s">
        <v>61</v>
      </c>
      <c r="S13" s="13" t="s">
        <v>62</v>
      </c>
      <c r="T13" s="13" t="s">
        <v>63</v>
      </c>
      <c r="U13" s="13" t="s">
        <v>64</v>
      </c>
      <c r="V13" s="13" t="s">
        <v>65</v>
      </c>
      <c r="W13" s="13" t="s">
        <v>66</v>
      </c>
      <c r="X13" s="13" t="s">
        <v>67</v>
      </c>
      <c r="Y13" s="13" t="s">
        <v>68</v>
      </c>
      <c r="Z13" s="13" t="s">
        <v>69</v>
      </c>
      <c r="AA13" s="13" t="s">
        <v>70</v>
      </c>
      <c r="AB13" s="13" t="s">
        <v>71</v>
      </c>
      <c r="AC13" s="13" t="s">
        <v>72</v>
      </c>
      <c r="AD13" s="13" t="s">
        <v>73</v>
      </c>
      <c r="AE13" s="13" t="s">
        <v>74</v>
      </c>
      <c r="AF13" s="13" t="s">
        <v>75</v>
      </c>
      <c r="AG13" s="36"/>
    </row>
    <row r="14" ht="12.75" customHeight="1">
      <c r="A14" s="18"/>
      <c r="B14" s="22" t="s">
        <v>10</v>
      </c>
      <c r="C14" s="23"/>
      <c r="D14" s="19" t="s">
        <v>11</v>
      </c>
      <c r="E14" s="19">
        <v>133.0</v>
      </c>
      <c r="F14" s="19">
        <v>130.0</v>
      </c>
      <c r="G14" s="19">
        <v>141.0</v>
      </c>
      <c r="H14" s="19">
        <v>116.0</v>
      </c>
      <c r="I14" s="19">
        <v>135.0</v>
      </c>
      <c r="J14" s="19">
        <v>111.0</v>
      </c>
      <c r="K14" s="19">
        <v>134.0</v>
      </c>
      <c r="L14" s="19">
        <v>150.0</v>
      </c>
      <c r="M14" s="19">
        <v>151.0</v>
      </c>
      <c r="N14" s="19">
        <v>146.0</v>
      </c>
      <c r="O14" s="19">
        <v>125.0</v>
      </c>
      <c r="P14" s="19">
        <v>115.0</v>
      </c>
      <c r="Q14" s="19">
        <v>115.0</v>
      </c>
      <c r="R14" s="19">
        <v>143.0</v>
      </c>
      <c r="S14" s="19">
        <v>150.0</v>
      </c>
      <c r="T14" s="19">
        <v>151.0</v>
      </c>
      <c r="U14" s="19">
        <v>157.0</v>
      </c>
      <c r="V14" s="19">
        <v>140.0</v>
      </c>
      <c r="W14" s="19">
        <v>142.0</v>
      </c>
      <c r="X14" s="19">
        <v>149.0</v>
      </c>
      <c r="Y14" s="19">
        <v>148.0</v>
      </c>
      <c r="Z14" s="19">
        <v>151.0</v>
      </c>
      <c r="AA14" s="19">
        <v>149.0</v>
      </c>
      <c r="AB14" s="19">
        <v>131.0</v>
      </c>
      <c r="AC14" s="19">
        <v>127.0</v>
      </c>
      <c r="AD14" s="19">
        <v>148.0</v>
      </c>
      <c r="AE14" s="19">
        <v>151.0</v>
      </c>
      <c r="AF14" s="19">
        <v>135.0</v>
      </c>
      <c r="AG14" s="13">
        <f t="shared" ref="AG14:AG16" si="1">SUM(E14:AF14)</f>
        <v>3874</v>
      </c>
    </row>
    <row r="15" ht="12.75" customHeight="1">
      <c r="A15" s="18"/>
      <c r="B15" s="26"/>
      <c r="C15" s="27"/>
      <c r="D15" s="19" t="s">
        <v>12</v>
      </c>
      <c r="E15" s="19">
        <v>137.0</v>
      </c>
      <c r="F15" s="19">
        <v>129.0</v>
      </c>
      <c r="G15" s="19">
        <v>133.0</v>
      </c>
      <c r="H15" s="19">
        <v>122.0</v>
      </c>
      <c r="I15" s="19">
        <v>125.0</v>
      </c>
      <c r="J15" s="19">
        <v>103.0</v>
      </c>
      <c r="K15" s="19">
        <v>142.0</v>
      </c>
      <c r="L15" s="19">
        <v>148.0</v>
      </c>
      <c r="M15" s="19">
        <v>148.0</v>
      </c>
      <c r="N15" s="19">
        <v>149.0</v>
      </c>
      <c r="O15" s="19">
        <v>132.0</v>
      </c>
      <c r="P15" s="19">
        <v>106.0</v>
      </c>
      <c r="Q15" s="19">
        <v>115.0</v>
      </c>
      <c r="R15" s="19">
        <v>148.0</v>
      </c>
      <c r="S15" s="19">
        <v>139.0</v>
      </c>
      <c r="T15" s="19">
        <v>142.0</v>
      </c>
      <c r="U15" s="19">
        <v>136.0</v>
      </c>
      <c r="V15" s="19">
        <v>156.0</v>
      </c>
      <c r="W15" s="19">
        <v>152.0</v>
      </c>
      <c r="X15" s="19">
        <v>145.0</v>
      </c>
      <c r="Y15" s="19">
        <v>148.0</v>
      </c>
      <c r="Z15" s="19">
        <v>140.0</v>
      </c>
      <c r="AA15" s="19">
        <v>143.0</v>
      </c>
      <c r="AB15" s="19">
        <v>117.0</v>
      </c>
      <c r="AC15" s="19">
        <v>135.0</v>
      </c>
      <c r="AD15" s="19">
        <v>150.0</v>
      </c>
      <c r="AE15" s="19">
        <v>140.0</v>
      </c>
      <c r="AF15" s="19">
        <v>142.0</v>
      </c>
      <c r="AG15" s="13">
        <f t="shared" si="1"/>
        <v>3822</v>
      </c>
    </row>
    <row r="16" ht="12.75" customHeight="1">
      <c r="A16" s="25"/>
      <c r="B16" s="21"/>
      <c r="C16" s="28"/>
      <c r="D16" s="13" t="s">
        <v>13</v>
      </c>
      <c r="E16" s="13">
        <f t="shared" ref="E16:AF16" si="2">SUM(E14:E15)</f>
        <v>270</v>
      </c>
      <c r="F16" s="13">
        <f t="shared" si="2"/>
        <v>259</v>
      </c>
      <c r="G16" s="13">
        <f t="shared" si="2"/>
        <v>274</v>
      </c>
      <c r="H16" s="13">
        <f t="shared" si="2"/>
        <v>238</v>
      </c>
      <c r="I16" s="13">
        <f t="shared" si="2"/>
        <v>260</v>
      </c>
      <c r="J16" s="13">
        <f t="shared" si="2"/>
        <v>214</v>
      </c>
      <c r="K16" s="13">
        <f t="shared" si="2"/>
        <v>276</v>
      </c>
      <c r="L16" s="13">
        <f t="shared" si="2"/>
        <v>298</v>
      </c>
      <c r="M16" s="13">
        <f t="shared" si="2"/>
        <v>299</v>
      </c>
      <c r="N16" s="13">
        <f t="shared" si="2"/>
        <v>295</v>
      </c>
      <c r="O16" s="13">
        <f t="shared" si="2"/>
        <v>257</v>
      </c>
      <c r="P16" s="13">
        <f t="shared" si="2"/>
        <v>221</v>
      </c>
      <c r="Q16" s="13">
        <f t="shared" si="2"/>
        <v>230</v>
      </c>
      <c r="R16" s="13">
        <f t="shared" si="2"/>
        <v>291</v>
      </c>
      <c r="S16" s="13">
        <f t="shared" si="2"/>
        <v>289</v>
      </c>
      <c r="T16" s="13">
        <f t="shared" si="2"/>
        <v>293</v>
      </c>
      <c r="U16" s="13">
        <f t="shared" si="2"/>
        <v>293</v>
      </c>
      <c r="V16" s="13">
        <f t="shared" si="2"/>
        <v>296</v>
      </c>
      <c r="W16" s="13">
        <f t="shared" si="2"/>
        <v>294</v>
      </c>
      <c r="X16" s="13">
        <f t="shared" si="2"/>
        <v>294</v>
      </c>
      <c r="Y16" s="13">
        <f t="shared" si="2"/>
        <v>296</v>
      </c>
      <c r="Z16" s="13">
        <f t="shared" si="2"/>
        <v>291</v>
      </c>
      <c r="AA16" s="13">
        <f t="shared" si="2"/>
        <v>292</v>
      </c>
      <c r="AB16" s="13">
        <f t="shared" si="2"/>
        <v>248</v>
      </c>
      <c r="AC16" s="13">
        <f t="shared" si="2"/>
        <v>262</v>
      </c>
      <c r="AD16" s="13">
        <f t="shared" si="2"/>
        <v>298</v>
      </c>
      <c r="AE16" s="13">
        <f t="shared" si="2"/>
        <v>291</v>
      </c>
      <c r="AF16" s="13">
        <f t="shared" si="2"/>
        <v>277</v>
      </c>
      <c r="AG16" s="13">
        <f t="shared" si="1"/>
        <v>7696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19"/>
      <c r="P17" s="19"/>
      <c r="Q17" s="19"/>
      <c r="R17" s="19"/>
      <c r="S17" s="59"/>
      <c r="T17" s="19"/>
      <c r="U17" s="19"/>
      <c r="V17" s="19"/>
      <c r="W17" s="19"/>
      <c r="X17" s="59"/>
      <c r="Y17" s="19"/>
      <c r="Z17" s="19"/>
      <c r="AA17" s="19"/>
      <c r="AB17" s="19"/>
      <c r="AC17" s="59"/>
      <c r="AD17" s="19"/>
      <c r="AE17" s="19"/>
      <c r="AF17" s="19"/>
      <c r="AG17" s="60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19"/>
      <c r="P18" s="19"/>
      <c r="Q18" s="19"/>
      <c r="R18" s="19"/>
      <c r="S18" s="59"/>
      <c r="T18" s="19"/>
      <c r="U18" s="19"/>
      <c r="V18" s="19"/>
      <c r="W18" s="19"/>
      <c r="X18" s="59"/>
      <c r="Y18" s="19"/>
      <c r="Z18" s="19"/>
      <c r="AA18" s="19"/>
      <c r="AB18" s="19"/>
      <c r="AC18" s="59"/>
      <c r="AD18" s="19"/>
      <c r="AE18" s="19"/>
      <c r="AF18" s="19"/>
      <c r="AG18" s="60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100.0</v>
      </c>
      <c r="F19" s="19">
        <v>88.0</v>
      </c>
      <c r="G19" s="19">
        <v>101.0</v>
      </c>
      <c r="H19" s="19">
        <v>67.0</v>
      </c>
      <c r="I19" s="19">
        <v>99.0</v>
      </c>
      <c r="J19" s="19">
        <v>81.0</v>
      </c>
      <c r="K19" s="19">
        <v>101.0</v>
      </c>
      <c r="L19" s="19">
        <v>101.0</v>
      </c>
      <c r="M19" s="19">
        <v>113.0</v>
      </c>
      <c r="N19" s="19">
        <v>118.0</v>
      </c>
      <c r="O19" s="19">
        <v>90.0</v>
      </c>
      <c r="P19" s="19">
        <v>90.0</v>
      </c>
      <c r="Q19" s="19">
        <v>86.0</v>
      </c>
      <c r="R19" s="19">
        <v>111.0</v>
      </c>
      <c r="S19" s="19">
        <v>108.0</v>
      </c>
      <c r="T19" s="19">
        <v>113.0</v>
      </c>
      <c r="U19" s="19">
        <v>101.0</v>
      </c>
      <c r="V19" s="19">
        <v>113.0</v>
      </c>
      <c r="W19" s="19">
        <v>101.0</v>
      </c>
      <c r="X19" s="19">
        <v>116.0</v>
      </c>
      <c r="Y19" s="19">
        <v>119.0</v>
      </c>
      <c r="Z19" s="19">
        <v>115.0</v>
      </c>
      <c r="AA19" s="19">
        <v>112.0</v>
      </c>
      <c r="AB19" s="19">
        <v>99.0</v>
      </c>
      <c r="AC19" s="19">
        <v>94.0</v>
      </c>
      <c r="AD19" s="19">
        <v>102.0</v>
      </c>
      <c r="AE19" s="19">
        <v>112.0</v>
      </c>
      <c r="AF19" s="19">
        <v>104.0</v>
      </c>
      <c r="AG19" s="13">
        <f t="shared" ref="AG19:AG30" si="3">SUM(E19:AF19)</f>
        <v>2855</v>
      </c>
    </row>
    <row r="20" ht="12.75" customHeight="1">
      <c r="A20" s="33"/>
      <c r="B20" s="27"/>
      <c r="C20" s="34"/>
      <c r="D20" s="19" t="s">
        <v>12</v>
      </c>
      <c r="E20" s="19">
        <v>104.0</v>
      </c>
      <c r="F20" s="19">
        <v>108.0</v>
      </c>
      <c r="G20" s="19">
        <v>96.0</v>
      </c>
      <c r="H20" s="19">
        <v>86.0</v>
      </c>
      <c r="I20" s="19">
        <v>102.0</v>
      </c>
      <c r="J20" s="19">
        <v>83.0</v>
      </c>
      <c r="K20" s="19">
        <v>109.0</v>
      </c>
      <c r="L20" s="19">
        <v>118.0</v>
      </c>
      <c r="M20" s="19">
        <v>129.0</v>
      </c>
      <c r="N20" s="19">
        <v>124.0</v>
      </c>
      <c r="O20" s="19">
        <v>108.0</v>
      </c>
      <c r="P20" s="19">
        <v>87.0</v>
      </c>
      <c r="Q20" s="19">
        <v>93.0</v>
      </c>
      <c r="R20" s="19">
        <v>119.0</v>
      </c>
      <c r="S20" s="19">
        <v>108.0</v>
      </c>
      <c r="T20" s="19">
        <v>111.0</v>
      </c>
      <c r="U20" s="19">
        <v>101.0</v>
      </c>
      <c r="V20" s="19">
        <v>126.0</v>
      </c>
      <c r="W20" s="19">
        <v>115.0</v>
      </c>
      <c r="X20" s="19">
        <v>116.0</v>
      </c>
      <c r="Y20" s="19">
        <v>127.0</v>
      </c>
      <c r="Z20" s="19">
        <v>108.0</v>
      </c>
      <c r="AA20" s="19">
        <v>111.0</v>
      </c>
      <c r="AB20" s="19">
        <v>99.0</v>
      </c>
      <c r="AC20" s="19">
        <v>107.0</v>
      </c>
      <c r="AD20" s="19">
        <v>115.0</v>
      </c>
      <c r="AE20" s="19">
        <v>118.0</v>
      </c>
      <c r="AF20" s="19">
        <v>111.0</v>
      </c>
      <c r="AG20" s="13">
        <f t="shared" si="3"/>
        <v>3039</v>
      </c>
    </row>
    <row r="21" ht="12.75" customHeight="1">
      <c r="A21" s="35"/>
      <c r="B21" s="28"/>
      <c r="C21" s="36"/>
      <c r="D21" s="13" t="s">
        <v>13</v>
      </c>
      <c r="E21" s="13">
        <f t="shared" ref="E21:AF21" si="4">SUM(E19:E20)</f>
        <v>204</v>
      </c>
      <c r="F21" s="13">
        <f t="shared" si="4"/>
        <v>196</v>
      </c>
      <c r="G21" s="13">
        <f t="shared" si="4"/>
        <v>197</v>
      </c>
      <c r="H21" s="13">
        <f t="shared" si="4"/>
        <v>153</v>
      </c>
      <c r="I21" s="13">
        <f t="shared" si="4"/>
        <v>201</v>
      </c>
      <c r="J21" s="13">
        <f t="shared" si="4"/>
        <v>164</v>
      </c>
      <c r="K21" s="13">
        <f t="shared" si="4"/>
        <v>210</v>
      </c>
      <c r="L21" s="13">
        <f t="shared" si="4"/>
        <v>219</v>
      </c>
      <c r="M21" s="13">
        <f t="shared" si="4"/>
        <v>242</v>
      </c>
      <c r="N21" s="13">
        <f t="shared" si="4"/>
        <v>242</v>
      </c>
      <c r="O21" s="13">
        <f t="shared" si="4"/>
        <v>198</v>
      </c>
      <c r="P21" s="13">
        <f t="shared" si="4"/>
        <v>177</v>
      </c>
      <c r="Q21" s="13">
        <f t="shared" si="4"/>
        <v>179</v>
      </c>
      <c r="R21" s="13">
        <f t="shared" si="4"/>
        <v>230</v>
      </c>
      <c r="S21" s="13">
        <f t="shared" si="4"/>
        <v>216</v>
      </c>
      <c r="T21" s="13">
        <f t="shared" si="4"/>
        <v>224</v>
      </c>
      <c r="U21" s="13">
        <f t="shared" si="4"/>
        <v>202</v>
      </c>
      <c r="V21" s="13">
        <f t="shared" si="4"/>
        <v>239</v>
      </c>
      <c r="W21" s="13">
        <f t="shared" si="4"/>
        <v>216</v>
      </c>
      <c r="X21" s="13">
        <f t="shared" si="4"/>
        <v>232</v>
      </c>
      <c r="Y21" s="13">
        <f t="shared" si="4"/>
        <v>246</v>
      </c>
      <c r="Z21" s="13">
        <f t="shared" si="4"/>
        <v>223</v>
      </c>
      <c r="AA21" s="13">
        <f t="shared" si="4"/>
        <v>223</v>
      </c>
      <c r="AB21" s="13">
        <f t="shared" si="4"/>
        <v>198</v>
      </c>
      <c r="AC21" s="13">
        <f t="shared" si="4"/>
        <v>201</v>
      </c>
      <c r="AD21" s="13">
        <f t="shared" si="4"/>
        <v>217</v>
      </c>
      <c r="AE21" s="13">
        <f t="shared" si="4"/>
        <v>230</v>
      </c>
      <c r="AF21" s="13">
        <f t="shared" si="4"/>
        <v>215</v>
      </c>
      <c r="AG21" s="13">
        <f t="shared" si="3"/>
        <v>5894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1.0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0.0</v>
      </c>
      <c r="AG22" s="13">
        <f t="shared" si="3"/>
        <v>1</v>
      </c>
    </row>
    <row r="23" ht="12.75" customHeight="1">
      <c r="A23" s="33"/>
      <c r="B23" s="27"/>
      <c r="C23" s="34"/>
      <c r="D23" s="19" t="s">
        <v>12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1.0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3">
        <f t="shared" si="3"/>
        <v>1</v>
      </c>
    </row>
    <row r="24" ht="12.75" customHeight="1">
      <c r="A24" s="35"/>
      <c r="B24" s="28"/>
      <c r="C24" s="36"/>
      <c r="D24" s="13" t="s">
        <v>13</v>
      </c>
      <c r="E24" s="13">
        <f t="shared" ref="E24:AF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2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3"/>
        <v>2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1.0</v>
      </c>
      <c r="F25" s="19">
        <v>1.0</v>
      </c>
      <c r="G25" s="19">
        <v>0.0</v>
      </c>
      <c r="H25" s="19">
        <v>2.0</v>
      </c>
      <c r="I25" s="19">
        <v>0.0</v>
      </c>
      <c r="J25" s="19">
        <v>0.0</v>
      </c>
      <c r="K25" s="19">
        <v>2.0</v>
      </c>
      <c r="L25" s="19">
        <v>0.0</v>
      </c>
      <c r="M25" s="19">
        <v>1.0</v>
      </c>
      <c r="N25" s="19">
        <v>2.0</v>
      </c>
      <c r="O25" s="19">
        <v>0.0</v>
      </c>
      <c r="P25" s="19">
        <v>0.0</v>
      </c>
      <c r="Q25" s="19">
        <v>0.0</v>
      </c>
      <c r="R25" s="19">
        <v>1.0</v>
      </c>
      <c r="S25" s="19">
        <v>0.0</v>
      </c>
      <c r="T25" s="19">
        <v>0.0</v>
      </c>
      <c r="U25" s="19">
        <v>1.0</v>
      </c>
      <c r="V25" s="19">
        <v>1.0</v>
      </c>
      <c r="W25" s="19">
        <v>0.0</v>
      </c>
      <c r="X25" s="19">
        <v>0.0</v>
      </c>
      <c r="Y25" s="19">
        <v>0.0</v>
      </c>
      <c r="Z25" s="19">
        <v>0.0</v>
      </c>
      <c r="AA25" s="19">
        <v>0.0</v>
      </c>
      <c r="AB25" s="19">
        <v>0.0</v>
      </c>
      <c r="AC25" s="19">
        <v>4.0</v>
      </c>
      <c r="AD25" s="19">
        <v>1.0</v>
      </c>
      <c r="AE25" s="19">
        <v>2.0</v>
      </c>
      <c r="AF25" s="19">
        <v>3.0</v>
      </c>
      <c r="AG25" s="13">
        <f t="shared" si="3"/>
        <v>22</v>
      </c>
    </row>
    <row r="26" ht="12.75" customHeight="1">
      <c r="A26" s="33"/>
      <c r="B26" s="27"/>
      <c r="C26" s="34"/>
      <c r="D26" s="19" t="s">
        <v>12</v>
      </c>
      <c r="E26" s="19">
        <v>0.0</v>
      </c>
      <c r="F26" s="19">
        <v>0.0</v>
      </c>
      <c r="G26" s="19">
        <v>0.0</v>
      </c>
      <c r="H26" s="19">
        <v>0.0</v>
      </c>
      <c r="I26" s="19">
        <v>1.0</v>
      </c>
      <c r="J26" s="19">
        <v>1.0</v>
      </c>
      <c r="K26" s="19">
        <v>2.0</v>
      </c>
      <c r="L26" s="19">
        <v>2.0</v>
      </c>
      <c r="M26" s="19">
        <v>1.0</v>
      </c>
      <c r="N26" s="19">
        <v>0.0</v>
      </c>
      <c r="O26" s="19">
        <v>0.0</v>
      </c>
      <c r="P26" s="19">
        <v>0.0</v>
      </c>
      <c r="Q26" s="19">
        <v>1.0</v>
      </c>
      <c r="R26" s="19">
        <v>0.0</v>
      </c>
      <c r="S26" s="19">
        <v>0.0</v>
      </c>
      <c r="T26" s="19">
        <v>0.0</v>
      </c>
      <c r="U26" s="19">
        <v>1.0</v>
      </c>
      <c r="V26" s="19">
        <v>1.0</v>
      </c>
      <c r="W26" s="19">
        <v>0.0</v>
      </c>
      <c r="X26" s="19">
        <v>0.0</v>
      </c>
      <c r="Y26" s="19">
        <v>1.0</v>
      </c>
      <c r="Z26" s="19">
        <v>0.0</v>
      </c>
      <c r="AA26" s="19">
        <v>0.0</v>
      </c>
      <c r="AB26" s="19">
        <v>0.0</v>
      </c>
      <c r="AC26" s="19">
        <v>2.0</v>
      </c>
      <c r="AD26" s="19">
        <v>1.0</v>
      </c>
      <c r="AE26" s="19">
        <v>1.0</v>
      </c>
      <c r="AF26" s="19">
        <v>8.0</v>
      </c>
      <c r="AG26" s="13">
        <f t="shared" si="3"/>
        <v>23</v>
      </c>
    </row>
    <row r="27" ht="12.75" customHeight="1">
      <c r="A27" s="35"/>
      <c r="B27" s="28"/>
      <c r="C27" s="36"/>
      <c r="D27" s="13" t="s">
        <v>13</v>
      </c>
      <c r="E27" s="13">
        <f t="shared" ref="E27:AF27" si="6">SUM(E25:E26)</f>
        <v>1</v>
      </c>
      <c r="F27" s="13">
        <f t="shared" si="6"/>
        <v>1</v>
      </c>
      <c r="G27" s="13">
        <f t="shared" si="6"/>
        <v>0</v>
      </c>
      <c r="H27" s="13">
        <f t="shared" si="6"/>
        <v>2</v>
      </c>
      <c r="I27" s="13">
        <f t="shared" si="6"/>
        <v>1</v>
      </c>
      <c r="J27" s="13">
        <f t="shared" si="6"/>
        <v>1</v>
      </c>
      <c r="K27" s="13">
        <f t="shared" si="6"/>
        <v>4</v>
      </c>
      <c r="L27" s="13">
        <f t="shared" si="6"/>
        <v>2</v>
      </c>
      <c r="M27" s="13">
        <f t="shared" si="6"/>
        <v>2</v>
      </c>
      <c r="N27" s="13">
        <f t="shared" si="6"/>
        <v>2</v>
      </c>
      <c r="O27" s="13">
        <f t="shared" si="6"/>
        <v>0</v>
      </c>
      <c r="P27" s="13">
        <f t="shared" si="6"/>
        <v>0</v>
      </c>
      <c r="Q27" s="13">
        <f t="shared" si="6"/>
        <v>1</v>
      </c>
      <c r="R27" s="13">
        <f t="shared" si="6"/>
        <v>1</v>
      </c>
      <c r="S27" s="13">
        <f t="shared" si="6"/>
        <v>0</v>
      </c>
      <c r="T27" s="13">
        <f t="shared" si="6"/>
        <v>0</v>
      </c>
      <c r="U27" s="13">
        <f t="shared" si="6"/>
        <v>2</v>
      </c>
      <c r="V27" s="13">
        <f t="shared" si="6"/>
        <v>2</v>
      </c>
      <c r="W27" s="13">
        <f t="shared" si="6"/>
        <v>0</v>
      </c>
      <c r="X27" s="13">
        <f t="shared" si="6"/>
        <v>0</v>
      </c>
      <c r="Y27" s="13">
        <f t="shared" si="6"/>
        <v>1</v>
      </c>
      <c r="Z27" s="13">
        <f t="shared" si="6"/>
        <v>0</v>
      </c>
      <c r="AA27" s="13">
        <f t="shared" si="6"/>
        <v>0</v>
      </c>
      <c r="AB27" s="13">
        <f t="shared" si="6"/>
        <v>0</v>
      </c>
      <c r="AC27" s="13">
        <f t="shared" si="6"/>
        <v>6</v>
      </c>
      <c r="AD27" s="13">
        <f t="shared" si="6"/>
        <v>2</v>
      </c>
      <c r="AE27" s="13">
        <f t="shared" si="6"/>
        <v>3</v>
      </c>
      <c r="AF27" s="13">
        <f t="shared" si="6"/>
        <v>11</v>
      </c>
      <c r="AG27" s="13">
        <f t="shared" si="3"/>
        <v>45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AF28" si="7">SUM(E19,E22,E25)</f>
        <v>101</v>
      </c>
      <c r="F28" s="13">
        <f t="shared" si="7"/>
        <v>89</v>
      </c>
      <c r="G28" s="13">
        <f t="shared" si="7"/>
        <v>101</v>
      </c>
      <c r="H28" s="13">
        <f t="shared" si="7"/>
        <v>69</v>
      </c>
      <c r="I28" s="13">
        <f t="shared" si="7"/>
        <v>99</v>
      </c>
      <c r="J28" s="13">
        <f t="shared" si="7"/>
        <v>81</v>
      </c>
      <c r="K28" s="13">
        <f t="shared" si="7"/>
        <v>104</v>
      </c>
      <c r="L28" s="13">
        <f t="shared" si="7"/>
        <v>101</v>
      </c>
      <c r="M28" s="13">
        <f t="shared" si="7"/>
        <v>114</v>
      </c>
      <c r="N28" s="13">
        <f t="shared" si="7"/>
        <v>120</v>
      </c>
      <c r="O28" s="13">
        <f t="shared" si="7"/>
        <v>90</v>
      </c>
      <c r="P28" s="13">
        <f t="shared" si="7"/>
        <v>90</v>
      </c>
      <c r="Q28" s="13">
        <f t="shared" si="7"/>
        <v>86</v>
      </c>
      <c r="R28" s="13">
        <f t="shared" si="7"/>
        <v>112</v>
      </c>
      <c r="S28" s="13">
        <f t="shared" si="7"/>
        <v>108</v>
      </c>
      <c r="T28" s="13">
        <f t="shared" si="7"/>
        <v>113</v>
      </c>
      <c r="U28" s="13">
        <f t="shared" si="7"/>
        <v>102</v>
      </c>
      <c r="V28" s="13">
        <f t="shared" si="7"/>
        <v>114</v>
      </c>
      <c r="W28" s="13">
        <f t="shared" si="7"/>
        <v>101</v>
      </c>
      <c r="X28" s="13">
        <f t="shared" si="7"/>
        <v>116</v>
      </c>
      <c r="Y28" s="13">
        <f t="shared" si="7"/>
        <v>119</v>
      </c>
      <c r="Z28" s="13">
        <f t="shared" si="7"/>
        <v>115</v>
      </c>
      <c r="AA28" s="13">
        <f t="shared" si="7"/>
        <v>112</v>
      </c>
      <c r="AB28" s="13">
        <f t="shared" si="7"/>
        <v>99</v>
      </c>
      <c r="AC28" s="13">
        <f t="shared" si="7"/>
        <v>98</v>
      </c>
      <c r="AD28" s="13">
        <f t="shared" si="7"/>
        <v>103</v>
      </c>
      <c r="AE28" s="13">
        <f t="shared" si="7"/>
        <v>114</v>
      </c>
      <c r="AF28" s="13">
        <f t="shared" si="7"/>
        <v>107</v>
      </c>
      <c r="AG28" s="13">
        <f t="shared" si="3"/>
        <v>2878</v>
      </c>
    </row>
    <row r="29" ht="12.75" customHeight="1">
      <c r="A29" s="35"/>
      <c r="B29" s="27"/>
      <c r="C29" s="34"/>
      <c r="D29" s="13" t="s">
        <v>12</v>
      </c>
      <c r="E29" s="13">
        <f t="shared" ref="E29:AF29" si="8">SUM(E20,E23,E26)</f>
        <v>104</v>
      </c>
      <c r="F29" s="13">
        <f t="shared" si="8"/>
        <v>108</v>
      </c>
      <c r="G29" s="13">
        <f t="shared" si="8"/>
        <v>96</v>
      </c>
      <c r="H29" s="13">
        <f t="shared" si="8"/>
        <v>86</v>
      </c>
      <c r="I29" s="13">
        <f t="shared" si="8"/>
        <v>103</v>
      </c>
      <c r="J29" s="13">
        <f t="shared" si="8"/>
        <v>84</v>
      </c>
      <c r="K29" s="13">
        <f t="shared" si="8"/>
        <v>112</v>
      </c>
      <c r="L29" s="13">
        <f t="shared" si="8"/>
        <v>120</v>
      </c>
      <c r="M29" s="13">
        <f t="shared" si="8"/>
        <v>130</v>
      </c>
      <c r="N29" s="13">
        <f t="shared" si="8"/>
        <v>124</v>
      </c>
      <c r="O29" s="13">
        <f t="shared" si="8"/>
        <v>108</v>
      </c>
      <c r="P29" s="13">
        <f t="shared" si="8"/>
        <v>87</v>
      </c>
      <c r="Q29" s="13">
        <f t="shared" si="8"/>
        <v>94</v>
      </c>
      <c r="R29" s="13">
        <f t="shared" si="8"/>
        <v>119</v>
      </c>
      <c r="S29" s="13">
        <f t="shared" si="8"/>
        <v>108</v>
      </c>
      <c r="T29" s="13">
        <f t="shared" si="8"/>
        <v>111</v>
      </c>
      <c r="U29" s="13">
        <f t="shared" si="8"/>
        <v>102</v>
      </c>
      <c r="V29" s="13">
        <f t="shared" si="8"/>
        <v>127</v>
      </c>
      <c r="W29" s="13">
        <f t="shared" si="8"/>
        <v>115</v>
      </c>
      <c r="X29" s="13">
        <f t="shared" si="8"/>
        <v>116</v>
      </c>
      <c r="Y29" s="13">
        <f t="shared" si="8"/>
        <v>128</v>
      </c>
      <c r="Z29" s="13">
        <f t="shared" si="8"/>
        <v>108</v>
      </c>
      <c r="AA29" s="13">
        <f t="shared" si="8"/>
        <v>111</v>
      </c>
      <c r="AB29" s="13">
        <f t="shared" si="8"/>
        <v>99</v>
      </c>
      <c r="AC29" s="13">
        <f t="shared" si="8"/>
        <v>109</v>
      </c>
      <c r="AD29" s="13">
        <f t="shared" si="8"/>
        <v>116</v>
      </c>
      <c r="AE29" s="13">
        <f t="shared" si="8"/>
        <v>119</v>
      </c>
      <c r="AF29" s="13">
        <f t="shared" si="8"/>
        <v>119</v>
      </c>
      <c r="AG29" s="13">
        <f t="shared" si="3"/>
        <v>3063</v>
      </c>
    </row>
    <row r="30" ht="12.75" customHeight="1">
      <c r="A30" s="35"/>
      <c r="B30" s="28"/>
      <c r="C30" s="36"/>
      <c r="D30" s="13" t="s">
        <v>13</v>
      </c>
      <c r="E30" s="13">
        <f t="shared" ref="E30:AF30" si="9">SUM(E28:E29)</f>
        <v>205</v>
      </c>
      <c r="F30" s="13">
        <f t="shared" si="9"/>
        <v>197</v>
      </c>
      <c r="G30" s="13">
        <f t="shared" si="9"/>
        <v>197</v>
      </c>
      <c r="H30" s="13">
        <f t="shared" si="9"/>
        <v>155</v>
      </c>
      <c r="I30" s="13">
        <f t="shared" si="9"/>
        <v>202</v>
      </c>
      <c r="J30" s="13">
        <f t="shared" si="9"/>
        <v>165</v>
      </c>
      <c r="K30" s="13">
        <f t="shared" si="9"/>
        <v>216</v>
      </c>
      <c r="L30" s="13">
        <f t="shared" si="9"/>
        <v>221</v>
      </c>
      <c r="M30" s="13">
        <f t="shared" si="9"/>
        <v>244</v>
      </c>
      <c r="N30" s="13">
        <f t="shared" si="9"/>
        <v>244</v>
      </c>
      <c r="O30" s="13">
        <f t="shared" si="9"/>
        <v>198</v>
      </c>
      <c r="P30" s="13">
        <f t="shared" si="9"/>
        <v>177</v>
      </c>
      <c r="Q30" s="13">
        <f t="shared" si="9"/>
        <v>180</v>
      </c>
      <c r="R30" s="13">
        <f t="shared" si="9"/>
        <v>231</v>
      </c>
      <c r="S30" s="13">
        <f t="shared" si="9"/>
        <v>216</v>
      </c>
      <c r="T30" s="13">
        <f t="shared" si="9"/>
        <v>224</v>
      </c>
      <c r="U30" s="13">
        <f t="shared" si="9"/>
        <v>204</v>
      </c>
      <c r="V30" s="13">
        <f t="shared" si="9"/>
        <v>241</v>
      </c>
      <c r="W30" s="13">
        <f t="shared" si="9"/>
        <v>216</v>
      </c>
      <c r="X30" s="13">
        <f t="shared" si="9"/>
        <v>232</v>
      </c>
      <c r="Y30" s="13">
        <f t="shared" si="9"/>
        <v>247</v>
      </c>
      <c r="Z30" s="13">
        <f t="shared" si="9"/>
        <v>223</v>
      </c>
      <c r="AA30" s="13">
        <f t="shared" si="9"/>
        <v>223</v>
      </c>
      <c r="AB30" s="13">
        <f t="shared" si="9"/>
        <v>198</v>
      </c>
      <c r="AC30" s="13">
        <f t="shared" si="9"/>
        <v>207</v>
      </c>
      <c r="AD30" s="13">
        <f t="shared" si="9"/>
        <v>219</v>
      </c>
      <c r="AE30" s="13">
        <f t="shared" si="9"/>
        <v>233</v>
      </c>
      <c r="AF30" s="13">
        <f t="shared" si="9"/>
        <v>226</v>
      </c>
      <c r="AG30" s="13">
        <f t="shared" si="3"/>
        <v>5941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19"/>
      <c r="P31" s="19"/>
      <c r="Q31" s="19"/>
      <c r="R31" s="19"/>
      <c r="S31" s="59"/>
      <c r="T31" s="19"/>
      <c r="U31" s="19"/>
      <c r="V31" s="19"/>
      <c r="W31" s="19"/>
      <c r="X31" s="59"/>
      <c r="Y31" s="19"/>
      <c r="Z31" s="19"/>
      <c r="AA31" s="19"/>
      <c r="AB31" s="19"/>
      <c r="AC31" s="59"/>
      <c r="AD31" s="19"/>
      <c r="AE31" s="19"/>
      <c r="AF31" s="19"/>
      <c r="AG31" s="60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13"/>
      <c r="P32" s="13"/>
      <c r="Q32" s="13"/>
      <c r="R32" s="13"/>
      <c r="S32" s="61"/>
      <c r="T32" s="13"/>
      <c r="U32" s="13"/>
      <c r="V32" s="13"/>
      <c r="W32" s="13"/>
      <c r="X32" s="61"/>
      <c r="Y32" s="13"/>
      <c r="Z32" s="13"/>
      <c r="AA32" s="13"/>
      <c r="AB32" s="13"/>
      <c r="AC32" s="61"/>
      <c r="AD32" s="13"/>
      <c r="AE32" s="13"/>
      <c r="AF32" s="13"/>
      <c r="AG32" s="60"/>
    </row>
    <row r="33" ht="12.75" customHeight="1">
      <c r="A33" s="19">
        <v>1.0</v>
      </c>
      <c r="B33" s="20" t="s">
        <v>26</v>
      </c>
      <c r="C33" s="15"/>
      <c r="D33" s="16"/>
      <c r="E33" s="19">
        <v>265.0</v>
      </c>
      <c r="F33" s="19">
        <v>255.0</v>
      </c>
      <c r="G33" s="19">
        <v>270.0</v>
      </c>
      <c r="H33" s="19">
        <v>233.0</v>
      </c>
      <c r="I33" s="19">
        <v>257.0</v>
      </c>
      <c r="J33" s="19">
        <v>219.0</v>
      </c>
      <c r="K33" s="19">
        <v>275.0</v>
      </c>
      <c r="L33" s="19">
        <v>293.0</v>
      </c>
      <c r="M33" s="19">
        <v>296.0</v>
      </c>
      <c r="N33" s="19">
        <v>293.0</v>
      </c>
      <c r="O33" s="19">
        <v>255.0</v>
      </c>
      <c r="P33" s="19">
        <v>219.0</v>
      </c>
      <c r="Q33" s="19">
        <v>227.0</v>
      </c>
      <c r="R33" s="19">
        <v>286.0</v>
      </c>
      <c r="S33" s="19">
        <v>295.0</v>
      </c>
      <c r="T33" s="19">
        <v>294.0</v>
      </c>
      <c r="U33" s="19">
        <v>290.0</v>
      </c>
      <c r="V33" s="19">
        <v>292.0</v>
      </c>
      <c r="W33" s="19">
        <v>298.0</v>
      </c>
      <c r="X33" s="19">
        <v>294.0</v>
      </c>
      <c r="Y33" s="19">
        <v>296.0</v>
      </c>
      <c r="Z33" s="19">
        <v>264.0</v>
      </c>
      <c r="AA33" s="19">
        <v>289.0</v>
      </c>
      <c r="AB33" s="19">
        <v>248.0</v>
      </c>
      <c r="AC33" s="19">
        <v>253.0</v>
      </c>
      <c r="AD33" s="19">
        <v>304.0</v>
      </c>
      <c r="AE33" s="19">
        <v>285.0</v>
      </c>
      <c r="AF33" s="19">
        <v>273.0</v>
      </c>
      <c r="AG33" s="13">
        <f t="shared" ref="AG33:AG36" si="10">SUM(E33:AF33)</f>
        <v>7618</v>
      </c>
    </row>
    <row r="34" ht="12.75" customHeight="1">
      <c r="A34" s="19">
        <v>2.0</v>
      </c>
      <c r="B34" s="20" t="s">
        <v>27</v>
      </c>
      <c r="C34" s="15"/>
      <c r="D34" s="16"/>
      <c r="E34" s="13">
        <v>205.0</v>
      </c>
      <c r="F34" s="13">
        <v>197.0</v>
      </c>
      <c r="G34" s="13">
        <v>197.0</v>
      </c>
      <c r="H34" s="13">
        <v>155.0</v>
      </c>
      <c r="I34" s="13">
        <v>202.0</v>
      </c>
      <c r="J34" s="13">
        <v>165.0</v>
      </c>
      <c r="K34" s="13">
        <v>216.0</v>
      </c>
      <c r="L34" s="13">
        <v>221.0</v>
      </c>
      <c r="M34" s="13">
        <v>244.0</v>
      </c>
      <c r="N34" s="13">
        <v>244.0</v>
      </c>
      <c r="O34" s="13">
        <v>198.0</v>
      </c>
      <c r="P34" s="13">
        <v>177.0</v>
      </c>
      <c r="Q34" s="13">
        <v>180.0</v>
      </c>
      <c r="R34" s="13">
        <v>231.0</v>
      </c>
      <c r="S34" s="13">
        <v>216.0</v>
      </c>
      <c r="T34" s="13">
        <v>224.0</v>
      </c>
      <c r="U34" s="13">
        <v>204.0</v>
      </c>
      <c r="V34" s="13">
        <v>241.0</v>
      </c>
      <c r="W34" s="13">
        <v>216.0</v>
      </c>
      <c r="X34" s="13">
        <v>232.0</v>
      </c>
      <c r="Y34" s="13">
        <v>247.0</v>
      </c>
      <c r="Z34" s="13">
        <v>223.0</v>
      </c>
      <c r="AA34" s="13">
        <v>223.0</v>
      </c>
      <c r="AB34" s="13">
        <v>198.0</v>
      </c>
      <c r="AC34" s="13">
        <v>207.0</v>
      </c>
      <c r="AD34" s="13">
        <v>219.0</v>
      </c>
      <c r="AE34" s="13">
        <v>233.0</v>
      </c>
      <c r="AF34" s="13">
        <v>226.0</v>
      </c>
      <c r="AG34" s="13">
        <f t="shared" si="10"/>
        <v>5941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1.0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1.0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1.0</v>
      </c>
      <c r="AD35" s="19">
        <v>0.0</v>
      </c>
      <c r="AE35" s="19">
        <v>0.0</v>
      </c>
      <c r="AF35" s="19">
        <v>0.0</v>
      </c>
      <c r="AG35" s="13">
        <f t="shared" si="10"/>
        <v>3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AF36" si="11">E33-(E34+E35)</f>
        <v>60</v>
      </c>
      <c r="F36" s="13">
        <f t="shared" si="11"/>
        <v>58</v>
      </c>
      <c r="G36" s="13">
        <f t="shared" si="11"/>
        <v>73</v>
      </c>
      <c r="H36" s="13">
        <f t="shared" si="11"/>
        <v>78</v>
      </c>
      <c r="I36" s="13">
        <f t="shared" si="11"/>
        <v>55</v>
      </c>
      <c r="J36" s="13">
        <f t="shared" si="11"/>
        <v>54</v>
      </c>
      <c r="K36" s="13">
        <f t="shared" si="11"/>
        <v>59</v>
      </c>
      <c r="L36" s="13">
        <f t="shared" si="11"/>
        <v>72</v>
      </c>
      <c r="M36" s="13">
        <f t="shared" si="11"/>
        <v>52</v>
      </c>
      <c r="N36" s="13">
        <f t="shared" si="11"/>
        <v>49</v>
      </c>
      <c r="O36" s="13">
        <f t="shared" si="11"/>
        <v>56</v>
      </c>
      <c r="P36" s="13">
        <f t="shared" si="11"/>
        <v>42</v>
      </c>
      <c r="Q36" s="13">
        <f t="shared" si="11"/>
        <v>47</v>
      </c>
      <c r="R36" s="13">
        <f t="shared" si="11"/>
        <v>55</v>
      </c>
      <c r="S36" s="13">
        <f t="shared" si="11"/>
        <v>79</v>
      </c>
      <c r="T36" s="13">
        <f t="shared" si="11"/>
        <v>70</v>
      </c>
      <c r="U36" s="13">
        <f t="shared" si="11"/>
        <v>85</v>
      </c>
      <c r="V36" s="13">
        <f t="shared" si="11"/>
        <v>51</v>
      </c>
      <c r="W36" s="13">
        <f t="shared" si="11"/>
        <v>82</v>
      </c>
      <c r="X36" s="13">
        <f t="shared" si="11"/>
        <v>62</v>
      </c>
      <c r="Y36" s="13">
        <f t="shared" si="11"/>
        <v>49</v>
      </c>
      <c r="Z36" s="13">
        <f t="shared" si="11"/>
        <v>41</v>
      </c>
      <c r="AA36" s="13">
        <f t="shared" si="11"/>
        <v>66</v>
      </c>
      <c r="AB36" s="13">
        <f t="shared" si="11"/>
        <v>50</v>
      </c>
      <c r="AC36" s="13">
        <f t="shared" si="11"/>
        <v>45</v>
      </c>
      <c r="AD36" s="13">
        <f t="shared" si="11"/>
        <v>85</v>
      </c>
      <c r="AE36" s="13">
        <f t="shared" si="11"/>
        <v>52</v>
      </c>
      <c r="AF36" s="13">
        <f t="shared" si="11"/>
        <v>47</v>
      </c>
      <c r="AG36" s="13">
        <f t="shared" si="10"/>
        <v>1674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19"/>
      <c r="P37" s="19"/>
      <c r="Q37" s="19"/>
      <c r="R37" s="19"/>
      <c r="S37" s="59"/>
      <c r="T37" s="19"/>
      <c r="U37" s="19"/>
      <c r="V37" s="19"/>
      <c r="W37" s="19"/>
      <c r="X37" s="59"/>
      <c r="Y37" s="19"/>
      <c r="Z37" s="19"/>
      <c r="AA37" s="19"/>
      <c r="AB37" s="19"/>
      <c r="AC37" s="59"/>
      <c r="AD37" s="19"/>
      <c r="AE37" s="19"/>
      <c r="AF37" s="19"/>
      <c r="AG37" s="60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13"/>
      <c r="P38" s="13"/>
      <c r="Q38" s="13"/>
      <c r="R38" s="13"/>
      <c r="S38" s="61"/>
      <c r="T38" s="13"/>
      <c r="U38" s="13"/>
      <c r="V38" s="13"/>
      <c r="W38" s="13"/>
      <c r="X38" s="61"/>
      <c r="Y38" s="13"/>
      <c r="Z38" s="13"/>
      <c r="AA38" s="13"/>
      <c r="AB38" s="13"/>
      <c r="AC38" s="61"/>
      <c r="AD38" s="13"/>
      <c r="AE38" s="13"/>
      <c r="AF38" s="13"/>
      <c r="AG38" s="60"/>
    </row>
    <row r="39" ht="12.75" customHeight="1">
      <c r="A39" s="30"/>
      <c r="B39" s="43" t="s">
        <v>32</v>
      </c>
      <c r="C39" s="23"/>
      <c r="D39" s="19" t="s">
        <v>11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1.0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1.0</v>
      </c>
      <c r="AF39" s="19">
        <v>1.0</v>
      </c>
      <c r="AG39" s="13">
        <f t="shared" ref="AG39:AG41" si="12">SUM(E39:AF39)</f>
        <v>3</v>
      </c>
    </row>
    <row r="40" ht="12.75" customHeight="1">
      <c r="A40" s="33"/>
      <c r="C40" s="27"/>
      <c r="D40" s="19" t="s">
        <v>12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1.0</v>
      </c>
      <c r="AE40" s="19">
        <v>0.0</v>
      </c>
      <c r="AF40" s="19">
        <v>0.0</v>
      </c>
      <c r="AG40" s="13">
        <f t="shared" si="12"/>
        <v>1</v>
      </c>
    </row>
    <row r="41" ht="12.75" customHeight="1">
      <c r="A41" s="41"/>
      <c r="B41" s="44"/>
      <c r="C41" s="28"/>
      <c r="D41" s="13" t="s">
        <v>13</v>
      </c>
      <c r="E41" s="13">
        <f t="shared" ref="E41:AF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1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1</v>
      </c>
      <c r="AE41" s="13">
        <f t="shared" si="13"/>
        <v>1</v>
      </c>
      <c r="AF41" s="13">
        <f t="shared" si="13"/>
        <v>1</v>
      </c>
      <c r="AG41" s="13">
        <f t="shared" si="12"/>
        <v>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19"/>
      <c r="Q42" s="19"/>
      <c r="R42" s="19"/>
      <c r="S42" s="59"/>
      <c r="T42" s="19"/>
      <c r="U42" s="19"/>
      <c r="V42" s="19"/>
      <c r="W42" s="19"/>
      <c r="X42" s="59"/>
      <c r="Y42" s="19"/>
      <c r="Z42" s="19"/>
      <c r="AA42" s="19"/>
      <c r="AB42" s="19"/>
      <c r="AC42" s="59"/>
      <c r="AD42" s="19"/>
      <c r="AE42" s="19"/>
      <c r="AF42" s="19"/>
      <c r="AG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13"/>
      <c r="Q43" s="13"/>
      <c r="R43" s="13"/>
      <c r="S43" s="61"/>
      <c r="T43" s="13"/>
      <c r="U43" s="13"/>
      <c r="V43" s="13"/>
      <c r="W43" s="13"/>
      <c r="X43" s="61"/>
      <c r="Y43" s="13"/>
      <c r="Z43" s="13"/>
      <c r="AA43" s="13"/>
      <c r="AB43" s="13"/>
      <c r="AC43" s="61"/>
      <c r="AD43" s="13"/>
      <c r="AE43" s="13"/>
      <c r="AF43" s="13"/>
      <c r="AG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19"/>
      <c r="Q44" s="19"/>
      <c r="R44" s="19"/>
      <c r="S44" s="59"/>
      <c r="T44" s="19"/>
      <c r="U44" s="19"/>
      <c r="V44" s="19"/>
      <c r="W44" s="19"/>
      <c r="X44" s="59"/>
      <c r="Y44" s="19"/>
      <c r="Z44" s="19"/>
      <c r="AA44" s="19"/>
      <c r="AB44" s="19"/>
      <c r="AC44" s="59"/>
      <c r="AD44" s="19"/>
      <c r="AE44" s="19"/>
      <c r="AF44" s="19"/>
      <c r="AG44" s="13"/>
    </row>
    <row r="45" ht="12.75" customHeight="1">
      <c r="A45" s="62"/>
      <c r="B45" s="47">
        <v>1.0</v>
      </c>
      <c r="C45" s="48" t="s">
        <v>36</v>
      </c>
      <c r="D45" s="16"/>
      <c r="E45" s="19">
        <v>19.0</v>
      </c>
      <c r="F45" s="19">
        <v>23.0</v>
      </c>
      <c r="G45" s="19">
        <v>24.0</v>
      </c>
      <c r="H45" s="19">
        <v>21.0</v>
      </c>
      <c r="I45" s="19">
        <v>13.0</v>
      </c>
      <c r="J45" s="19">
        <v>28.0</v>
      </c>
      <c r="K45" s="19">
        <v>19.0</v>
      </c>
      <c r="L45" s="19">
        <v>15.0</v>
      </c>
      <c r="M45" s="19">
        <v>32.0</v>
      </c>
      <c r="N45" s="19">
        <v>20.0</v>
      </c>
      <c r="O45" s="19">
        <v>19.0</v>
      </c>
      <c r="P45" s="19">
        <v>39.0</v>
      </c>
      <c r="Q45" s="19">
        <v>31.0</v>
      </c>
      <c r="R45" s="19">
        <v>48.0</v>
      </c>
      <c r="S45" s="19">
        <v>15.0</v>
      </c>
      <c r="T45" s="19">
        <v>27.0</v>
      </c>
      <c r="U45" s="19">
        <v>16.0</v>
      </c>
      <c r="V45" s="19">
        <v>28.0</v>
      </c>
      <c r="W45" s="19">
        <v>17.0</v>
      </c>
      <c r="X45" s="19">
        <v>20.0</v>
      </c>
      <c r="Y45" s="19">
        <v>30.0</v>
      </c>
      <c r="Z45" s="19">
        <v>14.0</v>
      </c>
      <c r="AA45" s="19">
        <v>25.0</v>
      </c>
      <c r="AB45" s="19">
        <v>20.0</v>
      </c>
      <c r="AC45" s="19">
        <v>30.0</v>
      </c>
      <c r="AD45" s="19">
        <v>15.0</v>
      </c>
      <c r="AE45" s="19">
        <v>35.0</v>
      </c>
      <c r="AF45" s="19">
        <v>27.0</v>
      </c>
      <c r="AG45" s="13">
        <f t="shared" ref="AG45:AG47" si="14">SUM(E45:AF45)</f>
        <v>670</v>
      </c>
    </row>
    <row r="46" ht="12.75" customHeight="1">
      <c r="A46" s="18"/>
      <c r="B46" s="47">
        <v>2.0</v>
      </c>
      <c r="C46" s="48" t="s">
        <v>37</v>
      </c>
      <c r="D46" s="16"/>
      <c r="E46" s="19">
        <v>142.0</v>
      </c>
      <c r="F46" s="19">
        <v>135.0</v>
      </c>
      <c r="G46" s="19">
        <v>130.0</v>
      </c>
      <c r="H46" s="19">
        <v>112.0</v>
      </c>
      <c r="I46" s="19">
        <v>172.0</v>
      </c>
      <c r="J46" s="19">
        <v>87.0</v>
      </c>
      <c r="K46" s="19">
        <v>166.0</v>
      </c>
      <c r="L46" s="19">
        <v>164.0</v>
      </c>
      <c r="M46" s="19">
        <v>157.0</v>
      </c>
      <c r="N46" s="19">
        <v>198.0</v>
      </c>
      <c r="O46" s="19">
        <v>146.0</v>
      </c>
      <c r="P46" s="19">
        <v>81.0</v>
      </c>
      <c r="Q46" s="19">
        <v>90.0</v>
      </c>
      <c r="R46" s="19">
        <v>137.0</v>
      </c>
      <c r="S46" s="19">
        <v>146.0</v>
      </c>
      <c r="T46" s="19">
        <v>158.0</v>
      </c>
      <c r="U46" s="19">
        <v>133.0</v>
      </c>
      <c r="V46" s="19">
        <v>166.0</v>
      </c>
      <c r="W46" s="19">
        <v>118.0</v>
      </c>
      <c r="X46" s="19">
        <v>107.0</v>
      </c>
      <c r="Y46" s="19">
        <v>116.0</v>
      </c>
      <c r="Z46" s="19">
        <v>141.0</v>
      </c>
      <c r="AA46" s="19">
        <v>160.0</v>
      </c>
      <c r="AB46" s="19">
        <v>87.0</v>
      </c>
      <c r="AC46" s="19">
        <v>127.0</v>
      </c>
      <c r="AD46" s="19">
        <v>151.0</v>
      </c>
      <c r="AE46" s="19">
        <v>137.0</v>
      </c>
      <c r="AF46" s="19">
        <v>137.0</v>
      </c>
      <c r="AG46" s="13">
        <f t="shared" si="14"/>
        <v>3801</v>
      </c>
    </row>
    <row r="47" ht="12.75" customHeight="1">
      <c r="A47" s="45"/>
      <c r="B47" s="47">
        <v>3.0</v>
      </c>
      <c r="C47" s="48" t="s">
        <v>38</v>
      </c>
      <c r="D47" s="16"/>
      <c r="E47" s="19">
        <v>40.0</v>
      </c>
      <c r="F47" s="19">
        <v>35.0</v>
      </c>
      <c r="G47" s="19">
        <v>42.0</v>
      </c>
      <c r="H47" s="19">
        <v>21.0</v>
      </c>
      <c r="I47" s="19">
        <v>13.0</v>
      </c>
      <c r="J47" s="19">
        <v>48.0</v>
      </c>
      <c r="K47" s="19">
        <v>27.0</v>
      </c>
      <c r="L47" s="19">
        <v>36.0</v>
      </c>
      <c r="M47" s="19">
        <v>50.0</v>
      </c>
      <c r="N47" s="19">
        <v>17.0</v>
      </c>
      <c r="O47" s="19">
        <v>31.0</v>
      </c>
      <c r="P47" s="19">
        <v>54.0</v>
      </c>
      <c r="Q47" s="19">
        <v>54.0</v>
      </c>
      <c r="R47" s="19">
        <v>40.0</v>
      </c>
      <c r="S47" s="19">
        <v>47.0</v>
      </c>
      <c r="T47" s="19">
        <v>31.0</v>
      </c>
      <c r="U47" s="19">
        <v>47.0</v>
      </c>
      <c r="V47" s="19">
        <v>43.0</v>
      </c>
      <c r="W47" s="19">
        <v>77.0</v>
      </c>
      <c r="X47" s="19">
        <v>101.0</v>
      </c>
      <c r="Y47" s="19">
        <v>95.0</v>
      </c>
      <c r="Z47" s="19">
        <v>66.0</v>
      </c>
      <c r="AA47" s="19">
        <v>36.0</v>
      </c>
      <c r="AB47" s="19">
        <v>85.0</v>
      </c>
      <c r="AC47" s="19">
        <v>46.0</v>
      </c>
      <c r="AD47" s="19">
        <v>52.0</v>
      </c>
      <c r="AE47" s="19">
        <v>53.0</v>
      </c>
      <c r="AF47" s="19">
        <v>48.0</v>
      </c>
      <c r="AG47" s="13">
        <f t="shared" si="14"/>
        <v>1335</v>
      </c>
    </row>
    <row r="48" ht="12.75" customHeight="1"/>
    <row r="49" ht="12.75" customHeight="1">
      <c r="A49" s="42" t="s">
        <v>39</v>
      </c>
      <c r="B49" s="14" t="s">
        <v>40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1"/>
      <c r="O49" s="13"/>
      <c r="P49" s="13"/>
      <c r="Q49" s="13"/>
      <c r="R49" s="13"/>
      <c r="S49" s="61"/>
      <c r="T49" s="13"/>
      <c r="U49" s="13"/>
      <c r="V49" s="13"/>
      <c r="W49" s="13"/>
      <c r="X49" s="61"/>
      <c r="Y49" s="13"/>
      <c r="Z49" s="13"/>
      <c r="AA49" s="13"/>
      <c r="AB49" s="13"/>
      <c r="AC49" s="61"/>
      <c r="AD49" s="13"/>
      <c r="AE49" s="13"/>
      <c r="AF49" s="13"/>
      <c r="AG49" s="13"/>
    </row>
    <row r="50" ht="12.75" customHeight="1">
      <c r="A50" s="42"/>
      <c r="B50" s="54" t="s">
        <v>41</v>
      </c>
      <c r="C50" s="55" t="s">
        <v>42</v>
      </c>
      <c r="D50" s="16"/>
      <c r="E50" s="19">
        <f t="shared" ref="E50:AF50" si="15">SUM(E45:E47)</f>
        <v>201</v>
      </c>
      <c r="F50" s="19">
        <f t="shared" si="15"/>
        <v>193</v>
      </c>
      <c r="G50" s="19">
        <f t="shared" si="15"/>
        <v>196</v>
      </c>
      <c r="H50" s="19">
        <f t="shared" si="15"/>
        <v>154</v>
      </c>
      <c r="I50" s="19">
        <f t="shared" si="15"/>
        <v>198</v>
      </c>
      <c r="J50" s="19">
        <f t="shared" si="15"/>
        <v>163</v>
      </c>
      <c r="K50" s="19">
        <f t="shared" si="15"/>
        <v>212</v>
      </c>
      <c r="L50" s="19">
        <f t="shared" si="15"/>
        <v>215</v>
      </c>
      <c r="M50" s="19">
        <f t="shared" si="15"/>
        <v>239</v>
      </c>
      <c r="N50" s="19">
        <f t="shared" si="15"/>
        <v>235</v>
      </c>
      <c r="O50" s="19">
        <f t="shared" si="15"/>
        <v>196</v>
      </c>
      <c r="P50" s="19">
        <f t="shared" si="15"/>
        <v>174</v>
      </c>
      <c r="Q50" s="19">
        <f t="shared" si="15"/>
        <v>175</v>
      </c>
      <c r="R50" s="19">
        <f t="shared" si="15"/>
        <v>225</v>
      </c>
      <c r="S50" s="19">
        <f t="shared" si="15"/>
        <v>208</v>
      </c>
      <c r="T50" s="19">
        <f t="shared" si="15"/>
        <v>216</v>
      </c>
      <c r="U50" s="19">
        <f t="shared" si="15"/>
        <v>196</v>
      </c>
      <c r="V50" s="19">
        <f t="shared" si="15"/>
        <v>237</v>
      </c>
      <c r="W50" s="19">
        <f t="shared" si="15"/>
        <v>212</v>
      </c>
      <c r="X50" s="19">
        <f t="shared" si="15"/>
        <v>228</v>
      </c>
      <c r="Y50" s="19">
        <f t="shared" si="15"/>
        <v>241</v>
      </c>
      <c r="Z50" s="19">
        <f t="shared" si="15"/>
        <v>221</v>
      </c>
      <c r="AA50" s="19">
        <f t="shared" si="15"/>
        <v>221</v>
      </c>
      <c r="AB50" s="19">
        <f t="shared" si="15"/>
        <v>192</v>
      </c>
      <c r="AC50" s="19">
        <f t="shared" si="15"/>
        <v>203</v>
      </c>
      <c r="AD50" s="19">
        <f t="shared" si="15"/>
        <v>218</v>
      </c>
      <c r="AE50" s="19">
        <f t="shared" si="15"/>
        <v>225</v>
      </c>
      <c r="AF50" s="19">
        <f t="shared" si="15"/>
        <v>212</v>
      </c>
      <c r="AG50" s="13">
        <f t="shared" ref="AG50:AG52" si="16">SUM(E50:AF50)</f>
        <v>5806</v>
      </c>
    </row>
    <row r="51" ht="12.75" customHeight="1">
      <c r="A51" s="35"/>
      <c r="B51" s="54" t="s">
        <v>43</v>
      </c>
      <c r="C51" s="55" t="s">
        <v>44</v>
      </c>
      <c r="D51" s="16"/>
      <c r="E51" s="19">
        <v>4.0</v>
      </c>
      <c r="F51" s="19">
        <v>4.0</v>
      </c>
      <c r="G51" s="19">
        <v>1.0</v>
      </c>
      <c r="H51" s="19">
        <v>1.0</v>
      </c>
      <c r="I51" s="19">
        <v>4.0</v>
      </c>
      <c r="J51" s="19">
        <v>2.0</v>
      </c>
      <c r="K51" s="19">
        <v>4.0</v>
      </c>
      <c r="L51" s="19">
        <v>6.0</v>
      </c>
      <c r="M51" s="19">
        <v>5.0</v>
      </c>
      <c r="N51" s="19">
        <v>9.0</v>
      </c>
      <c r="O51" s="19">
        <v>2.0</v>
      </c>
      <c r="P51" s="19">
        <v>3.0</v>
      </c>
      <c r="Q51" s="19">
        <v>5.0</v>
      </c>
      <c r="R51" s="19">
        <v>6.0</v>
      </c>
      <c r="S51" s="19">
        <v>8.0</v>
      </c>
      <c r="T51" s="19">
        <v>8.0</v>
      </c>
      <c r="U51" s="19">
        <v>8.0</v>
      </c>
      <c r="V51" s="19">
        <v>4.0</v>
      </c>
      <c r="W51" s="19">
        <v>4.0</v>
      </c>
      <c r="X51" s="19">
        <v>4.0</v>
      </c>
      <c r="Y51" s="19">
        <v>6.0</v>
      </c>
      <c r="Z51" s="19">
        <v>2.0</v>
      </c>
      <c r="AA51" s="19">
        <v>2.0</v>
      </c>
      <c r="AB51" s="19">
        <v>6.0</v>
      </c>
      <c r="AC51" s="19">
        <v>4.0</v>
      </c>
      <c r="AD51" s="19">
        <v>1.0</v>
      </c>
      <c r="AE51" s="19">
        <v>8.0</v>
      </c>
      <c r="AF51" s="19">
        <v>14.0</v>
      </c>
      <c r="AG51" s="13">
        <f t="shared" si="16"/>
        <v>135</v>
      </c>
    </row>
    <row r="52" ht="12.75" customHeight="1">
      <c r="A52" s="41"/>
      <c r="B52" s="54" t="s">
        <v>45</v>
      </c>
      <c r="C52" s="55" t="s">
        <v>46</v>
      </c>
      <c r="D52" s="16"/>
      <c r="E52" s="13">
        <f t="shared" ref="E52:AF52" si="17">SUM(E50:E51)</f>
        <v>205</v>
      </c>
      <c r="F52" s="13">
        <f t="shared" si="17"/>
        <v>197</v>
      </c>
      <c r="G52" s="13">
        <f t="shared" si="17"/>
        <v>197</v>
      </c>
      <c r="H52" s="13">
        <f t="shared" si="17"/>
        <v>155</v>
      </c>
      <c r="I52" s="13">
        <f t="shared" si="17"/>
        <v>202</v>
      </c>
      <c r="J52" s="13">
        <f t="shared" si="17"/>
        <v>165</v>
      </c>
      <c r="K52" s="13">
        <f t="shared" si="17"/>
        <v>216</v>
      </c>
      <c r="L52" s="13">
        <f t="shared" si="17"/>
        <v>221</v>
      </c>
      <c r="M52" s="13">
        <f t="shared" si="17"/>
        <v>244</v>
      </c>
      <c r="N52" s="13">
        <f t="shared" si="17"/>
        <v>244</v>
      </c>
      <c r="O52" s="13">
        <f t="shared" si="17"/>
        <v>198</v>
      </c>
      <c r="P52" s="13">
        <f t="shared" si="17"/>
        <v>177</v>
      </c>
      <c r="Q52" s="13">
        <f t="shared" si="17"/>
        <v>180</v>
      </c>
      <c r="R52" s="13">
        <f t="shared" si="17"/>
        <v>231</v>
      </c>
      <c r="S52" s="13">
        <f t="shared" si="17"/>
        <v>216</v>
      </c>
      <c r="T52" s="13">
        <f t="shared" si="17"/>
        <v>224</v>
      </c>
      <c r="U52" s="13">
        <f t="shared" si="17"/>
        <v>204</v>
      </c>
      <c r="V52" s="13">
        <f t="shared" si="17"/>
        <v>241</v>
      </c>
      <c r="W52" s="13">
        <f t="shared" si="17"/>
        <v>216</v>
      </c>
      <c r="X52" s="13">
        <f t="shared" si="17"/>
        <v>232</v>
      </c>
      <c r="Y52" s="13">
        <f t="shared" si="17"/>
        <v>247</v>
      </c>
      <c r="Z52" s="13">
        <f t="shared" si="17"/>
        <v>223</v>
      </c>
      <c r="AA52" s="13">
        <f t="shared" si="17"/>
        <v>223</v>
      </c>
      <c r="AB52" s="13">
        <f t="shared" si="17"/>
        <v>198</v>
      </c>
      <c r="AC52" s="13">
        <f t="shared" si="17"/>
        <v>207</v>
      </c>
      <c r="AD52" s="13">
        <f t="shared" si="17"/>
        <v>219</v>
      </c>
      <c r="AE52" s="13">
        <f t="shared" si="17"/>
        <v>233</v>
      </c>
      <c r="AF52" s="13">
        <f t="shared" si="17"/>
        <v>226</v>
      </c>
      <c r="AG52" s="13">
        <f t="shared" si="16"/>
        <v>5941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F12"/>
    <mergeCell ref="AG12:AG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34:AF34">
    <cfRule type="expression" dxfId="0" priority="1">
      <formula>E34&lt;&gt;#REF!</formula>
    </cfRule>
  </conditionalFormatting>
  <conditionalFormatting sqref="E14:AF15 E45:AF47">
    <cfRule type="containsBlanks" dxfId="1" priority="2">
      <formula>LEN(TRIM(E14))=0</formula>
    </cfRule>
  </conditionalFormatting>
  <conditionalFormatting sqref="E19:AF20">
    <cfRule type="containsBlanks" dxfId="1" priority="3">
      <formula>LEN(TRIM(E19))=0</formula>
    </cfRule>
  </conditionalFormatting>
  <conditionalFormatting sqref="E22:AF23 E25:AF26 E33:AF33 E35:AF35 E39:AF40">
    <cfRule type="containsBlanks" dxfId="1" priority="4">
      <formula>LEN(TRIM(E22))=0</formula>
    </cfRule>
  </conditionalFormatting>
  <conditionalFormatting sqref="E30:AF30">
    <cfRule type="expression" dxfId="0" priority="5">
      <formula>E30&lt;&gt;E46</formula>
    </cfRule>
  </conditionalFormatting>
  <conditionalFormatting sqref="E30:AF30">
    <cfRule type="expression" dxfId="0" priority="6">
      <formula>E30&lt;&gt;E34</formula>
    </cfRule>
  </conditionalFormatting>
  <conditionalFormatting sqref="E34:AF34">
    <cfRule type="expression" dxfId="2" priority="7">
      <formula>E30&lt;&gt;E34</formula>
    </cfRule>
  </conditionalFormatting>
  <conditionalFormatting sqref="E34:AF34">
    <cfRule type="expression" dxfId="3" priority="8">
      <formula>E30=E34</formula>
    </cfRule>
  </conditionalFormatting>
  <conditionalFormatting sqref="E34:AF34">
    <cfRule type="expression" dxfId="0" priority="9">
      <formula>E34&lt;&gt;E30</formula>
    </cfRule>
  </conditionalFormatting>
  <conditionalFormatting sqref="E50:AF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8" width="8.71"/>
    <col customWidth="1" min="19" max="19" width="13.29"/>
  </cols>
  <sheetData>
    <row r="1" ht="12.75" customHeight="1"/>
    <row r="2" ht="12.75" customHeight="1">
      <c r="C2" s="8" t="s">
        <v>0</v>
      </c>
      <c r="D2" s="8"/>
    </row>
    <row r="3" ht="12.75" customHeight="1">
      <c r="C3" s="8" t="s">
        <v>1</v>
      </c>
      <c r="D3" s="8" t="s">
        <v>2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47</v>
      </c>
      <c r="D9" s="8"/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58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48</v>
      </c>
      <c r="F13" s="13" t="s">
        <v>49</v>
      </c>
      <c r="G13" s="13" t="s">
        <v>50</v>
      </c>
      <c r="H13" s="13" t="s">
        <v>51</v>
      </c>
      <c r="I13" s="13" t="s">
        <v>52</v>
      </c>
      <c r="J13" s="13" t="s">
        <v>53</v>
      </c>
      <c r="K13" s="13" t="s">
        <v>54</v>
      </c>
      <c r="L13" s="13" t="s">
        <v>55</v>
      </c>
      <c r="M13" s="13" t="s">
        <v>56</v>
      </c>
      <c r="N13" s="13" t="s">
        <v>57</v>
      </c>
      <c r="O13" s="13" t="s">
        <v>58</v>
      </c>
      <c r="P13" s="13" t="s">
        <v>59</v>
      </c>
      <c r="Q13" s="13" t="s">
        <v>60</v>
      </c>
      <c r="R13" s="13" t="s">
        <v>61</v>
      </c>
      <c r="S13" s="36"/>
    </row>
    <row r="14" ht="12.75" customHeight="1">
      <c r="A14" s="18"/>
      <c r="B14" s="22" t="s">
        <v>10</v>
      </c>
      <c r="C14" s="23"/>
      <c r="D14" s="19" t="s">
        <v>11</v>
      </c>
      <c r="E14" s="19">
        <v>142.0</v>
      </c>
      <c r="F14" s="19">
        <v>126.0</v>
      </c>
      <c r="G14" s="19">
        <v>141.0</v>
      </c>
      <c r="H14" s="19">
        <v>137.0</v>
      </c>
      <c r="I14" s="19">
        <v>124.0</v>
      </c>
      <c r="J14" s="19">
        <v>138.0</v>
      </c>
      <c r="K14" s="19">
        <v>148.0</v>
      </c>
      <c r="L14" s="19">
        <v>124.0</v>
      </c>
      <c r="M14" s="19">
        <v>140.0</v>
      </c>
      <c r="N14" s="19">
        <v>140.0</v>
      </c>
      <c r="O14" s="19">
        <v>112.0</v>
      </c>
      <c r="P14" s="19">
        <v>97.0</v>
      </c>
      <c r="Q14" s="19">
        <v>113.0</v>
      </c>
      <c r="R14" s="19">
        <v>122.0</v>
      </c>
      <c r="S14" s="13">
        <f t="shared" ref="S14:S16" si="1">SUM(E14:R14)</f>
        <v>1804</v>
      </c>
    </row>
    <row r="15" ht="12.75" customHeight="1">
      <c r="A15" s="18"/>
      <c r="B15" s="26"/>
      <c r="C15" s="27"/>
      <c r="D15" s="19" t="s">
        <v>12</v>
      </c>
      <c r="E15" s="19">
        <v>147.0</v>
      </c>
      <c r="F15" s="19">
        <v>137.0</v>
      </c>
      <c r="G15" s="19">
        <v>137.0</v>
      </c>
      <c r="H15" s="19">
        <v>156.0</v>
      </c>
      <c r="I15" s="19">
        <v>130.0</v>
      </c>
      <c r="J15" s="19">
        <v>126.0</v>
      </c>
      <c r="K15" s="19">
        <v>134.0</v>
      </c>
      <c r="L15" s="19">
        <v>107.0</v>
      </c>
      <c r="M15" s="19">
        <v>129.0</v>
      </c>
      <c r="N15" s="19">
        <v>129.0</v>
      </c>
      <c r="O15" s="19">
        <v>121.0</v>
      </c>
      <c r="P15" s="19">
        <v>103.0</v>
      </c>
      <c r="Q15" s="19">
        <v>107.0</v>
      </c>
      <c r="R15" s="19">
        <v>113.0</v>
      </c>
      <c r="S15" s="13">
        <f t="shared" si="1"/>
        <v>1776</v>
      </c>
    </row>
    <row r="16" ht="12.75" customHeight="1">
      <c r="A16" s="25"/>
      <c r="B16" s="21"/>
      <c r="C16" s="28"/>
      <c r="D16" s="13" t="s">
        <v>13</v>
      </c>
      <c r="E16" s="13">
        <f t="shared" ref="E16:R16" si="2">SUM(E14:E15)</f>
        <v>289</v>
      </c>
      <c r="F16" s="13">
        <f t="shared" si="2"/>
        <v>263</v>
      </c>
      <c r="G16" s="13">
        <f t="shared" si="2"/>
        <v>278</v>
      </c>
      <c r="H16" s="13">
        <f t="shared" si="2"/>
        <v>293</v>
      </c>
      <c r="I16" s="13">
        <f t="shared" si="2"/>
        <v>254</v>
      </c>
      <c r="J16" s="13">
        <f t="shared" si="2"/>
        <v>264</v>
      </c>
      <c r="K16" s="13">
        <f t="shared" si="2"/>
        <v>282</v>
      </c>
      <c r="L16" s="13">
        <f t="shared" si="2"/>
        <v>231</v>
      </c>
      <c r="M16" s="13">
        <f t="shared" si="2"/>
        <v>269</v>
      </c>
      <c r="N16" s="13">
        <f t="shared" si="2"/>
        <v>269</v>
      </c>
      <c r="O16" s="13">
        <f t="shared" si="2"/>
        <v>233</v>
      </c>
      <c r="P16" s="13">
        <f t="shared" si="2"/>
        <v>200</v>
      </c>
      <c r="Q16" s="13">
        <f t="shared" si="2"/>
        <v>220</v>
      </c>
      <c r="R16" s="13">
        <f t="shared" si="2"/>
        <v>235</v>
      </c>
      <c r="S16" s="13">
        <f t="shared" si="1"/>
        <v>3580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19"/>
      <c r="P17" s="19"/>
      <c r="Q17" s="19"/>
      <c r="R17" s="19"/>
      <c r="S17" s="60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19"/>
      <c r="P18" s="19"/>
      <c r="Q18" s="19"/>
      <c r="R18" s="19"/>
      <c r="S18" s="60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114.0</v>
      </c>
      <c r="F19" s="19">
        <v>88.0</v>
      </c>
      <c r="G19" s="19">
        <v>96.0</v>
      </c>
      <c r="H19" s="19">
        <v>92.0</v>
      </c>
      <c r="I19" s="19">
        <v>83.0</v>
      </c>
      <c r="J19" s="19">
        <v>95.0</v>
      </c>
      <c r="K19" s="19">
        <v>107.0</v>
      </c>
      <c r="L19" s="19">
        <v>86.0</v>
      </c>
      <c r="M19" s="19">
        <v>110.0</v>
      </c>
      <c r="N19" s="19">
        <v>95.0</v>
      </c>
      <c r="O19" s="19">
        <v>82.0</v>
      </c>
      <c r="P19" s="19">
        <v>60.0</v>
      </c>
      <c r="Q19" s="19">
        <v>77.0</v>
      </c>
      <c r="R19" s="19">
        <v>91.0</v>
      </c>
      <c r="S19" s="13">
        <f t="shared" ref="S19:S30" si="3">SUM(E19:R19)</f>
        <v>1276</v>
      </c>
    </row>
    <row r="20" ht="12.75" customHeight="1">
      <c r="A20" s="33"/>
      <c r="B20" s="27"/>
      <c r="C20" s="34"/>
      <c r="D20" s="19" t="s">
        <v>12</v>
      </c>
      <c r="E20" s="19">
        <v>121.0</v>
      </c>
      <c r="F20" s="19">
        <v>104.0</v>
      </c>
      <c r="G20" s="19">
        <v>115.0</v>
      </c>
      <c r="H20" s="19">
        <v>115.0</v>
      </c>
      <c r="I20" s="19">
        <v>96.0</v>
      </c>
      <c r="J20" s="19">
        <v>105.0</v>
      </c>
      <c r="K20" s="19">
        <v>104.0</v>
      </c>
      <c r="L20" s="19">
        <v>83.0</v>
      </c>
      <c r="M20" s="19">
        <v>109.0</v>
      </c>
      <c r="N20" s="19">
        <v>113.0</v>
      </c>
      <c r="O20" s="19">
        <v>89.0</v>
      </c>
      <c r="P20" s="19">
        <v>73.0</v>
      </c>
      <c r="Q20" s="19">
        <v>74.0</v>
      </c>
      <c r="R20" s="19">
        <v>104.0</v>
      </c>
      <c r="S20" s="13">
        <f t="shared" si="3"/>
        <v>1405</v>
      </c>
    </row>
    <row r="21" ht="12.75" customHeight="1">
      <c r="A21" s="35"/>
      <c r="B21" s="28"/>
      <c r="C21" s="36"/>
      <c r="D21" s="13" t="s">
        <v>13</v>
      </c>
      <c r="E21" s="13">
        <f t="shared" ref="E21:R21" si="4">SUM(E19:E20)</f>
        <v>235</v>
      </c>
      <c r="F21" s="13">
        <f t="shared" si="4"/>
        <v>192</v>
      </c>
      <c r="G21" s="13">
        <f t="shared" si="4"/>
        <v>211</v>
      </c>
      <c r="H21" s="13">
        <f t="shared" si="4"/>
        <v>207</v>
      </c>
      <c r="I21" s="13">
        <f t="shared" si="4"/>
        <v>179</v>
      </c>
      <c r="J21" s="13">
        <f t="shared" si="4"/>
        <v>200</v>
      </c>
      <c r="K21" s="13">
        <f t="shared" si="4"/>
        <v>211</v>
      </c>
      <c r="L21" s="13">
        <f t="shared" si="4"/>
        <v>169</v>
      </c>
      <c r="M21" s="13">
        <f t="shared" si="4"/>
        <v>219</v>
      </c>
      <c r="N21" s="13">
        <f t="shared" si="4"/>
        <v>208</v>
      </c>
      <c r="O21" s="13">
        <f t="shared" si="4"/>
        <v>171</v>
      </c>
      <c r="P21" s="13">
        <f t="shared" si="4"/>
        <v>133</v>
      </c>
      <c r="Q21" s="13">
        <f t="shared" si="4"/>
        <v>151</v>
      </c>
      <c r="R21" s="13">
        <f t="shared" si="4"/>
        <v>195</v>
      </c>
      <c r="S21" s="13">
        <f t="shared" si="3"/>
        <v>2681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1.0</v>
      </c>
      <c r="Q22" s="19">
        <v>0.0</v>
      </c>
      <c r="R22" s="19">
        <v>0.0</v>
      </c>
      <c r="S22" s="13">
        <f t="shared" si="3"/>
        <v>1</v>
      </c>
    </row>
    <row r="23" ht="12.75" customHeight="1">
      <c r="A23" s="33"/>
      <c r="B23" s="27"/>
      <c r="C23" s="34"/>
      <c r="D23" s="19" t="s">
        <v>12</v>
      </c>
      <c r="E23" s="19">
        <v>15.0</v>
      </c>
      <c r="F23" s="19">
        <v>18.0</v>
      </c>
      <c r="G23" s="19">
        <v>4.0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1.0</v>
      </c>
      <c r="Q23" s="19">
        <v>0.0</v>
      </c>
      <c r="R23" s="19">
        <v>0.0</v>
      </c>
      <c r="S23" s="13">
        <f t="shared" si="3"/>
        <v>38</v>
      </c>
    </row>
    <row r="24" ht="12.75" customHeight="1">
      <c r="A24" s="35"/>
      <c r="B24" s="28"/>
      <c r="C24" s="36"/>
      <c r="D24" s="13" t="s">
        <v>13</v>
      </c>
      <c r="E24" s="13">
        <f t="shared" ref="E24:R24" si="5">SUM(E22:E23)</f>
        <v>15</v>
      </c>
      <c r="F24" s="13">
        <f t="shared" si="5"/>
        <v>18</v>
      </c>
      <c r="G24" s="13">
        <f t="shared" si="5"/>
        <v>4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2</v>
      </c>
      <c r="Q24" s="13">
        <f t="shared" si="5"/>
        <v>0</v>
      </c>
      <c r="R24" s="13">
        <f t="shared" si="5"/>
        <v>0</v>
      </c>
      <c r="S24" s="13">
        <f t="shared" si="3"/>
        <v>39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3.0</v>
      </c>
      <c r="F25" s="19">
        <v>0.0</v>
      </c>
      <c r="G25" s="19">
        <v>0.0</v>
      </c>
      <c r="H25" s="19">
        <v>0.0</v>
      </c>
      <c r="I25" s="19">
        <v>2.0</v>
      </c>
      <c r="J25" s="19">
        <v>2.0</v>
      </c>
      <c r="K25" s="19">
        <v>0.0</v>
      </c>
      <c r="L25" s="19">
        <v>1.0</v>
      </c>
      <c r="M25" s="19">
        <v>1.0</v>
      </c>
      <c r="N25" s="19">
        <v>0.0</v>
      </c>
      <c r="O25" s="19">
        <v>0.0</v>
      </c>
      <c r="P25" s="19">
        <v>1.0</v>
      </c>
      <c r="Q25" s="19">
        <v>1.0</v>
      </c>
      <c r="R25" s="19">
        <v>2.0</v>
      </c>
      <c r="S25" s="13">
        <f t="shared" si="3"/>
        <v>13</v>
      </c>
    </row>
    <row r="26" ht="12.75" customHeight="1">
      <c r="A26" s="33"/>
      <c r="B26" s="27"/>
      <c r="C26" s="34"/>
      <c r="D26" s="19" t="s">
        <v>12</v>
      </c>
      <c r="E26" s="19">
        <v>0.0</v>
      </c>
      <c r="F26" s="19">
        <v>0.0</v>
      </c>
      <c r="G26" s="19">
        <v>1.0</v>
      </c>
      <c r="H26" s="19">
        <v>0.0</v>
      </c>
      <c r="I26" s="19">
        <v>3.0</v>
      </c>
      <c r="J26" s="19">
        <v>2.0</v>
      </c>
      <c r="K26" s="19">
        <v>0.0</v>
      </c>
      <c r="L26" s="19">
        <v>1.0</v>
      </c>
      <c r="M26" s="19">
        <v>2.0</v>
      </c>
      <c r="N26" s="19">
        <v>0.0</v>
      </c>
      <c r="O26" s="19">
        <v>0.0</v>
      </c>
      <c r="P26" s="19">
        <v>6.0</v>
      </c>
      <c r="Q26" s="19">
        <v>1.0</v>
      </c>
      <c r="R26" s="19">
        <v>2.0</v>
      </c>
      <c r="S26" s="13">
        <f t="shared" si="3"/>
        <v>18</v>
      </c>
    </row>
    <row r="27" ht="12.75" customHeight="1">
      <c r="A27" s="35"/>
      <c r="B27" s="28"/>
      <c r="C27" s="36"/>
      <c r="D27" s="13" t="s">
        <v>13</v>
      </c>
      <c r="E27" s="13">
        <f t="shared" ref="E27:R27" si="6">SUM(E25:E26)</f>
        <v>3</v>
      </c>
      <c r="F27" s="13">
        <f t="shared" si="6"/>
        <v>0</v>
      </c>
      <c r="G27" s="13">
        <f t="shared" si="6"/>
        <v>1</v>
      </c>
      <c r="H27" s="13">
        <f t="shared" si="6"/>
        <v>0</v>
      </c>
      <c r="I27" s="13">
        <f t="shared" si="6"/>
        <v>5</v>
      </c>
      <c r="J27" s="13">
        <f t="shared" si="6"/>
        <v>4</v>
      </c>
      <c r="K27" s="13">
        <f t="shared" si="6"/>
        <v>0</v>
      </c>
      <c r="L27" s="13">
        <f t="shared" si="6"/>
        <v>2</v>
      </c>
      <c r="M27" s="13">
        <f t="shared" si="6"/>
        <v>3</v>
      </c>
      <c r="N27" s="13">
        <f t="shared" si="6"/>
        <v>0</v>
      </c>
      <c r="O27" s="13">
        <f t="shared" si="6"/>
        <v>0</v>
      </c>
      <c r="P27" s="13">
        <f t="shared" si="6"/>
        <v>7</v>
      </c>
      <c r="Q27" s="13">
        <f t="shared" si="6"/>
        <v>2</v>
      </c>
      <c r="R27" s="13">
        <f t="shared" si="6"/>
        <v>4</v>
      </c>
      <c r="S27" s="13">
        <f t="shared" si="3"/>
        <v>31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R28" si="7">SUM(E19,E22,E25)</f>
        <v>117</v>
      </c>
      <c r="F28" s="13">
        <f t="shared" si="7"/>
        <v>88</v>
      </c>
      <c r="G28" s="13">
        <f t="shared" si="7"/>
        <v>96</v>
      </c>
      <c r="H28" s="13">
        <f t="shared" si="7"/>
        <v>92</v>
      </c>
      <c r="I28" s="13">
        <f t="shared" si="7"/>
        <v>85</v>
      </c>
      <c r="J28" s="13">
        <f t="shared" si="7"/>
        <v>97</v>
      </c>
      <c r="K28" s="13">
        <f t="shared" si="7"/>
        <v>107</v>
      </c>
      <c r="L28" s="13">
        <f t="shared" si="7"/>
        <v>87</v>
      </c>
      <c r="M28" s="13">
        <f t="shared" si="7"/>
        <v>111</v>
      </c>
      <c r="N28" s="13">
        <f t="shared" si="7"/>
        <v>95</v>
      </c>
      <c r="O28" s="13">
        <f t="shared" si="7"/>
        <v>82</v>
      </c>
      <c r="P28" s="13">
        <f t="shared" si="7"/>
        <v>62</v>
      </c>
      <c r="Q28" s="13">
        <f t="shared" si="7"/>
        <v>78</v>
      </c>
      <c r="R28" s="13">
        <f t="shared" si="7"/>
        <v>93</v>
      </c>
      <c r="S28" s="13">
        <f t="shared" si="3"/>
        <v>1290</v>
      </c>
    </row>
    <row r="29" ht="12.75" customHeight="1">
      <c r="A29" s="35"/>
      <c r="B29" s="27"/>
      <c r="C29" s="34"/>
      <c r="D29" s="13" t="s">
        <v>12</v>
      </c>
      <c r="E29" s="13">
        <f t="shared" ref="E29:R29" si="8">SUM(E20,E23,E26)</f>
        <v>136</v>
      </c>
      <c r="F29" s="13">
        <f t="shared" si="8"/>
        <v>122</v>
      </c>
      <c r="G29" s="13">
        <f t="shared" si="8"/>
        <v>120</v>
      </c>
      <c r="H29" s="13">
        <f t="shared" si="8"/>
        <v>115</v>
      </c>
      <c r="I29" s="13">
        <f t="shared" si="8"/>
        <v>99</v>
      </c>
      <c r="J29" s="13">
        <f t="shared" si="8"/>
        <v>107</v>
      </c>
      <c r="K29" s="13">
        <f t="shared" si="8"/>
        <v>104</v>
      </c>
      <c r="L29" s="13">
        <f t="shared" si="8"/>
        <v>84</v>
      </c>
      <c r="M29" s="13">
        <f t="shared" si="8"/>
        <v>111</v>
      </c>
      <c r="N29" s="13">
        <f t="shared" si="8"/>
        <v>113</v>
      </c>
      <c r="O29" s="13">
        <f t="shared" si="8"/>
        <v>89</v>
      </c>
      <c r="P29" s="13">
        <f t="shared" si="8"/>
        <v>80</v>
      </c>
      <c r="Q29" s="13">
        <f t="shared" si="8"/>
        <v>75</v>
      </c>
      <c r="R29" s="13">
        <f t="shared" si="8"/>
        <v>106</v>
      </c>
      <c r="S29" s="13">
        <f t="shared" si="3"/>
        <v>1461</v>
      </c>
    </row>
    <row r="30" ht="12.75" customHeight="1">
      <c r="A30" s="35"/>
      <c r="B30" s="28"/>
      <c r="C30" s="36"/>
      <c r="D30" s="13" t="s">
        <v>13</v>
      </c>
      <c r="E30" s="13">
        <f t="shared" ref="E30:R30" si="9">SUM(E28:E29)</f>
        <v>253</v>
      </c>
      <c r="F30" s="13">
        <f t="shared" si="9"/>
        <v>210</v>
      </c>
      <c r="G30" s="13">
        <f t="shared" si="9"/>
        <v>216</v>
      </c>
      <c r="H30" s="13">
        <f t="shared" si="9"/>
        <v>207</v>
      </c>
      <c r="I30" s="13">
        <f t="shared" si="9"/>
        <v>184</v>
      </c>
      <c r="J30" s="13">
        <f t="shared" si="9"/>
        <v>204</v>
      </c>
      <c r="K30" s="13">
        <f t="shared" si="9"/>
        <v>211</v>
      </c>
      <c r="L30" s="13">
        <f t="shared" si="9"/>
        <v>171</v>
      </c>
      <c r="M30" s="13">
        <f t="shared" si="9"/>
        <v>222</v>
      </c>
      <c r="N30" s="13">
        <f t="shared" si="9"/>
        <v>208</v>
      </c>
      <c r="O30" s="13">
        <f t="shared" si="9"/>
        <v>171</v>
      </c>
      <c r="P30" s="13">
        <f t="shared" si="9"/>
        <v>142</v>
      </c>
      <c r="Q30" s="13">
        <f t="shared" si="9"/>
        <v>153</v>
      </c>
      <c r="R30" s="13">
        <f t="shared" si="9"/>
        <v>199</v>
      </c>
      <c r="S30" s="13">
        <f t="shared" si="3"/>
        <v>2751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19"/>
      <c r="P31" s="19"/>
      <c r="Q31" s="19"/>
      <c r="R31" s="19"/>
      <c r="S31" s="60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13"/>
      <c r="P32" s="13"/>
      <c r="Q32" s="13"/>
      <c r="R32" s="13"/>
      <c r="S32" s="60"/>
    </row>
    <row r="33" ht="12.75" customHeight="1">
      <c r="A33" s="19">
        <v>1.0</v>
      </c>
      <c r="B33" s="20" t="s">
        <v>26</v>
      </c>
      <c r="C33" s="15"/>
      <c r="D33" s="16"/>
      <c r="E33" s="19">
        <v>285.0</v>
      </c>
      <c r="F33" s="19">
        <v>259.0</v>
      </c>
      <c r="G33" s="19">
        <v>276.0</v>
      </c>
      <c r="H33" s="19">
        <v>286.0</v>
      </c>
      <c r="I33" s="19">
        <v>251.0</v>
      </c>
      <c r="J33" s="19">
        <v>265.0</v>
      </c>
      <c r="K33" s="19">
        <v>280.0</v>
      </c>
      <c r="L33" s="19">
        <v>225.0</v>
      </c>
      <c r="M33" s="19">
        <v>266.0</v>
      </c>
      <c r="N33" s="19">
        <v>265.0</v>
      </c>
      <c r="O33" s="19">
        <v>228.0</v>
      </c>
      <c r="P33" s="19">
        <v>196.0</v>
      </c>
      <c r="Q33" s="19">
        <v>225.0</v>
      </c>
      <c r="R33" s="19">
        <v>230.0</v>
      </c>
      <c r="S33" s="13">
        <f t="shared" ref="S33:S36" si="10">SUM(E33:R33)</f>
        <v>3537</v>
      </c>
    </row>
    <row r="34" ht="12.75" customHeight="1">
      <c r="A34" s="19">
        <v>2.0</v>
      </c>
      <c r="B34" s="20" t="s">
        <v>27</v>
      </c>
      <c r="C34" s="15"/>
      <c r="D34" s="16"/>
      <c r="E34" s="13">
        <v>253.0</v>
      </c>
      <c r="F34" s="13">
        <v>210.0</v>
      </c>
      <c r="G34" s="13">
        <v>216.0</v>
      </c>
      <c r="H34" s="13">
        <v>207.0</v>
      </c>
      <c r="I34" s="13">
        <v>184.0</v>
      </c>
      <c r="J34" s="13">
        <v>204.0</v>
      </c>
      <c r="K34" s="13">
        <v>211.0</v>
      </c>
      <c r="L34" s="13">
        <v>171.0</v>
      </c>
      <c r="M34" s="13">
        <v>222.0</v>
      </c>
      <c r="N34" s="13">
        <v>208.0</v>
      </c>
      <c r="O34" s="13">
        <v>171.0</v>
      </c>
      <c r="P34" s="13">
        <v>142.0</v>
      </c>
      <c r="Q34" s="13">
        <v>153.0</v>
      </c>
      <c r="R34" s="13">
        <v>199.0</v>
      </c>
      <c r="S34" s="13">
        <f t="shared" si="10"/>
        <v>2751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0.0</v>
      </c>
      <c r="G35" s="19">
        <v>1.0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3">
        <f t="shared" si="10"/>
        <v>1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R36" si="11">E33-(E34+E35)</f>
        <v>32</v>
      </c>
      <c r="F36" s="13">
        <f t="shared" si="11"/>
        <v>49</v>
      </c>
      <c r="G36" s="13">
        <f t="shared" si="11"/>
        <v>59</v>
      </c>
      <c r="H36" s="13">
        <f t="shared" si="11"/>
        <v>79</v>
      </c>
      <c r="I36" s="13">
        <f t="shared" si="11"/>
        <v>67</v>
      </c>
      <c r="J36" s="13">
        <f t="shared" si="11"/>
        <v>61</v>
      </c>
      <c r="K36" s="13">
        <f t="shared" si="11"/>
        <v>69</v>
      </c>
      <c r="L36" s="13">
        <f t="shared" si="11"/>
        <v>54</v>
      </c>
      <c r="M36" s="13">
        <f t="shared" si="11"/>
        <v>44</v>
      </c>
      <c r="N36" s="13">
        <f t="shared" si="11"/>
        <v>57</v>
      </c>
      <c r="O36" s="13">
        <f t="shared" si="11"/>
        <v>57</v>
      </c>
      <c r="P36" s="13">
        <f t="shared" si="11"/>
        <v>54</v>
      </c>
      <c r="Q36" s="13">
        <f t="shared" si="11"/>
        <v>72</v>
      </c>
      <c r="R36" s="13">
        <f t="shared" si="11"/>
        <v>31</v>
      </c>
      <c r="S36" s="13">
        <f t="shared" si="10"/>
        <v>785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19"/>
      <c r="P37" s="19"/>
      <c r="Q37" s="19"/>
      <c r="R37" s="19"/>
      <c r="S37" s="60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13"/>
      <c r="P38" s="13"/>
      <c r="Q38" s="13"/>
      <c r="R38" s="13"/>
      <c r="S38" s="60"/>
    </row>
    <row r="39" ht="12.75" customHeight="1">
      <c r="A39" s="30"/>
      <c r="B39" s="43" t="s">
        <v>32</v>
      </c>
      <c r="C39" s="23"/>
      <c r="D39" s="19" t="s">
        <v>11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3">
        <f t="shared" ref="S39:S41" si="12">SUM(E39:R39)</f>
        <v>0</v>
      </c>
    </row>
    <row r="40" ht="12.75" customHeight="1">
      <c r="A40" s="33"/>
      <c r="C40" s="27"/>
      <c r="D40" s="19" t="s">
        <v>12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2.0</v>
      </c>
      <c r="S40" s="13">
        <f t="shared" si="12"/>
        <v>2</v>
      </c>
    </row>
    <row r="41" ht="12.75" customHeight="1">
      <c r="A41" s="41"/>
      <c r="B41" s="44"/>
      <c r="C41" s="28"/>
      <c r="D41" s="13" t="s">
        <v>13</v>
      </c>
      <c r="E41" s="13">
        <f t="shared" ref="E41:R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2</v>
      </c>
      <c r="S41" s="13">
        <f t="shared" si="12"/>
        <v>2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19"/>
      <c r="Q42" s="19"/>
      <c r="R42" s="19"/>
      <c r="S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13"/>
      <c r="Q43" s="13"/>
      <c r="R43" s="13"/>
      <c r="S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19"/>
      <c r="Q44" s="19"/>
      <c r="R44" s="19"/>
      <c r="S44" s="13"/>
    </row>
    <row r="45" ht="12.75" customHeight="1">
      <c r="A45" s="62"/>
      <c r="B45" s="47">
        <v>1.0</v>
      </c>
      <c r="C45" s="48" t="s">
        <v>36</v>
      </c>
      <c r="D45" s="16"/>
      <c r="E45" s="19">
        <v>55.0</v>
      </c>
      <c r="F45" s="19">
        <v>34.0</v>
      </c>
      <c r="G45" s="19">
        <v>24.0</v>
      </c>
      <c r="H45" s="19">
        <v>25.0</v>
      </c>
      <c r="I45" s="19">
        <v>8.0</v>
      </c>
      <c r="J45" s="19">
        <v>6.0</v>
      </c>
      <c r="K45" s="19">
        <v>9.0</v>
      </c>
      <c r="L45" s="19">
        <v>14.0</v>
      </c>
      <c r="M45" s="19">
        <v>20.0</v>
      </c>
      <c r="N45" s="19">
        <v>6.0</v>
      </c>
      <c r="O45" s="19">
        <v>16.0</v>
      </c>
      <c r="P45" s="19">
        <v>9.0</v>
      </c>
      <c r="Q45" s="19">
        <v>17.0</v>
      </c>
      <c r="R45" s="19">
        <v>11.0</v>
      </c>
      <c r="S45" s="13">
        <f t="shared" ref="S45:S47" si="14">SUM(E45:R45)</f>
        <v>254</v>
      </c>
    </row>
    <row r="46" ht="12.75" customHeight="1">
      <c r="A46" s="18"/>
      <c r="B46" s="47">
        <v>2.0</v>
      </c>
      <c r="C46" s="48" t="s">
        <v>37</v>
      </c>
      <c r="D46" s="16"/>
      <c r="E46" s="19">
        <v>179.0</v>
      </c>
      <c r="F46" s="19">
        <v>153.0</v>
      </c>
      <c r="G46" s="19">
        <v>167.0</v>
      </c>
      <c r="H46" s="19">
        <v>149.0</v>
      </c>
      <c r="I46" s="19">
        <v>147.0</v>
      </c>
      <c r="J46" s="19">
        <v>153.0</v>
      </c>
      <c r="K46" s="19">
        <v>170.0</v>
      </c>
      <c r="L46" s="19">
        <v>120.0</v>
      </c>
      <c r="M46" s="19">
        <v>150.0</v>
      </c>
      <c r="N46" s="19">
        <v>172.0</v>
      </c>
      <c r="O46" s="19">
        <v>130.0</v>
      </c>
      <c r="P46" s="19">
        <v>96.0</v>
      </c>
      <c r="Q46" s="19">
        <v>97.0</v>
      </c>
      <c r="R46" s="19">
        <v>140.0</v>
      </c>
      <c r="S46" s="13">
        <f t="shared" si="14"/>
        <v>2023</v>
      </c>
    </row>
    <row r="47" ht="12.75" customHeight="1">
      <c r="A47" s="45"/>
      <c r="B47" s="47">
        <v>3.0</v>
      </c>
      <c r="C47" s="48" t="s">
        <v>38</v>
      </c>
      <c r="D47" s="16"/>
      <c r="E47" s="19">
        <v>15.0</v>
      </c>
      <c r="F47" s="19">
        <v>19.0</v>
      </c>
      <c r="G47" s="19">
        <v>20.0</v>
      </c>
      <c r="H47" s="19">
        <v>29.0</v>
      </c>
      <c r="I47" s="19">
        <v>22.0</v>
      </c>
      <c r="J47" s="19">
        <v>39.0</v>
      </c>
      <c r="K47" s="19">
        <v>28.0</v>
      </c>
      <c r="L47" s="19">
        <v>33.0</v>
      </c>
      <c r="M47" s="19">
        <v>48.0</v>
      </c>
      <c r="N47" s="19">
        <v>18.0</v>
      </c>
      <c r="O47" s="19">
        <v>20.0</v>
      </c>
      <c r="P47" s="19">
        <v>37.0</v>
      </c>
      <c r="Q47" s="19">
        <v>35.0</v>
      </c>
      <c r="R47" s="19">
        <v>44.0</v>
      </c>
      <c r="S47" s="13">
        <f t="shared" si="14"/>
        <v>407</v>
      </c>
    </row>
    <row r="48" ht="12.75" customHeight="1"/>
    <row r="49" ht="12.75" customHeight="1">
      <c r="A49" s="42" t="s">
        <v>39</v>
      </c>
      <c r="B49" s="14" t="s">
        <v>40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1"/>
      <c r="O49" s="13"/>
      <c r="P49" s="13"/>
      <c r="Q49" s="13"/>
      <c r="R49" s="13"/>
      <c r="S49" s="13"/>
    </row>
    <row r="50" ht="12.75" customHeight="1">
      <c r="A50" s="42"/>
      <c r="B50" s="54" t="s">
        <v>41</v>
      </c>
      <c r="C50" s="55" t="s">
        <v>42</v>
      </c>
      <c r="D50" s="16"/>
      <c r="E50" s="19">
        <f t="shared" ref="E50:R50" si="15">SUM(E45:E47)</f>
        <v>249</v>
      </c>
      <c r="F50" s="19">
        <f t="shared" si="15"/>
        <v>206</v>
      </c>
      <c r="G50" s="19">
        <f t="shared" si="15"/>
        <v>211</v>
      </c>
      <c r="H50" s="19">
        <f t="shared" si="15"/>
        <v>203</v>
      </c>
      <c r="I50" s="19">
        <f t="shared" si="15"/>
        <v>177</v>
      </c>
      <c r="J50" s="19">
        <f t="shared" si="15"/>
        <v>198</v>
      </c>
      <c r="K50" s="19">
        <f t="shared" si="15"/>
        <v>207</v>
      </c>
      <c r="L50" s="19">
        <f t="shared" si="15"/>
        <v>167</v>
      </c>
      <c r="M50" s="19">
        <f t="shared" si="15"/>
        <v>218</v>
      </c>
      <c r="N50" s="19">
        <f t="shared" si="15"/>
        <v>196</v>
      </c>
      <c r="O50" s="19">
        <f t="shared" si="15"/>
        <v>166</v>
      </c>
      <c r="P50" s="19">
        <f t="shared" si="15"/>
        <v>142</v>
      </c>
      <c r="Q50" s="19">
        <f t="shared" si="15"/>
        <v>149</v>
      </c>
      <c r="R50" s="19">
        <f t="shared" si="15"/>
        <v>195</v>
      </c>
      <c r="S50" s="13">
        <f t="shared" ref="S50:S52" si="16">SUM(E50:R50)</f>
        <v>2684</v>
      </c>
    </row>
    <row r="51" ht="12.75" customHeight="1">
      <c r="A51" s="35"/>
      <c r="B51" s="54" t="s">
        <v>43</v>
      </c>
      <c r="C51" s="55" t="s">
        <v>44</v>
      </c>
      <c r="D51" s="16"/>
      <c r="E51" s="19">
        <v>4.0</v>
      </c>
      <c r="F51" s="19">
        <v>4.0</v>
      </c>
      <c r="G51" s="19">
        <v>5.0</v>
      </c>
      <c r="H51" s="19">
        <v>4.0</v>
      </c>
      <c r="I51" s="19">
        <v>7.0</v>
      </c>
      <c r="J51" s="19">
        <v>6.0</v>
      </c>
      <c r="K51" s="19">
        <v>4.0</v>
      </c>
      <c r="L51" s="19">
        <v>4.0</v>
      </c>
      <c r="M51" s="19">
        <v>4.0</v>
      </c>
      <c r="N51" s="19">
        <v>12.0</v>
      </c>
      <c r="O51" s="19">
        <v>5.0</v>
      </c>
      <c r="P51" s="19">
        <v>0.0</v>
      </c>
      <c r="Q51" s="19">
        <v>4.0</v>
      </c>
      <c r="R51" s="19">
        <v>4.0</v>
      </c>
      <c r="S51" s="13">
        <f t="shared" si="16"/>
        <v>67</v>
      </c>
    </row>
    <row r="52" ht="12.75" customHeight="1">
      <c r="A52" s="41"/>
      <c r="B52" s="54" t="s">
        <v>45</v>
      </c>
      <c r="C52" s="55" t="s">
        <v>46</v>
      </c>
      <c r="D52" s="16"/>
      <c r="E52" s="13">
        <f t="shared" ref="E52:R52" si="17">SUM(E50:E51)</f>
        <v>253</v>
      </c>
      <c r="F52" s="13">
        <f t="shared" si="17"/>
        <v>210</v>
      </c>
      <c r="G52" s="13">
        <f t="shared" si="17"/>
        <v>216</v>
      </c>
      <c r="H52" s="13">
        <f t="shared" si="17"/>
        <v>207</v>
      </c>
      <c r="I52" s="13">
        <f t="shared" si="17"/>
        <v>184</v>
      </c>
      <c r="J52" s="13">
        <f t="shared" si="17"/>
        <v>204</v>
      </c>
      <c r="K52" s="13">
        <f t="shared" si="17"/>
        <v>211</v>
      </c>
      <c r="L52" s="13">
        <f t="shared" si="17"/>
        <v>171</v>
      </c>
      <c r="M52" s="13">
        <f t="shared" si="17"/>
        <v>222</v>
      </c>
      <c r="N52" s="13">
        <f t="shared" si="17"/>
        <v>208</v>
      </c>
      <c r="O52" s="13">
        <f t="shared" si="17"/>
        <v>171</v>
      </c>
      <c r="P52" s="13">
        <f t="shared" si="17"/>
        <v>142</v>
      </c>
      <c r="Q52" s="13">
        <f t="shared" si="17"/>
        <v>153</v>
      </c>
      <c r="R52" s="13">
        <f t="shared" si="17"/>
        <v>199</v>
      </c>
      <c r="S52" s="13">
        <f t="shared" si="16"/>
        <v>2751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R12"/>
    <mergeCell ref="S12:S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34:R34">
    <cfRule type="expression" dxfId="0" priority="1">
      <formula>E34&lt;&gt;#REF!</formula>
    </cfRule>
  </conditionalFormatting>
  <conditionalFormatting sqref="E14:R15 E45:R47">
    <cfRule type="containsBlanks" dxfId="1" priority="2">
      <formula>LEN(TRIM(E14))=0</formula>
    </cfRule>
  </conditionalFormatting>
  <conditionalFormatting sqref="E19:R20">
    <cfRule type="containsBlanks" dxfId="1" priority="3">
      <formula>LEN(TRIM(E19))=0</formula>
    </cfRule>
  </conditionalFormatting>
  <conditionalFormatting sqref="E22:R23 E25:R26 E33:R33 E35:R35 E39:R40">
    <cfRule type="containsBlanks" dxfId="1" priority="4">
      <formula>LEN(TRIM(E22))=0</formula>
    </cfRule>
  </conditionalFormatting>
  <conditionalFormatting sqref="E30:R30">
    <cfRule type="expression" dxfId="0" priority="5">
      <formula>E30&lt;&gt;E46</formula>
    </cfRule>
  </conditionalFormatting>
  <conditionalFormatting sqref="E30:R30">
    <cfRule type="expression" dxfId="0" priority="6">
      <formula>E30&lt;&gt;E34</formula>
    </cfRule>
  </conditionalFormatting>
  <conditionalFormatting sqref="E34:R34">
    <cfRule type="expression" dxfId="2" priority="7">
      <formula>E30&lt;&gt;E34</formula>
    </cfRule>
  </conditionalFormatting>
  <conditionalFormatting sqref="E34:R34">
    <cfRule type="expression" dxfId="3" priority="8">
      <formula>E30=E34</formula>
    </cfRule>
  </conditionalFormatting>
  <conditionalFormatting sqref="E34:R34">
    <cfRule type="expression" dxfId="0" priority="9">
      <formula>E34&lt;&gt;E30</formula>
    </cfRule>
  </conditionalFormatting>
  <conditionalFormatting sqref="E50:R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2" width="8.71"/>
    <col customWidth="1" min="23" max="23" width="13.29"/>
  </cols>
  <sheetData>
    <row r="1" ht="12.75" customHeight="1"/>
    <row r="2" ht="12.75" customHeight="1">
      <c r="C2" s="8" t="s">
        <v>0</v>
      </c>
      <c r="D2" s="8"/>
    </row>
    <row r="3" ht="12.75" customHeight="1">
      <c r="C3" s="8" t="s">
        <v>1</v>
      </c>
      <c r="D3" s="8" t="s">
        <v>2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47</v>
      </c>
      <c r="D9" s="8"/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58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48</v>
      </c>
      <c r="F13" s="13" t="s">
        <v>49</v>
      </c>
      <c r="G13" s="13" t="s">
        <v>50</v>
      </c>
      <c r="H13" s="13" t="s">
        <v>51</v>
      </c>
      <c r="I13" s="13" t="s">
        <v>52</v>
      </c>
      <c r="J13" s="13" t="s">
        <v>53</v>
      </c>
      <c r="K13" s="13" t="s">
        <v>54</v>
      </c>
      <c r="L13" s="13" t="s">
        <v>55</v>
      </c>
      <c r="M13" s="13" t="s">
        <v>56</v>
      </c>
      <c r="N13" s="13" t="s">
        <v>57</v>
      </c>
      <c r="O13" s="13" t="s">
        <v>58</v>
      </c>
      <c r="P13" s="13" t="s">
        <v>59</v>
      </c>
      <c r="Q13" s="13" t="s">
        <v>60</v>
      </c>
      <c r="R13" s="13" t="s">
        <v>61</v>
      </c>
      <c r="S13" s="13" t="s">
        <v>62</v>
      </c>
      <c r="T13" s="13" t="s">
        <v>63</v>
      </c>
      <c r="U13" s="13" t="s">
        <v>64</v>
      </c>
      <c r="V13" s="13" t="s">
        <v>65</v>
      </c>
      <c r="W13" s="36"/>
    </row>
    <row r="14" ht="12.75" customHeight="1">
      <c r="A14" s="18"/>
      <c r="B14" s="22" t="s">
        <v>10</v>
      </c>
      <c r="C14" s="23"/>
      <c r="D14" s="19" t="s">
        <v>11</v>
      </c>
      <c r="E14" s="19">
        <v>143.0</v>
      </c>
      <c r="F14" s="19">
        <v>141.0</v>
      </c>
      <c r="G14" s="19">
        <v>147.0</v>
      </c>
      <c r="H14" s="19">
        <v>147.0</v>
      </c>
      <c r="I14" s="19">
        <v>123.0</v>
      </c>
      <c r="J14" s="19">
        <v>113.0</v>
      </c>
      <c r="K14" s="19">
        <v>136.0</v>
      </c>
      <c r="L14" s="19">
        <v>122.0</v>
      </c>
      <c r="M14" s="19">
        <v>123.0</v>
      </c>
      <c r="N14" s="19">
        <v>129.0</v>
      </c>
      <c r="O14" s="19">
        <v>137.0</v>
      </c>
      <c r="P14" s="19">
        <v>145.0</v>
      </c>
      <c r="Q14" s="19">
        <v>131.0</v>
      </c>
      <c r="R14" s="19">
        <v>148.0</v>
      </c>
      <c r="S14" s="19">
        <v>133.0</v>
      </c>
      <c r="T14" s="19">
        <v>153.0</v>
      </c>
      <c r="U14" s="19">
        <v>111.0</v>
      </c>
      <c r="V14" s="19">
        <v>87.0</v>
      </c>
      <c r="W14" s="13">
        <f t="shared" ref="W14:W16" si="1">SUM(E14:V14)</f>
        <v>2369</v>
      </c>
    </row>
    <row r="15" ht="12.75" customHeight="1">
      <c r="A15" s="18"/>
      <c r="B15" s="26"/>
      <c r="C15" s="27"/>
      <c r="D15" s="19" t="s">
        <v>12</v>
      </c>
      <c r="E15" s="19">
        <v>149.0</v>
      </c>
      <c r="F15" s="19">
        <v>157.0</v>
      </c>
      <c r="G15" s="19">
        <v>145.0</v>
      </c>
      <c r="H15" s="19">
        <v>141.0</v>
      </c>
      <c r="I15" s="19">
        <v>133.0</v>
      </c>
      <c r="J15" s="19">
        <v>118.0</v>
      </c>
      <c r="K15" s="19">
        <v>126.0</v>
      </c>
      <c r="L15" s="19">
        <v>132.0</v>
      </c>
      <c r="M15" s="19">
        <v>128.0</v>
      </c>
      <c r="N15" s="19">
        <v>131.0</v>
      </c>
      <c r="O15" s="19">
        <v>148.0</v>
      </c>
      <c r="P15" s="19">
        <v>148.0</v>
      </c>
      <c r="Q15" s="19">
        <v>149.0</v>
      </c>
      <c r="R15" s="19">
        <v>134.0</v>
      </c>
      <c r="S15" s="19">
        <v>143.0</v>
      </c>
      <c r="T15" s="19">
        <v>128.0</v>
      </c>
      <c r="U15" s="19">
        <v>107.0</v>
      </c>
      <c r="V15" s="19">
        <v>79.0</v>
      </c>
      <c r="W15" s="13">
        <f t="shared" si="1"/>
        <v>2396</v>
      </c>
    </row>
    <row r="16" ht="12.75" customHeight="1">
      <c r="A16" s="25"/>
      <c r="B16" s="21"/>
      <c r="C16" s="28"/>
      <c r="D16" s="13" t="s">
        <v>13</v>
      </c>
      <c r="E16" s="13">
        <f t="shared" ref="E16:V16" si="2">SUM(E14:E15)</f>
        <v>292</v>
      </c>
      <c r="F16" s="13">
        <f t="shared" si="2"/>
        <v>298</v>
      </c>
      <c r="G16" s="13">
        <f t="shared" si="2"/>
        <v>292</v>
      </c>
      <c r="H16" s="13">
        <f t="shared" si="2"/>
        <v>288</v>
      </c>
      <c r="I16" s="13">
        <f t="shared" si="2"/>
        <v>256</v>
      </c>
      <c r="J16" s="13">
        <f t="shared" si="2"/>
        <v>231</v>
      </c>
      <c r="K16" s="13">
        <f t="shared" si="2"/>
        <v>262</v>
      </c>
      <c r="L16" s="13">
        <f t="shared" si="2"/>
        <v>254</v>
      </c>
      <c r="M16" s="13">
        <f t="shared" si="2"/>
        <v>251</v>
      </c>
      <c r="N16" s="13">
        <f t="shared" si="2"/>
        <v>260</v>
      </c>
      <c r="O16" s="13">
        <f t="shared" si="2"/>
        <v>285</v>
      </c>
      <c r="P16" s="13">
        <f t="shared" si="2"/>
        <v>293</v>
      </c>
      <c r="Q16" s="13">
        <f t="shared" si="2"/>
        <v>280</v>
      </c>
      <c r="R16" s="13">
        <f t="shared" si="2"/>
        <v>282</v>
      </c>
      <c r="S16" s="13">
        <f t="shared" si="2"/>
        <v>276</v>
      </c>
      <c r="T16" s="13">
        <f t="shared" si="2"/>
        <v>281</v>
      </c>
      <c r="U16" s="13">
        <f t="shared" si="2"/>
        <v>218</v>
      </c>
      <c r="V16" s="13">
        <f t="shared" si="2"/>
        <v>166</v>
      </c>
      <c r="W16" s="13">
        <f t="shared" si="1"/>
        <v>4765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19"/>
      <c r="P17" s="19"/>
      <c r="Q17" s="19"/>
      <c r="R17" s="19"/>
      <c r="S17" s="59"/>
      <c r="T17" s="19"/>
      <c r="U17" s="19"/>
      <c r="V17" s="19"/>
      <c r="W17" s="60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19"/>
      <c r="P18" s="19"/>
      <c r="Q18" s="19"/>
      <c r="R18" s="19"/>
      <c r="S18" s="59"/>
      <c r="T18" s="19"/>
      <c r="U18" s="19"/>
      <c r="V18" s="19"/>
      <c r="W18" s="60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118.0</v>
      </c>
      <c r="F19" s="19">
        <v>102.0</v>
      </c>
      <c r="G19" s="19">
        <v>113.0</v>
      </c>
      <c r="H19" s="19">
        <v>114.0</v>
      </c>
      <c r="I19" s="19">
        <v>85.0</v>
      </c>
      <c r="J19" s="19">
        <v>88.0</v>
      </c>
      <c r="K19" s="19">
        <v>106.0</v>
      </c>
      <c r="L19" s="19">
        <v>86.0</v>
      </c>
      <c r="M19" s="19">
        <v>82.0</v>
      </c>
      <c r="N19" s="19">
        <v>95.0</v>
      </c>
      <c r="O19" s="19">
        <v>95.0</v>
      </c>
      <c r="P19" s="19">
        <v>107.0</v>
      </c>
      <c r="Q19" s="19">
        <v>100.0</v>
      </c>
      <c r="R19" s="19">
        <v>108.0</v>
      </c>
      <c r="S19" s="19">
        <v>96.0</v>
      </c>
      <c r="T19" s="19">
        <v>108.0</v>
      </c>
      <c r="U19" s="19">
        <v>76.0</v>
      </c>
      <c r="V19" s="19">
        <v>68.0</v>
      </c>
      <c r="W19" s="13">
        <f t="shared" ref="W19:W30" si="3">SUM(E19:V19)</f>
        <v>1747</v>
      </c>
    </row>
    <row r="20" ht="12.75" customHeight="1">
      <c r="A20" s="33"/>
      <c r="B20" s="27"/>
      <c r="C20" s="34"/>
      <c r="D20" s="19" t="s">
        <v>12</v>
      </c>
      <c r="E20" s="19">
        <v>121.0</v>
      </c>
      <c r="F20" s="19">
        <v>123.0</v>
      </c>
      <c r="G20" s="19">
        <v>110.0</v>
      </c>
      <c r="H20" s="19">
        <v>113.0</v>
      </c>
      <c r="I20" s="19">
        <v>101.0</v>
      </c>
      <c r="J20" s="19">
        <v>91.0</v>
      </c>
      <c r="K20" s="19">
        <v>102.0</v>
      </c>
      <c r="L20" s="19">
        <v>97.0</v>
      </c>
      <c r="M20" s="19">
        <v>100.0</v>
      </c>
      <c r="N20" s="19">
        <v>101.0</v>
      </c>
      <c r="O20" s="19">
        <v>115.0</v>
      </c>
      <c r="P20" s="19">
        <v>114.0</v>
      </c>
      <c r="Q20" s="19">
        <v>122.0</v>
      </c>
      <c r="R20" s="19">
        <v>102.0</v>
      </c>
      <c r="S20" s="19">
        <v>114.0</v>
      </c>
      <c r="T20" s="19">
        <v>118.0</v>
      </c>
      <c r="U20" s="19">
        <v>83.0</v>
      </c>
      <c r="V20" s="19">
        <v>66.0</v>
      </c>
      <c r="W20" s="13">
        <f t="shared" si="3"/>
        <v>1893</v>
      </c>
    </row>
    <row r="21" ht="12.75" customHeight="1">
      <c r="A21" s="35"/>
      <c r="B21" s="28"/>
      <c r="C21" s="36"/>
      <c r="D21" s="13" t="s">
        <v>13</v>
      </c>
      <c r="E21" s="13">
        <f t="shared" ref="E21:V21" si="4">SUM(E19:E20)</f>
        <v>239</v>
      </c>
      <c r="F21" s="13">
        <f t="shared" si="4"/>
        <v>225</v>
      </c>
      <c r="G21" s="13">
        <f t="shared" si="4"/>
        <v>223</v>
      </c>
      <c r="H21" s="13">
        <f t="shared" si="4"/>
        <v>227</v>
      </c>
      <c r="I21" s="13">
        <f t="shared" si="4"/>
        <v>186</v>
      </c>
      <c r="J21" s="13">
        <f t="shared" si="4"/>
        <v>179</v>
      </c>
      <c r="K21" s="13">
        <f t="shared" si="4"/>
        <v>208</v>
      </c>
      <c r="L21" s="13">
        <f t="shared" si="4"/>
        <v>183</v>
      </c>
      <c r="M21" s="13">
        <f t="shared" si="4"/>
        <v>182</v>
      </c>
      <c r="N21" s="13">
        <f t="shared" si="4"/>
        <v>196</v>
      </c>
      <c r="O21" s="13">
        <f t="shared" si="4"/>
        <v>210</v>
      </c>
      <c r="P21" s="13">
        <f t="shared" si="4"/>
        <v>221</v>
      </c>
      <c r="Q21" s="13">
        <f t="shared" si="4"/>
        <v>222</v>
      </c>
      <c r="R21" s="13">
        <f t="shared" si="4"/>
        <v>210</v>
      </c>
      <c r="S21" s="13">
        <f t="shared" si="4"/>
        <v>210</v>
      </c>
      <c r="T21" s="13">
        <f t="shared" si="4"/>
        <v>226</v>
      </c>
      <c r="U21" s="13">
        <f t="shared" si="4"/>
        <v>159</v>
      </c>
      <c r="V21" s="13">
        <f t="shared" si="4"/>
        <v>134</v>
      </c>
      <c r="W21" s="13">
        <f t="shared" si="3"/>
        <v>3640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3">
        <f t="shared" si="3"/>
        <v>0</v>
      </c>
    </row>
    <row r="23" ht="12.75" customHeight="1">
      <c r="A23" s="33"/>
      <c r="B23" s="27"/>
      <c r="C23" s="34"/>
      <c r="D23" s="19" t="s">
        <v>12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3">
        <f t="shared" si="3"/>
        <v>0</v>
      </c>
    </row>
    <row r="24" ht="12.75" customHeight="1">
      <c r="A24" s="35"/>
      <c r="B24" s="28"/>
      <c r="C24" s="36"/>
      <c r="D24" s="13" t="s">
        <v>13</v>
      </c>
      <c r="E24" s="13">
        <f t="shared" ref="E24:V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3"/>
        <v>0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0.0</v>
      </c>
      <c r="F25" s="19">
        <v>0.0</v>
      </c>
      <c r="G25" s="19">
        <v>0.0</v>
      </c>
      <c r="H25" s="19">
        <v>1.0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19">
        <v>1.0</v>
      </c>
      <c r="U25" s="19">
        <v>0.0</v>
      </c>
      <c r="V25" s="19">
        <v>1.0</v>
      </c>
      <c r="W25" s="13">
        <f t="shared" si="3"/>
        <v>3</v>
      </c>
    </row>
    <row r="26" ht="12.75" customHeight="1">
      <c r="A26" s="33"/>
      <c r="B26" s="27"/>
      <c r="C26" s="34"/>
      <c r="D26" s="19" t="s">
        <v>12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0.0</v>
      </c>
      <c r="N26" s="19">
        <v>0.0</v>
      </c>
      <c r="O26" s="19">
        <v>0.0</v>
      </c>
      <c r="P26" s="19">
        <v>0.0</v>
      </c>
      <c r="Q26" s="19">
        <v>0.0</v>
      </c>
      <c r="R26" s="19">
        <v>0.0</v>
      </c>
      <c r="S26" s="19">
        <v>0.0</v>
      </c>
      <c r="T26" s="19">
        <v>0.0</v>
      </c>
      <c r="U26" s="19">
        <v>0.0</v>
      </c>
      <c r="V26" s="19">
        <v>1.0</v>
      </c>
      <c r="W26" s="13">
        <f t="shared" si="3"/>
        <v>1</v>
      </c>
    </row>
    <row r="27" ht="12.75" customHeight="1">
      <c r="A27" s="35"/>
      <c r="B27" s="28"/>
      <c r="C27" s="36"/>
      <c r="D27" s="13" t="s">
        <v>13</v>
      </c>
      <c r="E27" s="13">
        <f t="shared" ref="E27:V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1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6"/>
        <v>1</v>
      </c>
      <c r="U27" s="13">
        <f t="shared" si="6"/>
        <v>0</v>
      </c>
      <c r="V27" s="13">
        <f t="shared" si="6"/>
        <v>2</v>
      </c>
      <c r="W27" s="13">
        <f t="shared" si="3"/>
        <v>4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V28" si="7">SUM(E19,E22,E25)</f>
        <v>118</v>
      </c>
      <c r="F28" s="13">
        <f t="shared" si="7"/>
        <v>102</v>
      </c>
      <c r="G28" s="13">
        <f t="shared" si="7"/>
        <v>113</v>
      </c>
      <c r="H28" s="13">
        <f t="shared" si="7"/>
        <v>115</v>
      </c>
      <c r="I28" s="13">
        <f t="shared" si="7"/>
        <v>85</v>
      </c>
      <c r="J28" s="13">
        <f t="shared" si="7"/>
        <v>88</v>
      </c>
      <c r="K28" s="13">
        <f t="shared" si="7"/>
        <v>106</v>
      </c>
      <c r="L28" s="13">
        <f t="shared" si="7"/>
        <v>86</v>
      </c>
      <c r="M28" s="13">
        <f t="shared" si="7"/>
        <v>82</v>
      </c>
      <c r="N28" s="13">
        <f t="shared" si="7"/>
        <v>95</v>
      </c>
      <c r="O28" s="13">
        <f t="shared" si="7"/>
        <v>95</v>
      </c>
      <c r="P28" s="13">
        <f t="shared" si="7"/>
        <v>107</v>
      </c>
      <c r="Q28" s="13">
        <f t="shared" si="7"/>
        <v>100</v>
      </c>
      <c r="R28" s="13">
        <f t="shared" si="7"/>
        <v>108</v>
      </c>
      <c r="S28" s="13">
        <f t="shared" si="7"/>
        <v>96</v>
      </c>
      <c r="T28" s="13">
        <f t="shared" si="7"/>
        <v>109</v>
      </c>
      <c r="U28" s="13">
        <f t="shared" si="7"/>
        <v>76</v>
      </c>
      <c r="V28" s="13">
        <f t="shared" si="7"/>
        <v>69</v>
      </c>
      <c r="W28" s="13">
        <f t="shared" si="3"/>
        <v>1750</v>
      </c>
    </row>
    <row r="29" ht="12.75" customHeight="1">
      <c r="A29" s="35"/>
      <c r="B29" s="27"/>
      <c r="C29" s="34"/>
      <c r="D29" s="13" t="s">
        <v>12</v>
      </c>
      <c r="E29" s="13">
        <f t="shared" ref="E29:V29" si="8">SUM(E20,E23,E26)</f>
        <v>121</v>
      </c>
      <c r="F29" s="13">
        <f t="shared" si="8"/>
        <v>123</v>
      </c>
      <c r="G29" s="13">
        <f t="shared" si="8"/>
        <v>110</v>
      </c>
      <c r="H29" s="13">
        <f t="shared" si="8"/>
        <v>113</v>
      </c>
      <c r="I29" s="13">
        <f t="shared" si="8"/>
        <v>101</v>
      </c>
      <c r="J29" s="13">
        <f t="shared" si="8"/>
        <v>91</v>
      </c>
      <c r="K29" s="13">
        <f t="shared" si="8"/>
        <v>102</v>
      </c>
      <c r="L29" s="13">
        <f t="shared" si="8"/>
        <v>97</v>
      </c>
      <c r="M29" s="13">
        <f t="shared" si="8"/>
        <v>100</v>
      </c>
      <c r="N29" s="13">
        <f t="shared" si="8"/>
        <v>101</v>
      </c>
      <c r="O29" s="13">
        <f t="shared" si="8"/>
        <v>115</v>
      </c>
      <c r="P29" s="13">
        <f t="shared" si="8"/>
        <v>114</v>
      </c>
      <c r="Q29" s="13">
        <f t="shared" si="8"/>
        <v>122</v>
      </c>
      <c r="R29" s="13">
        <f t="shared" si="8"/>
        <v>102</v>
      </c>
      <c r="S29" s="13">
        <f t="shared" si="8"/>
        <v>114</v>
      </c>
      <c r="T29" s="13">
        <f t="shared" si="8"/>
        <v>118</v>
      </c>
      <c r="U29" s="13">
        <f t="shared" si="8"/>
        <v>83</v>
      </c>
      <c r="V29" s="13">
        <f t="shared" si="8"/>
        <v>67</v>
      </c>
      <c r="W29" s="13">
        <f t="shared" si="3"/>
        <v>1894</v>
      </c>
    </row>
    <row r="30" ht="12.75" customHeight="1">
      <c r="A30" s="35"/>
      <c r="B30" s="28"/>
      <c r="C30" s="36"/>
      <c r="D30" s="13" t="s">
        <v>13</v>
      </c>
      <c r="E30" s="13">
        <f t="shared" ref="E30:V30" si="9">SUM(E28:E29)</f>
        <v>239</v>
      </c>
      <c r="F30" s="13">
        <f t="shared" si="9"/>
        <v>225</v>
      </c>
      <c r="G30" s="13">
        <f t="shared" si="9"/>
        <v>223</v>
      </c>
      <c r="H30" s="13">
        <f t="shared" si="9"/>
        <v>228</v>
      </c>
      <c r="I30" s="13">
        <f t="shared" si="9"/>
        <v>186</v>
      </c>
      <c r="J30" s="13">
        <f t="shared" si="9"/>
        <v>179</v>
      </c>
      <c r="K30" s="13">
        <f t="shared" si="9"/>
        <v>208</v>
      </c>
      <c r="L30" s="13">
        <f t="shared" si="9"/>
        <v>183</v>
      </c>
      <c r="M30" s="13">
        <f t="shared" si="9"/>
        <v>182</v>
      </c>
      <c r="N30" s="13">
        <f t="shared" si="9"/>
        <v>196</v>
      </c>
      <c r="O30" s="13">
        <f t="shared" si="9"/>
        <v>210</v>
      </c>
      <c r="P30" s="13">
        <f t="shared" si="9"/>
        <v>221</v>
      </c>
      <c r="Q30" s="13">
        <f t="shared" si="9"/>
        <v>222</v>
      </c>
      <c r="R30" s="13">
        <f t="shared" si="9"/>
        <v>210</v>
      </c>
      <c r="S30" s="13">
        <f t="shared" si="9"/>
        <v>210</v>
      </c>
      <c r="T30" s="13">
        <f t="shared" si="9"/>
        <v>227</v>
      </c>
      <c r="U30" s="13">
        <f t="shared" si="9"/>
        <v>159</v>
      </c>
      <c r="V30" s="13">
        <f t="shared" si="9"/>
        <v>136</v>
      </c>
      <c r="W30" s="13">
        <f t="shared" si="3"/>
        <v>3644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19"/>
      <c r="P31" s="19"/>
      <c r="Q31" s="19"/>
      <c r="R31" s="19"/>
      <c r="S31" s="59"/>
      <c r="T31" s="19"/>
      <c r="U31" s="19"/>
      <c r="V31" s="19"/>
      <c r="W31" s="60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13"/>
      <c r="P32" s="13"/>
      <c r="Q32" s="13"/>
      <c r="R32" s="13"/>
      <c r="S32" s="61"/>
      <c r="T32" s="13"/>
      <c r="U32" s="13"/>
      <c r="V32" s="13"/>
      <c r="W32" s="60"/>
    </row>
    <row r="33" ht="12.75" customHeight="1">
      <c r="A33" s="19">
        <v>1.0</v>
      </c>
      <c r="B33" s="20" t="s">
        <v>26</v>
      </c>
      <c r="C33" s="15"/>
      <c r="D33" s="16"/>
      <c r="E33" s="19">
        <v>298.0</v>
      </c>
      <c r="F33" s="19">
        <v>304.0</v>
      </c>
      <c r="G33" s="19">
        <v>298.0</v>
      </c>
      <c r="H33" s="19">
        <v>299.0</v>
      </c>
      <c r="I33" s="19">
        <v>259.0</v>
      </c>
      <c r="J33" s="19">
        <v>226.0</v>
      </c>
      <c r="K33" s="19">
        <v>257.0</v>
      </c>
      <c r="L33" s="19">
        <v>250.0</v>
      </c>
      <c r="M33" s="19">
        <v>257.0</v>
      </c>
      <c r="N33" s="19">
        <v>256.0</v>
      </c>
      <c r="O33" s="19">
        <v>291.0</v>
      </c>
      <c r="P33" s="19">
        <v>293.0</v>
      </c>
      <c r="Q33" s="19">
        <v>286.0</v>
      </c>
      <c r="R33" s="19">
        <v>288.0</v>
      </c>
      <c r="S33" s="19">
        <v>282.0</v>
      </c>
      <c r="T33" s="19">
        <v>286.0</v>
      </c>
      <c r="U33" s="19">
        <v>213.0</v>
      </c>
      <c r="V33" s="19">
        <v>170.0</v>
      </c>
      <c r="W33" s="13">
        <f t="shared" ref="W33:W36" si="10">SUM(E33:V33)</f>
        <v>4813</v>
      </c>
    </row>
    <row r="34" ht="12.75" customHeight="1">
      <c r="A34" s="19">
        <v>2.0</v>
      </c>
      <c r="B34" s="20" t="s">
        <v>27</v>
      </c>
      <c r="C34" s="15"/>
      <c r="D34" s="16"/>
      <c r="E34" s="13">
        <v>239.0</v>
      </c>
      <c r="F34" s="13">
        <v>225.0</v>
      </c>
      <c r="G34" s="13">
        <v>223.0</v>
      </c>
      <c r="H34" s="13">
        <v>228.0</v>
      </c>
      <c r="I34" s="13">
        <v>186.0</v>
      </c>
      <c r="J34" s="13">
        <v>179.0</v>
      </c>
      <c r="K34" s="13">
        <v>208.0</v>
      </c>
      <c r="L34" s="13">
        <v>183.0</v>
      </c>
      <c r="M34" s="13">
        <v>182.0</v>
      </c>
      <c r="N34" s="13">
        <v>196.0</v>
      </c>
      <c r="O34" s="13">
        <v>210.0</v>
      </c>
      <c r="P34" s="13">
        <v>221.0</v>
      </c>
      <c r="Q34" s="13">
        <v>222.0</v>
      </c>
      <c r="R34" s="13">
        <v>210.0</v>
      </c>
      <c r="S34" s="13">
        <v>210.0</v>
      </c>
      <c r="T34" s="13">
        <v>227.0</v>
      </c>
      <c r="U34" s="13">
        <v>159.0</v>
      </c>
      <c r="V34" s="13">
        <v>136.0</v>
      </c>
      <c r="W34" s="13">
        <f t="shared" si="10"/>
        <v>3644</v>
      </c>
    </row>
    <row r="35" ht="12.75" customHeight="1">
      <c r="A35" s="19">
        <v>3.0</v>
      </c>
      <c r="B35" s="20" t="s">
        <v>28</v>
      </c>
      <c r="C35" s="15"/>
      <c r="D35" s="16"/>
      <c r="E35" s="19">
        <v>1.0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3">
        <f t="shared" si="10"/>
        <v>1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V36" si="11">E33-(E34+E35)</f>
        <v>58</v>
      </c>
      <c r="F36" s="13">
        <f t="shared" si="11"/>
        <v>79</v>
      </c>
      <c r="G36" s="13">
        <f t="shared" si="11"/>
        <v>75</v>
      </c>
      <c r="H36" s="13">
        <f t="shared" si="11"/>
        <v>71</v>
      </c>
      <c r="I36" s="13">
        <f t="shared" si="11"/>
        <v>73</v>
      </c>
      <c r="J36" s="13">
        <f t="shared" si="11"/>
        <v>47</v>
      </c>
      <c r="K36" s="13">
        <f t="shared" si="11"/>
        <v>49</v>
      </c>
      <c r="L36" s="13">
        <f t="shared" si="11"/>
        <v>67</v>
      </c>
      <c r="M36" s="13">
        <f t="shared" si="11"/>
        <v>75</v>
      </c>
      <c r="N36" s="13">
        <f t="shared" si="11"/>
        <v>60</v>
      </c>
      <c r="O36" s="13">
        <f t="shared" si="11"/>
        <v>81</v>
      </c>
      <c r="P36" s="13">
        <f t="shared" si="11"/>
        <v>72</v>
      </c>
      <c r="Q36" s="13">
        <f t="shared" si="11"/>
        <v>64</v>
      </c>
      <c r="R36" s="13">
        <f t="shared" si="11"/>
        <v>78</v>
      </c>
      <c r="S36" s="13">
        <f t="shared" si="11"/>
        <v>72</v>
      </c>
      <c r="T36" s="13">
        <f t="shared" si="11"/>
        <v>59</v>
      </c>
      <c r="U36" s="13">
        <f t="shared" si="11"/>
        <v>54</v>
      </c>
      <c r="V36" s="13">
        <f t="shared" si="11"/>
        <v>34</v>
      </c>
      <c r="W36" s="13">
        <f t="shared" si="10"/>
        <v>1168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19"/>
      <c r="P37" s="19"/>
      <c r="Q37" s="19"/>
      <c r="R37" s="19"/>
      <c r="S37" s="59"/>
      <c r="T37" s="19"/>
      <c r="U37" s="19"/>
      <c r="V37" s="19"/>
      <c r="W37" s="60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13"/>
      <c r="P38" s="13"/>
      <c r="Q38" s="13"/>
      <c r="R38" s="13"/>
      <c r="S38" s="61"/>
      <c r="T38" s="13"/>
      <c r="U38" s="13"/>
      <c r="V38" s="13"/>
      <c r="W38" s="60"/>
    </row>
    <row r="39" ht="12.75" customHeight="1">
      <c r="A39" s="30"/>
      <c r="B39" s="43" t="s">
        <v>32</v>
      </c>
      <c r="C39" s="23"/>
      <c r="D39" s="19" t="s">
        <v>11</v>
      </c>
      <c r="E39" s="19">
        <v>0.0</v>
      </c>
      <c r="F39" s="19">
        <v>0.0</v>
      </c>
      <c r="G39" s="19">
        <v>0.0</v>
      </c>
      <c r="H39" s="19">
        <v>2.0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1.0</v>
      </c>
      <c r="Q39" s="19">
        <v>0.0</v>
      </c>
      <c r="R39" s="19">
        <v>0.0</v>
      </c>
      <c r="S39" s="19">
        <v>0.0</v>
      </c>
      <c r="T39" s="19">
        <v>1.0</v>
      </c>
      <c r="U39" s="19">
        <v>0.0</v>
      </c>
      <c r="V39" s="19">
        <v>0.0</v>
      </c>
      <c r="W39" s="13">
        <f t="shared" ref="W39:W41" si="12">SUM(E39:V39)</f>
        <v>4</v>
      </c>
    </row>
    <row r="40" ht="12.75" customHeight="1">
      <c r="A40" s="33"/>
      <c r="C40" s="27"/>
      <c r="D40" s="19" t="s">
        <v>12</v>
      </c>
      <c r="E40" s="19">
        <v>0.0</v>
      </c>
      <c r="F40" s="19">
        <v>0.0</v>
      </c>
      <c r="G40" s="19">
        <v>0.0</v>
      </c>
      <c r="H40" s="19">
        <v>1.0</v>
      </c>
      <c r="I40" s="19">
        <v>1.0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1.0</v>
      </c>
      <c r="Q40" s="19">
        <v>0.0</v>
      </c>
      <c r="R40" s="19">
        <v>0.0</v>
      </c>
      <c r="S40" s="19">
        <v>0.0</v>
      </c>
      <c r="T40" s="19">
        <v>1.0</v>
      </c>
      <c r="U40" s="19">
        <v>0.0</v>
      </c>
      <c r="V40" s="19">
        <v>0.0</v>
      </c>
      <c r="W40" s="13">
        <f t="shared" si="12"/>
        <v>4</v>
      </c>
    </row>
    <row r="41" ht="12.75" customHeight="1">
      <c r="A41" s="41"/>
      <c r="B41" s="44"/>
      <c r="C41" s="28"/>
      <c r="D41" s="13" t="s">
        <v>13</v>
      </c>
      <c r="E41" s="13">
        <f t="shared" ref="E41:V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3</v>
      </c>
      <c r="I41" s="13">
        <f t="shared" si="13"/>
        <v>1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2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2</v>
      </c>
      <c r="U41" s="13">
        <f t="shared" si="13"/>
        <v>0</v>
      </c>
      <c r="V41" s="13">
        <f t="shared" si="13"/>
        <v>0</v>
      </c>
      <c r="W41" s="13">
        <f t="shared" si="12"/>
        <v>8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19"/>
      <c r="Q42" s="19"/>
      <c r="R42" s="19"/>
      <c r="S42" s="59"/>
      <c r="T42" s="19"/>
      <c r="U42" s="19"/>
      <c r="V42" s="19"/>
      <c r="W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13"/>
      <c r="Q43" s="13"/>
      <c r="R43" s="13"/>
      <c r="S43" s="61"/>
      <c r="T43" s="13"/>
      <c r="U43" s="13"/>
      <c r="V43" s="13"/>
      <c r="W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19"/>
      <c r="Q44" s="19"/>
      <c r="R44" s="19"/>
      <c r="S44" s="59"/>
      <c r="T44" s="19"/>
      <c r="U44" s="19"/>
      <c r="V44" s="19"/>
      <c r="W44" s="13"/>
    </row>
    <row r="45" ht="12.75" customHeight="1">
      <c r="A45" s="62"/>
      <c r="B45" s="47">
        <v>1.0</v>
      </c>
      <c r="C45" s="48" t="s">
        <v>36</v>
      </c>
      <c r="D45" s="16"/>
      <c r="E45" s="19">
        <v>12.0</v>
      </c>
      <c r="F45" s="19">
        <v>16.0</v>
      </c>
      <c r="G45" s="19">
        <v>6.0</v>
      </c>
      <c r="H45" s="19">
        <v>21.0</v>
      </c>
      <c r="I45" s="19">
        <v>31.0</v>
      </c>
      <c r="J45" s="19">
        <v>22.0</v>
      </c>
      <c r="K45" s="19">
        <v>34.0</v>
      </c>
      <c r="L45" s="19">
        <v>27.0</v>
      </c>
      <c r="M45" s="19">
        <v>16.0</v>
      </c>
      <c r="N45" s="19">
        <v>11.0</v>
      </c>
      <c r="O45" s="19">
        <v>24.0</v>
      </c>
      <c r="P45" s="19">
        <v>24.0</v>
      </c>
      <c r="Q45" s="19">
        <v>26.0</v>
      </c>
      <c r="R45" s="19">
        <v>4.0</v>
      </c>
      <c r="S45" s="19">
        <v>20.0</v>
      </c>
      <c r="T45" s="19">
        <v>11.0</v>
      </c>
      <c r="U45" s="19">
        <v>20.0</v>
      </c>
      <c r="V45" s="19">
        <v>4.0</v>
      </c>
      <c r="W45" s="13">
        <f t="shared" ref="W45:W47" si="14">SUM(E45:V45)</f>
        <v>329</v>
      </c>
    </row>
    <row r="46" ht="12.75" customHeight="1">
      <c r="A46" s="18"/>
      <c r="B46" s="47">
        <v>2.0</v>
      </c>
      <c r="C46" s="48" t="s">
        <v>37</v>
      </c>
      <c r="D46" s="16"/>
      <c r="E46" s="19">
        <v>185.0</v>
      </c>
      <c r="F46" s="19">
        <v>151.0</v>
      </c>
      <c r="G46" s="19">
        <v>183.0</v>
      </c>
      <c r="H46" s="19">
        <v>190.0</v>
      </c>
      <c r="I46" s="19">
        <v>129.0</v>
      </c>
      <c r="J46" s="19">
        <v>130.0</v>
      </c>
      <c r="K46" s="19">
        <v>122.0</v>
      </c>
      <c r="L46" s="19">
        <v>118.0</v>
      </c>
      <c r="M46" s="19">
        <v>125.0</v>
      </c>
      <c r="N46" s="19">
        <v>166.0</v>
      </c>
      <c r="O46" s="19">
        <v>150.0</v>
      </c>
      <c r="P46" s="19">
        <v>142.0</v>
      </c>
      <c r="Q46" s="19">
        <v>166.0</v>
      </c>
      <c r="R46" s="19">
        <v>181.0</v>
      </c>
      <c r="S46" s="19">
        <v>141.0</v>
      </c>
      <c r="T46" s="19">
        <v>180.0</v>
      </c>
      <c r="U46" s="19">
        <v>108.0</v>
      </c>
      <c r="V46" s="19">
        <v>117.0</v>
      </c>
      <c r="W46" s="13">
        <f t="shared" si="14"/>
        <v>2684</v>
      </c>
    </row>
    <row r="47" ht="12.75" customHeight="1">
      <c r="A47" s="45"/>
      <c r="B47" s="47">
        <v>3.0</v>
      </c>
      <c r="C47" s="48" t="s">
        <v>38</v>
      </c>
      <c r="D47" s="16"/>
      <c r="E47" s="19">
        <v>37.0</v>
      </c>
      <c r="F47" s="19">
        <v>56.0</v>
      </c>
      <c r="G47" s="19">
        <v>27.0</v>
      </c>
      <c r="H47" s="19">
        <v>12.0</v>
      </c>
      <c r="I47" s="19">
        <v>24.0</v>
      </c>
      <c r="J47" s="19">
        <v>22.0</v>
      </c>
      <c r="K47" s="19">
        <v>43.0</v>
      </c>
      <c r="L47" s="19">
        <v>35.0</v>
      </c>
      <c r="M47" s="19">
        <v>38.0</v>
      </c>
      <c r="N47" s="19">
        <v>16.0</v>
      </c>
      <c r="O47" s="19">
        <v>30.0</v>
      </c>
      <c r="P47" s="19">
        <v>49.0</v>
      </c>
      <c r="Q47" s="19">
        <v>22.0</v>
      </c>
      <c r="R47" s="19">
        <v>23.0</v>
      </c>
      <c r="S47" s="19">
        <v>43.0</v>
      </c>
      <c r="T47" s="19">
        <v>26.0</v>
      </c>
      <c r="U47" s="19">
        <v>26.0</v>
      </c>
      <c r="V47" s="19">
        <v>14.0</v>
      </c>
      <c r="W47" s="13">
        <f t="shared" si="14"/>
        <v>543</v>
      </c>
    </row>
    <row r="48" ht="12.75" customHeight="1"/>
    <row r="49" ht="12.75" customHeight="1">
      <c r="A49" s="42" t="s">
        <v>39</v>
      </c>
      <c r="B49" s="14" t="s">
        <v>40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1"/>
      <c r="O49" s="13"/>
      <c r="P49" s="13"/>
      <c r="Q49" s="13"/>
      <c r="R49" s="13"/>
      <c r="S49" s="61"/>
      <c r="T49" s="13"/>
      <c r="U49" s="13"/>
      <c r="V49" s="13"/>
      <c r="W49" s="13"/>
    </row>
    <row r="50" ht="12.75" customHeight="1">
      <c r="A50" s="42"/>
      <c r="B50" s="54" t="s">
        <v>41</v>
      </c>
      <c r="C50" s="55" t="s">
        <v>42</v>
      </c>
      <c r="D50" s="16"/>
      <c r="E50" s="19">
        <f t="shared" ref="E50:S50" si="15">SUM(E45:E47)</f>
        <v>234</v>
      </c>
      <c r="F50" s="19">
        <f t="shared" si="15"/>
        <v>223</v>
      </c>
      <c r="G50" s="19">
        <f t="shared" si="15"/>
        <v>216</v>
      </c>
      <c r="H50" s="19">
        <f t="shared" si="15"/>
        <v>223</v>
      </c>
      <c r="I50" s="19">
        <f t="shared" si="15"/>
        <v>184</v>
      </c>
      <c r="J50" s="19">
        <f t="shared" si="15"/>
        <v>174</v>
      </c>
      <c r="K50" s="19">
        <f t="shared" si="15"/>
        <v>199</v>
      </c>
      <c r="L50" s="19">
        <f t="shared" si="15"/>
        <v>180</v>
      </c>
      <c r="M50" s="19">
        <f t="shared" si="15"/>
        <v>179</v>
      </c>
      <c r="N50" s="19">
        <f t="shared" si="15"/>
        <v>193</v>
      </c>
      <c r="O50" s="19">
        <f t="shared" si="15"/>
        <v>204</v>
      </c>
      <c r="P50" s="19">
        <f t="shared" si="15"/>
        <v>215</v>
      </c>
      <c r="Q50" s="19">
        <f t="shared" si="15"/>
        <v>214</v>
      </c>
      <c r="R50" s="19">
        <f t="shared" si="15"/>
        <v>208</v>
      </c>
      <c r="S50" s="19">
        <f t="shared" si="15"/>
        <v>204</v>
      </c>
      <c r="T50" s="19">
        <v>227.0</v>
      </c>
      <c r="U50" s="19">
        <v>154.0</v>
      </c>
      <c r="V50" s="19">
        <f>SUM(V45:V47)</f>
        <v>135</v>
      </c>
      <c r="W50" s="13">
        <f t="shared" ref="W50:W52" si="16">SUM(E50:V50)</f>
        <v>3566</v>
      </c>
    </row>
    <row r="51" ht="12.75" customHeight="1">
      <c r="A51" s="35"/>
      <c r="B51" s="54" t="s">
        <v>43</v>
      </c>
      <c r="C51" s="55" t="s">
        <v>44</v>
      </c>
      <c r="D51" s="16"/>
      <c r="E51" s="19">
        <v>5.0</v>
      </c>
      <c r="F51" s="19">
        <v>2.0</v>
      </c>
      <c r="G51" s="19">
        <v>7.0</v>
      </c>
      <c r="H51" s="19">
        <v>5.0</v>
      </c>
      <c r="I51" s="19">
        <v>2.0</v>
      </c>
      <c r="J51" s="19">
        <v>5.0</v>
      </c>
      <c r="K51" s="19">
        <v>9.0</v>
      </c>
      <c r="L51" s="19">
        <v>3.0</v>
      </c>
      <c r="M51" s="19">
        <v>3.0</v>
      </c>
      <c r="N51" s="19">
        <v>3.0</v>
      </c>
      <c r="O51" s="19">
        <v>6.0</v>
      </c>
      <c r="P51" s="19">
        <v>6.0</v>
      </c>
      <c r="Q51" s="19">
        <v>8.0</v>
      </c>
      <c r="R51" s="19">
        <v>2.0</v>
      </c>
      <c r="S51" s="19">
        <v>6.0</v>
      </c>
      <c r="T51" s="19">
        <v>0.0</v>
      </c>
      <c r="U51" s="19">
        <v>5.0</v>
      </c>
      <c r="V51" s="19">
        <v>1.0</v>
      </c>
      <c r="W51" s="13">
        <f t="shared" si="16"/>
        <v>78</v>
      </c>
    </row>
    <row r="52" ht="12.75" customHeight="1">
      <c r="A52" s="41"/>
      <c r="B52" s="54" t="s">
        <v>45</v>
      </c>
      <c r="C52" s="55" t="s">
        <v>46</v>
      </c>
      <c r="D52" s="16"/>
      <c r="E52" s="13">
        <f t="shared" ref="E52:V52" si="17">SUM(E50:E51)</f>
        <v>239</v>
      </c>
      <c r="F52" s="13">
        <f t="shared" si="17"/>
        <v>225</v>
      </c>
      <c r="G52" s="13">
        <f t="shared" si="17"/>
        <v>223</v>
      </c>
      <c r="H52" s="13">
        <f t="shared" si="17"/>
        <v>228</v>
      </c>
      <c r="I52" s="13">
        <f t="shared" si="17"/>
        <v>186</v>
      </c>
      <c r="J52" s="13">
        <f t="shared" si="17"/>
        <v>179</v>
      </c>
      <c r="K52" s="13">
        <f t="shared" si="17"/>
        <v>208</v>
      </c>
      <c r="L52" s="13">
        <f t="shared" si="17"/>
        <v>183</v>
      </c>
      <c r="M52" s="13">
        <f t="shared" si="17"/>
        <v>182</v>
      </c>
      <c r="N52" s="13">
        <f t="shared" si="17"/>
        <v>196</v>
      </c>
      <c r="O52" s="13">
        <f t="shared" si="17"/>
        <v>210</v>
      </c>
      <c r="P52" s="13">
        <f t="shared" si="17"/>
        <v>221</v>
      </c>
      <c r="Q52" s="13">
        <f t="shared" si="17"/>
        <v>222</v>
      </c>
      <c r="R52" s="13">
        <f t="shared" si="17"/>
        <v>210</v>
      </c>
      <c r="S52" s="13">
        <f t="shared" si="17"/>
        <v>210</v>
      </c>
      <c r="T52" s="13">
        <f t="shared" si="17"/>
        <v>227</v>
      </c>
      <c r="U52" s="13">
        <f t="shared" si="17"/>
        <v>159</v>
      </c>
      <c r="V52" s="13">
        <f t="shared" si="17"/>
        <v>136</v>
      </c>
      <c r="W52" s="13">
        <f t="shared" si="16"/>
        <v>3644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V12"/>
    <mergeCell ref="W12:W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V15 E45:V47">
    <cfRule type="containsBlanks" dxfId="1" priority="1">
      <formula>LEN(TRIM(E14))=0</formula>
    </cfRule>
  </conditionalFormatting>
  <conditionalFormatting sqref="E19:V20">
    <cfRule type="containsBlanks" dxfId="1" priority="2">
      <formula>LEN(TRIM(E19))=0</formula>
    </cfRule>
  </conditionalFormatting>
  <conditionalFormatting sqref="E22:V23 E25:V26 E33:V33 E35:V35 E39:V40">
    <cfRule type="containsBlanks" dxfId="1" priority="3">
      <formula>LEN(TRIM(E22))=0</formula>
    </cfRule>
  </conditionalFormatting>
  <conditionalFormatting sqref="E30:V30">
    <cfRule type="expression" dxfId="0" priority="4">
      <formula>E30&lt;&gt;E46</formula>
    </cfRule>
  </conditionalFormatting>
  <conditionalFormatting sqref="E30:V30">
    <cfRule type="expression" dxfId="0" priority="5">
      <formula>E30&lt;&gt;E34</formula>
    </cfRule>
  </conditionalFormatting>
  <conditionalFormatting sqref="E34:V34">
    <cfRule type="expression" dxfId="2" priority="6">
      <formula>E30&lt;&gt;E34</formula>
    </cfRule>
  </conditionalFormatting>
  <conditionalFormatting sqref="E34:V34">
    <cfRule type="expression" dxfId="3" priority="7">
      <formula>E30=E34</formula>
    </cfRule>
  </conditionalFormatting>
  <conditionalFormatting sqref="E34:V34">
    <cfRule type="expression" dxfId="0" priority="8">
      <formula>E34&lt;&gt;E30</formula>
    </cfRule>
  </conditionalFormatting>
  <conditionalFormatting sqref="E34:V34">
    <cfRule type="expression" dxfId="0" priority="9">
      <formula>E34&lt;&gt;#REF!</formula>
    </cfRule>
  </conditionalFormatting>
  <conditionalFormatting sqref="E50:V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7" width="8.71"/>
    <col customWidth="1" min="28" max="28" width="13.29"/>
  </cols>
  <sheetData>
    <row r="1" ht="12.75" customHeight="1"/>
    <row r="2" ht="12.75" customHeight="1">
      <c r="C2" s="8" t="s">
        <v>0</v>
      </c>
      <c r="D2" s="8"/>
    </row>
    <row r="3" ht="12.75" customHeight="1">
      <c r="C3" s="8" t="s">
        <v>1</v>
      </c>
      <c r="D3" s="8" t="s">
        <v>2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47</v>
      </c>
      <c r="D9" s="8"/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58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48</v>
      </c>
      <c r="F13" s="13" t="s">
        <v>49</v>
      </c>
      <c r="G13" s="13" t="s">
        <v>50</v>
      </c>
      <c r="H13" s="13" t="s">
        <v>51</v>
      </c>
      <c r="I13" s="13" t="s">
        <v>52</v>
      </c>
      <c r="J13" s="13" t="s">
        <v>53</v>
      </c>
      <c r="K13" s="13" t="s">
        <v>54</v>
      </c>
      <c r="L13" s="13" t="s">
        <v>55</v>
      </c>
      <c r="M13" s="13" t="s">
        <v>56</v>
      </c>
      <c r="N13" s="13" t="s">
        <v>57</v>
      </c>
      <c r="O13" s="13" t="s">
        <v>58</v>
      </c>
      <c r="P13" s="13" t="s">
        <v>59</v>
      </c>
      <c r="Q13" s="13" t="s">
        <v>60</v>
      </c>
      <c r="R13" s="13" t="s">
        <v>61</v>
      </c>
      <c r="S13" s="13" t="s">
        <v>62</v>
      </c>
      <c r="T13" s="13" t="s">
        <v>63</v>
      </c>
      <c r="U13" s="13" t="s">
        <v>64</v>
      </c>
      <c r="V13" s="13" t="s">
        <v>65</v>
      </c>
      <c r="W13" s="13" t="s">
        <v>66</v>
      </c>
      <c r="X13" s="13" t="s">
        <v>67</v>
      </c>
      <c r="Y13" s="13" t="s">
        <v>68</v>
      </c>
      <c r="Z13" s="13" t="s">
        <v>69</v>
      </c>
      <c r="AA13" s="13" t="s">
        <v>70</v>
      </c>
      <c r="AB13" s="36"/>
    </row>
    <row r="14" ht="12.75" customHeight="1">
      <c r="A14" s="18"/>
      <c r="B14" s="22" t="s">
        <v>10</v>
      </c>
      <c r="C14" s="23"/>
      <c r="D14" s="19" t="s">
        <v>11</v>
      </c>
      <c r="E14" s="19">
        <v>109.0</v>
      </c>
      <c r="F14" s="19">
        <v>118.0</v>
      </c>
      <c r="G14" s="19">
        <v>129.0</v>
      </c>
      <c r="H14" s="19">
        <v>125.0</v>
      </c>
      <c r="I14" s="19">
        <v>117.0</v>
      </c>
      <c r="J14" s="19">
        <v>132.0</v>
      </c>
      <c r="K14" s="19">
        <v>139.0</v>
      </c>
      <c r="L14" s="19">
        <v>132.0</v>
      </c>
      <c r="M14" s="19">
        <v>137.0</v>
      </c>
      <c r="N14" s="19">
        <v>140.0</v>
      </c>
      <c r="O14" s="19">
        <v>139.0</v>
      </c>
      <c r="P14" s="19">
        <v>128.0</v>
      </c>
      <c r="Q14" s="19">
        <v>127.0</v>
      </c>
      <c r="R14" s="19">
        <v>131.0</v>
      </c>
      <c r="S14" s="19">
        <v>83.0</v>
      </c>
      <c r="T14" s="19">
        <v>133.0</v>
      </c>
      <c r="U14" s="19">
        <v>139.0</v>
      </c>
      <c r="V14" s="19">
        <v>149.0</v>
      </c>
      <c r="W14" s="19">
        <v>140.0</v>
      </c>
      <c r="X14" s="19">
        <v>152.0</v>
      </c>
      <c r="Y14" s="19">
        <v>150.0</v>
      </c>
      <c r="Z14" s="19">
        <v>150.0</v>
      </c>
      <c r="AA14" s="19">
        <v>147.0</v>
      </c>
      <c r="AB14" s="13">
        <f t="shared" ref="AB14:AB16" si="1">SUM(E14:AA14)</f>
        <v>3046</v>
      </c>
    </row>
    <row r="15" ht="12.75" customHeight="1">
      <c r="A15" s="18"/>
      <c r="B15" s="26"/>
      <c r="C15" s="27"/>
      <c r="D15" s="19" t="s">
        <v>12</v>
      </c>
      <c r="E15" s="19">
        <v>118.0</v>
      </c>
      <c r="F15" s="19">
        <v>140.0</v>
      </c>
      <c r="G15" s="19">
        <v>133.0</v>
      </c>
      <c r="H15" s="19">
        <v>136.0</v>
      </c>
      <c r="I15" s="19">
        <v>140.0</v>
      </c>
      <c r="J15" s="19">
        <v>123.0</v>
      </c>
      <c r="K15" s="19">
        <v>131.0</v>
      </c>
      <c r="L15" s="19">
        <v>146.0</v>
      </c>
      <c r="M15" s="19">
        <v>141.0</v>
      </c>
      <c r="N15" s="19">
        <v>148.0</v>
      </c>
      <c r="O15" s="19">
        <v>135.0</v>
      </c>
      <c r="P15" s="19">
        <v>134.0</v>
      </c>
      <c r="Q15" s="19">
        <v>123.0</v>
      </c>
      <c r="R15" s="19">
        <v>117.0</v>
      </c>
      <c r="S15" s="19">
        <v>94.0</v>
      </c>
      <c r="T15" s="19">
        <v>151.0</v>
      </c>
      <c r="U15" s="19">
        <v>147.0</v>
      </c>
      <c r="V15" s="19">
        <v>139.0</v>
      </c>
      <c r="W15" s="19">
        <v>151.0</v>
      </c>
      <c r="X15" s="19">
        <v>144.0</v>
      </c>
      <c r="Y15" s="19">
        <v>144.0</v>
      </c>
      <c r="Z15" s="19">
        <v>148.0</v>
      </c>
      <c r="AA15" s="19">
        <v>146.0</v>
      </c>
      <c r="AB15" s="13">
        <f t="shared" si="1"/>
        <v>3129</v>
      </c>
    </row>
    <row r="16" ht="12.75" customHeight="1">
      <c r="A16" s="25"/>
      <c r="B16" s="21"/>
      <c r="C16" s="28"/>
      <c r="D16" s="13" t="s">
        <v>13</v>
      </c>
      <c r="E16" s="13">
        <f t="shared" ref="E16:AA16" si="2">SUM(E14:E15)</f>
        <v>227</v>
      </c>
      <c r="F16" s="13">
        <f t="shared" si="2"/>
        <v>258</v>
      </c>
      <c r="G16" s="13">
        <f t="shared" si="2"/>
        <v>262</v>
      </c>
      <c r="H16" s="13">
        <f t="shared" si="2"/>
        <v>261</v>
      </c>
      <c r="I16" s="13">
        <f t="shared" si="2"/>
        <v>257</v>
      </c>
      <c r="J16" s="13">
        <f t="shared" si="2"/>
        <v>255</v>
      </c>
      <c r="K16" s="13">
        <f t="shared" si="2"/>
        <v>270</v>
      </c>
      <c r="L16" s="13">
        <f t="shared" si="2"/>
        <v>278</v>
      </c>
      <c r="M16" s="13">
        <f t="shared" si="2"/>
        <v>278</v>
      </c>
      <c r="N16" s="13">
        <f t="shared" si="2"/>
        <v>288</v>
      </c>
      <c r="O16" s="13">
        <f t="shared" si="2"/>
        <v>274</v>
      </c>
      <c r="P16" s="13">
        <f t="shared" si="2"/>
        <v>262</v>
      </c>
      <c r="Q16" s="13">
        <f t="shared" si="2"/>
        <v>250</v>
      </c>
      <c r="R16" s="13">
        <f t="shared" si="2"/>
        <v>248</v>
      </c>
      <c r="S16" s="13">
        <f t="shared" si="2"/>
        <v>177</v>
      </c>
      <c r="T16" s="13">
        <f t="shared" si="2"/>
        <v>284</v>
      </c>
      <c r="U16" s="13">
        <f t="shared" si="2"/>
        <v>286</v>
      </c>
      <c r="V16" s="13">
        <f t="shared" si="2"/>
        <v>288</v>
      </c>
      <c r="W16" s="13">
        <f t="shared" si="2"/>
        <v>291</v>
      </c>
      <c r="X16" s="13">
        <f t="shared" si="2"/>
        <v>296</v>
      </c>
      <c r="Y16" s="13">
        <f t="shared" si="2"/>
        <v>294</v>
      </c>
      <c r="Z16" s="13">
        <f t="shared" si="2"/>
        <v>298</v>
      </c>
      <c r="AA16" s="13">
        <f t="shared" si="2"/>
        <v>293</v>
      </c>
      <c r="AB16" s="13">
        <f t="shared" si="1"/>
        <v>6175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19"/>
      <c r="P17" s="19"/>
      <c r="Q17" s="19"/>
      <c r="R17" s="19"/>
      <c r="S17" s="59"/>
      <c r="T17" s="19"/>
      <c r="U17" s="19"/>
      <c r="V17" s="19"/>
      <c r="W17" s="19"/>
      <c r="X17" s="59"/>
      <c r="Y17" s="19"/>
      <c r="Z17" s="19"/>
      <c r="AA17" s="19"/>
      <c r="AB17" s="60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19"/>
      <c r="P18" s="19"/>
      <c r="Q18" s="19"/>
      <c r="R18" s="19"/>
      <c r="S18" s="59"/>
      <c r="T18" s="19"/>
      <c r="U18" s="19"/>
      <c r="V18" s="19"/>
      <c r="W18" s="19"/>
      <c r="X18" s="59"/>
      <c r="Y18" s="19"/>
      <c r="Z18" s="19"/>
      <c r="AA18" s="19"/>
      <c r="AB18" s="60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95.0</v>
      </c>
      <c r="F19" s="19">
        <v>107.0</v>
      </c>
      <c r="G19" s="19">
        <v>92.0</v>
      </c>
      <c r="H19" s="19">
        <v>103.0</v>
      </c>
      <c r="I19" s="19">
        <v>96.0</v>
      </c>
      <c r="J19" s="19">
        <v>93.0</v>
      </c>
      <c r="K19" s="19">
        <v>100.0</v>
      </c>
      <c r="L19" s="19">
        <v>98.0</v>
      </c>
      <c r="M19" s="19">
        <v>94.0</v>
      </c>
      <c r="N19" s="19">
        <v>108.0</v>
      </c>
      <c r="O19" s="19">
        <v>97.0</v>
      </c>
      <c r="P19" s="19">
        <v>74.0</v>
      </c>
      <c r="Q19" s="19">
        <v>92.0</v>
      </c>
      <c r="R19" s="19">
        <v>100.0</v>
      </c>
      <c r="S19" s="19">
        <v>66.0</v>
      </c>
      <c r="T19" s="19">
        <v>83.0</v>
      </c>
      <c r="U19" s="19">
        <v>94.0</v>
      </c>
      <c r="V19" s="19">
        <v>103.0</v>
      </c>
      <c r="W19" s="19">
        <v>103.0</v>
      </c>
      <c r="X19" s="19">
        <v>122.0</v>
      </c>
      <c r="Y19" s="19">
        <v>117.0</v>
      </c>
      <c r="Z19" s="19">
        <v>121.0</v>
      </c>
      <c r="AA19" s="19">
        <v>108.0</v>
      </c>
      <c r="AB19" s="13">
        <f t="shared" ref="AB19:AB30" si="3">SUM(E19:AA19)</f>
        <v>2266</v>
      </c>
    </row>
    <row r="20" ht="12.75" customHeight="1">
      <c r="A20" s="33"/>
      <c r="B20" s="27"/>
      <c r="C20" s="34"/>
      <c r="D20" s="19" t="s">
        <v>12</v>
      </c>
      <c r="E20" s="19">
        <v>96.0</v>
      </c>
      <c r="F20" s="19">
        <v>87.0</v>
      </c>
      <c r="G20" s="19">
        <v>105.0</v>
      </c>
      <c r="H20" s="19">
        <v>107.0</v>
      </c>
      <c r="I20" s="19">
        <v>119.0</v>
      </c>
      <c r="J20" s="19">
        <v>106.0</v>
      </c>
      <c r="K20" s="19">
        <v>105.0</v>
      </c>
      <c r="L20" s="19">
        <v>117.0</v>
      </c>
      <c r="M20" s="19">
        <v>107.0</v>
      </c>
      <c r="N20" s="19">
        <v>120.0</v>
      </c>
      <c r="O20" s="19">
        <v>101.0</v>
      </c>
      <c r="P20" s="19">
        <v>88.0</v>
      </c>
      <c r="Q20" s="19">
        <v>93.0</v>
      </c>
      <c r="R20" s="19">
        <v>100.0</v>
      </c>
      <c r="S20" s="19">
        <v>81.0</v>
      </c>
      <c r="T20" s="19">
        <v>117.0</v>
      </c>
      <c r="U20" s="19">
        <v>116.0</v>
      </c>
      <c r="V20" s="19">
        <v>115.0</v>
      </c>
      <c r="W20" s="19">
        <v>120.0</v>
      </c>
      <c r="X20" s="19">
        <v>106.0</v>
      </c>
      <c r="Y20" s="19">
        <v>119.0</v>
      </c>
      <c r="Z20" s="19">
        <v>106.0</v>
      </c>
      <c r="AA20" s="19">
        <v>109.0</v>
      </c>
      <c r="AB20" s="13">
        <f t="shared" si="3"/>
        <v>2440</v>
      </c>
    </row>
    <row r="21" ht="12.75" customHeight="1">
      <c r="A21" s="35"/>
      <c r="B21" s="28"/>
      <c r="C21" s="36"/>
      <c r="D21" s="13" t="s">
        <v>13</v>
      </c>
      <c r="E21" s="13">
        <f t="shared" ref="E21:AA21" si="4">SUM(E19:E20)</f>
        <v>191</v>
      </c>
      <c r="F21" s="13">
        <f t="shared" si="4"/>
        <v>194</v>
      </c>
      <c r="G21" s="13">
        <f t="shared" si="4"/>
        <v>197</v>
      </c>
      <c r="H21" s="13">
        <f t="shared" si="4"/>
        <v>210</v>
      </c>
      <c r="I21" s="13">
        <f t="shared" si="4"/>
        <v>215</v>
      </c>
      <c r="J21" s="13">
        <f t="shared" si="4"/>
        <v>199</v>
      </c>
      <c r="K21" s="13">
        <f t="shared" si="4"/>
        <v>205</v>
      </c>
      <c r="L21" s="13">
        <f t="shared" si="4"/>
        <v>215</v>
      </c>
      <c r="M21" s="13">
        <f t="shared" si="4"/>
        <v>201</v>
      </c>
      <c r="N21" s="13">
        <f t="shared" si="4"/>
        <v>228</v>
      </c>
      <c r="O21" s="13">
        <f t="shared" si="4"/>
        <v>198</v>
      </c>
      <c r="P21" s="13">
        <f t="shared" si="4"/>
        <v>162</v>
      </c>
      <c r="Q21" s="13">
        <f t="shared" si="4"/>
        <v>185</v>
      </c>
      <c r="R21" s="13">
        <f t="shared" si="4"/>
        <v>200</v>
      </c>
      <c r="S21" s="13">
        <f t="shared" si="4"/>
        <v>147</v>
      </c>
      <c r="T21" s="13">
        <f t="shared" si="4"/>
        <v>200</v>
      </c>
      <c r="U21" s="13">
        <f t="shared" si="4"/>
        <v>210</v>
      </c>
      <c r="V21" s="13">
        <f t="shared" si="4"/>
        <v>218</v>
      </c>
      <c r="W21" s="13">
        <f t="shared" si="4"/>
        <v>223</v>
      </c>
      <c r="X21" s="13">
        <f t="shared" si="4"/>
        <v>228</v>
      </c>
      <c r="Y21" s="13">
        <f t="shared" si="4"/>
        <v>236</v>
      </c>
      <c r="Z21" s="13">
        <f t="shared" si="4"/>
        <v>227</v>
      </c>
      <c r="AA21" s="13">
        <f t="shared" si="4"/>
        <v>217</v>
      </c>
      <c r="AB21" s="13">
        <f t="shared" si="3"/>
        <v>4706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1.0</v>
      </c>
      <c r="O22" s="19">
        <v>1.0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3">
        <f t="shared" si="3"/>
        <v>2</v>
      </c>
    </row>
    <row r="23" ht="12.75" customHeight="1">
      <c r="A23" s="33"/>
      <c r="B23" s="27"/>
      <c r="C23" s="34"/>
      <c r="D23" s="19" t="s">
        <v>12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3">
        <f t="shared" si="3"/>
        <v>0</v>
      </c>
    </row>
    <row r="24" ht="12.75" customHeight="1">
      <c r="A24" s="35"/>
      <c r="B24" s="28"/>
      <c r="C24" s="36"/>
      <c r="D24" s="13" t="s">
        <v>13</v>
      </c>
      <c r="E24" s="13">
        <f t="shared" ref="E24:AA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1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3"/>
        <v>2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0.0</v>
      </c>
      <c r="F25" s="19">
        <v>0.0</v>
      </c>
      <c r="G25" s="19">
        <v>1.0</v>
      </c>
      <c r="H25" s="19">
        <v>3.0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9">
        <v>1.0</v>
      </c>
      <c r="T25" s="19">
        <v>2.0</v>
      </c>
      <c r="U25" s="19">
        <v>1.0</v>
      </c>
      <c r="V25" s="19">
        <v>1.0</v>
      </c>
      <c r="W25" s="19">
        <v>0.0</v>
      </c>
      <c r="X25" s="19">
        <v>0.0</v>
      </c>
      <c r="Y25" s="19">
        <v>2.0</v>
      </c>
      <c r="Z25" s="19">
        <v>1.0</v>
      </c>
      <c r="AA25" s="19">
        <v>0.0</v>
      </c>
      <c r="AB25" s="13">
        <f t="shared" si="3"/>
        <v>12</v>
      </c>
    </row>
    <row r="26" ht="12.75" customHeight="1">
      <c r="A26" s="33"/>
      <c r="B26" s="27"/>
      <c r="C26" s="34"/>
      <c r="D26" s="19" t="s">
        <v>12</v>
      </c>
      <c r="E26" s="19">
        <v>0.0</v>
      </c>
      <c r="F26" s="19">
        <v>0.0</v>
      </c>
      <c r="G26" s="19">
        <v>0.0</v>
      </c>
      <c r="H26" s="19">
        <v>1.0</v>
      </c>
      <c r="I26" s="19">
        <v>0.0</v>
      </c>
      <c r="J26" s="19">
        <v>0.0</v>
      </c>
      <c r="K26" s="19">
        <v>0.0</v>
      </c>
      <c r="L26" s="19">
        <v>1.0</v>
      </c>
      <c r="M26" s="19">
        <v>1.0</v>
      </c>
      <c r="N26" s="19">
        <v>1.0</v>
      </c>
      <c r="O26" s="19">
        <v>0.0</v>
      </c>
      <c r="P26" s="19">
        <v>0.0</v>
      </c>
      <c r="Q26" s="19">
        <v>0.0</v>
      </c>
      <c r="R26" s="19">
        <v>0.0</v>
      </c>
      <c r="S26" s="19">
        <v>1.0</v>
      </c>
      <c r="T26" s="19">
        <v>1.0</v>
      </c>
      <c r="U26" s="19">
        <v>0.0</v>
      </c>
      <c r="V26" s="19">
        <v>1.0</v>
      </c>
      <c r="W26" s="19">
        <v>1.0</v>
      </c>
      <c r="X26" s="19">
        <v>0.0</v>
      </c>
      <c r="Y26" s="19">
        <v>0.0</v>
      </c>
      <c r="Z26" s="19">
        <v>1.0</v>
      </c>
      <c r="AA26" s="19">
        <v>0.0</v>
      </c>
      <c r="AB26" s="13">
        <f t="shared" si="3"/>
        <v>9</v>
      </c>
    </row>
    <row r="27" ht="12.75" customHeight="1">
      <c r="A27" s="35"/>
      <c r="B27" s="28"/>
      <c r="C27" s="36"/>
      <c r="D27" s="13" t="s">
        <v>13</v>
      </c>
      <c r="E27" s="13">
        <f t="shared" ref="E27:AA27" si="6">SUM(E25:E26)</f>
        <v>0</v>
      </c>
      <c r="F27" s="13">
        <f t="shared" si="6"/>
        <v>0</v>
      </c>
      <c r="G27" s="13">
        <f t="shared" si="6"/>
        <v>1</v>
      </c>
      <c r="H27" s="13">
        <f t="shared" si="6"/>
        <v>4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1</v>
      </c>
      <c r="M27" s="13">
        <f t="shared" si="6"/>
        <v>1</v>
      </c>
      <c r="N27" s="13">
        <f t="shared" si="6"/>
        <v>1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2</v>
      </c>
      <c r="T27" s="13">
        <f t="shared" si="6"/>
        <v>3</v>
      </c>
      <c r="U27" s="13">
        <f t="shared" si="6"/>
        <v>1</v>
      </c>
      <c r="V27" s="13">
        <f t="shared" si="6"/>
        <v>2</v>
      </c>
      <c r="W27" s="13">
        <f t="shared" si="6"/>
        <v>1</v>
      </c>
      <c r="X27" s="13">
        <f t="shared" si="6"/>
        <v>0</v>
      </c>
      <c r="Y27" s="13">
        <f t="shared" si="6"/>
        <v>2</v>
      </c>
      <c r="Z27" s="13">
        <f t="shared" si="6"/>
        <v>2</v>
      </c>
      <c r="AA27" s="13">
        <f t="shared" si="6"/>
        <v>0</v>
      </c>
      <c r="AB27" s="13">
        <f t="shared" si="3"/>
        <v>21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AA28" si="7">SUM(E19,E22,E25)</f>
        <v>95</v>
      </c>
      <c r="F28" s="13">
        <f t="shared" si="7"/>
        <v>107</v>
      </c>
      <c r="G28" s="13">
        <f t="shared" si="7"/>
        <v>93</v>
      </c>
      <c r="H28" s="13">
        <f t="shared" si="7"/>
        <v>106</v>
      </c>
      <c r="I28" s="13">
        <f t="shared" si="7"/>
        <v>96</v>
      </c>
      <c r="J28" s="13">
        <f t="shared" si="7"/>
        <v>93</v>
      </c>
      <c r="K28" s="13">
        <f t="shared" si="7"/>
        <v>100</v>
      </c>
      <c r="L28" s="13">
        <f t="shared" si="7"/>
        <v>98</v>
      </c>
      <c r="M28" s="13">
        <f t="shared" si="7"/>
        <v>94</v>
      </c>
      <c r="N28" s="13">
        <f t="shared" si="7"/>
        <v>109</v>
      </c>
      <c r="O28" s="13">
        <f t="shared" si="7"/>
        <v>98</v>
      </c>
      <c r="P28" s="13">
        <f t="shared" si="7"/>
        <v>74</v>
      </c>
      <c r="Q28" s="13">
        <f t="shared" si="7"/>
        <v>92</v>
      </c>
      <c r="R28" s="13">
        <f t="shared" si="7"/>
        <v>100</v>
      </c>
      <c r="S28" s="13">
        <f t="shared" si="7"/>
        <v>67</v>
      </c>
      <c r="T28" s="13">
        <f t="shared" si="7"/>
        <v>85</v>
      </c>
      <c r="U28" s="13">
        <f t="shared" si="7"/>
        <v>95</v>
      </c>
      <c r="V28" s="13">
        <f t="shared" si="7"/>
        <v>104</v>
      </c>
      <c r="W28" s="13">
        <f t="shared" si="7"/>
        <v>103</v>
      </c>
      <c r="X28" s="13">
        <f t="shared" si="7"/>
        <v>122</v>
      </c>
      <c r="Y28" s="13">
        <f t="shared" si="7"/>
        <v>119</v>
      </c>
      <c r="Z28" s="13">
        <f t="shared" si="7"/>
        <v>122</v>
      </c>
      <c r="AA28" s="13">
        <f t="shared" si="7"/>
        <v>108</v>
      </c>
      <c r="AB28" s="13">
        <f t="shared" si="3"/>
        <v>2280</v>
      </c>
    </row>
    <row r="29" ht="12.75" customHeight="1">
      <c r="A29" s="35"/>
      <c r="B29" s="27"/>
      <c r="C29" s="34"/>
      <c r="D29" s="13" t="s">
        <v>12</v>
      </c>
      <c r="E29" s="13">
        <f t="shared" ref="E29:AA29" si="8">SUM(E20,E23,E26)</f>
        <v>96</v>
      </c>
      <c r="F29" s="13">
        <f t="shared" si="8"/>
        <v>87</v>
      </c>
      <c r="G29" s="13">
        <f t="shared" si="8"/>
        <v>105</v>
      </c>
      <c r="H29" s="13">
        <f t="shared" si="8"/>
        <v>108</v>
      </c>
      <c r="I29" s="13">
        <f t="shared" si="8"/>
        <v>119</v>
      </c>
      <c r="J29" s="13">
        <f t="shared" si="8"/>
        <v>106</v>
      </c>
      <c r="K29" s="13">
        <f t="shared" si="8"/>
        <v>105</v>
      </c>
      <c r="L29" s="13">
        <f t="shared" si="8"/>
        <v>118</v>
      </c>
      <c r="M29" s="13">
        <f t="shared" si="8"/>
        <v>108</v>
      </c>
      <c r="N29" s="13">
        <f t="shared" si="8"/>
        <v>121</v>
      </c>
      <c r="O29" s="13">
        <f t="shared" si="8"/>
        <v>101</v>
      </c>
      <c r="P29" s="13">
        <f t="shared" si="8"/>
        <v>88</v>
      </c>
      <c r="Q29" s="13">
        <f t="shared" si="8"/>
        <v>93</v>
      </c>
      <c r="R29" s="13">
        <f t="shared" si="8"/>
        <v>100</v>
      </c>
      <c r="S29" s="13">
        <f t="shared" si="8"/>
        <v>82</v>
      </c>
      <c r="T29" s="13">
        <f t="shared" si="8"/>
        <v>118</v>
      </c>
      <c r="U29" s="13">
        <f t="shared" si="8"/>
        <v>116</v>
      </c>
      <c r="V29" s="13">
        <f t="shared" si="8"/>
        <v>116</v>
      </c>
      <c r="W29" s="13">
        <f t="shared" si="8"/>
        <v>121</v>
      </c>
      <c r="X29" s="13">
        <f t="shared" si="8"/>
        <v>106</v>
      </c>
      <c r="Y29" s="13">
        <f t="shared" si="8"/>
        <v>119</v>
      </c>
      <c r="Z29" s="13">
        <f t="shared" si="8"/>
        <v>107</v>
      </c>
      <c r="AA29" s="13">
        <f t="shared" si="8"/>
        <v>109</v>
      </c>
      <c r="AB29" s="13">
        <f t="shared" si="3"/>
        <v>2449</v>
      </c>
    </row>
    <row r="30" ht="12.75" customHeight="1">
      <c r="A30" s="35"/>
      <c r="B30" s="28"/>
      <c r="C30" s="36"/>
      <c r="D30" s="13" t="s">
        <v>13</v>
      </c>
      <c r="E30" s="13">
        <f t="shared" ref="E30:AA30" si="9">SUM(E28:E29)</f>
        <v>191</v>
      </c>
      <c r="F30" s="13">
        <f t="shared" si="9"/>
        <v>194</v>
      </c>
      <c r="G30" s="13">
        <f t="shared" si="9"/>
        <v>198</v>
      </c>
      <c r="H30" s="13">
        <f t="shared" si="9"/>
        <v>214</v>
      </c>
      <c r="I30" s="13">
        <f t="shared" si="9"/>
        <v>215</v>
      </c>
      <c r="J30" s="13">
        <f t="shared" si="9"/>
        <v>199</v>
      </c>
      <c r="K30" s="13">
        <f t="shared" si="9"/>
        <v>205</v>
      </c>
      <c r="L30" s="13">
        <f t="shared" si="9"/>
        <v>216</v>
      </c>
      <c r="M30" s="13">
        <f t="shared" si="9"/>
        <v>202</v>
      </c>
      <c r="N30" s="13">
        <f t="shared" si="9"/>
        <v>230</v>
      </c>
      <c r="O30" s="13">
        <f t="shared" si="9"/>
        <v>199</v>
      </c>
      <c r="P30" s="13">
        <f t="shared" si="9"/>
        <v>162</v>
      </c>
      <c r="Q30" s="13">
        <f t="shared" si="9"/>
        <v>185</v>
      </c>
      <c r="R30" s="13">
        <f t="shared" si="9"/>
        <v>200</v>
      </c>
      <c r="S30" s="13">
        <f t="shared" si="9"/>
        <v>149</v>
      </c>
      <c r="T30" s="13">
        <f t="shared" si="9"/>
        <v>203</v>
      </c>
      <c r="U30" s="13">
        <f t="shared" si="9"/>
        <v>211</v>
      </c>
      <c r="V30" s="13">
        <f t="shared" si="9"/>
        <v>220</v>
      </c>
      <c r="W30" s="13">
        <f t="shared" si="9"/>
        <v>224</v>
      </c>
      <c r="X30" s="13">
        <f t="shared" si="9"/>
        <v>228</v>
      </c>
      <c r="Y30" s="13">
        <f t="shared" si="9"/>
        <v>238</v>
      </c>
      <c r="Z30" s="13">
        <f t="shared" si="9"/>
        <v>229</v>
      </c>
      <c r="AA30" s="13">
        <f t="shared" si="9"/>
        <v>217</v>
      </c>
      <c r="AB30" s="13">
        <f t="shared" si="3"/>
        <v>4729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19"/>
      <c r="P31" s="19"/>
      <c r="Q31" s="19"/>
      <c r="R31" s="19"/>
      <c r="S31" s="59"/>
      <c r="T31" s="19"/>
      <c r="U31" s="19"/>
      <c r="V31" s="19"/>
      <c r="W31" s="19"/>
      <c r="X31" s="59"/>
      <c r="Y31" s="19"/>
      <c r="Z31" s="19"/>
      <c r="AA31" s="19"/>
      <c r="AB31" s="60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13"/>
      <c r="P32" s="13"/>
      <c r="Q32" s="13"/>
      <c r="R32" s="13"/>
      <c r="S32" s="61"/>
      <c r="T32" s="13"/>
      <c r="U32" s="13"/>
      <c r="V32" s="13"/>
      <c r="W32" s="13"/>
      <c r="X32" s="61"/>
      <c r="Y32" s="13"/>
      <c r="Z32" s="13"/>
      <c r="AA32" s="13"/>
      <c r="AB32" s="60"/>
    </row>
    <row r="33" ht="12.75" customHeight="1">
      <c r="A33" s="19">
        <v>1.0</v>
      </c>
      <c r="B33" s="20" t="s">
        <v>26</v>
      </c>
      <c r="C33" s="15"/>
      <c r="D33" s="16"/>
      <c r="E33" s="19">
        <v>233.0</v>
      </c>
      <c r="F33" s="19">
        <v>259.0</v>
      </c>
      <c r="G33" s="19">
        <v>258.0</v>
      </c>
      <c r="H33" s="19">
        <v>259.0</v>
      </c>
      <c r="I33" s="19">
        <v>251.0</v>
      </c>
      <c r="J33" s="19">
        <v>250.0</v>
      </c>
      <c r="K33" s="19">
        <v>252.0</v>
      </c>
      <c r="L33" s="19">
        <v>284.0</v>
      </c>
      <c r="M33" s="19">
        <v>284.0</v>
      </c>
      <c r="N33" s="19">
        <v>295.0</v>
      </c>
      <c r="O33" s="19">
        <v>274.0</v>
      </c>
      <c r="P33" s="19">
        <v>267.0</v>
      </c>
      <c r="Q33" s="19">
        <v>256.0</v>
      </c>
      <c r="R33" s="19">
        <v>253.0</v>
      </c>
      <c r="S33" s="19">
        <v>181.0</v>
      </c>
      <c r="T33" s="19">
        <v>290.0</v>
      </c>
      <c r="U33" s="19">
        <v>315.0</v>
      </c>
      <c r="V33" s="19">
        <v>282.0</v>
      </c>
      <c r="W33" s="19">
        <v>298.0</v>
      </c>
      <c r="X33" s="19">
        <v>302.0</v>
      </c>
      <c r="Y33" s="19">
        <v>300.0</v>
      </c>
      <c r="Z33" s="19">
        <v>308.0</v>
      </c>
      <c r="AA33" s="19">
        <v>290.0</v>
      </c>
      <c r="AB33" s="13">
        <f t="shared" ref="AB33:AB36" si="10">SUM(E33:AA33)</f>
        <v>6241</v>
      </c>
    </row>
    <row r="34" ht="12.75" customHeight="1">
      <c r="A34" s="19">
        <v>2.0</v>
      </c>
      <c r="B34" s="20" t="s">
        <v>27</v>
      </c>
      <c r="C34" s="15"/>
      <c r="D34" s="16"/>
      <c r="E34" s="13">
        <v>191.0</v>
      </c>
      <c r="F34" s="13">
        <v>194.0</v>
      </c>
      <c r="G34" s="13">
        <v>198.0</v>
      </c>
      <c r="H34" s="13">
        <v>214.0</v>
      </c>
      <c r="I34" s="13">
        <v>215.0</v>
      </c>
      <c r="J34" s="13">
        <v>199.0</v>
      </c>
      <c r="K34" s="13">
        <v>205.0</v>
      </c>
      <c r="L34" s="13">
        <v>216.0</v>
      </c>
      <c r="M34" s="13">
        <v>202.0</v>
      </c>
      <c r="N34" s="13">
        <v>230.0</v>
      </c>
      <c r="O34" s="13">
        <v>199.0</v>
      </c>
      <c r="P34" s="13">
        <v>162.0</v>
      </c>
      <c r="Q34" s="13">
        <v>185.0</v>
      </c>
      <c r="R34" s="13">
        <v>200.0</v>
      </c>
      <c r="S34" s="13">
        <v>149.0</v>
      </c>
      <c r="T34" s="13">
        <v>203.0</v>
      </c>
      <c r="U34" s="13">
        <v>211.0</v>
      </c>
      <c r="V34" s="13">
        <v>220.0</v>
      </c>
      <c r="W34" s="13">
        <v>224.0</v>
      </c>
      <c r="X34" s="13">
        <v>228.0</v>
      </c>
      <c r="Y34" s="13">
        <v>238.0</v>
      </c>
      <c r="Z34" s="13">
        <v>229.0</v>
      </c>
      <c r="AA34" s="13">
        <v>217.0</v>
      </c>
      <c r="AB34" s="13">
        <f t="shared" si="10"/>
        <v>4729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0.0</v>
      </c>
      <c r="G35" s="19">
        <v>5.0</v>
      </c>
      <c r="H35" s="19">
        <v>0.0</v>
      </c>
      <c r="I35" s="19">
        <v>2.0</v>
      </c>
      <c r="J35" s="19">
        <v>2.0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9.0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3">
        <f t="shared" si="10"/>
        <v>18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AA36" si="11">E33-(E34+E35)</f>
        <v>42</v>
      </c>
      <c r="F36" s="13">
        <f t="shared" si="11"/>
        <v>65</v>
      </c>
      <c r="G36" s="13">
        <f t="shared" si="11"/>
        <v>55</v>
      </c>
      <c r="H36" s="13">
        <f t="shared" si="11"/>
        <v>45</v>
      </c>
      <c r="I36" s="13">
        <f t="shared" si="11"/>
        <v>34</v>
      </c>
      <c r="J36" s="13">
        <f t="shared" si="11"/>
        <v>49</v>
      </c>
      <c r="K36" s="13">
        <f t="shared" si="11"/>
        <v>47</v>
      </c>
      <c r="L36" s="13">
        <f t="shared" si="11"/>
        <v>68</v>
      </c>
      <c r="M36" s="13">
        <f t="shared" si="11"/>
        <v>82</v>
      </c>
      <c r="N36" s="13">
        <f t="shared" si="11"/>
        <v>65</v>
      </c>
      <c r="O36" s="13">
        <f t="shared" si="11"/>
        <v>75</v>
      </c>
      <c r="P36" s="13">
        <f t="shared" si="11"/>
        <v>105</v>
      </c>
      <c r="Q36" s="13">
        <f t="shared" si="11"/>
        <v>71</v>
      </c>
      <c r="R36" s="13">
        <f t="shared" si="11"/>
        <v>44</v>
      </c>
      <c r="S36" s="13">
        <f t="shared" si="11"/>
        <v>32</v>
      </c>
      <c r="T36" s="13">
        <f t="shared" si="11"/>
        <v>87</v>
      </c>
      <c r="U36" s="13">
        <f t="shared" si="11"/>
        <v>104</v>
      </c>
      <c r="V36" s="13">
        <f t="shared" si="11"/>
        <v>62</v>
      </c>
      <c r="W36" s="13">
        <f t="shared" si="11"/>
        <v>74</v>
      </c>
      <c r="X36" s="13">
        <f t="shared" si="11"/>
        <v>74</v>
      </c>
      <c r="Y36" s="13">
        <f t="shared" si="11"/>
        <v>62</v>
      </c>
      <c r="Z36" s="13">
        <f t="shared" si="11"/>
        <v>79</v>
      </c>
      <c r="AA36" s="13">
        <f t="shared" si="11"/>
        <v>73</v>
      </c>
      <c r="AB36" s="13">
        <f t="shared" si="10"/>
        <v>1494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19"/>
      <c r="P37" s="19"/>
      <c r="Q37" s="19"/>
      <c r="R37" s="19"/>
      <c r="S37" s="59"/>
      <c r="T37" s="19"/>
      <c r="U37" s="19"/>
      <c r="V37" s="19"/>
      <c r="W37" s="19"/>
      <c r="X37" s="59"/>
      <c r="Y37" s="19"/>
      <c r="Z37" s="19"/>
      <c r="AA37" s="19"/>
      <c r="AB37" s="60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13"/>
      <c r="P38" s="13"/>
      <c r="Q38" s="13"/>
      <c r="R38" s="13"/>
      <c r="S38" s="61"/>
      <c r="T38" s="13"/>
      <c r="U38" s="13"/>
      <c r="V38" s="13"/>
      <c r="W38" s="13"/>
      <c r="X38" s="61"/>
      <c r="Y38" s="13"/>
      <c r="Z38" s="13"/>
      <c r="AA38" s="13"/>
      <c r="AB38" s="60"/>
    </row>
    <row r="39" ht="12.75" customHeight="1">
      <c r="A39" s="30"/>
      <c r="B39" s="43" t="s">
        <v>32</v>
      </c>
      <c r="C39" s="23"/>
      <c r="D39" s="19" t="s">
        <v>11</v>
      </c>
      <c r="E39" s="19">
        <v>0.0</v>
      </c>
      <c r="F39" s="19">
        <v>0.0</v>
      </c>
      <c r="G39" s="19">
        <v>1.0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3">
        <f t="shared" ref="AB39:AB41" si="12">SUM(E39:AA39)</f>
        <v>1</v>
      </c>
    </row>
    <row r="40" ht="12.75" customHeight="1">
      <c r="A40" s="33"/>
      <c r="C40" s="27"/>
      <c r="D40" s="19" t="s">
        <v>12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1.0</v>
      </c>
      <c r="AB40" s="13">
        <f t="shared" si="12"/>
        <v>1</v>
      </c>
    </row>
    <row r="41" ht="12.75" customHeight="1">
      <c r="A41" s="41"/>
      <c r="B41" s="44"/>
      <c r="C41" s="28"/>
      <c r="D41" s="13" t="s">
        <v>13</v>
      </c>
      <c r="E41" s="13">
        <f t="shared" ref="E41:AA41" si="13">SUM(E39:E40)</f>
        <v>0</v>
      </c>
      <c r="F41" s="13">
        <f t="shared" si="13"/>
        <v>0</v>
      </c>
      <c r="G41" s="13">
        <f t="shared" si="13"/>
        <v>1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1</v>
      </c>
      <c r="AB41" s="13">
        <f t="shared" si="12"/>
        <v>2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19"/>
      <c r="Q42" s="19"/>
      <c r="R42" s="19"/>
      <c r="S42" s="59"/>
      <c r="T42" s="19"/>
      <c r="U42" s="19"/>
      <c r="V42" s="19"/>
      <c r="W42" s="19"/>
      <c r="X42" s="59"/>
      <c r="Y42" s="19"/>
      <c r="Z42" s="19"/>
      <c r="AA42" s="19"/>
      <c r="AB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13"/>
      <c r="Q43" s="13"/>
      <c r="R43" s="13"/>
      <c r="S43" s="61"/>
      <c r="T43" s="13"/>
      <c r="U43" s="13"/>
      <c r="V43" s="13"/>
      <c r="W43" s="13"/>
      <c r="X43" s="61"/>
      <c r="Y43" s="13"/>
      <c r="Z43" s="13"/>
      <c r="AA43" s="13"/>
      <c r="AB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19"/>
      <c r="Q44" s="19"/>
      <c r="R44" s="19"/>
      <c r="S44" s="59"/>
      <c r="T44" s="19"/>
      <c r="U44" s="19"/>
      <c r="V44" s="19"/>
      <c r="W44" s="19"/>
      <c r="X44" s="59"/>
      <c r="Y44" s="19"/>
      <c r="Z44" s="19"/>
      <c r="AA44" s="19"/>
      <c r="AB44" s="13"/>
    </row>
    <row r="45" ht="12.75" customHeight="1">
      <c r="A45" s="62"/>
      <c r="B45" s="47">
        <v>1.0</v>
      </c>
      <c r="C45" s="48" t="s">
        <v>36</v>
      </c>
      <c r="D45" s="16"/>
      <c r="E45" s="19">
        <v>8.0</v>
      </c>
      <c r="F45" s="19">
        <v>7.0</v>
      </c>
      <c r="G45" s="19">
        <v>6.0</v>
      </c>
      <c r="H45" s="19">
        <v>30.0</v>
      </c>
      <c r="I45" s="19">
        <v>19.0</v>
      </c>
      <c r="J45" s="19">
        <v>13.0</v>
      </c>
      <c r="K45" s="19">
        <v>8.0</v>
      </c>
      <c r="L45" s="19">
        <v>9.0</v>
      </c>
      <c r="M45" s="19">
        <v>15.0</v>
      </c>
      <c r="N45" s="19">
        <v>18.0</v>
      </c>
      <c r="O45" s="19">
        <v>11.0</v>
      </c>
      <c r="P45" s="19">
        <v>23.0</v>
      </c>
      <c r="Q45" s="19">
        <v>23.0</v>
      </c>
      <c r="R45" s="19">
        <v>11.0</v>
      </c>
      <c r="S45" s="19">
        <v>6.0</v>
      </c>
      <c r="T45" s="19">
        <v>23.0</v>
      </c>
      <c r="U45" s="19">
        <v>25.0</v>
      </c>
      <c r="V45" s="19">
        <v>31.0</v>
      </c>
      <c r="W45" s="19">
        <v>24.0</v>
      </c>
      <c r="X45" s="19">
        <v>3.0</v>
      </c>
      <c r="Y45" s="19">
        <v>4.0</v>
      </c>
      <c r="Z45" s="19">
        <v>10.0</v>
      </c>
      <c r="AA45" s="19">
        <v>12.0</v>
      </c>
      <c r="AB45" s="13">
        <f t="shared" ref="AB45:AB47" si="14">SUM(E45:AA45)</f>
        <v>339</v>
      </c>
    </row>
    <row r="46" ht="12.75" customHeight="1">
      <c r="A46" s="18"/>
      <c r="B46" s="47">
        <v>2.0</v>
      </c>
      <c r="C46" s="48" t="s">
        <v>37</v>
      </c>
      <c r="D46" s="16"/>
      <c r="E46" s="19">
        <v>141.0</v>
      </c>
      <c r="F46" s="19">
        <v>154.0</v>
      </c>
      <c r="G46" s="19">
        <v>147.0</v>
      </c>
      <c r="H46" s="19">
        <v>133.0</v>
      </c>
      <c r="I46" s="19">
        <v>165.0</v>
      </c>
      <c r="J46" s="19">
        <v>145.0</v>
      </c>
      <c r="K46" s="19">
        <v>146.0</v>
      </c>
      <c r="L46" s="19">
        <v>147.0</v>
      </c>
      <c r="M46" s="19">
        <v>136.0</v>
      </c>
      <c r="N46" s="19">
        <v>184.0</v>
      </c>
      <c r="O46" s="19">
        <v>145.0</v>
      </c>
      <c r="P46" s="19">
        <v>114.0</v>
      </c>
      <c r="Q46" s="19">
        <v>142.0</v>
      </c>
      <c r="R46" s="19">
        <v>164.0</v>
      </c>
      <c r="S46" s="19">
        <v>137.0</v>
      </c>
      <c r="T46" s="19">
        <v>128.0</v>
      </c>
      <c r="U46" s="19">
        <v>134.0</v>
      </c>
      <c r="V46" s="19">
        <v>124.0</v>
      </c>
      <c r="W46" s="19">
        <v>147.0</v>
      </c>
      <c r="X46" s="19">
        <v>160.0</v>
      </c>
      <c r="Y46" s="19">
        <v>167.0</v>
      </c>
      <c r="Z46" s="19">
        <v>184.0</v>
      </c>
      <c r="AA46" s="19">
        <v>158.0</v>
      </c>
      <c r="AB46" s="13">
        <f t="shared" si="14"/>
        <v>3402</v>
      </c>
    </row>
    <row r="47" ht="12.75" customHeight="1">
      <c r="A47" s="45"/>
      <c r="B47" s="47">
        <v>3.0</v>
      </c>
      <c r="C47" s="48" t="s">
        <v>38</v>
      </c>
      <c r="D47" s="16"/>
      <c r="E47" s="19">
        <v>29.0</v>
      </c>
      <c r="F47" s="19">
        <v>29.0</v>
      </c>
      <c r="G47" s="19">
        <v>41.0</v>
      </c>
      <c r="H47" s="19">
        <v>43.0</v>
      </c>
      <c r="I47" s="19">
        <v>26.0</v>
      </c>
      <c r="J47" s="19">
        <v>33.0</v>
      </c>
      <c r="K47" s="19">
        <v>50.0</v>
      </c>
      <c r="L47" s="19">
        <v>53.0</v>
      </c>
      <c r="M47" s="19">
        <v>46.0</v>
      </c>
      <c r="N47" s="19">
        <v>23.0</v>
      </c>
      <c r="O47" s="19">
        <v>32.0</v>
      </c>
      <c r="P47" s="19">
        <v>20.0</v>
      </c>
      <c r="Q47" s="19">
        <v>14.0</v>
      </c>
      <c r="R47" s="19">
        <v>24.0</v>
      </c>
      <c r="S47" s="19">
        <v>3.0</v>
      </c>
      <c r="T47" s="19">
        <v>47.0</v>
      </c>
      <c r="U47" s="19">
        <v>44.0</v>
      </c>
      <c r="V47" s="19">
        <v>61.0</v>
      </c>
      <c r="W47" s="19">
        <v>47.0</v>
      </c>
      <c r="X47" s="19">
        <v>63.0</v>
      </c>
      <c r="Y47" s="19">
        <v>56.0</v>
      </c>
      <c r="Z47" s="19">
        <v>27.0</v>
      </c>
      <c r="AA47" s="19">
        <v>42.0</v>
      </c>
      <c r="AB47" s="13">
        <f t="shared" si="14"/>
        <v>853</v>
      </c>
    </row>
    <row r="48" ht="12.75" customHeight="1"/>
    <row r="49" ht="12.75" customHeight="1">
      <c r="A49" s="42" t="s">
        <v>39</v>
      </c>
      <c r="B49" s="14" t="s">
        <v>40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1"/>
      <c r="O49" s="13"/>
      <c r="P49" s="13"/>
      <c r="Q49" s="13"/>
      <c r="R49" s="13"/>
      <c r="S49" s="61"/>
      <c r="T49" s="13"/>
      <c r="U49" s="13"/>
      <c r="V49" s="13"/>
      <c r="W49" s="13"/>
      <c r="X49" s="61"/>
      <c r="Y49" s="13"/>
      <c r="Z49" s="13"/>
      <c r="AA49" s="13"/>
      <c r="AB49" s="13"/>
    </row>
    <row r="50" ht="12.75" customHeight="1">
      <c r="A50" s="42"/>
      <c r="B50" s="54" t="s">
        <v>41</v>
      </c>
      <c r="C50" s="55" t="s">
        <v>42</v>
      </c>
      <c r="D50" s="16"/>
      <c r="E50" s="19">
        <f t="shared" ref="E50:AA50" si="15">SUM(E45:E47)</f>
        <v>178</v>
      </c>
      <c r="F50" s="19">
        <f t="shared" si="15"/>
        <v>190</v>
      </c>
      <c r="G50" s="19">
        <f t="shared" si="15"/>
        <v>194</v>
      </c>
      <c r="H50" s="19">
        <f t="shared" si="15"/>
        <v>206</v>
      </c>
      <c r="I50" s="19">
        <f t="shared" si="15"/>
        <v>210</v>
      </c>
      <c r="J50" s="19">
        <f t="shared" si="15"/>
        <v>191</v>
      </c>
      <c r="K50" s="19">
        <f t="shared" si="15"/>
        <v>204</v>
      </c>
      <c r="L50" s="19">
        <f t="shared" si="15"/>
        <v>209</v>
      </c>
      <c r="M50" s="19">
        <f t="shared" si="15"/>
        <v>197</v>
      </c>
      <c r="N50" s="19">
        <f t="shared" si="15"/>
        <v>225</v>
      </c>
      <c r="O50" s="19">
        <f t="shared" si="15"/>
        <v>188</v>
      </c>
      <c r="P50" s="19">
        <f t="shared" si="15"/>
        <v>157</v>
      </c>
      <c r="Q50" s="19">
        <f t="shared" si="15"/>
        <v>179</v>
      </c>
      <c r="R50" s="19">
        <f t="shared" si="15"/>
        <v>199</v>
      </c>
      <c r="S50" s="19">
        <f t="shared" si="15"/>
        <v>146</v>
      </c>
      <c r="T50" s="19">
        <f t="shared" si="15"/>
        <v>198</v>
      </c>
      <c r="U50" s="19">
        <f t="shared" si="15"/>
        <v>203</v>
      </c>
      <c r="V50" s="19">
        <f t="shared" si="15"/>
        <v>216</v>
      </c>
      <c r="W50" s="19">
        <f t="shared" si="15"/>
        <v>218</v>
      </c>
      <c r="X50" s="19">
        <f t="shared" si="15"/>
        <v>226</v>
      </c>
      <c r="Y50" s="19">
        <f t="shared" si="15"/>
        <v>227</v>
      </c>
      <c r="Z50" s="19">
        <f t="shared" si="15"/>
        <v>221</v>
      </c>
      <c r="AA50" s="19">
        <f t="shared" si="15"/>
        <v>212</v>
      </c>
      <c r="AB50" s="13">
        <f t="shared" ref="AB50:AB52" si="16">SUM(E50:AA50)</f>
        <v>4594</v>
      </c>
    </row>
    <row r="51" ht="12.75" customHeight="1">
      <c r="A51" s="35"/>
      <c r="B51" s="54" t="s">
        <v>43</v>
      </c>
      <c r="C51" s="55" t="s">
        <v>44</v>
      </c>
      <c r="D51" s="16"/>
      <c r="E51" s="19">
        <v>13.0</v>
      </c>
      <c r="F51" s="19">
        <v>4.0</v>
      </c>
      <c r="G51" s="19">
        <v>4.0</v>
      </c>
      <c r="H51" s="19">
        <v>8.0</v>
      </c>
      <c r="I51" s="19">
        <v>5.0</v>
      </c>
      <c r="J51" s="19">
        <v>8.0</v>
      </c>
      <c r="K51" s="19">
        <v>1.0</v>
      </c>
      <c r="L51" s="19">
        <v>7.0</v>
      </c>
      <c r="M51" s="19">
        <v>5.0</v>
      </c>
      <c r="N51" s="19">
        <v>5.0</v>
      </c>
      <c r="O51" s="19">
        <v>11.0</v>
      </c>
      <c r="P51" s="19">
        <v>5.0</v>
      </c>
      <c r="Q51" s="19">
        <v>6.0</v>
      </c>
      <c r="R51" s="19">
        <v>1.0</v>
      </c>
      <c r="S51" s="19">
        <v>3.0</v>
      </c>
      <c r="T51" s="19">
        <v>5.0</v>
      </c>
      <c r="U51" s="19">
        <v>8.0</v>
      </c>
      <c r="V51" s="19">
        <v>4.0</v>
      </c>
      <c r="W51" s="19">
        <v>6.0</v>
      </c>
      <c r="X51" s="19">
        <v>2.0</v>
      </c>
      <c r="Y51" s="19">
        <v>11.0</v>
      </c>
      <c r="Z51" s="19">
        <v>8.0</v>
      </c>
      <c r="AA51" s="19">
        <v>5.0</v>
      </c>
      <c r="AB51" s="13">
        <f t="shared" si="16"/>
        <v>135</v>
      </c>
    </row>
    <row r="52" ht="12.75" customHeight="1">
      <c r="A52" s="41"/>
      <c r="B52" s="54" t="s">
        <v>45</v>
      </c>
      <c r="C52" s="55" t="s">
        <v>46</v>
      </c>
      <c r="D52" s="16"/>
      <c r="E52" s="13">
        <f t="shared" ref="E52:AA52" si="17">SUM(E50:E51)</f>
        <v>191</v>
      </c>
      <c r="F52" s="13">
        <f t="shared" si="17"/>
        <v>194</v>
      </c>
      <c r="G52" s="13">
        <f t="shared" si="17"/>
        <v>198</v>
      </c>
      <c r="H52" s="13">
        <f t="shared" si="17"/>
        <v>214</v>
      </c>
      <c r="I52" s="13">
        <f t="shared" si="17"/>
        <v>215</v>
      </c>
      <c r="J52" s="13">
        <f t="shared" si="17"/>
        <v>199</v>
      </c>
      <c r="K52" s="13">
        <f t="shared" si="17"/>
        <v>205</v>
      </c>
      <c r="L52" s="13">
        <f t="shared" si="17"/>
        <v>216</v>
      </c>
      <c r="M52" s="13">
        <f t="shared" si="17"/>
        <v>202</v>
      </c>
      <c r="N52" s="13">
        <f t="shared" si="17"/>
        <v>230</v>
      </c>
      <c r="O52" s="13">
        <f t="shared" si="17"/>
        <v>199</v>
      </c>
      <c r="P52" s="13">
        <f t="shared" si="17"/>
        <v>162</v>
      </c>
      <c r="Q52" s="13">
        <f t="shared" si="17"/>
        <v>185</v>
      </c>
      <c r="R52" s="13">
        <f t="shared" si="17"/>
        <v>200</v>
      </c>
      <c r="S52" s="13">
        <f t="shared" si="17"/>
        <v>149</v>
      </c>
      <c r="T52" s="13">
        <f t="shared" si="17"/>
        <v>203</v>
      </c>
      <c r="U52" s="13">
        <f t="shared" si="17"/>
        <v>211</v>
      </c>
      <c r="V52" s="13">
        <f t="shared" si="17"/>
        <v>220</v>
      </c>
      <c r="W52" s="13">
        <f t="shared" si="17"/>
        <v>224</v>
      </c>
      <c r="X52" s="13">
        <f t="shared" si="17"/>
        <v>228</v>
      </c>
      <c r="Y52" s="13">
        <f t="shared" si="17"/>
        <v>238</v>
      </c>
      <c r="Z52" s="13">
        <f t="shared" si="17"/>
        <v>229</v>
      </c>
      <c r="AA52" s="13">
        <f t="shared" si="17"/>
        <v>217</v>
      </c>
      <c r="AB52" s="13">
        <f t="shared" si="16"/>
        <v>4729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A12"/>
    <mergeCell ref="AB12:AB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AA15 E45:AA47">
    <cfRule type="containsBlanks" dxfId="1" priority="1">
      <formula>LEN(TRIM(E14))=0</formula>
    </cfRule>
  </conditionalFormatting>
  <conditionalFormatting sqref="E19:AA20">
    <cfRule type="containsBlanks" dxfId="1" priority="2">
      <formula>LEN(TRIM(E19))=0</formula>
    </cfRule>
  </conditionalFormatting>
  <conditionalFormatting sqref="E22:AA23 E25:AA26 E33:AA33 E35:AA35 E39:AA40">
    <cfRule type="containsBlanks" dxfId="1" priority="3">
      <formula>LEN(TRIM(E22))=0</formula>
    </cfRule>
  </conditionalFormatting>
  <conditionalFormatting sqref="E30:AA30">
    <cfRule type="expression" dxfId="0" priority="4">
      <formula>E30&lt;&gt;E46</formula>
    </cfRule>
  </conditionalFormatting>
  <conditionalFormatting sqref="E30:AA30">
    <cfRule type="expression" dxfId="0" priority="5">
      <formula>E30&lt;&gt;E34</formula>
    </cfRule>
  </conditionalFormatting>
  <conditionalFormatting sqref="E34:AA34">
    <cfRule type="expression" dxfId="2" priority="6">
      <formula>E30&lt;&gt;E34</formula>
    </cfRule>
  </conditionalFormatting>
  <conditionalFormatting sqref="E34:AA34">
    <cfRule type="expression" dxfId="3" priority="7">
      <formula>E30=E34</formula>
    </cfRule>
  </conditionalFormatting>
  <conditionalFormatting sqref="E34:AA34">
    <cfRule type="expression" dxfId="0" priority="8">
      <formula>E34&lt;&gt;E30</formula>
    </cfRule>
  </conditionalFormatting>
  <conditionalFormatting sqref="E34:AA34">
    <cfRule type="expression" dxfId="0" priority="9">
      <formula>E34&lt;&gt;#REF!</formula>
    </cfRule>
  </conditionalFormatting>
  <conditionalFormatting sqref="E50:AA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3" width="8.71"/>
    <col customWidth="1" min="24" max="24" width="13.29"/>
  </cols>
  <sheetData>
    <row r="1" ht="12.75" customHeight="1"/>
    <row r="2" ht="12.75" customHeight="1">
      <c r="C2" s="8" t="s">
        <v>0</v>
      </c>
      <c r="D2" s="8"/>
    </row>
    <row r="3" ht="12.75" customHeight="1">
      <c r="C3" s="8" t="s">
        <v>1</v>
      </c>
      <c r="D3" s="8" t="s">
        <v>2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47</v>
      </c>
      <c r="D9" s="8"/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58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48</v>
      </c>
      <c r="F13" s="13" t="s">
        <v>49</v>
      </c>
      <c r="G13" s="13" t="s">
        <v>50</v>
      </c>
      <c r="H13" s="13" t="s">
        <v>51</v>
      </c>
      <c r="I13" s="13" t="s">
        <v>52</v>
      </c>
      <c r="J13" s="13" t="s">
        <v>53</v>
      </c>
      <c r="K13" s="13" t="s">
        <v>54</v>
      </c>
      <c r="L13" s="13" t="s">
        <v>55</v>
      </c>
      <c r="M13" s="13" t="s">
        <v>56</v>
      </c>
      <c r="N13" s="13" t="s">
        <v>57</v>
      </c>
      <c r="O13" s="13" t="s">
        <v>58</v>
      </c>
      <c r="P13" s="13" t="s">
        <v>59</v>
      </c>
      <c r="Q13" s="13" t="s">
        <v>60</v>
      </c>
      <c r="R13" s="13" t="s">
        <v>61</v>
      </c>
      <c r="S13" s="13" t="s">
        <v>62</v>
      </c>
      <c r="T13" s="13" t="s">
        <v>63</v>
      </c>
      <c r="U13" s="13" t="s">
        <v>64</v>
      </c>
      <c r="V13" s="13" t="s">
        <v>65</v>
      </c>
      <c r="W13" s="13" t="s">
        <v>66</v>
      </c>
      <c r="X13" s="36"/>
    </row>
    <row r="14" ht="12.75" customHeight="1">
      <c r="A14" s="18"/>
      <c r="B14" s="22" t="s">
        <v>10</v>
      </c>
      <c r="C14" s="23"/>
      <c r="D14" s="19" t="s">
        <v>11</v>
      </c>
      <c r="E14" s="19">
        <v>141.0</v>
      </c>
      <c r="F14" s="19">
        <v>142.0</v>
      </c>
      <c r="G14" s="19">
        <v>143.0</v>
      </c>
      <c r="H14" s="19">
        <v>153.0</v>
      </c>
      <c r="I14" s="19">
        <v>149.0</v>
      </c>
      <c r="J14" s="19">
        <v>150.0</v>
      </c>
      <c r="K14" s="19">
        <v>144.0</v>
      </c>
      <c r="L14" s="19">
        <v>146.0</v>
      </c>
      <c r="M14" s="19">
        <v>145.0</v>
      </c>
      <c r="N14" s="19">
        <v>141.0</v>
      </c>
      <c r="O14" s="19">
        <v>79.0</v>
      </c>
      <c r="P14" s="19">
        <v>83.0</v>
      </c>
      <c r="Q14" s="19">
        <v>82.0</v>
      </c>
      <c r="R14" s="19">
        <v>83.0</v>
      </c>
      <c r="S14" s="19">
        <v>141.0</v>
      </c>
      <c r="T14" s="19">
        <v>129.0</v>
      </c>
      <c r="U14" s="19">
        <v>154.0</v>
      </c>
      <c r="V14" s="19">
        <v>101.0</v>
      </c>
      <c r="W14" s="19">
        <v>141.0</v>
      </c>
      <c r="X14" s="13">
        <f t="shared" ref="X14:X16" si="1">SUM(E14:W14)</f>
        <v>2447</v>
      </c>
    </row>
    <row r="15" ht="12.75" customHeight="1">
      <c r="A15" s="18"/>
      <c r="B15" s="26"/>
      <c r="C15" s="27"/>
      <c r="D15" s="19" t="s">
        <v>12</v>
      </c>
      <c r="E15" s="19">
        <v>141.0</v>
      </c>
      <c r="F15" s="19">
        <v>154.0</v>
      </c>
      <c r="G15" s="19">
        <v>147.0</v>
      </c>
      <c r="H15" s="19">
        <v>140.0</v>
      </c>
      <c r="I15" s="19">
        <v>142.0</v>
      </c>
      <c r="J15" s="19">
        <v>145.0</v>
      </c>
      <c r="K15" s="19">
        <v>148.0</v>
      </c>
      <c r="L15" s="19">
        <v>150.0</v>
      </c>
      <c r="M15" s="19">
        <v>149.0</v>
      </c>
      <c r="N15" s="19">
        <v>127.0</v>
      </c>
      <c r="O15" s="19">
        <v>84.0</v>
      </c>
      <c r="P15" s="19">
        <v>90.0</v>
      </c>
      <c r="Q15" s="19">
        <v>87.0</v>
      </c>
      <c r="R15" s="19">
        <v>89.0</v>
      </c>
      <c r="S15" s="19">
        <v>151.0</v>
      </c>
      <c r="T15" s="19">
        <v>157.0</v>
      </c>
      <c r="U15" s="19">
        <v>145.0</v>
      </c>
      <c r="V15" s="19">
        <v>112.0</v>
      </c>
      <c r="W15" s="19">
        <v>155.0</v>
      </c>
      <c r="X15" s="13">
        <f t="shared" si="1"/>
        <v>2513</v>
      </c>
    </row>
    <row r="16" ht="12.75" customHeight="1">
      <c r="A16" s="25"/>
      <c r="B16" s="21"/>
      <c r="C16" s="28"/>
      <c r="D16" s="13" t="s">
        <v>13</v>
      </c>
      <c r="E16" s="13">
        <f t="shared" ref="E16:W16" si="2">SUM(E14:E15)</f>
        <v>282</v>
      </c>
      <c r="F16" s="13">
        <f t="shared" si="2"/>
        <v>296</v>
      </c>
      <c r="G16" s="13">
        <f t="shared" si="2"/>
        <v>290</v>
      </c>
      <c r="H16" s="13">
        <f t="shared" si="2"/>
        <v>293</v>
      </c>
      <c r="I16" s="13">
        <f t="shared" si="2"/>
        <v>291</v>
      </c>
      <c r="J16" s="13">
        <f t="shared" si="2"/>
        <v>295</v>
      </c>
      <c r="K16" s="13">
        <f t="shared" si="2"/>
        <v>292</v>
      </c>
      <c r="L16" s="13">
        <f t="shared" si="2"/>
        <v>296</v>
      </c>
      <c r="M16" s="13">
        <f t="shared" si="2"/>
        <v>294</v>
      </c>
      <c r="N16" s="13">
        <f t="shared" si="2"/>
        <v>268</v>
      </c>
      <c r="O16" s="13">
        <f t="shared" si="2"/>
        <v>163</v>
      </c>
      <c r="P16" s="13">
        <f t="shared" si="2"/>
        <v>173</v>
      </c>
      <c r="Q16" s="13">
        <f t="shared" si="2"/>
        <v>169</v>
      </c>
      <c r="R16" s="13">
        <f t="shared" si="2"/>
        <v>172</v>
      </c>
      <c r="S16" s="13">
        <f t="shared" si="2"/>
        <v>292</v>
      </c>
      <c r="T16" s="13">
        <f t="shared" si="2"/>
        <v>286</v>
      </c>
      <c r="U16" s="13">
        <f t="shared" si="2"/>
        <v>299</v>
      </c>
      <c r="V16" s="13">
        <f t="shared" si="2"/>
        <v>213</v>
      </c>
      <c r="W16" s="13">
        <f t="shared" si="2"/>
        <v>296</v>
      </c>
      <c r="X16" s="13">
        <f t="shared" si="1"/>
        <v>4960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19"/>
      <c r="P17" s="19"/>
      <c r="Q17" s="19"/>
      <c r="R17" s="19"/>
      <c r="S17" s="59"/>
      <c r="T17" s="19"/>
      <c r="U17" s="19"/>
      <c r="V17" s="19"/>
      <c r="W17" s="19"/>
      <c r="X17" s="60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19"/>
      <c r="P18" s="19"/>
      <c r="Q18" s="19"/>
      <c r="R18" s="19"/>
      <c r="S18" s="59"/>
      <c r="T18" s="19"/>
      <c r="U18" s="19"/>
      <c r="V18" s="19"/>
      <c r="W18" s="19"/>
      <c r="X18" s="60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104.0</v>
      </c>
      <c r="F19" s="19">
        <v>109.0</v>
      </c>
      <c r="G19" s="19">
        <v>106.0</v>
      </c>
      <c r="H19" s="19">
        <v>110.0</v>
      </c>
      <c r="I19" s="19">
        <v>113.0</v>
      </c>
      <c r="J19" s="19">
        <v>117.0</v>
      </c>
      <c r="K19" s="19">
        <v>95.0</v>
      </c>
      <c r="L19" s="19">
        <v>120.0</v>
      </c>
      <c r="M19" s="19">
        <v>117.0</v>
      </c>
      <c r="N19" s="19">
        <v>102.0</v>
      </c>
      <c r="O19" s="19">
        <v>63.0</v>
      </c>
      <c r="P19" s="19">
        <v>64.0</v>
      </c>
      <c r="Q19" s="19">
        <v>69.0</v>
      </c>
      <c r="R19" s="19">
        <v>70.0</v>
      </c>
      <c r="S19" s="19">
        <v>123.0</v>
      </c>
      <c r="T19" s="19">
        <v>98.0</v>
      </c>
      <c r="U19" s="19">
        <v>119.0</v>
      </c>
      <c r="V19" s="19">
        <v>78.0</v>
      </c>
      <c r="W19" s="19">
        <v>83.0</v>
      </c>
      <c r="X19" s="13">
        <f t="shared" ref="X19:X30" si="3">SUM(E19:W19)</f>
        <v>1860</v>
      </c>
    </row>
    <row r="20" ht="12.75" customHeight="1">
      <c r="A20" s="33"/>
      <c r="B20" s="27"/>
      <c r="C20" s="34"/>
      <c r="D20" s="19" t="s">
        <v>12</v>
      </c>
      <c r="E20" s="19">
        <v>115.0</v>
      </c>
      <c r="F20" s="19">
        <v>123.0</v>
      </c>
      <c r="G20" s="19">
        <v>123.0</v>
      </c>
      <c r="H20" s="19">
        <v>116.0</v>
      </c>
      <c r="I20" s="19">
        <v>120.0</v>
      </c>
      <c r="J20" s="19">
        <v>112.0</v>
      </c>
      <c r="K20" s="19">
        <v>110.0</v>
      </c>
      <c r="L20" s="19">
        <v>122.0</v>
      </c>
      <c r="M20" s="19">
        <v>116.0</v>
      </c>
      <c r="N20" s="19">
        <v>101.0</v>
      </c>
      <c r="O20" s="19">
        <v>72.0</v>
      </c>
      <c r="P20" s="19">
        <v>79.0</v>
      </c>
      <c r="Q20" s="19">
        <v>73.0</v>
      </c>
      <c r="R20" s="19">
        <v>80.0</v>
      </c>
      <c r="S20" s="19">
        <v>136.0</v>
      </c>
      <c r="T20" s="19">
        <v>128.0</v>
      </c>
      <c r="U20" s="19">
        <v>108.0</v>
      </c>
      <c r="V20" s="19">
        <v>89.0</v>
      </c>
      <c r="W20" s="19">
        <v>104.0</v>
      </c>
      <c r="X20" s="13">
        <f t="shared" si="3"/>
        <v>2027</v>
      </c>
    </row>
    <row r="21" ht="12.75" customHeight="1">
      <c r="A21" s="35"/>
      <c r="B21" s="28"/>
      <c r="C21" s="36"/>
      <c r="D21" s="13" t="s">
        <v>13</v>
      </c>
      <c r="E21" s="13">
        <f t="shared" ref="E21:W21" si="4">SUM(E19:E20)</f>
        <v>219</v>
      </c>
      <c r="F21" s="13">
        <f t="shared" si="4"/>
        <v>232</v>
      </c>
      <c r="G21" s="13">
        <f t="shared" si="4"/>
        <v>229</v>
      </c>
      <c r="H21" s="13">
        <f t="shared" si="4"/>
        <v>226</v>
      </c>
      <c r="I21" s="13">
        <f t="shared" si="4"/>
        <v>233</v>
      </c>
      <c r="J21" s="13">
        <f t="shared" si="4"/>
        <v>229</v>
      </c>
      <c r="K21" s="13">
        <f t="shared" si="4"/>
        <v>205</v>
      </c>
      <c r="L21" s="13">
        <f t="shared" si="4"/>
        <v>242</v>
      </c>
      <c r="M21" s="13">
        <f t="shared" si="4"/>
        <v>233</v>
      </c>
      <c r="N21" s="13">
        <f t="shared" si="4"/>
        <v>203</v>
      </c>
      <c r="O21" s="13">
        <f t="shared" si="4"/>
        <v>135</v>
      </c>
      <c r="P21" s="13">
        <f t="shared" si="4"/>
        <v>143</v>
      </c>
      <c r="Q21" s="13">
        <f t="shared" si="4"/>
        <v>142</v>
      </c>
      <c r="R21" s="13">
        <f t="shared" si="4"/>
        <v>150</v>
      </c>
      <c r="S21" s="13">
        <f t="shared" si="4"/>
        <v>259</v>
      </c>
      <c r="T21" s="13">
        <f t="shared" si="4"/>
        <v>226</v>
      </c>
      <c r="U21" s="13">
        <f t="shared" si="4"/>
        <v>227</v>
      </c>
      <c r="V21" s="13">
        <f t="shared" si="4"/>
        <v>167</v>
      </c>
      <c r="W21" s="13">
        <f t="shared" si="4"/>
        <v>187</v>
      </c>
      <c r="X21" s="13">
        <f t="shared" si="3"/>
        <v>3887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2.0</v>
      </c>
      <c r="V22" s="19">
        <v>0.0</v>
      </c>
      <c r="W22" s="19">
        <v>0.0</v>
      </c>
      <c r="X22" s="13">
        <f t="shared" si="3"/>
        <v>2</v>
      </c>
    </row>
    <row r="23" ht="12.75" customHeight="1">
      <c r="A23" s="33"/>
      <c r="B23" s="27"/>
      <c r="C23" s="34"/>
      <c r="D23" s="19" t="s">
        <v>12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1.0</v>
      </c>
      <c r="V23" s="19">
        <v>0.0</v>
      </c>
      <c r="W23" s="19">
        <v>0.0</v>
      </c>
      <c r="X23" s="13">
        <f t="shared" si="3"/>
        <v>1</v>
      </c>
    </row>
    <row r="24" ht="12.75" customHeight="1">
      <c r="A24" s="35"/>
      <c r="B24" s="28"/>
      <c r="C24" s="36"/>
      <c r="D24" s="13" t="s">
        <v>13</v>
      </c>
      <c r="E24" s="13">
        <f t="shared" ref="E24:W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3</v>
      </c>
      <c r="V24" s="13">
        <f t="shared" si="5"/>
        <v>0</v>
      </c>
      <c r="W24" s="13">
        <f t="shared" si="5"/>
        <v>0</v>
      </c>
      <c r="X24" s="13">
        <f t="shared" si="3"/>
        <v>3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2.0</v>
      </c>
      <c r="F25" s="19">
        <v>0.0</v>
      </c>
      <c r="G25" s="19">
        <v>0.0</v>
      </c>
      <c r="H25" s="19">
        <v>3.0</v>
      </c>
      <c r="I25" s="19">
        <v>1.0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1.0</v>
      </c>
      <c r="P25" s="19">
        <v>0.0</v>
      </c>
      <c r="Q25" s="19">
        <v>0.0</v>
      </c>
      <c r="R25" s="19">
        <v>0.0</v>
      </c>
      <c r="S25" s="19">
        <v>2.0</v>
      </c>
      <c r="T25" s="19">
        <v>0.0</v>
      </c>
      <c r="U25" s="19">
        <v>2.0</v>
      </c>
      <c r="V25" s="19">
        <v>0.0</v>
      </c>
      <c r="W25" s="19">
        <v>0.0</v>
      </c>
      <c r="X25" s="13">
        <f t="shared" si="3"/>
        <v>11</v>
      </c>
    </row>
    <row r="26" ht="12.75" customHeight="1">
      <c r="A26" s="33"/>
      <c r="B26" s="27"/>
      <c r="C26" s="34"/>
      <c r="D26" s="19" t="s">
        <v>12</v>
      </c>
      <c r="E26" s="19">
        <v>3.0</v>
      </c>
      <c r="F26" s="19">
        <v>0.0</v>
      </c>
      <c r="G26" s="19">
        <v>0.0</v>
      </c>
      <c r="H26" s="19">
        <v>1.0</v>
      </c>
      <c r="I26" s="19">
        <v>0.0</v>
      </c>
      <c r="J26" s="19">
        <v>0.0</v>
      </c>
      <c r="K26" s="19">
        <v>0.0</v>
      </c>
      <c r="L26" s="19">
        <v>0.0</v>
      </c>
      <c r="M26" s="19">
        <v>0.0</v>
      </c>
      <c r="N26" s="19">
        <v>0.0</v>
      </c>
      <c r="O26" s="19">
        <v>0.0</v>
      </c>
      <c r="P26" s="19">
        <v>0.0</v>
      </c>
      <c r="Q26" s="19">
        <v>1.0</v>
      </c>
      <c r="R26" s="19">
        <v>0.0</v>
      </c>
      <c r="S26" s="19">
        <v>5.0</v>
      </c>
      <c r="T26" s="19">
        <v>0.0</v>
      </c>
      <c r="U26" s="19">
        <v>0.0</v>
      </c>
      <c r="V26" s="19">
        <v>0.0</v>
      </c>
      <c r="W26" s="19">
        <v>0.0</v>
      </c>
      <c r="X26" s="13">
        <f t="shared" si="3"/>
        <v>10</v>
      </c>
    </row>
    <row r="27" ht="12.75" customHeight="1">
      <c r="A27" s="35"/>
      <c r="B27" s="28"/>
      <c r="C27" s="36"/>
      <c r="D27" s="13" t="s">
        <v>13</v>
      </c>
      <c r="E27" s="13">
        <f t="shared" ref="E27:W27" si="6">SUM(E25:E26)</f>
        <v>5</v>
      </c>
      <c r="F27" s="13">
        <f t="shared" si="6"/>
        <v>0</v>
      </c>
      <c r="G27" s="13">
        <f t="shared" si="6"/>
        <v>0</v>
      </c>
      <c r="H27" s="13">
        <f t="shared" si="6"/>
        <v>4</v>
      </c>
      <c r="I27" s="13">
        <f t="shared" si="6"/>
        <v>1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1</v>
      </c>
      <c r="P27" s="13">
        <f t="shared" si="6"/>
        <v>0</v>
      </c>
      <c r="Q27" s="13">
        <f t="shared" si="6"/>
        <v>1</v>
      </c>
      <c r="R27" s="13">
        <f t="shared" si="6"/>
        <v>0</v>
      </c>
      <c r="S27" s="13">
        <f t="shared" si="6"/>
        <v>7</v>
      </c>
      <c r="T27" s="13">
        <f t="shared" si="6"/>
        <v>0</v>
      </c>
      <c r="U27" s="13">
        <f t="shared" si="6"/>
        <v>2</v>
      </c>
      <c r="V27" s="13">
        <f t="shared" si="6"/>
        <v>0</v>
      </c>
      <c r="W27" s="13">
        <f t="shared" si="6"/>
        <v>0</v>
      </c>
      <c r="X27" s="13">
        <f t="shared" si="3"/>
        <v>21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W28" si="7">SUM(E19,E22,E25)</f>
        <v>106</v>
      </c>
      <c r="F28" s="13">
        <f t="shared" si="7"/>
        <v>109</v>
      </c>
      <c r="G28" s="13">
        <f t="shared" si="7"/>
        <v>106</v>
      </c>
      <c r="H28" s="13">
        <f t="shared" si="7"/>
        <v>113</v>
      </c>
      <c r="I28" s="13">
        <f t="shared" si="7"/>
        <v>114</v>
      </c>
      <c r="J28" s="13">
        <f t="shared" si="7"/>
        <v>117</v>
      </c>
      <c r="K28" s="13">
        <f t="shared" si="7"/>
        <v>95</v>
      </c>
      <c r="L28" s="13">
        <f t="shared" si="7"/>
        <v>120</v>
      </c>
      <c r="M28" s="13">
        <f t="shared" si="7"/>
        <v>117</v>
      </c>
      <c r="N28" s="13">
        <f t="shared" si="7"/>
        <v>102</v>
      </c>
      <c r="O28" s="13">
        <f t="shared" si="7"/>
        <v>64</v>
      </c>
      <c r="P28" s="13">
        <f t="shared" si="7"/>
        <v>64</v>
      </c>
      <c r="Q28" s="13">
        <f t="shared" si="7"/>
        <v>69</v>
      </c>
      <c r="R28" s="13">
        <f t="shared" si="7"/>
        <v>70</v>
      </c>
      <c r="S28" s="13">
        <f t="shared" si="7"/>
        <v>125</v>
      </c>
      <c r="T28" s="13">
        <f t="shared" si="7"/>
        <v>98</v>
      </c>
      <c r="U28" s="13">
        <f t="shared" si="7"/>
        <v>123</v>
      </c>
      <c r="V28" s="13">
        <f t="shared" si="7"/>
        <v>78</v>
      </c>
      <c r="W28" s="13">
        <f t="shared" si="7"/>
        <v>83</v>
      </c>
      <c r="X28" s="13">
        <f t="shared" si="3"/>
        <v>1873</v>
      </c>
    </row>
    <row r="29" ht="12.75" customHeight="1">
      <c r="A29" s="35"/>
      <c r="B29" s="27"/>
      <c r="C29" s="34"/>
      <c r="D29" s="13" t="s">
        <v>12</v>
      </c>
      <c r="E29" s="13">
        <f t="shared" ref="E29:W29" si="8">SUM(E20,E23,E26)</f>
        <v>118</v>
      </c>
      <c r="F29" s="13">
        <f t="shared" si="8"/>
        <v>123</v>
      </c>
      <c r="G29" s="13">
        <f t="shared" si="8"/>
        <v>123</v>
      </c>
      <c r="H29" s="13">
        <f t="shared" si="8"/>
        <v>117</v>
      </c>
      <c r="I29" s="13">
        <f t="shared" si="8"/>
        <v>120</v>
      </c>
      <c r="J29" s="13">
        <f t="shared" si="8"/>
        <v>112</v>
      </c>
      <c r="K29" s="13">
        <f t="shared" si="8"/>
        <v>110</v>
      </c>
      <c r="L29" s="13">
        <f t="shared" si="8"/>
        <v>122</v>
      </c>
      <c r="M29" s="13">
        <f t="shared" si="8"/>
        <v>116</v>
      </c>
      <c r="N29" s="13">
        <f t="shared" si="8"/>
        <v>101</v>
      </c>
      <c r="O29" s="13">
        <f t="shared" si="8"/>
        <v>72</v>
      </c>
      <c r="P29" s="13">
        <f t="shared" si="8"/>
        <v>79</v>
      </c>
      <c r="Q29" s="13">
        <f t="shared" si="8"/>
        <v>74</v>
      </c>
      <c r="R29" s="13">
        <f t="shared" si="8"/>
        <v>80</v>
      </c>
      <c r="S29" s="13">
        <f t="shared" si="8"/>
        <v>141</v>
      </c>
      <c r="T29" s="13">
        <f t="shared" si="8"/>
        <v>128</v>
      </c>
      <c r="U29" s="13">
        <f t="shared" si="8"/>
        <v>109</v>
      </c>
      <c r="V29" s="13">
        <f t="shared" si="8"/>
        <v>89</v>
      </c>
      <c r="W29" s="13">
        <f t="shared" si="8"/>
        <v>104</v>
      </c>
      <c r="X29" s="13">
        <f t="shared" si="3"/>
        <v>2038</v>
      </c>
    </row>
    <row r="30" ht="12.75" customHeight="1">
      <c r="A30" s="35"/>
      <c r="B30" s="28"/>
      <c r="C30" s="36"/>
      <c r="D30" s="13" t="s">
        <v>13</v>
      </c>
      <c r="E30" s="13">
        <f t="shared" ref="E30:W30" si="9">SUM(E28:E29)</f>
        <v>224</v>
      </c>
      <c r="F30" s="13">
        <f t="shared" si="9"/>
        <v>232</v>
      </c>
      <c r="G30" s="13">
        <f t="shared" si="9"/>
        <v>229</v>
      </c>
      <c r="H30" s="13">
        <f t="shared" si="9"/>
        <v>230</v>
      </c>
      <c r="I30" s="13">
        <f t="shared" si="9"/>
        <v>234</v>
      </c>
      <c r="J30" s="13">
        <f t="shared" si="9"/>
        <v>229</v>
      </c>
      <c r="K30" s="13">
        <f t="shared" si="9"/>
        <v>205</v>
      </c>
      <c r="L30" s="13">
        <f t="shared" si="9"/>
        <v>242</v>
      </c>
      <c r="M30" s="13">
        <f t="shared" si="9"/>
        <v>233</v>
      </c>
      <c r="N30" s="13">
        <f t="shared" si="9"/>
        <v>203</v>
      </c>
      <c r="O30" s="13">
        <f t="shared" si="9"/>
        <v>136</v>
      </c>
      <c r="P30" s="13">
        <f t="shared" si="9"/>
        <v>143</v>
      </c>
      <c r="Q30" s="13">
        <f t="shared" si="9"/>
        <v>143</v>
      </c>
      <c r="R30" s="13">
        <f t="shared" si="9"/>
        <v>150</v>
      </c>
      <c r="S30" s="13">
        <f t="shared" si="9"/>
        <v>266</v>
      </c>
      <c r="T30" s="13">
        <f t="shared" si="9"/>
        <v>226</v>
      </c>
      <c r="U30" s="13">
        <f t="shared" si="9"/>
        <v>232</v>
      </c>
      <c r="V30" s="13">
        <f t="shared" si="9"/>
        <v>167</v>
      </c>
      <c r="W30" s="13">
        <f t="shared" si="9"/>
        <v>187</v>
      </c>
      <c r="X30" s="13">
        <f t="shared" si="3"/>
        <v>3911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19"/>
      <c r="P31" s="19"/>
      <c r="Q31" s="19"/>
      <c r="R31" s="19"/>
      <c r="S31" s="59"/>
      <c r="T31" s="19"/>
      <c r="U31" s="19"/>
      <c r="V31" s="19"/>
      <c r="W31" s="19"/>
      <c r="X31" s="60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13"/>
      <c r="P32" s="13"/>
      <c r="Q32" s="13"/>
      <c r="R32" s="13"/>
      <c r="S32" s="61"/>
      <c r="T32" s="13"/>
      <c r="U32" s="13"/>
      <c r="V32" s="13"/>
      <c r="W32" s="13"/>
      <c r="X32" s="60"/>
    </row>
    <row r="33" ht="12.75" customHeight="1">
      <c r="A33" s="19">
        <v>1.0</v>
      </c>
      <c r="B33" s="20" t="s">
        <v>26</v>
      </c>
      <c r="C33" s="15"/>
      <c r="D33" s="16"/>
      <c r="E33" s="19">
        <v>289.0</v>
      </c>
      <c r="F33" s="19">
        <v>302.0</v>
      </c>
      <c r="G33" s="19">
        <v>296.0</v>
      </c>
      <c r="H33" s="19">
        <v>301.0</v>
      </c>
      <c r="I33" s="19">
        <v>293.0</v>
      </c>
      <c r="J33" s="19">
        <v>301.0</v>
      </c>
      <c r="K33" s="19">
        <v>297.0</v>
      </c>
      <c r="L33" s="19">
        <v>303.0</v>
      </c>
      <c r="M33" s="19">
        <v>300.0</v>
      </c>
      <c r="N33" s="19">
        <v>279.0</v>
      </c>
      <c r="O33" s="19">
        <v>167.0</v>
      </c>
      <c r="P33" s="19">
        <v>179.0</v>
      </c>
      <c r="Q33" s="19">
        <v>173.0</v>
      </c>
      <c r="R33" s="19">
        <v>176.0</v>
      </c>
      <c r="S33" s="19">
        <v>298.0</v>
      </c>
      <c r="T33" s="19">
        <v>281.0</v>
      </c>
      <c r="U33" s="19">
        <v>305.0</v>
      </c>
      <c r="V33" s="19">
        <v>221.0</v>
      </c>
      <c r="W33" s="19">
        <v>304.0</v>
      </c>
      <c r="X33" s="13">
        <f t="shared" ref="X33:X36" si="10">SUM(E33:W33)</f>
        <v>5065</v>
      </c>
    </row>
    <row r="34" ht="12.75" customHeight="1">
      <c r="A34" s="19">
        <v>2.0</v>
      </c>
      <c r="B34" s="20" t="s">
        <v>27</v>
      </c>
      <c r="C34" s="15"/>
      <c r="D34" s="16"/>
      <c r="E34" s="13">
        <v>224.0</v>
      </c>
      <c r="F34" s="13">
        <v>232.0</v>
      </c>
      <c r="G34" s="13">
        <v>229.0</v>
      </c>
      <c r="H34" s="13">
        <v>230.0</v>
      </c>
      <c r="I34" s="13">
        <v>234.0</v>
      </c>
      <c r="J34" s="13">
        <v>229.0</v>
      </c>
      <c r="K34" s="13">
        <v>205.0</v>
      </c>
      <c r="L34" s="13">
        <v>242.0</v>
      </c>
      <c r="M34" s="13">
        <v>233.0</v>
      </c>
      <c r="N34" s="13">
        <v>203.0</v>
      </c>
      <c r="O34" s="13">
        <v>136.0</v>
      </c>
      <c r="P34" s="13">
        <v>143.0</v>
      </c>
      <c r="Q34" s="13">
        <v>143.0</v>
      </c>
      <c r="R34" s="13">
        <v>150.0</v>
      </c>
      <c r="S34" s="13">
        <v>266.0</v>
      </c>
      <c r="T34" s="13">
        <v>226.0</v>
      </c>
      <c r="U34" s="13">
        <v>232.0</v>
      </c>
      <c r="V34" s="13">
        <v>167.0</v>
      </c>
      <c r="W34" s="13">
        <v>187.0</v>
      </c>
      <c r="X34" s="13">
        <f t="shared" si="10"/>
        <v>3911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3">
        <f t="shared" si="10"/>
        <v>0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W36" si="11">E33-(E34+E35)</f>
        <v>65</v>
      </c>
      <c r="F36" s="13">
        <f t="shared" si="11"/>
        <v>70</v>
      </c>
      <c r="G36" s="13">
        <f t="shared" si="11"/>
        <v>67</v>
      </c>
      <c r="H36" s="13">
        <f t="shared" si="11"/>
        <v>71</v>
      </c>
      <c r="I36" s="13">
        <f t="shared" si="11"/>
        <v>59</v>
      </c>
      <c r="J36" s="13">
        <f t="shared" si="11"/>
        <v>72</v>
      </c>
      <c r="K36" s="13">
        <f t="shared" si="11"/>
        <v>92</v>
      </c>
      <c r="L36" s="13">
        <f t="shared" si="11"/>
        <v>61</v>
      </c>
      <c r="M36" s="13">
        <f t="shared" si="11"/>
        <v>67</v>
      </c>
      <c r="N36" s="13">
        <f t="shared" si="11"/>
        <v>76</v>
      </c>
      <c r="O36" s="13">
        <f t="shared" si="11"/>
        <v>31</v>
      </c>
      <c r="P36" s="13">
        <f t="shared" si="11"/>
        <v>36</v>
      </c>
      <c r="Q36" s="13">
        <f t="shared" si="11"/>
        <v>30</v>
      </c>
      <c r="R36" s="13">
        <f t="shared" si="11"/>
        <v>26</v>
      </c>
      <c r="S36" s="13">
        <f t="shared" si="11"/>
        <v>32</v>
      </c>
      <c r="T36" s="13">
        <f t="shared" si="11"/>
        <v>55</v>
      </c>
      <c r="U36" s="13">
        <f t="shared" si="11"/>
        <v>73</v>
      </c>
      <c r="V36" s="13">
        <f t="shared" si="11"/>
        <v>54</v>
      </c>
      <c r="W36" s="13">
        <f t="shared" si="11"/>
        <v>117</v>
      </c>
      <c r="X36" s="13">
        <f t="shared" si="10"/>
        <v>1154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19"/>
      <c r="P37" s="19"/>
      <c r="Q37" s="19"/>
      <c r="R37" s="19"/>
      <c r="S37" s="59"/>
      <c r="T37" s="19"/>
      <c r="U37" s="19"/>
      <c r="V37" s="19"/>
      <c r="W37" s="19"/>
      <c r="X37" s="60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13"/>
      <c r="P38" s="13"/>
      <c r="Q38" s="13"/>
      <c r="R38" s="13"/>
      <c r="S38" s="61"/>
      <c r="T38" s="13"/>
      <c r="U38" s="13"/>
      <c r="V38" s="13"/>
      <c r="W38" s="13"/>
      <c r="X38" s="60"/>
    </row>
    <row r="39" ht="12.75" customHeight="1">
      <c r="A39" s="30"/>
      <c r="B39" s="43" t="s">
        <v>32</v>
      </c>
      <c r="C39" s="23"/>
      <c r="D39" s="19" t="s">
        <v>11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2.0</v>
      </c>
      <c r="V39" s="19">
        <v>0.0</v>
      </c>
      <c r="W39" s="19">
        <v>0.0</v>
      </c>
      <c r="X39" s="13">
        <f t="shared" ref="X39:X41" si="12">SUM(E39:W39)</f>
        <v>2</v>
      </c>
    </row>
    <row r="40" ht="12.75" customHeight="1">
      <c r="A40" s="33"/>
      <c r="C40" s="27"/>
      <c r="D40" s="19" t="s">
        <v>12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3">
        <f t="shared" si="12"/>
        <v>0</v>
      </c>
    </row>
    <row r="41" ht="12.75" customHeight="1">
      <c r="A41" s="41"/>
      <c r="B41" s="44"/>
      <c r="C41" s="28"/>
      <c r="D41" s="13" t="s">
        <v>13</v>
      </c>
      <c r="E41" s="13">
        <f t="shared" ref="E41:W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2</v>
      </c>
      <c r="V41" s="13">
        <f t="shared" si="13"/>
        <v>0</v>
      </c>
      <c r="W41" s="13">
        <f t="shared" si="13"/>
        <v>0</v>
      </c>
      <c r="X41" s="13">
        <f t="shared" si="12"/>
        <v>2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19"/>
      <c r="Q42" s="19"/>
      <c r="R42" s="19"/>
      <c r="S42" s="59"/>
      <c r="T42" s="19"/>
      <c r="U42" s="19"/>
      <c r="V42" s="19"/>
      <c r="W42" s="19"/>
      <c r="X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13"/>
      <c r="Q43" s="13"/>
      <c r="R43" s="13"/>
      <c r="S43" s="61"/>
      <c r="T43" s="13"/>
      <c r="U43" s="13"/>
      <c r="V43" s="13"/>
      <c r="W43" s="13"/>
      <c r="X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19"/>
      <c r="Q44" s="19"/>
      <c r="R44" s="19"/>
      <c r="S44" s="59"/>
      <c r="T44" s="19"/>
      <c r="U44" s="19"/>
      <c r="V44" s="19"/>
      <c r="W44" s="19"/>
      <c r="X44" s="13"/>
    </row>
    <row r="45" ht="12.75" customHeight="1">
      <c r="A45" s="62"/>
      <c r="B45" s="47">
        <v>1.0</v>
      </c>
      <c r="C45" s="48" t="s">
        <v>36</v>
      </c>
      <c r="D45" s="16"/>
      <c r="E45" s="19">
        <v>40.0</v>
      </c>
      <c r="F45" s="19">
        <v>26.0</v>
      </c>
      <c r="G45" s="19">
        <v>15.0</v>
      </c>
      <c r="H45" s="19">
        <v>11.0</v>
      </c>
      <c r="I45" s="19">
        <v>16.0</v>
      </c>
      <c r="J45" s="19">
        <v>19.0</v>
      </c>
      <c r="K45" s="19">
        <v>10.0</v>
      </c>
      <c r="L45" s="19">
        <v>25.0</v>
      </c>
      <c r="M45" s="19">
        <v>25.0</v>
      </c>
      <c r="N45" s="19">
        <v>15.0</v>
      </c>
      <c r="O45" s="19">
        <v>11.0</v>
      </c>
      <c r="P45" s="19">
        <v>14.0</v>
      </c>
      <c r="Q45" s="19">
        <v>2.0</v>
      </c>
      <c r="R45" s="19">
        <v>4.0</v>
      </c>
      <c r="S45" s="19">
        <v>10.0</v>
      </c>
      <c r="T45" s="19">
        <v>19.0</v>
      </c>
      <c r="U45" s="19">
        <v>3.0</v>
      </c>
      <c r="V45" s="19">
        <v>16.0</v>
      </c>
      <c r="W45" s="19">
        <v>10.0</v>
      </c>
      <c r="X45" s="13">
        <f t="shared" ref="X45:X47" si="14">SUM(E45:W45)</f>
        <v>291</v>
      </c>
    </row>
    <row r="46" ht="12.75" customHeight="1">
      <c r="A46" s="18"/>
      <c r="B46" s="47">
        <v>2.0</v>
      </c>
      <c r="C46" s="48" t="s">
        <v>37</v>
      </c>
      <c r="D46" s="16"/>
      <c r="E46" s="19">
        <v>151.0</v>
      </c>
      <c r="F46" s="19">
        <v>161.0</v>
      </c>
      <c r="G46" s="19">
        <v>166.0</v>
      </c>
      <c r="H46" s="19">
        <v>178.0</v>
      </c>
      <c r="I46" s="19">
        <v>182.0</v>
      </c>
      <c r="J46" s="19">
        <v>177.0</v>
      </c>
      <c r="K46" s="19">
        <v>157.0</v>
      </c>
      <c r="L46" s="19">
        <v>181.0</v>
      </c>
      <c r="M46" s="19">
        <v>176.0</v>
      </c>
      <c r="N46" s="19">
        <v>142.0</v>
      </c>
      <c r="O46" s="19">
        <v>108.0</v>
      </c>
      <c r="P46" s="19">
        <v>116.0</v>
      </c>
      <c r="Q46" s="19">
        <v>130.0</v>
      </c>
      <c r="R46" s="19">
        <v>129.0</v>
      </c>
      <c r="S46" s="19">
        <v>177.0</v>
      </c>
      <c r="T46" s="19">
        <v>159.0</v>
      </c>
      <c r="U46" s="19">
        <v>157.0</v>
      </c>
      <c r="V46" s="19">
        <v>138.0</v>
      </c>
      <c r="W46" s="19">
        <v>158.0</v>
      </c>
      <c r="X46" s="13">
        <f t="shared" si="14"/>
        <v>2943</v>
      </c>
    </row>
    <row r="47" ht="12.75" customHeight="1">
      <c r="A47" s="45"/>
      <c r="B47" s="47">
        <v>3.0</v>
      </c>
      <c r="C47" s="48" t="s">
        <v>38</v>
      </c>
      <c r="D47" s="16"/>
      <c r="E47" s="19">
        <v>33.0</v>
      </c>
      <c r="F47" s="19">
        <v>41.0</v>
      </c>
      <c r="G47" s="19">
        <v>44.0</v>
      </c>
      <c r="H47" s="19">
        <v>35.0</v>
      </c>
      <c r="I47" s="19">
        <v>32.0</v>
      </c>
      <c r="J47" s="19">
        <v>26.0</v>
      </c>
      <c r="K47" s="19">
        <v>32.0</v>
      </c>
      <c r="L47" s="19">
        <v>30.0</v>
      </c>
      <c r="M47" s="19">
        <v>24.0</v>
      </c>
      <c r="N47" s="19">
        <v>39.0</v>
      </c>
      <c r="O47" s="19">
        <v>14.0</v>
      </c>
      <c r="P47" s="19">
        <v>11.0</v>
      </c>
      <c r="Q47" s="19">
        <v>11.0</v>
      </c>
      <c r="R47" s="19">
        <v>15.0</v>
      </c>
      <c r="S47" s="19">
        <v>73.0</v>
      </c>
      <c r="T47" s="19">
        <v>46.0</v>
      </c>
      <c r="U47" s="19">
        <v>67.0</v>
      </c>
      <c r="V47" s="19">
        <v>12.0</v>
      </c>
      <c r="W47" s="19">
        <v>18.0</v>
      </c>
      <c r="X47" s="13">
        <f t="shared" si="14"/>
        <v>603</v>
      </c>
    </row>
    <row r="48" ht="12.75" customHeight="1"/>
    <row r="49" ht="12.75" customHeight="1">
      <c r="A49" s="42" t="s">
        <v>39</v>
      </c>
      <c r="B49" s="14" t="s">
        <v>40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1"/>
      <c r="O49" s="13"/>
      <c r="P49" s="13"/>
      <c r="Q49" s="13"/>
      <c r="R49" s="13"/>
      <c r="S49" s="61"/>
      <c r="T49" s="13"/>
      <c r="U49" s="13"/>
      <c r="V49" s="13"/>
      <c r="W49" s="13"/>
      <c r="X49" s="13"/>
    </row>
    <row r="50" ht="12.75" customHeight="1">
      <c r="A50" s="42"/>
      <c r="B50" s="54" t="s">
        <v>41</v>
      </c>
      <c r="C50" s="55" t="s">
        <v>42</v>
      </c>
      <c r="D50" s="16"/>
      <c r="E50" s="19">
        <f t="shared" ref="E50:W50" si="15">SUM(E45:E47)</f>
        <v>224</v>
      </c>
      <c r="F50" s="19">
        <f t="shared" si="15"/>
        <v>228</v>
      </c>
      <c r="G50" s="19">
        <f t="shared" si="15"/>
        <v>225</v>
      </c>
      <c r="H50" s="19">
        <f t="shared" si="15"/>
        <v>224</v>
      </c>
      <c r="I50" s="19">
        <f t="shared" si="15"/>
        <v>230</v>
      </c>
      <c r="J50" s="19">
        <f t="shared" si="15"/>
        <v>222</v>
      </c>
      <c r="K50" s="19">
        <f t="shared" si="15"/>
        <v>199</v>
      </c>
      <c r="L50" s="19">
        <f t="shared" si="15"/>
        <v>236</v>
      </c>
      <c r="M50" s="19">
        <f t="shared" si="15"/>
        <v>225</v>
      </c>
      <c r="N50" s="19">
        <f t="shared" si="15"/>
        <v>196</v>
      </c>
      <c r="O50" s="19">
        <f t="shared" si="15"/>
        <v>133</v>
      </c>
      <c r="P50" s="19">
        <f t="shared" si="15"/>
        <v>141</v>
      </c>
      <c r="Q50" s="19">
        <f t="shared" si="15"/>
        <v>143</v>
      </c>
      <c r="R50" s="19">
        <f t="shared" si="15"/>
        <v>148</v>
      </c>
      <c r="S50" s="19">
        <f t="shared" si="15"/>
        <v>260</v>
      </c>
      <c r="T50" s="19">
        <f t="shared" si="15"/>
        <v>224</v>
      </c>
      <c r="U50" s="19">
        <f t="shared" si="15"/>
        <v>227</v>
      </c>
      <c r="V50" s="19">
        <f t="shared" si="15"/>
        <v>166</v>
      </c>
      <c r="W50" s="19">
        <f t="shared" si="15"/>
        <v>186</v>
      </c>
      <c r="X50" s="13">
        <f t="shared" ref="X50:X52" si="16">SUM(E50:W50)</f>
        <v>3837</v>
      </c>
    </row>
    <row r="51" ht="12.75" customHeight="1">
      <c r="A51" s="35"/>
      <c r="B51" s="54" t="s">
        <v>43</v>
      </c>
      <c r="C51" s="55" t="s">
        <v>44</v>
      </c>
      <c r="D51" s="16"/>
      <c r="E51" s="19">
        <v>0.0</v>
      </c>
      <c r="F51" s="19">
        <v>4.0</v>
      </c>
      <c r="G51" s="19">
        <v>4.0</v>
      </c>
      <c r="H51" s="19">
        <v>6.0</v>
      </c>
      <c r="I51" s="19">
        <v>4.0</v>
      </c>
      <c r="J51" s="19">
        <v>7.0</v>
      </c>
      <c r="K51" s="19">
        <v>6.0</v>
      </c>
      <c r="L51" s="19">
        <v>6.0</v>
      </c>
      <c r="M51" s="19">
        <v>8.0</v>
      </c>
      <c r="N51" s="19">
        <v>7.0</v>
      </c>
      <c r="O51" s="19">
        <v>3.0</v>
      </c>
      <c r="P51" s="19">
        <v>2.0</v>
      </c>
      <c r="Q51" s="19">
        <v>0.0</v>
      </c>
      <c r="R51" s="19">
        <v>2.0</v>
      </c>
      <c r="S51" s="19">
        <v>6.0</v>
      </c>
      <c r="T51" s="19">
        <v>2.0</v>
      </c>
      <c r="U51" s="19">
        <v>5.0</v>
      </c>
      <c r="V51" s="19">
        <v>1.0</v>
      </c>
      <c r="W51" s="19">
        <v>1.0</v>
      </c>
      <c r="X51" s="13">
        <f t="shared" si="16"/>
        <v>74</v>
      </c>
    </row>
    <row r="52" ht="12.75" customHeight="1">
      <c r="A52" s="41"/>
      <c r="B52" s="54" t="s">
        <v>45</v>
      </c>
      <c r="C52" s="55" t="s">
        <v>46</v>
      </c>
      <c r="D52" s="16"/>
      <c r="E52" s="13">
        <f t="shared" ref="E52:W52" si="17">SUM(E50:E51)</f>
        <v>224</v>
      </c>
      <c r="F52" s="13">
        <f t="shared" si="17"/>
        <v>232</v>
      </c>
      <c r="G52" s="13">
        <f t="shared" si="17"/>
        <v>229</v>
      </c>
      <c r="H52" s="13">
        <f t="shared" si="17"/>
        <v>230</v>
      </c>
      <c r="I52" s="13">
        <f t="shared" si="17"/>
        <v>234</v>
      </c>
      <c r="J52" s="13">
        <f t="shared" si="17"/>
        <v>229</v>
      </c>
      <c r="K52" s="13">
        <f t="shared" si="17"/>
        <v>205</v>
      </c>
      <c r="L52" s="13">
        <f t="shared" si="17"/>
        <v>242</v>
      </c>
      <c r="M52" s="13">
        <f t="shared" si="17"/>
        <v>233</v>
      </c>
      <c r="N52" s="13">
        <f t="shared" si="17"/>
        <v>203</v>
      </c>
      <c r="O52" s="13">
        <f t="shared" si="17"/>
        <v>136</v>
      </c>
      <c r="P52" s="13">
        <f t="shared" si="17"/>
        <v>143</v>
      </c>
      <c r="Q52" s="13">
        <f t="shared" si="17"/>
        <v>143</v>
      </c>
      <c r="R52" s="13">
        <f t="shared" si="17"/>
        <v>150</v>
      </c>
      <c r="S52" s="13">
        <f t="shared" si="17"/>
        <v>266</v>
      </c>
      <c r="T52" s="13">
        <f t="shared" si="17"/>
        <v>226</v>
      </c>
      <c r="U52" s="13">
        <f t="shared" si="17"/>
        <v>232</v>
      </c>
      <c r="V52" s="13">
        <f t="shared" si="17"/>
        <v>167</v>
      </c>
      <c r="W52" s="13">
        <f t="shared" si="17"/>
        <v>187</v>
      </c>
      <c r="X52" s="13">
        <f t="shared" si="16"/>
        <v>3911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W12"/>
    <mergeCell ref="X12:X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W15 E45:W47">
    <cfRule type="containsBlanks" dxfId="1" priority="1">
      <formula>LEN(TRIM(E14))=0</formula>
    </cfRule>
  </conditionalFormatting>
  <conditionalFormatting sqref="E19:W20">
    <cfRule type="containsBlanks" dxfId="1" priority="2">
      <formula>LEN(TRIM(E19))=0</formula>
    </cfRule>
  </conditionalFormatting>
  <conditionalFormatting sqref="E22:W23 E25:W26 E33:W33 E35:W35 E39:W40">
    <cfRule type="containsBlanks" dxfId="1" priority="3">
      <formula>LEN(TRIM(E22))=0</formula>
    </cfRule>
  </conditionalFormatting>
  <conditionalFormatting sqref="E30:W30">
    <cfRule type="expression" dxfId="0" priority="4">
      <formula>E30&lt;&gt;E46</formula>
    </cfRule>
  </conditionalFormatting>
  <conditionalFormatting sqref="E30:W30">
    <cfRule type="expression" dxfId="0" priority="5">
      <formula>E30&lt;&gt;E34</formula>
    </cfRule>
  </conditionalFormatting>
  <conditionalFormatting sqref="E34:W34">
    <cfRule type="expression" dxfId="2" priority="6">
      <formula>E30&lt;&gt;E34</formula>
    </cfRule>
  </conditionalFormatting>
  <conditionalFormatting sqref="E34:W34">
    <cfRule type="expression" dxfId="3" priority="7">
      <formula>E30=E34</formula>
    </cfRule>
  </conditionalFormatting>
  <conditionalFormatting sqref="E34:W34">
    <cfRule type="expression" dxfId="0" priority="8">
      <formula>E34&lt;&gt;E30</formula>
    </cfRule>
  </conditionalFormatting>
  <conditionalFormatting sqref="E34:W34">
    <cfRule type="expression" dxfId="0" priority="9">
      <formula>E34&lt;&gt;#REF!</formula>
    </cfRule>
  </conditionalFormatting>
  <conditionalFormatting sqref="E50:W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6" width="8.71"/>
    <col customWidth="1" min="17" max="17" width="13.29"/>
  </cols>
  <sheetData>
    <row r="1" ht="12.75" customHeight="1"/>
    <row r="2" ht="12.75" customHeight="1">
      <c r="C2" s="8" t="s">
        <v>0</v>
      </c>
      <c r="D2" s="8"/>
    </row>
    <row r="3" ht="12.75" customHeight="1">
      <c r="C3" s="8" t="s">
        <v>1</v>
      </c>
      <c r="D3" s="8" t="s">
        <v>2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47</v>
      </c>
      <c r="D9" s="8"/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58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48</v>
      </c>
      <c r="F13" s="13" t="s">
        <v>49</v>
      </c>
      <c r="G13" s="13" t="s">
        <v>50</v>
      </c>
      <c r="H13" s="13" t="s">
        <v>51</v>
      </c>
      <c r="I13" s="13" t="s">
        <v>52</v>
      </c>
      <c r="J13" s="13" t="s">
        <v>53</v>
      </c>
      <c r="K13" s="13" t="s">
        <v>54</v>
      </c>
      <c r="L13" s="13" t="s">
        <v>55</v>
      </c>
      <c r="M13" s="13" t="s">
        <v>56</v>
      </c>
      <c r="N13" s="13" t="s">
        <v>57</v>
      </c>
      <c r="O13" s="13" t="s">
        <v>58</v>
      </c>
      <c r="P13" s="13" t="s">
        <v>59</v>
      </c>
      <c r="Q13" s="36"/>
    </row>
    <row r="14" ht="12.75" customHeight="1">
      <c r="A14" s="18"/>
      <c r="B14" s="22" t="s">
        <v>10</v>
      </c>
      <c r="C14" s="23"/>
      <c r="D14" s="19" t="s">
        <v>11</v>
      </c>
      <c r="E14" s="19">
        <v>147.0</v>
      </c>
      <c r="F14" s="19">
        <v>118.0</v>
      </c>
      <c r="G14" s="19">
        <v>145.0</v>
      </c>
      <c r="H14" s="19">
        <v>140.0</v>
      </c>
      <c r="I14" s="19">
        <v>140.0</v>
      </c>
      <c r="J14" s="19">
        <v>140.0</v>
      </c>
      <c r="K14" s="19">
        <v>140.0</v>
      </c>
      <c r="L14" s="19">
        <v>140.0</v>
      </c>
      <c r="M14" s="19">
        <v>125.0</v>
      </c>
      <c r="N14" s="19">
        <v>147.0</v>
      </c>
      <c r="O14" s="19">
        <v>127.0</v>
      </c>
      <c r="P14" s="19">
        <v>138.0</v>
      </c>
      <c r="Q14" s="13">
        <f t="shared" ref="Q14:Q16" si="1">SUM(E14:P14)</f>
        <v>1647</v>
      </c>
    </row>
    <row r="15" ht="12.75" customHeight="1">
      <c r="A15" s="18"/>
      <c r="B15" s="26"/>
      <c r="C15" s="27"/>
      <c r="D15" s="19" t="s">
        <v>12</v>
      </c>
      <c r="E15" s="19">
        <v>138.0</v>
      </c>
      <c r="F15" s="19">
        <v>136.0</v>
      </c>
      <c r="G15" s="19">
        <v>147.0</v>
      </c>
      <c r="H15" s="19">
        <v>147.0</v>
      </c>
      <c r="I15" s="19">
        <v>148.0</v>
      </c>
      <c r="J15" s="19">
        <v>142.0</v>
      </c>
      <c r="K15" s="19">
        <v>141.0</v>
      </c>
      <c r="L15" s="19">
        <v>133.0</v>
      </c>
      <c r="M15" s="19">
        <v>123.0</v>
      </c>
      <c r="N15" s="19">
        <v>138.0</v>
      </c>
      <c r="O15" s="19">
        <v>122.0</v>
      </c>
      <c r="P15" s="19">
        <v>130.0</v>
      </c>
      <c r="Q15" s="13">
        <f t="shared" si="1"/>
        <v>1645</v>
      </c>
    </row>
    <row r="16" ht="12.75" customHeight="1">
      <c r="A16" s="25"/>
      <c r="B16" s="21"/>
      <c r="C16" s="28"/>
      <c r="D16" s="13" t="s">
        <v>13</v>
      </c>
      <c r="E16" s="13">
        <f t="shared" ref="E16:P16" si="2">SUM(E14:E15)</f>
        <v>285</v>
      </c>
      <c r="F16" s="13">
        <f t="shared" si="2"/>
        <v>254</v>
      </c>
      <c r="G16" s="13">
        <f t="shared" si="2"/>
        <v>292</v>
      </c>
      <c r="H16" s="13">
        <f t="shared" si="2"/>
        <v>287</v>
      </c>
      <c r="I16" s="13">
        <f t="shared" si="2"/>
        <v>288</v>
      </c>
      <c r="J16" s="13">
        <f t="shared" si="2"/>
        <v>282</v>
      </c>
      <c r="K16" s="13">
        <f t="shared" si="2"/>
        <v>281</v>
      </c>
      <c r="L16" s="13">
        <f t="shared" si="2"/>
        <v>273</v>
      </c>
      <c r="M16" s="13">
        <f t="shared" si="2"/>
        <v>248</v>
      </c>
      <c r="N16" s="13">
        <f t="shared" si="2"/>
        <v>285</v>
      </c>
      <c r="O16" s="13">
        <f t="shared" si="2"/>
        <v>249</v>
      </c>
      <c r="P16" s="13">
        <f t="shared" si="2"/>
        <v>268</v>
      </c>
      <c r="Q16" s="13">
        <f t="shared" si="1"/>
        <v>3292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19"/>
      <c r="P17" s="19"/>
      <c r="Q17" s="60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19"/>
      <c r="P18" s="19"/>
      <c r="Q18" s="60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114.0</v>
      </c>
      <c r="F19" s="19">
        <v>93.0</v>
      </c>
      <c r="G19" s="19">
        <v>106.0</v>
      </c>
      <c r="H19" s="19">
        <v>107.0</v>
      </c>
      <c r="I19" s="19">
        <v>109.0</v>
      </c>
      <c r="J19" s="19">
        <v>108.0</v>
      </c>
      <c r="K19" s="19">
        <v>100.0</v>
      </c>
      <c r="L19" s="19">
        <v>105.0</v>
      </c>
      <c r="M19" s="19">
        <v>94.0</v>
      </c>
      <c r="N19" s="19">
        <v>102.0</v>
      </c>
      <c r="O19" s="19">
        <v>93.0</v>
      </c>
      <c r="P19" s="19">
        <v>101.0</v>
      </c>
      <c r="Q19" s="13">
        <f t="shared" ref="Q19:Q30" si="3">SUM(E19:P19)</f>
        <v>1232</v>
      </c>
    </row>
    <row r="20" ht="12.75" customHeight="1">
      <c r="A20" s="33"/>
      <c r="B20" s="27"/>
      <c r="C20" s="34"/>
      <c r="D20" s="19" t="s">
        <v>12</v>
      </c>
      <c r="E20" s="19">
        <v>112.0</v>
      </c>
      <c r="F20" s="19">
        <v>109.0</v>
      </c>
      <c r="G20" s="19">
        <v>115.0</v>
      </c>
      <c r="H20" s="19">
        <v>113.0</v>
      </c>
      <c r="I20" s="19">
        <v>108.0</v>
      </c>
      <c r="J20" s="19">
        <v>115.0</v>
      </c>
      <c r="K20" s="19">
        <v>105.0</v>
      </c>
      <c r="L20" s="19">
        <v>108.0</v>
      </c>
      <c r="M20" s="19">
        <v>86.0</v>
      </c>
      <c r="N20" s="19">
        <v>104.0</v>
      </c>
      <c r="O20" s="19">
        <v>92.0</v>
      </c>
      <c r="P20" s="19">
        <v>102.0</v>
      </c>
      <c r="Q20" s="13">
        <f t="shared" si="3"/>
        <v>1269</v>
      </c>
    </row>
    <row r="21" ht="12.75" customHeight="1">
      <c r="A21" s="35"/>
      <c r="B21" s="28"/>
      <c r="C21" s="36"/>
      <c r="D21" s="13" t="s">
        <v>13</v>
      </c>
      <c r="E21" s="13">
        <f t="shared" ref="E21:P21" si="4">SUM(E19:E20)</f>
        <v>226</v>
      </c>
      <c r="F21" s="13">
        <f t="shared" si="4"/>
        <v>202</v>
      </c>
      <c r="G21" s="13">
        <f t="shared" si="4"/>
        <v>221</v>
      </c>
      <c r="H21" s="13">
        <f t="shared" si="4"/>
        <v>220</v>
      </c>
      <c r="I21" s="13">
        <f t="shared" si="4"/>
        <v>217</v>
      </c>
      <c r="J21" s="13">
        <f t="shared" si="4"/>
        <v>223</v>
      </c>
      <c r="K21" s="13">
        <f t="shared" si="4"/>
        <v>205</v>
      </c>
      <c r="L21" s="13">
        <f t="shared" si="4"/>
        <v>213</v>
      </c>
      <c r="M21" s="13">
        <f t="shared" si="4"/>
        <v>180</v>
      </c>
      <c r="N21" s="13">
        <f t="shared" si="4"/>
        <v>206</v>
      </c>
      <c r="O21" s="13">
        <f t="shared" si="4"/>
        <v>185</v>
      </c>
      <c r="P21" s="13">
        <f t="shared" si="4"/>
        <v>203</v>
      </c>
      <c r="Q21" s="13">
        <f t="shared" si="3"/>
        <v>2501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1.0</v>
      </c>
      <c r="O22" s="19">
        <v>0.0</v>
      </c>
      <c r="P22" s="19">
        <v>0.0</v>
      </c>
      <c r="Q22" s="13">
        <f t="shared" si="3"/>
        <v>1</v>
      </c>
    </row>
    <row r="23" ht="12.75" customHeight="1">
      <c r="A23" s="33"/>
      <c r="B23" s="27"/>
      <c r="C23" s="34"/>
      <c r="D23" s="19" t="s">
        <v>12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3">
        <f t="shared" si="3"/>
        <v>0</v>
      </c>
    </row>
    <row r="24" ht="12.75" customHeight="1">
      <c r="A24" s="35"/>
      <c r="B24" s="28"/>
      <c r="C24" s="36"/>
      <c r="D24" s="13" t="s">
        <v>13</v>
      </c>
      <c r="E24" s="13">
        <f t="shared" ref="E24:P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0</v>
      </c>
      <c r="P24" s="13">
        <f t="shared" si="5"/>
        <v>0</v>
      </c>
      <c r="Q24" s="13">
        <f t="shared" si="3"/>
        <v>1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0.0</v>
      </c>
      <c r="F25" s="19">
        <v>0.0</v>
      </c>
      <c r="G25" s="19">
        <v>1.0</v>
      </c>
      <c r="H25" s="19">
        <v>1.0</v>
      </c>
      <c r="I25" s="19">
        <v>2.0</v>
      </c>
      <c r="J25" s="19">
        <v>2.0</v>
      </c>
      <c r="K25" s="19">
        <v>1.0</v>
      </c>
      <c r="L25" s="19">
        <v>0.0</v>
      </c>
      <c r="M25" s="19">
        <v>0.0</v>
      </c>
      <c r="N25" s="19">
        <v>0.0</v>
      </c>
      <c r="O25" s="19">
        <v>0.0</v>
      </c>
      <c r="P25" s="19">
        <v>1.0</v>
      </c>
      <c r="Q25" s="13">
        <f t="shared" si="3"/>
        <v>8</v>
      </c>
    </row>
    <row r="26" ht="12.75" customHeight="1">
      <c r="A26" s="33"/>
      <c r="B26" s="27"/>
      <c r="C26" s="34"/>
      <c r="D26" s="19" t="s">
        <v>12</v>
      </c>
      <c r="E26" s="19">
        <v>0.0</v>
      </c>
      <c r="F26" s="19">
        <v>3.0</v>
      </c>
      <c r="G26" s="19">
        <v>1.0</v>
      </c>
      <c r="H26" s="19">
        <v>1.0</v>
      </c>
      <c r="I26" s="19">
        <v>2.0</v>
      </c>
      <c r="J26" s="19">
        <v>2.0</v>
      </c>
      <c r="K26" s="19">
        <v>0.0</v>
      </c>
      <c r="L26" s="19">
        <v>0.0</v>
      </c>
      <c r="M26" s="19">
        <v>0.0</v>
      </c>
      <c r="N26" s="19">
        <v>2.0</v>
      </c>
      <c r="O26" s="19">
        <v>1.0</v>
      </c>
      <c r="P26" s="19">
        <v>0.0</v>
      </c>
      <c r="Q26" s="13">
        <f t="shared" si="3"/>
        <v>12</v>
      </c>
    </row>
    <row r="27" ht="12.75" customHeight="1">
      <c r="A27" s="35"/>
      <c r="B27" s="28"/>
      <c r="C27" s="36"/>
      <c r="D27" s="13" t="s">
        <v>13</v>
      </c>
      <c r="E27" s="13">
        <f t="shared" ref="E27:P27" si="6">SUM(E25:E26)</f>
        <v>0</v>
      </c>
      <c r="F27" s="13">
        <f t="shared" si="6"/>
        <v>3</v>
      </c>
      <c r="G27" s="13">
        <f t="shared" si="6"/>
        <v>2</v>
      </c>
      <c r="H27" s="13">
        <f t="shared" si="6"/>
        <v>2</v>
      </c>
      <c r="I27" s="13">
        <f t="shared" si="6"/>
        <v>4</v>
      </c>
      <c r="J27" s="13">
        <f t="shared" si="6"/>
        <v>4</v>
      </c>
      <c r="K27" s="13">
        <f t="shared" si="6"/>
        <v>1</v>
      </c>
      <c r="L27" s="13">
        <f t="shared" si="6"/>
        <v>0</v>
      </c>
      <c r="M27" s="13">
        <f t="shared" si="6"/>
        <v>0</v>
      </c>
      <c r="N27" s="13">
        <f t="shared" si="6"/>
        <v>2</v>
      </c>
      <c r="O27" s="13">
        <f t="shared" si="6"/>
        <v>1</v>
      </c>
      <c r="P27" s="13">
        <f t="shared" si="6"/>
        <v>1</v>
      </c>
      <c r="Q27" s="13">
        <f t="shared" si="3"/>
        <v>20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P28" si="7">SUM(E19,E22,E25)</f>
        <v>114</v>
      </c>
      <c r="F28" s="13">
        <f t="shared" si="7"/>
        <v>93</v>
      </c>
      <c r="G28" s="13">
        <f t="shared" si="7"/>
        <v>107</v>
      </c>
      <c r="H28" s="13">
        <f t="shared" si="7"/>
        <v>108</v>
      </c>
      <c r="I28" s="13">
        <f t="shared" si="7"/>
        <v>111</v>
      </c>
      <c r="J28" s="13">
        <f t="shared" si="7"/>
        <v>110</v>
      </c>
      <c r="K28" s="13">
        <f t="shared" si="7"/>
        <v>101</v>
      </c>
      <c r="L28" s="13">
        <f t="shared" si="7"/>
        <v>105</v>
      </c>
      <c r="M28" s="13">
        <f t="shared" si="7"/>
        <v>94</v>
      </c>
      <c r="N28" s="13">
        <f t="shared" si="7"/>
        <v>103</v>
      </c>
      <c r="O28" s="13">
        <f t="shared" si="7"/>
        <v>93</v>
      </c>
      <c r="P28" s="13">
        <f t="shared" si="7"/>
        <v>102</v>
      </c>
      <c r="Q28" s="13">
        <f t="shared" si="3"/>
        <v>1241</v>
      </c>
    </row>
    <row r="29" ht="12.75" customHeight="1">
      <c r="A29" s="35"/>
      <c r="B29" s="27"/>
      <c r="C29" s="34"/>
      <c r="D29" s="13" t="s">
        <v>12</v>
      </c>
      <c r="E29" s="13">
        <f t="shared" ref="E29:P29" si="8">SUM(E20,E23,E26)</f>
        <v>112</v>
      </c>
      <c r="F29" s="13">
        <f t="shared" si="8"/>
        <v>112</v>
      </c>
      <c r="G29" s="13">
        <f t="shared" si="8"/>
        <v>116</v>
      </c>
      <c r="H29" s="13">
        <f t="shared" si="8"/>
        <v>114</v>
      </c>
      <c r="I29" s="13">
        <f t="shared" si="8"/>
        <v>110</v>
      </c>
      <c r="J29" s="13">
        <f t="shared" si="8"/>
        <v>117</v>
      </c>
      <c r="K29" s="13">
        <f t="shared" si="8"/>
        <v>105</v>
      </c>
      <c r="L29" s="13">
        <f t="shared" si="8"/>
        <v>108</v>
      </c>
      <c r="M29" s="13">
        <f t="shared" si="8"/>
        <v>86</v>
      </c>
      <c r="N29" s="13">
        <f t="shared" si="8"/>
        <v>106</v>
      </c>
      <c r="O29" s="13">
        <f t="shared" si="8"/>
        <v>93</v>
      </c>
      <c r="P29" s="13">
        <f t="shared" si="8"/>
        <v>102</v>
      </c>
      <c r="Q29" s="13">
        <f t="shared" si="3"/>
        <v>1281</v>
      </c>
    </row>
    <row r="30" ht="12.75" customHeight="1">
      <c r="A30" s="35"/>
      <c r="B30" s="28"/>
      <c r="C30" s="36"/>
      <c r="D30" s="13" t="s">
        <v>13</v>
      </c>
      <c r="E30" s="13">
        <f t="shared" ref="E30:P30" si="9">SUM(E28:E29)</f>
        <v>226</v>
      </c>
      <c r="F30" s="13">
        <f t="shared" si="9"/>
        <v>205</v>
      </c>
      <c r="G30" s="13">
        <f t="shared" si="9"/>
        <v>223</v>
      </c>
      <c r="H30" s="13">
        <f t="shared" si="9"/>
        <v>222</v>
      </c>
      <c r="I30" s="13">
        <f t="shared" si="9"/>
        <v>221</v>
      </c>
      <c r="J30" s="13">
        <f t="shared" si="9"/>
        <v>227</v>
      </c>
      <c r="K30" s="13">
        <f t="shared" si="9"/>
        <v>206</v>
      </c>
      <c r="L30" s="13">
        <f t="shared" si="9"/>
        <v>213</v>
      </c>
      <c r="M30" s="13">
        <f t="shared" si="9"/>
        <v>180</v>
      </c>
      <c r="N30" s="13">
        <f t="shared" si="9"/>
        <v>209</v>
      </c>
      <c r="O30" s="13">
        <f t="shared" si="9"/>
        <v>186</v>
      </c>
      <c r="P30" s="13">
        <f t="shared" si="9"/>
        <v>204</v>
      </c>
      <c r="Q30" s="13">
        <f t="shared" si="3"/>
        <v>2522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19"/>
      <c r="P31" s="19"/>
      <c r="Q31" s="60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13"/>
      <c r="P32" s="13"/>
      <c r="Q32" s="60"/>
    </row>
    <row r="33" ht="12.75" customHeight="1">
      <c r="A33" s="19">
        <v>1.0</v>
      </c>
      <c r="B33" s="20" t="s">
        <v>26</v>
      </c>
      <c r="C33" s="15"/>
      <c r="D33" s="16"/>
      <c r="E33" s="19">
        <v>295.0</v>
      </c>
      <c r="F33" s="19">
        <v>261.0</v>
      </c>
      <c r="G33" s="19">
        <v>297.0</v>
      </c>
      <c r="H33" s="19">
        <v>244.0</v>
      </c>
      <c r="I33" s="19">
        <v>294.0</v>
      </c>
      <c r="J33" s="19">
        <v>281.0</v>
      </c>
      <c r="K33" s="19">
        <v>288.0</v>
      </c>
      <c r="L33" s="19">
        <v>279.0</v>
      </c>
      <c r="M33" s="19">
        <v>253.0</v>
      </c>
      <c r="N33" s="19">
        <v>291.0</v>
      </c>
      <c r="O33" s="19">
        <v>253.0</v>
      </c>
      <c r="P33" s="19">
        <v>298.0</v>
      </c>
      <c r="Q33" s="13">
        <f t="shared" ref="Q33:Q36" si="10">SUM(E33:P33)</f>
        <v>3334</v>
      </c>
    </row>
    <row r="34" ht="12.75" customHeight="1">
      <c r="A34" s="19">
        <v>2.0</v>
      </c>
      <c r="B34" s="20" t="s">
        <v>27</v>
      </c>
      <c r="C34" s="15"/>
      <c r="D34" s="16"/>
      <c r="E34" s="13">
        <v>226.0</v>
      </c>
      <c r="F34" s="13">
        <v>205.0</v>
      </c>
      <c r="G34" s="13">
        <v>223.0</v>
      </c>
      <c r="H34" s="13">
        <v>222.0</v>
      </c>
      <c r="I34" s="13">
        <v>221.0</v>
      </c>
      <c r="J34" s="13">
        <v>227.0</v>
      </c>
      <c r="K34" s="13">
        <v>206.0</v>
      </c>
      <c r="L34" s="13">
        <v>213.0</v>
      </c>
      <c r="M34" s="13">
        <v>180.0</v>
      </c>
      <c r="N34" s="13">
        <v>209.0</v>
      </c>
      <c r="O34" s="13">
        <v>186.0</v>
      </c>
      <c r="P34" s="13">
        <v>204.0</v>
      </c>
      <c r="Q34" s="13">
        <f t="shared" si="10"/>
        <v>2522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2.0</v>
      </c>
      <c r="G35" s="19">
        <v>0.0</v>
      </c>
      <c r="H35" s="19">
        <v>2.0</v>
      </c>
      <c r="I35" s="19">
        <v>2.0</v>
      </c>
      <c r="J35" s="19">
        <v>1.0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3">
        <f t="shared" si="10"/>
        <v>7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P36" si="11">E33-(E34+E35)</f>
        <v>69</v>
      </c>
      <c r="F36" s="13">
        <f t="shared" si="11"/>
        <v>54</v>
      </c>
      <c r="G36" s="13">
        <f t="shared" si="11"/>
        <v>74</v>
      </c>
      <c r="H36" s="13">
        <f t="shared" si="11"/>
        <v>20</v>
      </c>
      <c r="I36" s="13">
        <f t="shared" si="11"/>
        <v>71</v>
      </c>
      <c r="J36" s="13">
        <f t="shared" si="11"/>
        <v>53</v>
      </c>
      <c r="K36" s="13">
        <f t="shared" si="11"/>
        <v>82</v>
      </c>
      <c r="L36" s="13">
        <f t="shared" si="11"/>
        <v>66</v>
      </c>
      <c r="M36" s="13">
        <f t="shared" si="11"/>
        <v>73</v>
      </c>
      <c r="N36" s="13">
        <f t="shared" si="11"/>
        <v>82</v>
      </c>
      <c r="O36" s="13">
        <f t="shared" si="11"/>
        <v>67</v>
      </c>
      <c r="P36" s="13">
        <f t="shared" si="11"/>
        <v>94</v>
      </c>
      <c r="Q36" s="13">
        <f t="shared" si="10"/>
        <v>805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19"/>
      <c r="P37" s="19"/>
      <c r="Q37" s="60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13"/>
      <c r="P38" s="13"/>
      <c r="Q38" s="60"/>
    </row>
    <row r="39" ht="12.75" customHeight="1">
      <c r="A39" s="30"/>
      <c r="B39" s="43" t="s">
        <v>32</v>
      </c>
      <c r="C39" s="23"/>
      <c r="D39" s="19" t="s">
        <v>11</v>
      </c>
      <c r="E39" s="19">
        <v>0.0</v>
      </c>
      <c r="F39" s="19">
        <v>0.0</v>
      </c>
      <c r="G39" s="19">
        <v>1.0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1.0</v>
      </c>
      <c r="O39" s="19">
        <v>0.0</v>
      </c>
      <c r="P39" s="19">
        <v>0.0</v>
      </c>
      <c r="Q39" s="13">
        <f t="shared" ref="Q39:Q41" si="12">SUM(E39:P39)</f>
        <v>2</v>
      </c>
    </row>
    <row r="40" ht="12.75" customHeight="1">
      <c r="A40" s="33"/>
      <c r="C40" s="27"/>
      <c r="D40" s="19" t="s">
        <v>12</v>
      </c>
      <c r="E40" s="19">
        <v>0.0</v>
      </c>
      <c r="F40" s="19">
        <v>3.0</v>
      </c>
      <c r="G40" s="19">
        <v>0.0</v>
      </c>
      <c r="H40" s="19">
        <v>0.0</v>
      </c>
      <c r="I40" s="19">
        <v>0.0</v>
      </c>
      <c r="J40" s="19">
        <v>0.0</v>
      </c>
      <c r="K40" s="19">
        <v>2.0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3">
        <f t="shared" si="12"/>
        <v>5</v>
      </c>
    </row>
    <row r="41" ht="12.75" customHeight="1">
      <c r="A41" s="41"/>
      <c r="B41" s="44"/>
      <c r="C41" s="28"/>
      <c r="D41" s="13" t="s">
        <v>13</v>
      </c>
      <c r="E41" s="13">
        <f t="shared" ref="E41:P41" si="13">SUM(E39:E40)</f>
        <v>0</v>
      </c>
      <c r="F41" s="13">
        <f t="shared" si="13"/>
        <v>3</v>
      </c>
      <c r="G41" s="13">
        <f t="shared" si="13"/>
        <v>1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2</v>
      </c>
      <c r="L41" s="13">
        <f t="shared" si="13"/>
        <v>0</v>
      </c>
      <c r="M41" s="13">
        <f t="shared" si="13"/>
        <v>0</v>
      </c>
      <c r="N41" s="13">
        <f t="shared" si="13"/>
        <v>1</v>
      </c>
      <c r="O41" s="13">
        <f t="shared" si="13"/>
        <v>0</v>
      </c>
      <c r="P41" s="13">
        <f t="shared" si="13"/>
        <v>0</v>
      </c>
      <c r="Q41" s="13">
        <f t="shared" si="12"/>
        <v>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19"/>
      <c r="Q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  <c r="P43" s="13"/>
      <c r="Q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19"/>
      <c r="Q44" s="13"/>
    </row>
    <row r="45" ht="12.75" customHeight="1">
      <c r="A45" s="62"/>
      <c r="B45" s="47">
        <v>1.0</v>
      </c>
      <c r="C45" s="48" t="s">
        <v>36</v>
      </c>
      <c r="D45" s="16"/>
      <c r="E45" s="19">
        <v>40.0</v>
      </c>
      <c r="F45" s="19">
        <v>22.0</v>
      </c>
      <c r="G45" s="19">
        <v>18.0</v>
      </c>
      <c r="H45" s="19">
        <v>18.0</v>
      </c>
      <c r="I45" s="19">
        <v>25.0</v>
      </c>
      <c r="J45" s="19">
        <v>20.0</v>
      </c>
      <c r="K45" s="19">
        <v>13.0</v>
      </c>
      <c r="L45" s="19">
        <v>19.0</v>
      </c>
      <c r="M45" s="19">
        <v>9.0</v>
      </c>
      <c r="N45" s="19">
        <v>21.0</v>
      </c>
      <c r="O45" s="19">
        <v>8.0</v>
      </c>
      <c r="P45" s="19">
        <v>12.0</v>
      </c>
      <c r="Q45" s="13">
        <f t="shared" ref="Q45:Q47" si="14">SUM(E45:P45)</f>
        <v>225</v>
      </c>
    </row>
    <row r="46" ht="12.75" customHeight="1">
      <c r="A46" s="18"/>
      <c r="B46" s="47">
        <v>2.0</v>
      </c>
      <c r="C46" s="48" t="s">
        <v>37</v>
      </c>
      <c r="D46" s="16"/>
      <c r="E46" s="19">
        <v>140.0</v>
      </c>
      <c r="F46" s="19">
        <v>142.0</v>
      </c>
      <c r="G46" s="19">
        <v>141.0</v>
      </c>
      <c r="H46" s="19">
        <v>166.0</v>
      </c>
      <c r="I46" s="19">
        <v>173.0</v>
      </c>
      <c r="J46" s="19">
        <v>168.0</v>
      </c>
      <c r="K46" s="19">
        <v>157.0</v>
      </c>
      <c r="L46" s="19">
        <v>144.0</v>
      </c>
      <c r="M46" s="19">
        <v>135.0</v>
      </c>
      <c r="N46" s="19">
        <v>154.0</v>
      </c>
      <c r="O46" s="19">
        <v>128.0</v>
      </c>
      <c r="P46" s="19">
        <v>141.0</v>
      </c>
      <c r="Q46" s="13">
        <f t="shared" si="14"/>
        <v>1789</v>
      </c>
    </row>
    <row r="47" ht="12.75" customHeight="1">
      <c r="A47" s="45"/>
      <c r="B47" s="47">
        <v>3.0</v>
      </c>
      <c r="C47" s="48" t="s">
        <v>38</v>
      </c>
      <c r="D47" s="16"/>
      <c r="E47" s="19">
        <v>38.0</v>
      </c>
      <c r="F47" s="19">
        <v>38.0</v>
      </c>
      <c r="G47" s="19">
        <v>56.0</v>
      </c>
      <c r="H47" s="19">
        <v>36.0</v>
      </c>
      <c r="I47" s="19">
        <v>19.0</v>
      </c>
      <c r="J47" s="19">
        <v>31.0</v>
      </c>
      <c r="K47" s="19">
        <v>31.0</v>
      </c>
      <c r="L47" s="19">
        <v>46.0</v>
      </c>
      <c r="M47" s="19">
        <v>32.0</v>
      </c>
      <c r="N47" s="19">
        <v>30.0</v>
      </c>
      <c r="O47" s="19">
        <v>44.0</v>
      </c>
      <c r="P47" s="19">
        <v>43.0</v>
      </c>
      <c r="Q47" s="13">
        <f t="shared" si="14"/>
        <v>444</v>
      </c>
    </row>
    <row r="48" ht="12.75" customHeight="1"/>
    <row r="49" ht="12.75" customHeight="1">
      <c r="A49" s="42" t="s">
        <v>39</v>
      </c>
      <c r="B49" s="14" t="s">
        <v>40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1"/>
      <c r="O49" s="13"/>
      <c r="P49" s="13"/>
      <c r="Q49" s="13"/>
    </row>
    <row r="50" ht="12.75" customHeight="1">
      <c r="A50" s="42"/>
      <c r="B50" s="54" t="s">
        <v>41</v>
      </c>
      <c r="C50" s="55" t="s">
        <v>42</v>
      </c>
      <c r="D50" s="16"/>
      <c r="E50" s="19">
        <f t="shared" ref="E50:P50" si="15">SUM(E45:E47)</f>
        <v>218</v>
      </c>
      <c r="F50" s="19">
        <f t="shared" si="15"/>
        <v>202</v>
      </c>
      <c r="G50" s="19">
        <f t="shared" si="15"/>
        <v>215</v>
      </c>
      <c r="H50" s="19">
        <f t="shared" si="15"/>
        <v>220</v>
      </c>
      <c r="I50" s="19">
        <f t="shared" si="15"/>
        <v>217</v>
      </c>
      <c r="J50" s="19">
        <f t="shared" si="15"/>
        <v>219</v>
      </c>
      <c r="K50" s="19">
        <f t="shared" si="15"/>
        <v>201</v>
      </c>
      <c r="L50" s="19">
        <f t="shared" si="15"/>
        <v>209</v>
      </c>
      <c r="M50" s="19">
        <f t="shared" si="15"/>
        <v>176</v>
      </c>
      <c r="N50" s="19">
        <f t="shared" si="15"/>
        <v>205</v>
      </c>
      <c r="O50" s="19">
        <f t="shared" si="15"/>
        <v>180</v>
      </c>
      <c r="P50" s="19">
        <f t="shared" si="15"/>
        <v>196</v>
      </c>
      <c r="Q50" s="13">
        <f t="shared" ref="Q50:Q52" si="16">SUM(E50:P50)</f>
        <v>2458</v>
      </c>
    </row>
    <row r="51" ht="12.75" customHeight="1">
      <c r="A51" s="35"/>
      <c r="B51" s="54" t="s">
        <v>43</v>
      </c>
      <c r="C51" s="55" t="s">
        <v>44</v>
      </c>
      <c r="D51" s="16"/>
      <c r="E51" s="19">
        <v>8.0</v>
      </c>
      <c r="F51" s="19">
        <v>3.0</v>
      </c>
      <c r="G51" s="19">
        <v>8.0</v>
      </c>
      <c r="H51" s="19">
        <v>2.0</v>
      </c>
      <c r="I51" s="19">
        <v>4.0</v>
      </c>
      <c r="J51" s="19">
        <v>8.0</v>
      </c>
      <c r="K51" s="19">
        <v>5.0</v>
      </c>
      <c r="L51" s="19">
        <v>4.0</v>
      </c>
      <c r="M51" s="19">
        <v>4.0</v>
      </c>
      <c r="N51" s="19">
        <v>4.0</v>
      </c>
      <c r="O51" s="19">
        <v>6.0</v>
      </c>
      <c r="P51" s="19">
        <v>8.0</v>
      </c>
      <c r="Q51" s="13">
        <f t="shared" si="16"/>
        <v>64</v>
      </c>
    </row>
    <row r="52" ht="12.75" customHeight="1">
      <c r="A52" s="41"/>
      <c r="B52" s="54" t="s">
        <v>45</v>
      </c>
      <c r="C52" s="55" t="s">
        <v>46</v>
      </c>
      <c r="D52" s="16"/>
      <c r="E52" s="13">
        <f t="shared" ref="E52:P52" si="17">SUM(E50:E51)</f>
        <v>226</v>
      </c>
      <c r="F52" s="13">
        <f t="shared" si="17"/>
        <v>205</v>
      </c>
      <c r="G52" s="13">
        <f t="shared" si="17"/>
        <v>223</v>
      </c>
      <c r="H52" s="13">
        <f t="shared" si="17"/>
        <v>222</v>
      </c>
      <c r="I52" s="13">
        <f t="shared" si="17"/>
        <v>221</v>
      </c>
      <c r="J52" s="13">
        <f t="shared" si="17"/>
        <v>227</v>
      </c>
      <c r="K52" s="13">
        <f t="shared" si="17"/>
        <v>206</v>
      </c>
      <c r="L52" s="13">
        <f t="shared" si="17"/>
        <v>213</v>
      </c>
      <c r="M52" s="13">
        <f t="shared" si="17"/>
        <v>180</v>
      </c>
      <c r="N52" s="13">
        <f t="shared" si="17"/>
        <v>209</v>
      </c>
      <c r="O52" s="13">
        <f t="shared" si="17"/>
        <v>186</v>
      </c>
      <c r="P52" s="13">
        <f t="shared" si="17"/>
        <v>204</v>
      </c>
      <c r="Q52" s="13">
        <f t="shared" si="16"/>
        <v>2522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P12"/>
    <mergeCell ref="Q12:Q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P15 E45:P47">
    <cfRule type="containsBlanks" dxfId="1" priority="1">
      <formula>LEN(TRIM(E14))=0</formula>
    </cfRule>
  </conditionalFormatting>
  <conditionalFormatting sqref="E19:P20">
    <cfRule type="containsBlanks" dxfId="1" priority="2">
      <formula>LEN(TRIM(E19))=0</formula>
    </cfRule>
  </conditionalFormatting>
  <conditionalFormatting sqref="E22:P23 E25:P26 E33:P33 E35:P35 E39:P40">
    <cfRule type="containsBlanks" dxfId="1" priority="3">
      <formula>LEN(TRIM(E22))=0</formula>
    </cfRule>
  </conditionalFormatting>
  <conditionalFormatting sqref="E30:P30">
    <cfRule type="expression" dxfId="0" priority="4">
      <formula>E30&lt;&gt;E46</formula>
    </cfRule>
  </conditionalFormatting>
  <conditionalFormatting sqref="E30:P30">
    <cfRule type="expression" dxfId="0" priority="5">
      <formula>E30&lt;&gt;E34</formula>
    </cfRule>
  </conditionalFormatting>
  <conditionalFormatting sqref="E34:P34">
    <cfRule type="expression" dxfId="2" priority="6">
      <formula>E30&lt;&gt;E34</formula>
    </cfRule>
  </conditionalFormatting>
  <conditionalFormatting sqref="E34:P34">
    <cfRule type="expression" dxfId="3" priority="7">
      <formula>E30=E34</formula>
    </cfRule>
  </conditionalFormatting>
  <conditionalFormatting sqref="E34:P34">
    <cfRule type="expression" dxfId="0" priority="8">
      <formula>E34&lt;&gt;E30</formula>
    </cfRule>
  </conditionalFormatting>
  <conditionalFormatting sqref="E34:P34">
    <cfRule type="expression" dxfId="0" priority="9">
      <formula>E34&lt;&gt;#REF!</formula>
    </cfRule>
  </conditionalFormatting>
  <conditionalFormatting sqref="E50:P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4" width="8.71"/>
    <col customWidth="1" min="15" max="15" width="13.29"/>
  </cols>
  <sheetData>
    <row r="1" ht="12.75" customHeight="1"/>
    <row r="2" ht="12.75" customHeight="1">
      <c r="C2" s="8" t="s">
        <v>0</v>
      </c>
      <c r="D2" s="8"/>
    </row>
    <row r="3" ht="12.75" customHeight="1">
      <c r="C3" s="8" t="s">
        <v>1</v>
      </c>
      <c r="D3" s="8" t="s">
        <v>2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47</v>
      </c>
      <c r="D9" s="8"/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58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48</v>
      </c>
      <c r="F13" s="13" t="s">
        <v>49</v>
      </c>
      <c r="G13" s="13" t="s">
        <v>50</v>
      </c>
      <c r="H13" s="13" t="s">
        <v>51</v>
      </c>
      <c r="I13" s="13" t="s">
        <v>52</v>
      </c>
      <c r="J13" s="13" t="s">
        <v>53</v>
      </c>
      <c r="K13" s="13" t="s">
        <v>54</v>
      </c>
      <c r="L13" s="13" t="s">
        <v>55</v>
      </c>
      <c r="M13" s="13" t="s">
        <v>56</v>
      </c>
      <c r="N13" s="13" t="s">
        <v>57</v>
      </c>
      <c r="O13" s="36"/>
    </row>
    <row r="14" ht="12.75" customHeight="1">
      <c r="A14" s="18"/>
      <c r="B14" s="22" t="s">
        <v>10</v>
      </c>
      <c r="C14" s="23"/>
      <c r="D14" s="19" t="s">
        <v>11</v>
      </c>
      <c r="E14" s="19">
        <v>135.0</v>
      </c>
      <c r="F14" s="19">
        <v>147.0</v>
      </c>
      <c r="G14" s="19">
        <v>136.0</v>
      </c>
      <c r="H14" s="19">
        <v>128.0</v>
      </c>
      <c r="I14" s="19">
        <v>133.0</v>
      </c>
      <c r="J14" s="19">
        <v>133.0</v>
      </c>
      <c r="K14" s="19">
        <v>150.0</v>
      </c>
      <c r="L14" s="19">
        <v>144.0</v>
      </c>
      <c r="M14" s="19">
        <v>152.0</v>
      </c>
      <c r="N14" s="19">
        <v>140.0</v>
      </c>
      <c r="O14" s="13">
        <f t="shared" ref="O14:O16" si="1">SUM(E14:N14)</f>
        <v>1398</v>
      </c>
    </row>
    <row r="15" ht="12.75" customHeight="1">
      <c r="A15" s="18"/>
      <c r="B15" s="26"/>
      <c r="C15" s="27"/>
      <c r="D15" s="19" t="s">
        <v>12</v>
      </c>
      <c r="E15" s="19">
        <v>143.0</v>
      </c>
      <c r="F15" s="19">
        <v>138.0</v>
      </c>
      <c r="G15" s="19">
        <v>141.0</v>
      </c>
      <c r="H15" s="19">
        <v>127.0</v>
      </c>
      <c r="I15" s="19">
        <v>138.0</v>
      </c>
      <c r="J15" s="19">
        <v>150.0</v>
      </c>
      <c r="K15" s="19">
        <v>135.0</v>
      </c>
      <c r="L15" s="19">
        <v>138.0</v>
      </c>
      <c r="M15" s="19">
        <v>145.0</v>
      </c>
      <c r="N15" s="19">
        <v>126.0</v>
      </c>
      <c r="O15" s="13">
        <f t="shared" si="1"/>
        <v>1381</v>
      </c>
    </row>
    <row r="16" ht="12.75" customHeight="1">
      <c r="A16" s="25"/>
      <c r="B16" s="21"/>
      <c r="C16" s="28"/>
      <c r="D16" s="13" t="s">
        <v>13</v>
      </c>
      <c r="E16" s="13">
        <f t="shared" ref="E16:N16" si="2">SUM(E14:E15)</f>
        <v>278</v>
      </c>
      <c r="F16" s="13">
        <f t="shared" si="2"/>
        <v>285</v>
      </c>
      <c r="G16" s="13">
        <f t="shared" si="2"/>
        <v>277</v>
      </c>
      <c r="H16" s="13">
        <f t="shared" si="2"/>
        <v>255</v>
      </c>
      <c r="I16" s="13">
        <f t="shared" si="2"/>
        <v>271</v>
      </c>
      <c r="J16" s="13">
        <f t="shared" si="2"/>
        <v>283</v>
      </c>
      <c r="K16" s="13">
        <f t="shared" si="2"/>
        <v>285</v>
      </c>
      <c r="L16" s="13">
        <f t="shared" si="2"/>
        <v>282</v>
      </c>
      <c r="M16" s="13">
        <f t="shared" si="2"/>
        <v>297</v>
      </c>
      <c r="N16" s="13">
        <f t="shared" si="2"/>
        <v>266</v>
      </c>
      <c r="O16" s="13">
        <f t="shared" si="1"/>
        <v>2779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60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60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19">
        <v>97.0</v>
      </c>
      <c r="F19" s="19">
        <v>103.0</v>
      </c>
      <c r="G19" s="19">
        <v>85.0</v>
      </c>
      <c r="H19" s="19">
        <v>93.0</v>
      </c>
      <c r="I19" s="19">
        <v>101.0</v>
      </c>
      <c r="J19" s="19">
        <v>99.0</v>
      </c>
      <c r="K19" s="19">
        <v>109.0</v>
      </c>
      <c r="L19" s="19">
        <v>93.0</v>
      </c>
      <c r="M19" s="19">
        <v>115.0</v>
      </c>
      <c r="N19" s="19">
        <v>91.0</v>
      </c>
      <c r="O19" s="13">
        <f t="shared" ref="O19:O30" si="3">SUM(E19:N19)</f>
        <v>986</v>
      </c>
    </row>
    <row r="20" ht="12.75" customHeight="1">
      <c r="A20" s="33"/>
      <c r="B20" s="27"/>
      <c r="C20" s="34"/>
      <c r="D20" s="19" t="s">
        <v>12</v>
      </c>
      <c r="E20" s="19">
        <v>105.0</v>
      </c>
      <c r="F20" s="19">
        <v>103.0</v>
      </c>
      <c r="G20" s="19">
        <v>104.0</v>
      </c>
      <c r="H20" s="19">
        <v>98.0</v>
      </c>
      <c r="I20" s="19">
        <v>104.0</v>
      </c>
      <c r="J20" s="19">
        <v>113.0</v>
      </c>
      <c r="K20" s="19">
        <v>108.0</v>
      </c>
      <c r="L20" s="19">
        <v>106.0</v>
      </c>
      <c r="M20" s="19">
        <v>120.0</v>
      </c>
      <c r="N20" s="19">
        <v>108.0</v>
      </c>
      <c r="O20" s="13">
        <f t="shared" si="3"/>
        <v>1069</v>
      </c>
    </row>
    <row r="21" ht="12.75" customHeight="1">
      <c r="A21" s="35"/>
      <c r="B21" s="28"/>
      <c r="C21" s="36"/>
      <c r="D21" s="13" t="s">
        <v>13</v>
      </c>
      <c r="E21" s="13">
        <f t="shared" ref="E21:N21" si="4">SUM(E19:E20)</f>
        <v>202</v>
      </c>
      <c r="F21" s="13">
        <f t="shared" si="4"/>
        <v>206</v>
      </c>
      <c r="G21" s="13">
        <f t="shared" si="4"/>
        <v>189</v>
      </c>
      <c r="H21" s="13">
        <f t="shared" si="4"/>
        <v>191</v>
      </c>
      <c r="I21" s="13">
        <f t="shared" si="4"/>
        <v>205</v>
      </c>
      <c r="J21" s="13">
        <f t="shared" si="4"/>
        <v>212</v>
      </c>
      <c r="K21" s="13">
        <f t="shared" si="4"/>
        <v>217</v>
      </c>
      <c r="L21" s="13">
        <f t="shared" si="4"/>
        <v>199</v>
      </c>
      <c r="M21" s="13">
        <f t="shared" si="4"/>
        <v>235</v>
      </c>
      <c r="N21" s="13">
        <f t="shared" si="4"/>
        <v>199</v>
      </c>
      <c r="O21" s="13">
        <f t="shared" si="3"/>
        <v>2055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19">
        <v>0.0</v>
      </c>
      <c r="F22" s="19">
        <v>0.0</v>
      </c>
      <c r="G22" s="19">
        <v>0.0</v>
      </c>
      <c r="H22" s="19">
        <v>0.0</v>
      </c>
      <c r="I22" s="19">
        <v>1.0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3">
        <f t="shared" si="3"/>
        <v>1</v>
      </c>
    </row>
    <row r="23" ht="12.75" customHeight="1">
      <c r="A23" s="33"/>
      <c r="B23" s="27"/>
      <c r="C23" s="34"/>
      <c r="D23" s="19" t="s">
        <v>12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3">
        <f t="shared" si="3"/>
        <v>0</v>
      </c>
    </row>
    <row r="24" ht="12.75" customHeight="1">
      <c r="A24" s="35"/>
      <c r="B24" s="28"/>
      <c r="C24" s="36"/>
      <c r="D24" s="13" t="s">
        <v>13</v>
      </c>
      <c r="E24" s="13">
        <f t="shared" ref="E24:N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1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3"/>
        <v>1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19">
        <v>0.0</v>
      </c>
      <c r="F25" s="19">
        <v>2.0</v>
      </c>
      <c r="G25" s="19">
        <v>0.0</v>
      </c>
      <c r="H25" s="19">
        <v>1.0</v>
      </c>
      <c r="I25" s="19">
        <v>0.0</v>
      </c>
      <c r="J25" s="19">
        <v>0.0</v>
      </c>
      <c r="K25" s="19">
        <v>0.0</v>
      </c>
      <c r="L25" s="19">
        <v>0.0</v>
      </c>
      <c r="M25" s="19">
        <v>1.0</v>
      </c>
      <c r="N25" s="19">
        <v>1.0</v>
      </c>
      <c r="O25" s="13">
        <f t="shared" si="3"/>
        <v>5</v>
      </c>
    </row>
    <row r="26" ht="12.75" customHeight="1">
      <c r="A26" s="33"/>
      <c r="B26" s="27"/>
      <c r="C26" s="34"/>
      <c r="D26" s="19" t="s">
        <v>12</v>
      </c>
      <c r="E26" s="19">
        <v>1.0</v>
      </c>
      <c r="F26" s="19">
        <v>1.0</v>
      </c>
      <c r="G26" s="19">
        <v>0.0</v>
      </c>
      <c r="H26" s="19">
        <v>2.0</v>
      </c>
      <c r="I26" s="19">
        <v>0.0</v>
      </c>
      <c r="J26" s="19">
        <v>0.0</v>
      </c>
      <c r="K26" s="19">
        <v>1.0</v>
      </c>
      <c r="L26" s="19">
        <v>0.0</v>
      </c>
      <c r="M26" s="19">
        <v>1.0</v>
      </c>
      <c r="N26" s="19">
        <v>1.0</v>
      </c>
      <c r="O26" s="13">
        <f t="shared" si="3"/>
        <v>7</v>
      </c>
    </row>
    <row r="27" ht="12.75" customHeight="1">
      <c r="A27" s="35"/>
      <c r="B27" s="28"/>
      <c r="C27" s="36"/>
      <c r="D27" s="13" t="s">
        <v>13</v>
      </c>
      <c r="E27" s="13">
        <f t="shared" ref="E27:N27" si="6">SUM(E25:E26)</f>
        <v>1</v>
      </c>
      <c r="F27" s="13">
        <f t="shared" si="6"/>
        <v>3</v>
      </c>
      <c r="G27" s="13">
        <f t="shared" si="6"/>
        <v>0</v>
      </c>
      <c r="H27" s="13">
        <f t="shared" si="6"/>
        <v>3</v>
      </c>
      <c r="I27" s="13">
        <f t="shared" si="6"/>
        <v>0</v>
      </c>
      <c r="J27" s="13">
        <f t="shared" si="6"/>
        <v>0</v>
      </c>
      <c r="K27" s="13">
        <f t="shared" si="6"/>
        <v>1</v>
      </c>
      <c r="L27" s="13">
        <f t="shared" si="6"/>
        <v>0</v>
      </c>
      <c r="M27" s="13">
        <f t="shared" si="6"/>
        <v>2</v>
      </c>
      <c r="N27" s="13">
        <f t="shared" si="6"/>
        <v>2</v>
      </c>
      <c r="O27" s="13">
        <f t="shared" si="3"/>
        <v>12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N28" si="7">SUM(E19,E22,E25)</f>
        <v>97</v>
      </c>
      <c r="F28" s="13">
        <f t="shared" si="7"/>
        <v>105</v>
      </c>
      <c r="G28" s="13">
        <f t="shared" si="7"/>
        <v>85</v>
      </c>
      <c r="H28" s="13">
        <f t="shared" si="7"/>
        <v>94</v>
      </c>
      <c r="I28" s="13">
        <f t="shared" si="7"/>
        <v>102</v>
      </c>
      <c r="J28" s="13">
        <f t="shared" si="7"/>
        <v>99</v>
      </c>
      <c r="K28" s="13">
        <f t="shared" si="7"/>
        <v>109</v>
      </c>
      <c r="L28" s="13">
        <f t="shared" si="7"/>
        <v>93</v>
      </c>
      <c r="M28" s="13">
        <f t="shared" si="7"/>
        <v>116</v>
      </c>
      <c r="N28" s="13">
        <f t="shared" si="7"/>
        <v>92</v>
      </c>
      <c r="O28" s="13">
        <f t="shared" si="3"/>
        <v>992</v>
      </c>
    </row>
    <row r="29" ht="12.75" customHeight="1">
      <c r="A29" s="35"/>
      <c r="B29" s="27"/>
      <c r="C29" s="34"/>
      <c r="D29" s="13" t="s">
        <v>12</v>
      </c>
      <c r="E29" s="13">
        <f t="shared" ref="E29:N29" si="8">SUM(E20,E23,E26)</f>
        <v>106</v>
      </c>
      <c r="F29" s="13">
        <f t="shared" si="8"/>
        <v>104</v>
      </c>
      <c r="G29" s="13">
        <f t="shared" si="8"/>
        <v>104</v>
      </c>
      <c r="H29" s="13">
        <f t="shared" si="8"/>
        <v>100</v>
      </c>
      <c r="I29" s="13">
        <f t="shared" si="8"/>
        <v>104</v>
      </c>
      <c r="J29" s="13">
        <f t="shared" si="8"/>
        <v>113</v>
      </c>
      <c r="K29" s="13">
        <f t="shared" si="8"/>
        <v>109</v>
      </c>
      <c r="L29" s="13">
        <f t="shared" si="8"/>
        <v>106</v>
      </c>
      <c r="M29" s="13">
        <f t="shared" si="8"/>
        <v>121</v>
      </c>
      <c r="N29" s="13">
        <f t="shared" si="8"/>
        <v>109</v>
      </c>
      <c r="O29" s="13">
        <f t="shared" si="3"/>
        <v>1076</v>
      </c>
    </row>
    <row r="30" ht="12.75" customHeight="1">
      <c r="A30" s="35"/>
      <c r="B30" s="28"/>
      <c r="C30" s="36"/>
      <c r="D30" s="13" t="s">
        <v>13</v>
      </c>
      <c r="E30" s="13">
        <f t="shared" ref="E30:N30" si="9">SUM(E28:E29)</f>
        <v>203</v>
      </c>
      <c r="F30" s="13">
        <f t="shared" si="9"/>
        <v>209</v>
      </c>
      <c r="G30" s="13">
        <f t="shared" si="9"/>
        <v>189</v>
      </c>
      <c r="H30" s="13">
        <f t="shared" si="9"/>
        <v>194</v>
      </c>
      <c r="I30" s="13">
        <f t="shared" si="9"/>
        <v>206</v>
      </c>
      <c r="J30" s="13">
        <f t="shared" si="9"/>
        <v>212</v>
      </c>
      <c r="K30" s="13">
        <f t="shared" si="9"/>
        <v>218</v>
      </c>
      <c r="L30" s="13">
        <f t="shared" si="9"/>
        <v>199</v>
      </c>
      <c r="M30" s="13">
        <f t="shared" si="9"/>
        <v>237</v>
      </c>
      <c r="N30" s="13">
        <f t="shared" si="9"/>
        <v>201</v>
      </c>
      <c r="O30" s="13">
        <f t="shared" si="3"/>
        <v>2068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60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1"/>
      <c r="O32" s="60"/>
    </row>
    <row r="33" ht="12.75" customHeight="1">
      <c r="A33" s="19">
        <v>1.0</v>
      </c>
      <c r="B33" s="20" t="s">
        <v>26</v>
      </c>
      <c r="C33" s="15"/>
      <c r="D33" s="16"/>
      <c r="E33" s="19">
        <v>284.0</v>
      </c>
      <c r="F33" s="19">
        <v>290.0</v>
      </c>
      <c r="G33" s="19">
        <v>262.0</v>
      </c>
      <c r="H33" s="19">
        <v>261.0</v>
      </c>
      <c r="I33" s="19">
        <v>272.0</v>
      </c>
      <c r="J33" s="19">
        <v>289.0</v>
      </c>
      <c r="K33" s="19">
        <v>291.0</v>
      </c>
      <c r="L33" s="19">
        <v>288.0</v>
      </c>
      <c r="M33" s="19">
        <v>304.0</v>
      </c>
      <c r="N33" s="19">
        <v>272.0</v>
      </c>
      <c r="O33" s="13">
        <f t="shared" ref="O33:O36" si="10">SUM(E33:N33)</f>
        <v>2813</v>
      </c>
    </row>
    <row r="34" ht="12.75" customHeight="1">
      <c r="A34" s="19">
        <v>2.0</v>
      </c>
      <c r="B34" s="20" t="s">
        <v>27</v>
      </c>
      <c r="C34" s="15"/>
      <c r="D34" s="16"/>
      <c r="E34" s="13">
        <v>203.0</v>
      </c>
      <c r="F34" s="13">
        <v>209.0</v>
      </c>
      <c r="G34" s="13">
        <v>189.0</v>
      </c>
      <c r="H34" s="13">
        <v>194.0</v>
      </c>
      <c r="I34" s="13">
        <v>206.0</v>
      </c>
      <c r="J34" s="13">
        <v>212.0</v>
      </c>
      <c r="K34" s="13">
        <v>218.0</v>
      </c>
      <c r="L34" s="13">
        <v>199.0</v>
      </c>
      <c r="M34" s="13">
        <v>237.0</v>
      </c>
      <c r="N34" s="13">
        <v>201.0</v>
      </c>
      <c r="O34" s="13">
        <f t="shared" si="10"/>
        <v>2068</v>
      </c>
    </row>
    <row r="35" ht="12.75" customHeight="1">
      <c r="A35" s="19">
        <v>3.0</v>
      </c>
      <c r="B35" s="20" t="s">
        <v>28</v>
      </c>
      <c r="C35" s="15"/>
      <c r="D35" s="16"/>
      <c r="E35" s="19">
        <v>0.0</v>
      </c>
      <c r="F35" s="19">
        <v>0.0</v>
      </c>
      <c r="G35" s="19">
        <v>0.0</v>
      </c>
      <c r="H35" s="19">
        <v>1.0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3">
        <f t="shared" si="10"/>
        <v>1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N36" si="11">E33-(E34+E35)</f>
        <v>81</v>
      </c>
      <c r="F36" s="13">
        <f t="shared" si="11"/>
        <v>81</v>
      </c>
      <c r="G36" s="13">
        <f t="shared" si="11"/>
        <v>73</v>
      </c>
      <c r="H36" s="13">
        <f t="shared" si="11"/>
        <v>66</v>
      </c>
      <c r="I36" s="13">
        <f t="shared" si="11"/>
        <v>66</v>
      </c>
      <c r="J36" s="13">
        <f t="shared" si="11"/>
        <v>77</v>
      </c>
      <c r="K36" s="13">
        <f t="shared" si="11"/>
        <v>73</v>
      </c>
      <c r="L36" s="13">
        <f t="shared" si="11"/>
        <v>89</v>
      </c>
      <c r="M36" s="13">
        <f t="shared" si="11"/>
        <v>67</v>
      </c>
      <c r="N36" s="13">
        <f t="shared" si="11"/>
        <v>71</v>
      </c>
      <c r="O36" s="13">
        <f t="shared" si="10"/>
        <v>744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6"/>
      <c r="O37" s="60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1"/>
      <c r="O38" s="60"/>
    </row>
    <row r="39" ht="12.75" customHeight="1">
      <c r="A39" s="30"/>
      <c r="B39" s="43" t="s">
        <v>32</v>
      </c>
      <c r="C39" s="23"/>
      <c r="D39" s="19" t="s">
        <v>11</v>
      </c>
      <c r="E39" s="19">
        <v>0.0</v>
      </c>
      <c r="F39" s="19">
        <v>0.0</v>
      </c>
      <c r="G39" s="19">
        <v>0.0</v>
      </c>
      <c r="H39" s="19">
        <v>1.0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3">
        <f t="shared" ref="O39:O41" si="12">SUM(E39:N39)</f>
        <v>1</v>
      </c>
    </row>
    <row r="40" ht="12.75" customHeight="1">
      <c r="A40" s="33"/>
      <c r="C40" s="27"/>
      <c r="D40" s="19" t="s">
        <v>12</v>
      </c>
      <c r="E40" s="19">
        <v>0.0</v>
      </c>
      <c r="F40" s="19">
        <v>1.0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1.0</v>
      </c>
      <c r="O40" s="13">
        <f t="shared" si="12"/>
        <v>2</v>
      </c>
    </row>
    <row r="41" ht="12.75" customHeight="1">
      <c r="A41" s="41"/>
      <c r="B41" s="44"/>
      <c r="C41" s="28"/>
      <c r="D41" s="13" t="s">
        <v>13</v>
      </c>
      <c r="E41" s="13">
        <f t="shared" ref="E41:N41" si="13">SUM(E39:E40)</f>
        <v>0</v>
      </c>
      <c r="F41" s="13">
        <f t="shared" si="13"/>
        <v>1</v>
      </c>
      <c r="G41" s="13">
        <f t="shared" si="13"/>
        <v>0</v>
      </c>
      <c r="H41" s="13">
        <f t="shared" si="13"/>
        <v>1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1</v>
      </c>
      <c r="O41" s="13">
        <f t="shared" si="12"/>
        <v>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6"/>
      <c r="O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1"/>
      <c r="O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3"/>
    </row>
    <row r="45" ht="12.75" customHeight="1">
      <c r="A45" s="62"/>
      <c r="B45" s="47">
        <v>1.0</v>
      </c>
      <c r="C45" s="48" t="s">
        <v>36</v>
      </c>
      <c r="D45" s="16"/>
      <c r="E45" s="19">
        <v>18.0</v>
      </c>
      <c r="F45" s="19">
        <v>17.0</v>
      </c>
      <c r="G45" s="19">
        <v>12.0</v>
      </c>
      <c r="H45" s="19">
        <v>16.0</v>
      </c>
      <c r="I45" s="19">
        <v>13.0</v>
      </c>
      <c r="J45" s="19">
        <v>12.0</v>
      </c>
      <c r="K45" s="19">
        <v>12.0</v>
      </c>
      <c r="L45" s="19">
        <v>25.0</v>
      </c>
      <c r="M45" s="19">
        <v>38.0</v>
      </c>
      <c r="N45" s="19">
        <v>24.0</v>
      </c>
      <c r="O45" s="13">
        <f t="shared" ref="O45:O47" si="14">SUM(E45:N45)</f>
        <v>187</v>
      </c>
    </row>
    <row r="46" ht="12.75" customHeight="1">
      <c r="A46" s="18"/>
      <c r="B46" s="47">
        <v>2.0</v>
      </c>
      <c r="C46" s="48" t="s">
        <v>37</v>
      </c>
      <c r="D46" s="16"/>
      <c r="E46" s="19">
        <v>147.0</v>
      </c>
      <c r="F46" s="19">
        <v>149.0</v>
      </c>
      <c r="G46" s="19">
        <v>118.0</v>
      </c>
      <c r="H46" s="19">
        <v>131.0</v>
      </c>
      <c r="I46" s="19">
        <v>135.0</v>
      </c>
      <c r="J46" s="19">
        <v>161.0</v>
      </c>
      <c r="K46" s="19">
        <v>151.0</v>
      </c>
      <c r="L46" s="19">
        <v>134.0</v>
      </c>
      <c r="M46" s="19">
        <v>168.0</v>
      </c>
      <c r="N46" s="19">
        <v>143.0</v>
      </c>
      <c r="O46" s="13">
        <f t="shared" si="14"/>
        <v>1437</v>
      </c>
    </row>
    <row r="47" ht="12.75" customHeight="1">
      <c r="A47" s="45"/>
      <c r="B47" s="47">
        <v>3.0</v>
      </c>
      <c r="C47" s="48" t="s">
        <v>38</v>
      </c>
      <c r="D47" s="16"/>
      <c r="E47" s="19">
        <v>35.0</v>
      </c>
      <c r="F47" s="19">
        <v>43.0</v>
      </c>
      <c r="G47" s="19">
        <v>56.0</v>
      </c>
      <c r="H47" s="19">
        <v>36.0</v>
      </c>
      <c r="I47" s="19">
        <v>55.0</v>
      </c>
      <c r="J47" s="19">
        <v>37.0</v>
      </c>
      <c r="K47" s="19">
        <v>51.0</v>
      </c>
      <c r="L47" s="19">
        <v>36.0</v>
      </c>
      <c r="M47" s="19">
        <v>25.0</v>
      </c>
      <c r="N47" s="19">
        <v>30.0</v>
      </c>
      <c r="O47" s="13">
        <f t="shared" si="14"/>
        <v>404</v>
      </c>
    </row>
    <row r="48" ht="12.75" customHeight="1"/>
    <row r="49" ht="12.75" customHeight="1">
      <c r="A49" s="42" t="s">
        <v>39</v>
      </c>
      <c r="B49" s="14" t="s">
        <v>40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1"/>
      <c r="O49" s="13"/>
    </row>
    <row r="50" ht="12.75" customHeight="1">
      <c r="A50" s="42"/>
      <c r="B50" s="54" t="s">
        <v>41</v>
      </c>
      <c r="C50" s="55" t="s">
        <v>42</v>
      </c>
      <c r="D50" s="16"/>
      <c r="E50" s="19">
        <f t="shared" ref="E50:N50" si="15">SUM(E45:E47)</f>
        <v>200</v>
      </c>
      <c r="F50" s="19">
        <f t="shared" si="15"/>
        <v>209</v>
      </c>
      <c r="G50" s="19">
        <f t="shared" si="15"/>
        <v>186</v>
      </c>
      <c r="H50" s="19">
        <f t="shared" si="15"/>
        <v>183</v>
      </c>
      <c r="I50" s="19">
        <f t="shared" si="15"/>
        <v>203</v>
      </c>
      <c r="J50" s="19">
        <f t="shared" si="15"/>
        <v>210</v>
      </c>
      <c r="K50" s="19">
        <f t="shared" si="15"/>
        <v>214</v>
      </c>
      <c r="L50" s="19">
        <f t="shared" si="15"/>
        <v>195</v>
      </c>
      <c r="M50" s="19">
        <f t="shared" si="15"/>
        <v>231</v>
      </c>
      <c r="N50" s="19">
        <f t="shared" si="15"/>
        <v>197</v>
      </c>
      <c r="O50" s="13">
        <f t="shared" ref="O50:O52" si="16">SUM(E50:N50)</f>
        <v>2028</v>
      </c>
    </row>
    <row r="51" ht="12.75" customHeight="1">
      <c r="A51" s="35"/>
      <c r="B51" s="54" t="s">
        <v>43</v>
      </c>
      <c r="C51" s="55" t="s">
        <v>44</v>
      </c>
      <c r="D51" s="16"/>
      <c r="E51" s="19">
        <v>3.0</v>
      </c>
      <c r="F51" s="19">
        <v>0.0</v>
      </c>
      <c r="G51" s="19">
        <v>3.0</v>
      </c>
      <c r="H51" s="19">
        <v>11.0</v>
      </c>
      <c r="I51" s="19">
        <v>3.0</v>
      </c>
      <c r="J51" s="19">
        <v>2.0</v>
      </c>
      <c r="K51" s="19">
        <v>4.0</v>
      </c>
      <c r="L51" s="19">
        <v>4.0</v>
      </c>
      <c r="M51" s="19">
        <v>6.0</v>
      </c>
      <c r="N51" s="19">
        <v>4.0</v>
      </c>
      <c r="O51" s="13">
        <f t="shared" si="16"/>
        <v>40</v>
      </c>
    </row>
    <row r="52" ht="12.75" customHeight="1">
      <c r="A52" s="41"/>
      <c r="B52" s="54" t="s">
        <v>45</v>
      </c>
      <c r="C52" s="55" t="s">
        <v>46</v>
      </c>
      <c r="D52" s="16"/>
      <c r="E52" s="13">
        <f t="shared" ref="E52:N52" si="17">SUM(E50:E51)</f>
        <v>203</v>
      </c>
      <c r="F52" s="13">
        <f t="shared" si="17"/>
        <v>209</v>
      </c>
      <c r="G52" s="13">
        <f t="shared" si="17"/>
        <v>189</v>
      </c>
      <c r="H52" s="13">
        <f t="shared" si="17"/>
        <v>194</v>
      </c>
      <c r="I52" s="13">
        <f t="shared" si="17"/>
        <v>206</v>
      </c>
      <c r="J52" s="13">
        <f t="shared" si="17"/>
        <v>212</v>
      </c>
      <c r="K52" s="13">
        <f t="shared" si="17"/>
        <v>218</v>
      </c>
      <c r="L52" s="13">
        <f t="shared" si="17"/>
        <v>199</v>
      </c>
      <c r="M52" s="13">
        <f t="shared" si="17"/>
        <v>237</v>
      </c>
      <c r="N52" s="13">
        <f t="shared" si="17"/>
        <v>201</v>
      </c>
      <c r="O52" s="13">
        <f t="shared" si="16"/>
        <v>2068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N12"/>
    <mergeCell ref="O12:O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N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N42"/>
    <mergeCell ref="B43:D43"/>
    <mergeCell ref="A44:D44"/>
    <mergeCell ref="C45:D45"/>
  </mergeCells>
  <conditionalFormatting sqref="E14:N15 E45:N47">
    <cfRule type="containsBlanks" dxfId="1" priority="1">
      <formula>LEN(TRIM(E14))=0</formula>
    </cfRule>
  </conditionalFormatting>
  <conditionalFormatting sqref="E19:N20">
    <cfRule type="containsBlanks" dxfId="1" priority="2">
      <formula>LEN(TRIM(E19))=0</formula>
    </cfRule>
  </conditionalFormatting>
  <conditionalFormatting sqref="E22:N23 E25:N26 E33:N33 E35:N35 E39:N40">
    <cfRule type="containsBlanks" dxfId="1" priority="3">
      <formula>LEN(TRIM(E22))=0</formula>
    </cfRule>
  </conditionalFormatting>
  <conditionalFormatting sqref="E30:N30">
    <cfRule type="expression" dxfId="0" priority="4">
      <formula>E30&lt;&gt;E46</formula>
    </cfRule>
  </conditionalFormatting>
  <conditionalFormatting sqref="E30:N30">
    <cfRule type="expression" dxfId="0" priority="5">
      <formula>E30&lt;&gt;E34</formula>
    </cfRule>
  </conditionalFormatting>
  <conditionalFormatting sqref="E34:N34">
    <cfRule type="expression" dxfId="2" priority="6">
      <formula>E30&lt;&gt;E34</formula>
    </cfRule>
  </conditionalFormatting>
  <conditionalFormatting sqref="E34:N34">
    <cfRule type="expression" dxfId="3" priority="7">
      <formula>E30=E34</formula>
    </cfRule>
  </conditionalFormatting>
  <conditionalFormatting sqref="E34:N34">
    <cfRule type="expression" dxfId="0" priority="8">
      <formula>E34&lt;&gt;E30</formula>
    </cfRule>
  </conditionalFormatting>
  <conditionalFormatting sqref="E34:N34">
    <cfRule type="expression" dxfId="0" priority="9">
      <formula>E34&lt;&gt;#REF!</formula>
    </cfRule>
  </conditionalFormatting>
  <conditionalFormatting sqref="E50:N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