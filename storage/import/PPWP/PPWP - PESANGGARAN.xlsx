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PWP" sheetId="1" r:id="rId4"/>
    <sheet state="visible" name="KANDANGAN" sheetId="2" r:id="rId5"/>
    <sheet state="visible" name="PESANGGARAN" sheetId="3" r:id="rId6"/>
    <sheet state="visible" name="SARONGAN" sheetId="4" r:id="rId7"/>
    <sheet state="visible" name="SUMBERAGUNG" sheetId="5" r:id="rId8"/>
    <sheet state="visible" name="SUMBERMULYO" sheetId="6" r:id="rId9"/>
  </sheets>
  <definedNames/>
  <calcPr/>
  <extLst>
    <ext uri="GoogleSheetsCustomDataVersion2">
      <go:sheetsCustomData xmlns:go="http://customooxmlschemas.google.com/" r:id="rId10" roundtripDataChecksum="SXrhS5EKQczQD772FPzcbteSz8E+Rb5LkV13+mzFLuA="/>
    </ext>
  </extLst>
</workbook>
</file>

<file path=xl/sharedStrings.xml><?xml version="1.0" encoding="utf-8"?>
<sst xmlns="http://schemas.openxmlformats.org/spreadsheetml/2006/main" count="550" uniqueCount="100">
  <si>
    <t>Kecamatan</t>
  </si>
  <si>
    <t>PESANGGARAN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</si>
  <si>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</si>
  <si>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</si>
  <si>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</si>
  <si>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</si>
  <si>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</si>
  <si>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</si>
  <si>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</si>
  <si>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</si>
  <si>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</si>
  <si>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</si>
  <si>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</si>
  <si>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</si>
  <si>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</si>
  <si>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</si>
  <si>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</si>
  <si>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</si>
  <si>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</si>
  <si>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</si>
  <si>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</si>
  <si>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</si>
  <si>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</si>
  <si>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</si>
  <si>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</si>
  <si>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</si>
  <si>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</si>
  <si>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</si>
  <si>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</si>
  <si>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</si>
  <si>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</si>
  <si>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</si>
  <si>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</si>
  <si>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</si>
  <si>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</si>
  <si>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</si>
  <si>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</si>
  <si>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H. ANIES RASYID BASWEDAN, Ph.D. - Dr. (H.C.) H. A. MUHAIMIN ISKANDAR</t>
  </si>
  <si>
    <t>H. PRABOWO SUBIANTO - GIBRAN RAKABUMING RAKA</t>
  </si>
  <si>
    <t>H. GANJAR PRANOWO, S.H., M.I.P. - Prof. Dr. H. M. MAHFUD MD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</si>
  <si>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</si>
  <si>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</si>
  <si>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</si>
  <si>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</si>
  <si>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</si>
  <si>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</si>
  <si>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</si>
  <si>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</si>
  <si>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</si>
  <si>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KANDANGAN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</si>
  <si>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</si>
  <si>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</si>
  <si>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</si>
  <si>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</si>
  <si>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</si>
  <si>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</si>
  <si>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</si>
  <si>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</si>
  <si>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</si>
  <si>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</si>
  <si>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</si>
  <si>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</si>
  <si>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</si>
  <si>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</si>
  <si>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</si>
  <si>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</si>
  <si>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</si>
  <si>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</si>
  <si>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TPS 019</t>
  </si>
  <si>
    <t>TPS 020</t>
  </si>
  <si>
    <t>TPS 021</t>
  </si>
  <si>
    <t>TPS 022</t>
  </si>
  <si>
    <t>TPS 023</t>
  </si>
  <si>
    <t>TPS 024</t>
  </si>
  <si>
    <t>TPS 025</t>
  </si>
  <si>
    <t>TPS 026</t>
  </si>
  <si>
    <t>TPS 027</t>
  </si>
  <si>
    <t>TPS 028</t>
  </si>
  <si>
    <t>TPS 029</t>
  </si>
  <si>
    <t>TPS 030</t>
  </si>
  <si>
    <t>TPS 031</t>
  </si>
  <si>
    <t>TPS 032</t>
  </si>
  <si>
    <t>TPS 033</t>
  </si>
  <si>
    <t>TPS 034</t>
  </si>
  <si>
    <t>TPS 035</t>
  </si>
  <si>
    <t>TPS 036</t>
  </si>
  <si>
    <t>TPS 037</t>
  </si>
  <si>
    <t>TPS 038</t>
  </si>
  <si>
    <t>TPS 039</t>
  </si>
  <si>
    <t>TPS 040</t>
  </si>
  <si>
    <t>TPS 041</t>
  </si>
  <si>
    <t>TPS 042</t>
  </si>
  <si>
    <t>TPS 043</t>
  </si>
  <si>
    <t>TPS 044</t>
  </si>
  <si>
    <t>TPS 045</t>
  </si>
  <si>
    <t>TPS 046</t>
  </si>
  <si>
    <t>TPS 047</t>
  </si>
  <si>
    <t>SARONGAN</t>
  </si>
  <si>
    <t>SUMBERAGUNG</t>
  </si>
  <si>
    <t>SUMBERMULYO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</si>
</sst>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b/>
      <sz val="10.0"/>
      <color rgb="FF000000"/>
      <name val="Bookman Old Style"/>
    </font>
    <font>
      <sz val="10.0"/>
      <color rgb="FF000000"/>
      <name val="Calibri"/>
    </font>
    <font>
      <color theme="1"/>
      <name val="Bookman Old Style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13" fillId="0" fontId="3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6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vertical="center"/>
    </xf>
    <xf borderId="1" fillId="0" fontId="7" numFmtId="0" xfId="0" applyBorder="1" applyFont="1"/>
    <xf borderId="1" fillId="0" fontId="1" numFmtId="0" xfId="0" applyAlignment="1" applyBorder="1" applyFont="1">
      <alignment vertical="center"/>
    </xf>
    <xf borderId="5" fillId="0" fontId="3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vertical="bottom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6</v>
      </c>
      <c r="B12" s="14" t="s">
        <v>7</v>
      </c>
      <c r="C12" s="15"/>
      <c r="D12" s="16"/>
      <c r="E12" s="17" t="s">
        <v>8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9</v>
      </c>
      <c r="B13" s="20" t="s">
        <v>10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11</v>
      </c>
      <c r="C14" s="23"/>
      <c r="D14" s="19" t="s">
        <v>12</v>
      </c>
      <c r="E14" s="24">
        <f>KANDANGAN!AG14+PESANGGARAN!AZ14+SARONGAN!X14+SUMBERAGUNG!AX14+SUMBERMULYO!AB14</f>
        <v>21449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13</v>
      </c>
      <c r="E15" s="24">
        <f>KANDANGAN!AG15+PESANGGARAN!AZ15+SARONGAN!X15+SUMBERAGUNG!AX15+SUMBERMULYO!AB15</f>
        <v>21441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14</v>
      </c>
      <c r="E16" s="29">
        <f>SUM(E14:E15)</f>
        <v>42890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4"/>
      <c r="B17" s="15"/>
      <c r="C17" s="15"/>
      <c r="D17" s="16"/>
      <c r="E17" s="24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0" t="s">
        <v>15</v>
      </c>
      <c r="B18" s="20" t="s">
        <v>16</v>
      </c>
      <c r="C18" s="15"/>
      <c r="D18" s="16"/>
      <c r="E18" s="24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0"/>
      <c r="B19" s="31" t="s">
        <v>17</v>
      </c>
      <c r="C19" s="32" t="s">
        <v>18</v>
      </c>
      <c r="D19" s="19" t="s">
        <v>12</v>
      </c>
      <c r="E19" s="24">
        <f>KANDANGAN!AG19+PESANGGARAN!AZ19+SARONGAN!X19+SUMBERAGUNG!AX19+SUMBERMULYO!AB19</f>
        <v>16133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3"/>
      <c r="B20" s="27"/>
      <c r="C20" s="34"/>
      <c r="D20" s="19" t="s">
        <v>13</v>
      </c>
      <c r="E20" s="24">
        <f>KANDANGAN!AG20+PESANGGARAN!AZ20+SARONGAN!X20+SUMBERAGUNG!AX20+SUMBERMULYO!AB20</f>
        <v>16445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5"/>
      <c r="B21" s="28"/>
      <c r="C21" s="36"/>
      <c r="D21" s="13" t="s">
        <v>14</v>
      </c>
      <c r="E21" s="29">
        <f>SUM(E19:E20)</f>
        <v>32578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3"/>
      <c r="B22" s="31" t="s">
        <v>19</v>
      </c>
      <c r="C22" s="32" t="s">
        <v>20</v>
      </c>
      <c r="D22" s="19" t="s">
        <v>12</v>
      </c>
      <c r="E22" s="24">
        <f>KANDANGAN!AG22+PESANGGARAN!AZ22+SARONGAN!X22+SUMBERAGUNG!AX22+SUMBERMULYO!AB22</f>
        <v>245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3"/>
      <c r="B23" s="27"/>
      <c r="C23" s="34"/>
      <c r="D23" s="19" t="s">
        <v>13</v>
      </c>
      <c r="E23" s="24">
        <f>KANDANGAN!AG23+PESANGGARAN!AZ23+SARONGAN!X23+SUMBERAGUNG!AX23+SUMBERMULYO!AB23</f>
        <v>52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5"/>
      <c r="B24" s="28"/>
      <c r="C24" s="36"/>
      <c r="D24" s="13" t="s">
        <v>14</v>
      </c>
      <c r="E24" s="29">
        <f>SUM(E22:E23)</f>
        <v>297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3"/>
      <c r="B25" s="31" t="s">
        <v>21</v>
      </c>
      <c r="C25" s="32" t="s">
        <v>22</v>
      </c>
      <c r="D25" s="19" t="s">
        <v>12</v>
      </c>
      <c r="E25" s="24">
        <f>KANDANGAN!AG25+PESANGGARAN!AZ25+SARONGAN!X25+SUMBERAGUNG!AX25+SUMBERMULYO!AB25</f>
        <v>291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3"/>
      <c r="B26" s="27"/>
      <c r="C26" s="34"/>
      <c r="D26" s="19" t="s">
        <v>13</v>
      </c>
      <c r="E26" s="24">
        <f>KANDANGAN!AG26+PESANGGARAN!AZ26+SARONGAN!X26+SUMBERAGUNG!AX26+SUMBERMULYO!AB26</f>
        <v>307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5"/>
      <c r="B27" s="28"/>
      <c r="C27" s="36"/>
      <c r="D27" s="13" t="s">
        <v>14</v>
      </c>
      <c r="E27" s="29">
        <f>SUM(E25:E26)</f>
        <v>598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5"/>
      <c r="B28" s="37" t="s">
        <v>23</v>
      </c>
      <c r="C28" s="38" t="s">
        <v>24</v>
      </c>
      <c r="D28" s="13" t="s">
        <v>12</v>
      </c>
      <c r="E28" s="29">
        <f t="shared" ref="E28:E29" si="1">E19+E22+E25</f>
        <v>16669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5"/>
      <c r="B29" s="27"/>
      <c r="C29" s="34"/>
      <c r="D29" s="13" t="s">
        <v>13</v>
      </c>
      <c r="E29" s="29">
        <f t="shared" si="1"/>
        <v>16804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5"/>
      <c r="B30" s="28"/>
      <c r="C30" s="36"/>
      <c r="D30" s="13" t="s">
        <v>14</v>
      </c>
      <c r="E30" s="29">
        <f>SUM(E28:E29)</f>
        <v>33473</v>
      </c>
      <c r="F30" s="39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4"/>
      <c r="B31" s="15"/>
      <c r="C31" s="15"/>
      <c r="D31" s="16"/>
      <c r="E31" s="40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1" t="s">
        <v>25</v>
      </c>
      <c r="B32" s="14" t="s">
        <v>26</v>
      </c>
      <c r="C32" s="15"/>
      <c r="D32" s="16"/>
      <c r="E32" s="29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27</v>
      </c>
      <c r="C33" s="15"/>
      <c r="D33" s="16"/>
      <c r="E33" s="24">
        <f>KANDANGAN!AG33+PESANGGARAN!AZ33+SARONGAN!X33+SUMBERAGUNG!AX33+SUMBERMULYO!AB33</f>
        <v>43866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28</v>
      </c>
      <c r="C34" s="15"/>
      <c r="D34" s="16"/>
      <c r="E34" s="24">
        <f>KANDANGAN!AG34+PESANGGARAN!AZ34+SARONGAN!X34+SUMBERAGUNG!AX34+SUMBERMULYO!AB34</f>
        <v>33477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29</v>
      </c>
      <c r="C35" s="15"/>
      <c r="D35" s="16"/>
      <c r="E35" s="24">
        <f>KANDANGAN!AG35+PESANGGARAN!AZ35+SARONGAN!X35+SUMBERAGUNG!AX35+SUMBERMULYO!AB35</f>
        <v>47</v>
      </c>
      <c r="F35" s="39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30</v>
      </c>
      <c r="C36" s="15"/>
      <c r="D36" s="16"/>
      <c r="E36" s="29">
        <f>E33-(E34+E35)</f>
        <v>10342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4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2" t="s">
        <v>31</v>
      </c>
      <c r="B38" s="14" t="s">
        <v>32</v>
      </c>
      <c r="C38" s="15"/>
      <c r="D38" s="16"/>
      <c r="E38" s="29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0"/>
      <c r="B39" s="43" t="s">
        <v>33</v>
      </c>
      <c r="C39" s="23"/>
      <c r="D39" s="19" t="s">
        <v>12</v>
      </c>
      <c r="E39" s="24">
        <f>KANDANGAN!AG39+PESANGGARAN!AZ39+SARONGAN!X39+SUMBERAGUNG!AX39+SUMBERMULYO!AB39</f>
        <v>30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3"/>
      <c r="C40" s="27"/>
      <c r="D40" s="19" t="s">
        <v>13</v>
      </c>
      <c r="E40" s="24">
        <f>KANDANGAN!AG40+PESANGGARAN!AZ40+SARONGAN!X40+SUMBERAGUNG!AX40+SUMBERMULYO!AB40</f>
        <v>23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1"/>
      <c r="B41" s="44"/>
      <c r="C41" s="28"/>
      <c r="D41" s="13" t="s">
        <v>14</v>
      </c>
      <c r="E41" s="29">
        <f>SUM(E39:E40)</f>
        <v>53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5"/>
      <c r="B42" s="44"/>
      <c r="C42" s="44"/>
      <c r="D42" s="28"/>
      <c r="E42" s="24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2" t="s">
        <v>34</v>
      </c>
      <c r="B43" s="14" t="s">
        <v>35</v>
      </c>
      <c r="C43" s="15"/>
      <c r="D43" s="16"/>
      <c r="E43" s="29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3" t="s">
        <v>36</v>
      </c>
      <c r="B44" s="46"/>
      <c r="C44" s="46"/>
      <c r="D44" s="23"/>
      <c r="E44" s="24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0"/>
      <c r="B45" s="47">
        <v>1.0</v>
      </c>
      <c r="C45" s="48" t="s">
        <v>37</v>
      </c>
      <c r="D45" s="16"/>
      <c r="E45" s="24">
        <f>KANDANGAN!AG45+PESANGGARAN!AZ45+SARONGAN!X45+SUMBERAGUNG!AX45+SUMBERMULYO!AB45</f>
        <v>2227</v>
      </c>
      <c r="F45" s="49"/>
      <c r="G45" s="50"/>
      <c r="H45" s="50"/>
      <c r="I45" s="50"/>
      <c r="J45" s="50"/>
      <c r="K45" s="50"/>
      <c r="L45" s="50"/>
      <c r="M45" s="50"/>
      <c r="N45" s="50"/>
      <c r="O45" s="50"/>
      <c r="P45" s="51"/>
      <c r="Q45" s="3"/>
      <c r="R45" s="3"/>
      <c r="S45" s="3"/>
      <c r="T45" s="3"/>
      <c r="U45" s="3"/>
      <c r="V45" s="3"/>
      <c r="W45" s="52"/>
      <c r="X45" s="3"/>
      <c r="Y45" s="3"/>
      <c r="Z45" s="3"/>
    </row>
    <row r="46" ht="15.75" customHeight="1">
      <c r="A46" s="33"/>
      <c r="B46" s="47">
        <v>2.0</v>
      </c>
      <c r="C46" s="48" t="s">
        <v>38</v>
      </c>
      <c r="D46" s="16"/>
      <c r="E46" s="24">
        <f>KANDANGAN!AG46+PESANGGARAN!AZ46+SARONGAN!X46+SUMBERAGUNG!AX46+SUMBERMULYO!AB46</f>
        <v>23095</v>
      </c>
      <c r="F46" s="18"/>
      <c r="G46" s="5"/>
      <c r="H46" s="5"/>
      <c r="I46" s="5"/>
      <c r="J46" s="5"/>
      <c r="K46" s="5"/>
      <c r="L46" s="5"/>
      <c r="M46" s="5"/>
      <c r="N46" s="5"/>
      <c r="O46" s="5"/>
      <c r="P46" s="6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53"/>
      <c r="B47" s="47">
        <v>3.0</v>
      </c>
      <c r="C47" s="48" t="s">
        <v>39</v>
      </c>
      <c r="D47" s="16"/>
      <c r="E47" s="24">
        <f>KANDANGAN!AG47+PESANGGARAN!AZ47+SARONGAN!X47+SUMBERAGUNG!AX47+SUMBERMULYO!AB47</f>
        <v>7637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F48" s="18"/>
      <c r="G48" s="5"/>
      <c r="H48" s="5"/>
      <c r="I48" s="5"/>
      <c r="J48" s="5"/>
      <c r="K48" s="5"/>
      <c r="L48" s="5"/>
      <c r="M48" s="5"/>
      <c r="N48" s="5"/>
      <c r="O48" s="5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42" t="s">
        <v>40</v>
      </c>
      <c r="B49" s="14" t="s">
        <v>41</v>
      </c>
      <c r="C49" s="15"/>
      <c r="D49" s="16"/>
      <c r="E49" s="13"/>
      <c r="F49" s="18"/>
      <c r="G49" s="5"/>
      <c r="H49" s="5"/>
      <c r="I49" s="5"/>
      <c r="J49" s="5"/>
      <c r="K49" s="5"/>
      <c r="L49" s="5"/>
      <c r="M49" s="5"/>
      <c r="N49" s="5"/>
      <c r="O49" s="5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42"/>
      <c r="B50" s="54" t="s">
        <v>42</v>
      </c>
      <c r="C50" s="55" t="s">
        <v>43</v>
      </c>
      <c r="D50" s="16"/>
      <c r="E50" s="24">
        <f>KANDANGAN!AG50+PESANGGARAN!AZ50+SARONGAN!X50+SUMBERAGUNG!AX50+SUMBERMULYO!AB50</f>
        <v>32959</v>
      </c>
      <c r="F50" s="18"/>
      <c r="G50" s="5"/>
      <c r="H50" s="5"/>
      <c r="I50" s="5"/>
      <c r="J50" s="5"/>
      <c r="K50" s="5"/>
      <c r="L50" s="5"/>
      <c r="M50" s="5"/>
      <c r="N50" s="5"/>
      <c r="O50" s="10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5"/>
      <c r="B51" s="54" t="s">
        <v>44</v>
      </c>
      <c r="C51" s="55" t="s">
        <v>45</v>
      </c>
      <c r="D51" s="16"/>
      <c r="E51" s="24">
        <f>KANDANGAN!AG51+PESANGGARAN!AZ51+SARONGAN!X51+SUMBERAGUNG!AX51+SUMBERMULYO!AB51</f>
        <v>515</v>
      </c>
      <c r="F51" s="18"/>
      <c r="G51" s="5"/>
      <c r="H51" s="5"/>
      <c r="I51" s="5"/>
      <c r="J51" s="5"/>
      <c r="K51" s="5"/>
      <c r="L51" s="5"/>
      <c r="M51" s="5"/>
      <c r="N51" s="5"/>
      <c r="O51" s="10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41"/>
      <c r="B52" s="54" t="s">
        <v>46</v>
      </c>
      <c r="C52" s="55" t="s">
        <v>47</v>
      </c>
      <c r="D52" s="16"/>
      <c r="E52" s="13">
        <f>SUM(E50:E51)</f>
        <v>33474</v>
      </c>
      <c r="F52" s="18"/>
      <c r="G52" s="5"/>
      <c r="H52" s="5"/>
      <c r="I52" s="5"/>
      <c r="J52" s="5"/>
      <c r="K52" s="5"/>
      <c r="L52" s="5"/>
      <c r="M52" s="5"/>
      <c r="N52" s="5"/>
      <c r="O52" s="10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5"/>
      <c r="B53" s="56"/>
      <c r="C53" s="57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10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5"/>
      <c r="B54" s="56"/>
      <c r="C54" s="57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10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5"/>
      <c r="B55" s="56"/>
      <c r="C55" s="57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10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hidden="1" customHeight="1">
      <c r="A56" s="5"/>
      <c r="B56" s="56"/>
      <c r="C56" s="57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10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hidden="1" customHeight="1">
      <c r="A57" s="5"/>
      <c r="B57" s="56"/>
      <c r="C57" s="57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10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hidden="1" customHeight="1">
      <c r="A58" s="5"/>
      <c r="B58" s="56"/>
      <c r="C58" s="57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10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hidden="1" customHeight="1">
      <c r="A59" s="5"/>
      <c r="B59" s="56"/>
      <c r="C59" s="57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10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hidden="1" customHeight="1">
      <c r="A60" s="5"/>
      <c r="B60" s="56"/>
      <c r="C60" s="57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10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hidden="1" customHeight="1">
      <c r="A61" s="5"/>
      <c r="B61" s="56"/>
      <c r="C61" s="57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10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hidden="1" customHeight="1">
      <c r="A62" s="5"/>
      <c r="B62" s="56"/>
      <c r="C62" s="57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10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hidden="1" customHeight="1">
      <c r="A63" s="5"/>
      <c r="B63" s="56"/>
      <c r="C63" s="57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10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hidden="1" customHeight="1">
      <c r="A64" s="5"/>
      <c r="B64" s="56"/>
      <c r="C64" s="57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10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hidden="1" customHeight="1">
      <c r="A65" s="5"/>
      <c r="B65" s="56"/>
      <c r="C65" s="57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10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hidden="1" customHeight="1">
      <c r="A66" s="5"/>
      <c r="B66" s="56"/>
      <c r="C66" s="57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10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hidden="1" customHeight="1">
      <c r="A67" s="5"/>
      <c r="B67" s="56"/>
      <c r="C67" s="57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10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hidden="1" customHeight="1">
      <c r="A68" s="5"/>
      <c r="B68" s="56"/>
      <c r="C68" s="57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10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hidden="1" customHeight="1">
      <c r="A69" s="5"/>
      <c r="B69" s="56"/>
      <c r="C69" s="57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10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hidden="1" customHeight="1">
      <c r="A70" s="5"/>
      <c r="B70" s="56"/>
      <c r="C70" s="57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10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hidden="1" customHeight="1">
      <c r="A71" s="5"/>
      <c r="B71" s="56"/>
      <c r="C71" s="57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10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hidden="1" customHeight="1">
      <c r="A72" s="5"/>
      <c r="B72" s="56"/>
      <c r="C72" s="57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10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hidden="1" customHeight="1">
      <c r="A73" s="5"/>
      <c r="B73" s="56"/>
      <c r="C73" s="57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10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hidden="1" customHeight="1">
      <c r="A74" s="5"/>
      <c r="B74" s="56"/>
      <c r="C74" s="57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10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hidden="1" customHeight="1">
      <c r="A75" s="5"/>
      <c r="B75" s="56"/>
      <c r="C75" s="57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10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hidden="1" customHeight="1">
      <c r="A76" s="5"/>
      <c r="B76" s="56"/>
      <c r="C76" s="57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10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hidden="1" customHeight="1">
      <c r="A77" s="5"/>
      <c r="B77" s="56"/>
      <c r="C77" s="57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10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hidden="1" customHeight="1">
      <c r="A78" s="5"/>
      <c r="B78" s="56"/>
      <c r="C78" s="57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10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hidden="1" customHeight="1">
      <c r="A79" s="5"/>
      <c r="B79" s="56"/>
      <c r="C79" s="57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10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hidden="1" customHeight="1">
      <c r="A80" s="5"/>
      <c r="B80" s="56"/>
      <c r="C80" s="57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10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hidden="1" customHeight="1">
      <c r="A81" s="5"/>
      <c r="B81" s="56"/>
      <c r="C81" s="57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10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hidden="1" customHeight="1">
      <c r="A82" s="5"/>
      <c r="B82" s="56"/>
      <c r="C82" s="57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10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hidden="1" customHeight="1">
      <c r="A83" s="5"/>
      <c r="B83" s="56"/>
      <c r="C83" s="57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10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hidden="1" customHeight="1">
      <c r="A84" s="5"/>
      <c r="B84" s="56"/>
      <c r="C84" s="57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10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hidden="1" customHeight="1">
      <c r="A85" s="5"/>
      <c r="B85" s="56"/>
      <c r="C85" s="57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10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hidden="1" customHeight="1">
      <c r="A86" s="5"/>
      <c r="B86" s="56"/>
      <c r="C86" s="57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10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hidden="1" customHeight="1">
      <c r="A87" s="5"/>
      <c r="B87" s="56"/>
      <c r="C87" s="57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10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hidden="1" customHeight="1">
      <c r="A88" s="5"/>
      <c r="B88" s="56"/>
      <c r="C88" s="57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10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hidden="1" customHeight="1">
      <c r="A89" s="5"/>
      <c r="B89" s="56"/>
      <c r="C89" s="57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10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hidden="1" customHeight="1">
      <c r="A90" s="5"/>
      <c r="B90" s="56"/>
      <c r="C90" s="57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10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hidden="1" customHeight="1">
      <c r="A91" s="5"/>
      <c r="B91" s="56"/>
      <c r="C91" s="57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10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hidden="1" customHeight="1">
      <c r="A92" s="5"/>
      <c r="B92" s="56"/>
      <c r="C92" s="57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10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hidden="1" customHeight="1">
      <c r="A93" s="5"/>
      <c r="B93" s="56"/>
      <c r="C93" s="57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10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hidden="1" customHeight="1">
      <c r="A94" s="5"/>
      <c r="B94" s="56"/>
      <c r="C94" s="57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10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hidden="1" customHeight="1">
      <c r="A95" s="5"/>
      <c r="B95" s="56"/>
      <c r="C95" s="57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10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hidden="1" customHeight="1">
      <c r="A96" s="5"/>
      <c r="B96" s="56"/>
      <c r="C96" s="57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10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hidden="1" customHeight="1">
      <c r="A97" s="5"/>
      <c r="B97" s="56"/>
      <c r="C97" s="57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10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hidden="1" customHeight="1">
      <c r="A98" s="5"/>
      <c r="B98" s="56"/>
      <c r="C98" s="57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10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hidden="1" customHeight="1">
      <c r="A99" s="5"/>
      <c r="B99" s="56"/>
      <c r="C99" s="57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10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hidden="1" customHeight="1">
      <c r="A100" s="5"/>
      <c r="B100" s="56"/>
      <c r="C100" s="57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10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hidden="1" customHeight="1">
      <c r="A101" s="5"/>
      <c r="B101" s="56"/>
      <c r="C101" s="57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10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hidden="1" customHeight="1">
      <c r="A102" s="5"/>
      <c r="B102" s="56"/>
      <c r="C102" s="57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10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hidden="1" customHeight="1">
      <c r="A103" s="5"/>
      <c r="B103" s="56"/>
      <c r="C103" s="57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10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hidden="1" customHeight="1">
      <c r="A104" s="5"/>
      <c r="B104" s="56"/>
      <c r="C104" s="57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10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hidden="1" customHeight="1">
      <c r="A105" s="5"/>
      <c r="B105" s="56"/>
      <c r="C105" s="57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10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hidden="1" customHeight="1">
      <c r="A106" s="5"/>
      <c r="B106" s="56"/>
      <c r="C106" s="57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10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hidden="1" customHeight="1">
      <c r="A107" s="5"/>
      <c r="B107" s="56"/>
      <c r="C107" s="57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10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hidden="1" customHeight="1">
      <c r="A108" s="5"/>
      <c r="B108" s="56"/>
      <c r="C108" s="57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10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hidden="1" customHeight="1">
      <c r="A109" s="5"/>
      <c r="B109" s="56"/>
      <c r="C109" s="57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10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hidden="1" customHeight="1">
      <c r="A110" s="5"/>
      <c r="B110" s="56"/>
      <c r="C110" s="57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10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hidden="1" customHeight="1">
      <c r="A111" s="5"/>
      <c r="B111" s="56"/>
      <c r="C111" s="57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10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hidden="1" customHeight="1">
      <c r="A112" s="5"/>
      <c r="B112" s="56"/>
      <c r="C112" s="57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10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hidden="1" customHeight="1">
      <c r="A113" s="5"/>
      <c r="B113" s="56"/>
      <c r="C113" s="57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10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hidden="1" customHeight="1">
      <c r="A114" s="5"/>
      <c r="B114" s="56"/>
      <c r="C114" s="57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10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hidden="1" customHeight="1">
      <c r="A115" s="5"/>
      <c r="B115" s="56"/>
      <c r="C115" s="57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10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hidden="1" customHeight="1">
      <c r="A116" s="5"/>
      <c r="B116" s="56"/>
      <c r="C116" s="57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10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hidden="1" customHeight="1">
      <c r="A117" s="5"/>
      <c r="B117" s="56"/>
      <c r="C117" s="57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10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hidden="1" customHeight="1">
      <c r="A118" s="5"/>
      <c r="B118" s="56"/>
      <c r="C118" s="57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10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hidden="1" customHeight="1">
      <c r="A119" s="5"/>
      <c r="B119" s="56"/>
      <c r="C119" s="57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10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hidden="1" customHeight="1">
      <c r="A120" s="5"/>
      <c r="B120" s="56"/>
      <c r="C120" s="57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10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hidden="1" customHeight="1">
      <c r="A121" s="5"/>
      <c r="B121" s="56"/>
      <c r="C121" s="57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10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hidden="1" customHeight="1">
      <c r="A122" s="5"/>
      <c r="B122" s="56"/>
      <c r="C122" s="57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10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hidden="1" customHeight="1">
      <c r="A123" s="5"/>
      <c r="B123" s="56"/>
      <c r="C123" s="57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10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hidden="1" customHeight="1">
      <c r="A124" s="5"/>
      <c r="B124" s="56"/>
      <c r="C124" s="57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10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hidden="1" customHeight="1">
      <c r="A125" s="5"/>
      <c r="B125" s="56"/>
      <c r="C125" s="57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10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hidden="1" customHeight="1">
      <c r="A126" s="5"/>
      <c r="B126" s="56"/>
      <c r="C126" s="57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10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hidden="1" customHeight="1">
      <c r="A127" s="5"/>
      <c r="B127" s="56"/>
      <c r="C127" s="57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10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hidden="1" customHeight="1">
      <c r="A128" s="5"/>
      <c r="B128" s="56"/>
      <c r="C128" s="57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10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hidden="1" customHeight="1">
      <c r="A129" s="5"/>
      <c r="B129" s="56"/>
      <c r="C129" s="57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10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hidden="1" customHeight="1">
      <c r="A130" s="5"/>
      <c r="B130" s="56"/>
      <c r="C130" s="57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10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hidden="1" customHeight="1">
      <c r="A131" s="5"/>
      <c r="B131" s="56"/>
      <c r="C131" s="57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10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hidden="1" customHeight="1">
      <c r="A132" s="5"/>
      <c r="B132" s="56"/>
      <c r="C132" s="57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10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hidden="1" customHeight="1">
      <c r="A133" s="5"/>
      <c r="B133" s="56"/>
      <c r="C133" s="57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10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hidden="1" customHeight="1">
      <c r="A134" s="5"/>
      <c r="B134" s="56"/>
      <c r="C134" s="57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10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hidden="1" customHeight="1">
      <c r="A135" s="5"/>
      <c r="B135" s="56"/>
      <c r="C135" s="57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10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hidden="1" customHeight="1">
      <c r="A136" s="5"/>
      <c r="B136" s="56"/>
      <c r="C136" s="57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10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hidden="1" customHeight="1">
      <c r="A137" s="5"/>
      <c r="B137" s="56"/>
      <c r="C137" s="57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10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hidden="1" customHeight="1">
      <c r="A138" s="5"/>
      <c r="B138" s="56"/>
      <c r="C138" s="5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10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hidden="1" customHeight="1">
      <c r="A139" s="5"/>
      <c r="B139" s="56"/>
      <c r="C139" s="57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10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hidden="1" customHeight="1">
      <c r="A140" s="5"/>
      <c r="B140" s="56"/>
      <c r="C140" s="57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10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hidden="1" customHeight="1">
      <c r="A141" s="5"/>
      <c r="B141" s="56"/>
      <c r="C141" s="57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10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hidden="1" customHeight="1">
      <c r="A142" s="5"/>
      <c r="B142" s="56"/>
      <c r="C142" s="57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10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hidden="1" customHeight="1">
      <c r="A143" s="5"/>
      <c r="B143" s="56"/>
      <c r="C143" s="57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10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hidden="1" customHeight="1">
      <c r="A144" s="5"/>
      <c r="B144" s="56"/>
      <c r="C144" s="57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10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hidden="1" customHeight="1">
      <c r="A145" s="5"/>
      <c r="B145" s="56"/>
      <c r="C145" s="57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10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hidden="1" customHeight="1">
      <c r="A146" s="5"/>
      <c r="B146" s="56"/>
      <c r="C146" s="57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10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hidden="1" customHeight="1">
      <c r="A147" s="5"/>
      <c r="B147" s="56"/>
      <c r="C147" s="57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10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hidden="1" customHeight="1">
      <c r="A148" s="5"/>
      <c r="B148" s="56"/>
      <c r="C148" s="57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10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hidden="1" customHeight="1">
      <c r="A149" s="5"/>
      <c r="B149" s="56"/>
      <c r="C149" s="57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10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hidden="1" customHeight="1">
      <c r="A150" s="5"/>
      <c r="B150" s="56"/>
      <c r="C150" s="57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10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hidden="1" customHeight="1">
      <c r="A151" s="5"/>
      <c r="B151" s="56"/>
      <c r="C151" s="57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10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hidden="1" customHeight="1">
      <c r="A152" s="5"/>
      <c r="B152" s="56"/>
      <c r="C152" s="57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10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hidden="1" customHeight="1">
      <c r="A153" s="5"/>
      <c r="B153" s="56"/>
      <c r="C153" s="57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10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hidden="1" customHeight="1">
      <c r="A154" s="5"/>
      <c r="B154" s="56"/>
      <c r="C154" s="57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10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hidden="1" customHeight="1">
      <c r="A155" s="5"/>
      <c r="B155" s="56"/>
      <c r="C155" s="57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10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hidden="1" customHeight="1">
      <c r="A156" s="5"/>
      <c r="B156" s="56"/>
      <c r="C156" s="57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10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hidden="1" customHeight="1">
      <c r="A157" s="5"/>
      <c r="B157" s="56"/>
      <c r="C157" s="57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10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hidden="1" customHeight="1">
      <c r="A158" s="5"/>
      <c r="B158" s="56"/>
      <c r="C158" s="57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10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hidden="1" customHeight="1">
      <c r="A159" s="5"/>
      <c r="B159" s="56"/>
      <c r="C159" s="57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10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hidden="1" customHeight="1">
      <c r="A160" s="5"/>
      <c r="B160" s="56"/>
      <c r="C160" s="57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10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hidden="1" customHeight="1">
      <c r="A161" s="5"/>
      <c r="B161" s="56"/>
      <c r="C161" s="57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10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hidden="1" customHeight="1">
      <c r="A162" s="5"/>
      <c r="B162" s="56"/>
      <c r="C162" s="57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10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hidden="1" customHeight="1">
      <c r="A163" s="5"/>
      <c r="B163" s="56"/>
      <c r="C163" s="57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10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hidden="1" customHeight="1">
      <c r="A164" s="5"/>
      <c r="B164" s="56"/>
      <c r="C164" s="57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10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hidden="1" customHeight="1">
      <c r="A165" s="5"/>
      <c r="B165" s="56"/>
      <c r="C165" s="57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10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hidden="1" customHeight="1">
      <c r="A166" s="5"/>
      <c r="B166" s="56"/>
      <c r="C166" s="57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10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hidden="1" customHeight="1">
      <c r="A167" s="5"/>
      <c r="B167" s="56"/>
      <c r="C167" s="57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10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hidden="1" customHeight="1">
      <c r="A168" s="5"/>
      <c r="B168" s="56"/>
      <c r="C168" s="57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10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hidden="1" customHeight="1">
      <c r="A169" s="5"/>
      <c r="B169" s="56"/>
      <c r="C169" s="5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10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hidden="1" customHeight="1">
      <c r="A170" s="5"/>
      <c r="B170" s="56"/>
      <c r="C170" s="57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10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hidden="1" customHeight="1">
      <c r="A171" s="5"/>
      <c r="B171" s="56"/>
      <c r="C171" s="57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10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hidden="1" customHeight="1">
      <c r="A172" s="5"/>
      <c r="B172" s="56"/>
      <c r="C172" s="57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10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hidden="1" customHeight="1">
      <c r="A173" s="5"/>
      <c r="B173" s="56"/>
      <c r="C173" s="57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10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hidden="1" customHeight="1">
      <c r="A174" s="5"/>
      <c r="B174" s="56"/>
      <c r="C174" s="57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10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hidden="1" customHeight="1">
      <c r="A175" s="5"/>
      <c r="B175" s="56"/>
      <c r="C175" s="57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10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hidden="1" customHeight="1">
      <c r="A176" s="5"/>
      <c r="B176" s="56"/>
      <c r="C176" s="57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10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hidden="1" customHeight="1">
      <c r="A177" s="5"/>
      <c r="B177" s="56"/>
      <c r="C177" s="57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10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hidden="1" customHeight="1">
      <c r="A178" s="5"/>
      <c r="B178" s="56"/>
      <c r="C178" s="57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10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hidden="1" customHeight="1">
      <c r="A179" s="5"/>
      <c r="B179" s="56"/>
      <c r="C179" s="57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10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hidden="1" customHeight="1">
      <c r="A180" s="5"/>
      <c r="B180" s="56"/>
      <c r="C180" s="57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10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hidden="1" customHeight="1">
      <c r="A181" s="5"/>
      <c r="B181" s="56"/>
      <c r="C181" s="57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10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hidden="1" customHeight="1">
      <c r="A182" s="5"/>
      <c r="B182" s="56"/>
      <c r="C182" s="57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10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hidden="1" customHeight="1">
      <c r="A183" s="5"/>
      <c r="B183" s="56"/>
      <c r="C183" s="57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10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hidden="1" customHeight="1">
      <c r="A184" s="5"/>
      <c r="B184" s="56"/>
      <c r="C184" s="57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10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hidden="1" customHeight="1">
      <c r="A185" s="5"/>
      <c r="B185" s="56"/>
      <c r="C185" s="57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10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hidden="1" customHeight="1">
      <c r="A186" s="5"/>
      <c r="B186" s="56"/>
      <c r="C186" s="57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10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hidden="1" customHeight="1">
      <c r="A187" s="5"/>
      <c r="B187" s="56"/>
      <c r="C187" s="57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10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hidden="1" customHeight="1">
      <c r="A188" s="5"/>
      <c r="B188" s="56"/>
      <c r="C188" s="57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10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hidden="1" customHeight="1">
      <c r="A189" s="5"/>
      <c r="B189" s="56"/>
      <c r="C189" s="57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10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hidden="1" customHeight="1">
      <c r="A190" s="5"/>
      <c r="B190" s="56"/>
      <c r="C190" s="57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10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hidden="1" customHeight="1">
      <c r="A191" s="5"/>
      <c r="B191" s="56"/>
      <c r="C191" s="57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10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hidden="1" customHeight="1">
      <c r="A192" s="5"/>
      <c r="B192" s="56"/>
      <c r="C192" s="57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10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hidden="1" customHeight="1">
      <c r="A193" s="5"/>
      <c r="B193" s="56"/>
      <c r="C193" s="57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10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hidden="1" customHeight="1">
      <c r="A194" s="5"/>
      <c r="B194" s="56"/>
      <c r="C194" s="57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10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hidden="1" customHeight="1">
      <c r="A195" s="5"/>
      <c r="B195" s="56"/>
      <c r="C195" s="57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10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hidden="1" customHeight="1">
      <c r="A196" s="5"/>
      <c r="B196" s="56"/>
      <c r="C196" s="57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10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hidden="1" customHeight="1">
      <c r="A197" s="5"/>
      <c r="B197" s="56"/>
      <c r="C197" s="57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10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hidden="1" customHeight="1">
      <c r="A198" s="5"/>
      <c r="B198" s="56"/>
      <c r="C198" s="57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10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hidden="1" customHeight="1">
      <c r="A199" s="5"/>
      <c r="B199" s="56"/>
      <c r="C199" s="57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10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hidden="1" customHeight="1">
      <c r="A200" s="5"/>
      <c r="B200" s="56"/>
      <c r="C200" s="57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10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hidden="1" customHeight="1">
      <c r="A201" s="5"/>
      <c r="B201" s="56"/>
      <c r="C201" s="57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10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hidden="1" customHeight="1">
      <c r="A202" s="5"/>
      <c r="B202" s="56"/>
      <c r="C202" s="57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10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hidden="1" customHeight="1">
      <c r="A203" s="5"/>
      <c r="B203" s="56"/>
      <c r="C203" s="57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10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hidden="1" customHeight="1">
      <c r="A204" s="5"/>
      <c r="B204" s="56"/>
      <c r="C204" s="57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10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hidden="1" customHeight="1">
      <c r="A205" s="5"/>
      <c r="B205" s="56"/>
      <c r="C205" s="57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10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hidden="1" customHeight="1">
      <c r="A206" s="5"/>
      <c r="B206" s="56"/>
      <c r="C206" s="57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10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hidden="1" customHeight="1">
      <c r="A207" s="5"/>
      <c r="B207" s="56"/>
      <c r="C207" s="57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10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hidden="1" customHeight="1">
      <c r="A208" s="5"/>
      <c r="B208" s="56"/>
      <c r="C208" s="57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10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hidden="1" customHeight="1">
      <c r="A209" s="5"/>
      <c r="B209" s="56"/>
      <c r="C209" s="57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10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hidden="1" customHeight="1">
      <c r="A210" s="5"/>
      <c r="B210" s="56"/>
      <c r="C210" s="57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10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hidden="1" customHeight="1">
      <c r="A211" s="5"/>
      <c r="B211" s="56"/>
      <c r="C211" s="57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10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hidden="1" customHeight="1">
      <c r="A212" s="5"/>
      <c r="B212" s="56"/>
      <c r="C212" s="57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10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hidden="1" customHeight="1">
      <c r="A213" s="5"/>
      <c r="B213" s="56"/>
      <c r="C213" s="57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10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hidden="1" customHeight="1">
      <c r="A214" s="5"/>
      <c r="B214" s="56"/>
      <c r="C214" s="57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10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hidden="1" customHeight="1">
      <c r="A215" s="5"/>
      <c r="B215" s="56"/>
      <c r="C215" s="57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10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hidden="1" customHeight="1">
      <c r="A216" s="5"/>
      <c r="B216" s="56"/>
      <c r="C216" s="57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10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hidden="1" customHeight="1">
      <c r="A217" s="5"/>
      <c r="B217" s="56"/>
      <c r="C217" s="57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10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hidden="1" customHeight="1">
      <c r="A218" s="5"/>
      <c r="B218" s="56"/>
      <c r="C218" s="57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10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hidden="1" customHeight="1">
      <c r="A219" s="5"/>
      <c r="B219" s="56"/>
      <c r="C219" s="57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10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hidden="1" customHeight="1">
      <c r="A220" s="5"/>
      <c r="B220" s="56"/>
      <c r="C220" s="57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10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hidden="1" customHeight="1">
      <c r="A221" s="5"/>
      <c r="B221" s="56"/>
      <c r="C221" s="57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10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hidden="1" customHeight="1">
      <c r="A222" s="5"/>
      <c r="B222" s="56"/>
      <c r="C222" s="57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10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hidden="1" customHeight="1">
      <c r="A223" s="5"/>
      <c r="B223" s="56"/>
      <c r="C223" s="57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10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hidden="1" customHeight="1">
      <c r="A224" s="5"/>
      <c r="B224" s="56"/>
      <c r="C224" s="57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10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hidden="1" customHeight="1">
      <c r="A225" s="5"/>
      <c r="B225" s="56"/>
      <c r="C225" s="57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10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hidden="1" customHeight="1">
      <c r="A226" s="5"/>
      <c r="B226" s="56"/>
      <c r="C226" s="57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10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hidden="1" customHeight="1">
      <c r="A227" s="5"/>
      <c r="B227" s="56"/>
      <c r="C227" s="57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10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hidden="1" customHeight="1">
      <c r="A228" s="5"/>
      <c r="B228" s="56"/>
      <c r="C228" s="57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10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hidden="1" customHeight="1">
      <c r="A229" s="5"/>
      <c r="B229" s="56"/>
      <c r="C229" s="57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10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hidden="1" customHeight="1">
      <c r="A230" s="5"/>
      <c r="B230" s="56"/>
      <c r="C230" s="57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10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hidden="1" customHeight="1">
      <c r="A231" s="5"/>
      <c r="B231" s="56"/>
      <c r="C231" s="57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10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hidden="1" customHeight="1">
      <c r="A232" s="5"/>
      <c r="B232" s="56"/>
      <c r="C232" s="57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10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hidden="1" customHeight="1">
      <c r="A233" s="5"/>
      <c r="B233" s="56"/>
      <c r="C233" s="57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10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hidden="1" customHeight="1">
      <c r="A234" s="5"/>
      <c r="B234" s="56"/>
      <c r="C234" s="57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10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hidden="1" customHeight="1">
      <c r="A235" s="5"/>
      <c r="B235" s="56"/>
      <c r="C235" s="57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10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hidden="1" customHeight="1">
      <c r="A236" s="5"/>
      <c r="B236" s="56"/>
      <c r="C236" s="57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10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hidden="1" customHeight="1">
      <c r="A237" s="5"/>
      <c r="B237" s="56"/>
      <c r="C237" s="57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10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hidden="1" customHeight="1">
      <c r="A238" s="5"/>
      <c r="B238" s="56"/>
      <c r="C238" s="57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10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hidden="1" customHeight="1">
      <c r="A239" s="5"/>
      <c r="B239" s="56"/>
      <c r="C239" s="57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10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hidden="1" customHeight="1">
      <c r="A240" s="5"/>
      <c r="B240" s="56"/>
      <c r="C240" s="57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10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hidden="1" customHeight="1">
      <c r="A241" s="5"/>
      <c r="B241" s="56"/>
      <c r="C241" s="57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10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hidden="1" customHeight="1">
      <c r="A242" s="5"/>
      <c r="B242" s="56"/>
      <c r="C242" s="57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10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hidden="1" customHeight="1">
      <c r="A243" s="5"/>
      <c r="B243" s="56"/>
      <c r="C243" s="57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10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hidden="1" customHeight="1">
      <c r="A244" s="5"/>
      <c r="B244" s="56"/>
      <c r="C244" s="57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10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hidden="1" customHeight="1">
      <c r="A245" s="5"/>
      <c r="B245" s="56"/>
      <c r="C245" s="57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10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hidden="1" customHeight="1">
      <c r="A246" s="5"/>
      <c r="B246" s="56"/>
      <c r="C246" s="57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10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hidden="1" customHeight="1">
      <c r="A247" s="5"/>
      <c r="B247" s="56"/>
      <c r="C247" s="57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10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hidden="1" customHeight="1">
      <c r="A248" s="5"/>
      <c r="B248" s="56"/>
      <c r="C248" s="57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10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hidden="1" customHeight="1">
      <c r="A249" s="5"/>
      <c r="B249" s="56"/>
      <c r="C249" s="57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10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hidden="1" customHeight="1">
      <c r="A250" s="5"/>
      <c r="B250" s="56"/>
      <c r="C250" s="57"/>
      <c r="D250" s="5"/>
      <c r="E250" s="5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hidden="1" customHeight="1">
      <c r="A251" s="5"/>
      <c r="B251" s="56"/>
      <c r="C251" s="57"/>
      <c r="D251" s="5"/>
      <c r="E251" s="5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hidden="1" customHeight="1">
      <c r="A252" s="5"/>
      <c r="B252" s="56"/>
      <c r="C252" s="57"/>
      <c r="D252" s="5"/>
      <c r="E252" s="5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C47:D47"/>
    <mergeCell ref="B49:D49"/>
    <mergeCell ref="C50:D50"/>
    <mergeCell ref="C51:D51"/>
    <mergeCell ref="C52:D52"/>
    <mergeCell ref="B38:D38"/>
    <mergeCell ref="B39:C41"/>
    <mergeCell ref="A42:D42"/>
    <mergeCell ref="B43:D43"/>
    <mergeCell ref="A44:D44"/>
    <mergeCell ref="C45:D45"/>
    <mergeCell ref="C46:D46"/>
  </mergeCells>
  <conditionalFormatting sqref="E30">
    <cfRule type="expression" dxfId="0" priority="1">
      <formula>E30&lt;&gt;E52</formula>
    </cfRule>
  </conditionalFormatting>
  <conditionalFormatting sqref="E30">
    <cfRule type="expression" dxfId="0" priority="2">
      <formula>E30&lt;&gt;E34</formula>
    </cfRule>
  </conditionalFormatting>
  <conditionalFormatting sqref="F48:O49">
    <cfRule type="cellIs" dxfId="0" priority="3" operator="equal">
      <formula>"FALSE"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2" width="8.71"/>
    <col customWidth="1" min="33" max="33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49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5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13" t="s">
        <v>66</v>
      </c>
      <c r="V13" s="13" t="s">
        <v>67</v>
      </c>
      <c r="W13" s="13" t="s">
        <v>68</v>
      </c>
      <c r="X13" s="13" t="s">
        <v>69</v>
      </c>
      <c r="Y13" s="13" t="s">
        <v>70</v>
      </c>
      <c r="Z13" s="13" t="s">
        <v>71</v>
      </c>
      <c r="AA13" s="13" t="s">
        <v>72</v>
      </c>
      <c r="AB13" s="13" t="s">
        <v>73</v>
      </c>
      <c r="AC13" s="13" t="s">
        <v>74</v>
      </c>
      <c r="AD13" s="13" t="s">
        <v>75</v>
      </c>
      <c r="AE13" s="13" t="s">
        <v>76</v>
      </c>
      <c r="AF13" s="13" t="s">
        <v>77</v>
      </c>
      <c r="AG13" s="36"/>
    </row>
    <row r="14" ht="12.75" customHeight="1">
      <c r="A14" s="18"/>
      <c r="B14" s="22" t="s">
        <v>11</v>
      </c>
      <c r="C14" s="23"/>
      <c r="D14" s="19" t="s">
        <v>12</v>
      </c>
      <c r="E14" s="19">
        <v>118.0</v>
      </c>
      <c r="F14" s="19">
        <v>98.0</v>
      </c>
      <c r="G14" s="19">
        <v>113.0</v>
      </c>
      <c r="H14" s="19">
        <v>103.0</v>
      </c>
      <c r="I14" s="19">
        <v>144.0</v>
      </c>
      <c r="J14" s="19">
        <v>150.0</v>
      </c>
      <c r="K14" s="19">
        <v>117.0</v>
      </c>
      <c r="L14" s="19">
        <v>103.0</v>
      </c>
      <c r="M14" s="19">
        <v>112.0</v>
      </c>
      <c r="N14" s="19">
        <v>125.0</v>
      </c>
      <c r="O14" s="19">
        <v>107.0</v>
      </c>
      <c r="P14" s="19">
        <v>141.0</v>
      </c>
      <c r="Q14" s="19">
        <v>145.0</v>
      </c>
      <c r="R14" s="19">
        <v>131.0</v>
      </c>
      <c r="S14" s="19">
        <v>94.0</v>
      </c>
      <c r="T14" s="19">
        <v>136.0</v>
      </c>
      <c r="U14" s="19">
        <v>115.0</v>
      </c>
      <c r="V14" s="19">
        <v>138.0</v>
      </c>
      <c r="W14" s="19">
        <v>154.0</v>
      </c>
      <c r="X14" s="19">
        <v>136.0</v>
      </c>
      <c r="Y14" s="19">
        <v>147.0</v>
      </c>
      <c r="Z14" s="19">
        <v>137.0</v>
      </c>
      <c r="AA14" s="19">
        <v>84.0</v>
      </c>
      <c r="AB14" s="19">
        <v>140.0</v>
      </c>
      <c r="AC14" s="19">
        <v>126.0</v>
      </c>
      <c r="AD14" s="19">
        <v>113.0</v>
      </c>
      <c r="AE14" s="19">
        <v>114.0</v>
      </c>
      <c r="AF14" s="19">
        <v>127.0</v>
      </c>
      <c r="AG14" s="13">
        <f t="shared" ref="AG14:AG16" si="1">SUM(E14:AF14)</f>
        <v>3468</v>
      </c>
    </row>
    <row r="15" ht="12.75" customHeight="1">
      <c r="A15" s="18"/>
      <c r="B15" s="26"/>
      <c r="C15" s="27"/>
      <c r="D15" s="19" t="s">
        <v>13</v>
      </c>
      <c r="E15" s="19">
        <v>138.0</v>
      </c>
      <c r="F15" s="19">
        <v>89.0</v>
      </c>
      <c r="G15" s="19">
        <v>118.0</v>
      </c>
      <c r="H15" s="19">
        <v>121.0</v>
      </c>
      <c r="I15" s="19">
        <v>129.0</v>
      </c>
      <c r="J15" s="19">
        <v>141.0</v>
      </c>
      <c r="K15" s="19">
        <v>102.0</v>
      </c>
      <c r="L15" s="19">
        <v>90.0</v>
      </c>
      <c r="M15" s="19">
        <v>124.0</v>
      </c>
      <c r="N15" s="19">
        <v>123.0</v>
      </c>
      <c r="O15" s="19">
        <v>115.0</v>
      </c>
      <c r="P15" s="19">
        <v>142.0</v>
      </c>
      <c r="Q15" s="19">
        <v>142.0</v>
      </c>
      <c r="R15" s="19">
        <v>131.0</v>
      </c>
      <c r="S15" s="19">
        <v>115.0</v>
      </c>
      <c r="T15" s="19">
        <v>147.0</v>
      </c>
      <c r="U15" s="19">
        <v>128.0</v>
      </c>
      <c r="V15" s="19">
        <v>136.0</v>
      </c>
      <c r="W15" s="19">
        <v>129.0</v>
      </c>
      <c r="X15" s="19">
        <v>140.0</v>
      </c>
      <c r="Y15" s="19">
        <v>148.0</v>
      </c>
      <c r="Z15" s="19">
        <v>130.0</v>
      </c>
      <c r="AA15" s="19">
        <v>105.0</v>
      </c>
      <c r="AB15" s="19">
        <v>139.0</v>
      </c>
      <c r="AC15" s="19">
        <v>119.0</v>
      </c>
      <c r="AD15" s="19">
        <v>119.0</v>
      </c>
      <c r="AE15" s="19">
        <v>108.0</v>
      </c>
      <c r="AF15" s="19">
        <v>119.0</v>
      </c>
      <c r="AG15" s="13">
        <f t="shared" si="1"/>
        <v>3487</v>
      </c>
    </row>
    <row r="16" ht="12.75" customHeight="1">
      <c r="A16" s="25"/>
      <c r="B16" s="21"/>
      <c r="C16" s="28"/>
      <c r="D16" s="13" t="s">
        <v>14</v>
      </c>
      <c r="E16" s="13">
        <f t="shared" ref="E16:AF16" si="2">SUM(E14:E15)</f>
        <v>256</v>
      </c>
      <c r="F16" s="13">
        <f t="shared" si="2"/>
        <v>187</v>
      </c>
      <c r="G16" s="13">
        <f t="shared" si="2"/>
        <v>231</v>
      </c>
      <c r="H16" s="13">
        <f t="shared" si="2"/>
        <v>224</v>
      </c>
      <c r="I16" s="13">
        <f t="shared" si="2"/>
        <v>273</v>
      </c>
      <c r="J16" s="13">
        <f t="shared" si="2"/>
        <v>291</v>
      </c>
      <c r="K16" s="13">
        <f t="shared" si="2"/>
        <v>219</v>
      </c>
      <c r="L16" s="13">
        <f t="shared" si="2"/>
        <v>193</v>
      </c>
      <c r="M16" s="13">
        <f t="shared" si="2"/>
        <v>236</v>
      </c>
      <c r="N16" s="13">
        <f t="shared" si="2"/>
        <v>248</v>
      </c>
      <c r="O16" s="13">
        <f t="shared" si="2"/>
        <v>222</v>
      </c>
      <c r="P16" s="13">
        <f t="shared" si="2"/>
        <v>283</v>
      </c>
      <c r="Q16" s="13">
        <f t="shared" si="2"/>
        <v>287</v>
      </c>
      <c r="R16" s="13">
        <f t="shared" si="2"/>
        <v>262</v>
      </c>
      <c r="S16" s="13">
        <f t="shared" si="2"/>
        <v>209</v>
      </c>
      <c r="T16" s="13">
        <f t="shared" si="2"/>
        <v>283</v>
      </c>
      <c r="U16" s="13">
        <f t="shared" si="2"/>
        <v>243</v>
      </c>
      <c r="V16" s="13">
        <f t="shared" si="2"/>
        <v>274</v>
      </c>
      <c r="W16" s="13">
        <f t="shared" si="2"/>
        <v>283</v>
      </c>
      <c r="X16" s="13">
        <f t="shared" si="2"/>
        <v>276</v>
      </c>
      <c r="Y16" s="13">
        <f t="shared" si="2"/>
        <v>295</v>
      </c>
      <c r="Z16" s="13">
        <f t="shared" si="2"/>
        <v>267</v>
      </c>
      <c r="AA16" s="13">
        <f t="shared" si="2"/>
        <v>189</v>
      </c>
      <c r="AB16" s="13">
        <f t="shared" si="2"/>
        <v>279</v>
      </c>
      <c r="AC16" s="13">
        <f t="shared" si="2"/>
        <v>245</v>
      </c>
      <c r="AD16" s="13">
        <f t="shared" si="2"/>
        <v>232</v>
      </c>
      <c r="AE16" s="13">
        <f t="shared" si="2"/>
        <v>222</v>
      </c>
      <c r="AF16" s="13">
        <f t="shared" si="2"/>
        <v>246</v>
      </c>
      <c r="AG16" s="13">
        <f t="shared" si="1"/>
        <v>6955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9"/>
      <c r="O17" s="19"/>
      <c r="P17" s="19"/>
      <c r="Q17" s="19"/>
      <c r="R17" s="19"/>
      <c r="S17" s="59"/>
      <c r="T17" s="19"/>
      <c r="U17" s="19"/>
      <c r="V17" s="19"/>
      <c r="W17" s="19"/>
      <c r="X17" s="59"/>
      <c r="Y17" s="19"/>
      <c r="Z17" s="19"/>
      <c r="AA17" s="19"/>
      <c r="AB17" s="19"/>
      <c r="AC17" s="59"/>
      <c r="AD17" s="19"/>
      <c r="AE17" s="19"/>
      <c r="AF17" s="19"/>
      <c r="AG17" s="60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9"/>
      <c r="O18" s="19"/>
      <c r="P18" s="19"/>
      <c r="Q18" s="19"/>
      <c r="R18" s="19"/>
      <c r="S18" s="59"/>
      <c r="T18" s="19"/>
      <c r="U18" s="19"/>
      <c r="V18" s="19"/>
      <c r="W18" s="19"/>
      <c r="X18" s="59"/>
      <c r="Y18" s="19"/>
      <c r="Z18" s="19"/>
      <c r="AA18" s="19"/>
      <c r="AB18" s="19"/>
      <c r="AC18" s="59"/>
      <c r="AD18" s="19"/>
      <c r="AE18" s="19"/>
      <c r="AF18" s="19"/>
      <c r="AG18" s="60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95.0</v>
      </c>
      <c r="F19" s="19">
        <v>82.0</v>
      </c>
      <c r="G19" s="19">
        <v>83.0</v>
      </c>
      <c r="H19" s="19">
        <v>84.0</v>
      </c>
      <c r="I19" s="19">
        <v>118.0</v>
      </c>
      <c r="J19" s="19">
        <v>121.0</v>
      </c>
      <c r="K19" s="19">
        <v>81.0</v>
      </c>
      <c r="L19" s="19">
        <v>76.0</v>
      </c>
      <c r="M19" s="19">
        <v>89.0</v>
      </c>
      <c r="N19" s="19">
        <v>88.0</v>
      </c>
      <c r="O19" s="19">
        <v>71.0</v>
      </c>
      <c r="P19" s="19">
        <v>89.0</v>
      </c>
      <c r="Q19" s="19">
        <v>93.0</v>
      </c>
      <c r="R19" s="19">
        <v>81.0</v>
      </c>
      <c r="S19" s="19">
        <v>60.0</v>
      </c>
      <c r="T19" s="19">
        <v>95.0</v>
      </c>
      <c r="U19" s="19">
        <v>81.0</v>
      </c>
      <c r="V19" s="19">
        <v>93.0</v>
      </c>
      <c r="W19" s="19">
        <v>110.0</v>
      </c>
      <c r="X19" s="19">
        <v>88.0</v>
      </c>
      <c r="Y19" s="19">
        <v>101.0</v>
      </c>
      <c r="Z19" s="19">
        <v>89.0</v>
      </c>
      <c r="AA19" s="19">
        <v>65.0</v>
      </c>
      <c r="AB19" s="19">
        <v>106.0</v>
      </c>
      <c r="AC19" s="19">
        <v>87.0</v>
      </c>
      <c r="AD19" s="19">
        <v>83.0</v>
      </c>
      <c r="AE19" s="19">
        <v>94.0</v>
      </c>
      <c r="AF19" s="19">
        <v>93.0</v>
      </c>
      <c r="AG19" s="13">
        <f t="shared" ref="AG19:AG30" si="3">SUM(E19:AF19)</f>
        <v>2496</v>
      </c>
    </row>
    <row r="20" ht="12.75" customHeight="1">
      <c r="A20" s="33"/>
      <c r="B20" s="27"/>
      <c r="C20" s="34"/>
      <c r="D20" s="19" t="s">
        <v>13</v>
      </c>
      <c r="E20" s="19">
        <v>109.0</v>
      </c>
      <c r="F20" s="19">
        <v>82.0</v>
      </c>
      <c r="G20" s="19">
        <v>91.0</v>
      </c>
      <c r="H20" s="19">
        <v>92.0</v>
      </c>
      <c r="I20" s="19">
        <v>103.0</v>
      </c>
      <c r="J20" s="19">
        <v>109.0</v>
      </c>
      <c r="K20" s="19">
        <v>80.0</v>
      </c>
      <c r="L20" s="19">
        <v>70.0</v>
      </c>
      <c r="M20" s="19">
        <v>97.0</v>
      </c>
      <c r="N20" s="19">
        <v>87.0</v>
      </c>
      <c r="O20" s="19">
        <v>80.0</v>
      </c>
      <c r="P20" s="19">
        <v>101.0</v>
      </c>
      <c r="Q20" s="19">
        <v>91.0</v>
      </c>
      <c r="R20" s="19">
        <v>90.0</v>
      </c>
      <c r="S20" s="19">
        <v>83.0</v>
      </c>
      <c r="T20" s="19">
        <v>92.0</v>
      </c>
      <c r="U20" s="19">
        <v>97.0</v>
      </c>
      <c r="V20" s="19">
        <v>97.0</v>
      </c>
      <c r="W20" s="19">
        <v>94.0</v>
      </c>
      <c r="X20" s="19">
        <v>95.0</v>
      </c>
      <c r="Y20" s="19">
        <v>104.0</v>
      </c>
      <c r="Z20" s="19">
        <v>85.0</v>
      </c>
      <c r="AA20" s="19">
        <v>79.0</v>
      </c>
      <c r="AB20" s="19">
        <v>104.0</v>
      </c>
      <c r="AC20" s="19">
        <v>84.0</v>
      </c>
      <c r="AD20" s="19">
        <v>91.0</v>
      </c>
      <c r="AE20" s="19">
        <v>91.0</v>
      </c>
      <c r="AF20" s="19">
        <v>93.0</v>
      </c>
      <c r="AG20" s="13">
        <f t="shared" si="3"/>
        <v>2571</v>
      </c>
    </row>
    <row r="21" ht="12.75" customHeight="1">
      <c r="A21" s="35"/>
      <c r="B21" s="28"/>
      <c r="C21" s="36"/>
      <c r="D21" s="13" t="s">
        <v>14</v>
      </c>
      <c r="E21" s="13">
        <f t="shared" ref="E21:AF21" si="4">SUM(E19:E20)</f>
        <v>204</v>
      </c>
      <c r="F21" s="13">
        <f t="shared" si="4"/>
        <v>164</v>
      </c>
      <c r="G21" s="13">
        <f t="shared" si="4"/>
        <v>174</v>
      </c>
      <c r="H21" s="13">
        <f t="shared" si="4"/>
        <v>176</v>
      </c>
      <c r="I21" s="13">
        <f t="shared" si="4"/>
        <v>221</v>
      </c>
      <c r="J21" s="13">
        <f t="shared" si="4"/>
        <v>230</v>
      </c>
      <c r="K21" s="13">
        <f t="shared" si="4"/>
        <v>161</v>
      </c>
      <c r="L21" s="13">
        <f t="shared" si="4"/>
        <v>146</v>
      </c>
      <c r="M21" s="13">
        <f t="shared" si="4"/>
        <v>186</v>
      </c>
      <c r="N21" s="13">
        <f t="shared" si="4"/>
        <v>175</v>
      </c>
      <c r="O21" s="13">
        <f t="shared" si="4"/>
        <v>151</v>
      </c>
      <c r="P21" s="13">
        <f t="shared" si="4"/>
        <v>190</v>
      </c>
      <c r="Q21" s="13">
        <f t="shared" si="4"/>
        <v>184</v>
      </c>
      <c r="R21" s="13">
        <f t="shared" si="4"/>
        <v>171</v>
      </c>
      <c r="S21" s="13">
        <f t="shared" si="4"/>
        <v>143</v>
      </c>
      <c r="T21" s="13">
        <f t="shared" si="4"/>
        <v>187</v>
      </c>
      <c r="U21" s="13">
        <f t="shared" si="4"/>
        <v>178</v>
      </c>
      <c r="V21" s="13">
        <f t="shared" si="4"/>
        <v>190</v>
      </c>
      <c r="W21" s="13">
        <f t="shared" si="4"/>
        <v>204</v>
      </c>
      <c r="X21" s="13">
        <f t="shared" si="4"/>
        <v>183</v>
      </c>
      <c r="Y21" s="13">
        <f t="shared" si="4"/>
        <v>205</v>
      </c>
      <c r="Z21" s="13">
        <f t="shared" si="4"/>
        <v>174</v>
      </c>
      <c r="AA21" s="13">
        <f t="shared" si="4"/>
        <v>144</v>
      </c>
      <c r="AB21" s="13">
        <f t="shared" si="4"/>
        <v>210</v>
      </c>
      <c r="AC21" s="13">
        <f t="shared" si="4"/>
        <v>171</v>
      </c>
      <c r="AD21" s="13">
        <f t="shared" si="4"/>
        <v>174</v>
      </c>
      <c r="AE21" s="13">
        <f t="shared" si="4"/>
        <v>185</v>
      </c>
      <c r="AF21" s="13">
        <f t="shared" si="4"/>
        <v>186</v>
      </c>
      <c r="AG21" s="13">
        <f t="shared" si="3"/>
        <v>5067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8.0</v>
      </c>
      <c r="AC22" s="19">
        <v>0.0</v>
      </c>
      <c r="AD22" s="19">
        <v>0.0</v>
      </c>
      <c r="AE22" s="19">
        <v>0.0</v>
      </c>
      <c r="AF22" s="19">
        <v>0.0</v>
      </c>
      <c r="AG22" s="13">
        <f t="shared" si="3"/>
        <v>8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3.0</v>
      </c>
      <c r="AC23" s="19">
        <v>0.0</v>
      </c>
      <c r="AD23" s="19">
        <v>0.0</v>
      </c>
      <c r="AE23" s="19">
        <v>0.0</v>
      </c>
      <c r="AF23" s="19">
        <v>0.0</v>
      </c>
      <c r="AG23" s="13">
        <f t="shared" si="3"/>
        <v>3</v>
      </c>
    </row>
    <row r="24" ht="12.75" customHeight="1">
      <c r="A24" s="35"/>
      <c r="B24" s="28"/>
      <c r="C24" s="36"/>
      <c r="D24" s="13" t="s">
        <v>14</v>
      </c>
      <c r="E24" s="13">
        <f t="shared" ref="E24:AF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11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3"/>
        <v>11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1.0</v>
      </c>
      <c r="I25" s="19">
        <v>2.0</v>
      </c>
      <c r="J25" s="19">
        <v>2.0</v>
      </c>
      <c r="K25" s="19">
        <v>0.0</v>
      </c>
      <c r="L25" s="19">
        <v>0.0</v>
      </c>
      <c r="M25" s="19">
        <v>1.0</v>
      </c>
      <c r="N25" s="19">
        <v>0.0</v>
      </c>
      <c r="O25" s="19">
        <v>0.0</v>
      </c>
      <c r="P25" s="19">
        <v>2.0</v>
      </c>
      <c r="Q25" s="19">
        <v>1.0</v>
      </c>
      <c r="R25" s="19">
        <v>0.0</v>
      </c>
      <c r="S25" s="19">
        <v>4.0</v>
      </c>
      <c r="T25" s="19">
        <v>12.0</v>
      </c>
      <c r="U25" s="19">
        <v>7.0</v>
      </c>
      <c r="V25" s="19">
        <v>2.0</v>
      </c>
      <c r="W25" s="19">
        <v>3.0</v>
      </c>
      <c r="X25" s="19">
        <v>1.0</v>
      </c>
      <c r="Y25" s="19">
        <v>0.0</v>
      </c>
      <c r="Z25" s="19">
        <v>9.0</v>
      </c>
      <c r="AA25" s="19">
        <v>8.0</v>
      </c>
      <c r="AB25" s="19">
        <v>3.0</v>
      </c>
      <c r="AC25" s="19">
        <v>8.0</v>
      </c>
      <c r="AD25" s="19">
        <v>0.0</v>
      </c>
      <c r="AE25" s="19">
        <v>0.0</v>
      </c>
      <c r="AF25" s="19">
        <v>2.0</v>
      </c>
      <c r="AG25" s="13">
        <f t="shared" si="3"/>
        <v>68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0.0</v>
      </c>
      <c r="H26" s="19">
        <v>2.0</v>
      </c>
      <c r="I26" s="19">
        <v>0.0</v>
      </c>
      <c r="J26" s="19">
        <v>4.0</v>
      </c>
      <c r="K26" s="19">
        <v>4.0</v>
      </c>
      <c r="L26" s="19">
        <v>1.0</v>
      </c>
      <c r="M26" s="19">
        <v>2.0</v>
      </c>
      <c r="N26" s="19">
        <v>0.0</v>
      </c>
      <c r="O26" s="19">
        <v>0.0</v>
      </c>
      <c r="P26" s="19">
        <v>2.0</v>
      </c>
      <c r="Q26" s="19">
        <v>2.0</v>
      </c>
      <c r="R26" s="19">
        <v>2.0</v>
      </c>
      <c r="S26" s="19">
        <v>3.0</v>
      </c>
      <c r="T26" s="19">
        <v>9.0</v>
      </c>
      <c r="U26" s="19">
        <v>9.0</v>
      </c>
      <c r="V26" s="19">
        <v>2.0</v>
      </c>
      <c r="W26" s="19">
        <v>3.0</v>
      </c>
      <c r="X26" s="19">
        <v>3.0</v>
      </c>
      <c r="Y26" s="19">
        <v>2.0</v>
      </c>
      <c r="Z26" s="19">
        <v>8.0</v>
      </c>
      <c r="AA26" s="19">
        <v>8.0</v>
      </c>
      <c r="AB26" s="19">
        <v>2.0</v>
      </c>
      <c r="AC26" s="19">
        <v>10.0</v>
      </c>
      <c r="AD26" s="19">
        <v>0.0</v>
      </c>
      <c r="AE26" s="19">
        <v>0.0</v>
      </c>
      <c r="AF26" s="19">
        <v>5.0</v>
      </c>
      <c r="AG26" s="13">
        <f t="shared" si="3"/>
        <v>83</v>
      </c>
    </row>
    <row r="27" ht="12.75" customHeight="1">
      <c r="A27" s="35"/>
      <c r="B27" s="28"/>
      <c r="C27" s="36"/>
      <c r="D27" s="13" t="s">
        <v>14</v>
      </c>
      <c r="E27" s="13">
        <f t="shared" ref="E27:AF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3</v>
      </c>
      <c r="I27" s="13">
        <f t="shared" si="6"/>
        <v>2</v>
      </c>
      <c r="J27" s="13">
        <f t="shared" si="6"/>
        <v>6</v>
      </c>
      <c r="K27" s="13">
        <f t="shared" si="6"/>
        <v>4</v>
      </c>
      <c r="L27" s="13">
        <f t="shared" si="6"/>
        <v>1</v>
      </c>
      <c r="M27" s="13">
        <f t="shared" si="6"/>
        <v>3</v>
      </c>
      <c r="N27" s="13">
        <f t="shared" si="6"/>
        <v>0</v>
      </c>
      <c r="O27" s="13">
        <f t="shared" si="6"/>
        <v>0</v>
      </c>
      <c r="P27" s="13">
        <f t="shared" si="6"/>
        <v>4</v>
      </c>
      <c r="Q27" s="13">
        <f t="shared" si="6"/>
        <v>3</v>
      </c>
      <c r="R27" s="13">
        <f t="shared" si="6"/>
        <v>2</v>
      </c>
      <c r="S27" s="13">
        <f t="shared" si="6"/>
        <v>7</v>
      </c>
      <c r="T27" s="13">
        <f t="shared" si="6"/>
        <v>21</v>
      </c>
      <c r="U27" s="13">
        <f t="shared" si="6"/>
        <v>16</v>
      </c>
      <c r="V27" s="13">
        <f t="shared" si="6"/>
        <v>4</v>
      </c>
      <c r="W27" s="13">
        <f t="shared" si="6"/>
        <v>6</v>
      </c>
      <c r="X27" s="13">
        <f t="shared" si="6"/>
        <v>4</v>
      </c>
      <c r="Y27" s="13">
        <f t="shared" si="6"/>
        <v>2</v>
      </c>
      <c r="Z27" s="13">
        <f t="shared" si="6"/>
        <v>17</v>
      </c>
      <c r="AA27" s="13">
        <f t="shared" si="6"/>
        <v>16</v>
      </c>
      <c r="AB27" s="13">
        <f t="shared" si="6"/>
        <v>5</v>
      </c>
      <c r="AC27" s="13">
        <f t="shared" si="6"/>
        <v>18</v>
      </c>
      <c r="AD27" s="13">
        <f t="shared" si="6"/>
        <v>0</v>
      </c>
      <c r="AE27" s="13">
        <f t="shared" si="6"/>
        <v>0</v>
      </c>
      <c r="AF27" s="13">
        <f t="shared" si="6"/>
        <v>7</v>
      </c>
      <c r="AG27" s="13">
        <f t="shared" si="3"/>
        <v>151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F28" si="7">SUM(E19,E22,E25)</f>
        <v>95</v>
      </c>
      <c r="F28" s="13">
        <f t="shared" si="7"/>
        <v>82</v>
      </c>
      <c r="G28" s="13">
        <f t="shared" si="7"/>
        <v>83</v>
      </c>
      <c r="H28" s="13">
        <f t="shared" si="7"/>
        <v>85</v>
      </c>
      <c r="I28" s="13">
        <f t="shared" si="7"/>
        <v>120</v>
      </c>
      <c r="J28" s="13">
        <f t="shared" si="7"/>
        <v>123</v>
      </c>
      <c r="K28" s="13">
        <f t="shared" si="7"/>
        <v>81</v>
      </c>
      <c r="L28" s="13">
        <f t="shared" si="7"/>
        <v>76</v>
      </c>
      <c r="M28" s="13">
        <f t="shared" si="7"/>
        <v>90</v>
      </c>
      <c r="N28" s="13">
        <f t="shared" si="7"/>
        <v>88</v>
      </c>
      <c r="O28" s="13">
        <f t="shared" si="7"/>
        <v>71</v>
      </c>
      <c r="P28" s="13">
        <f t="shared" si="7"/>
        <v>91</v>
      </c>
      <c r="Q28" s="13">
        <f t="shared" si="7"/>
        <v>94</v>
      </c>
      <c r="R28" s="13">
        <f t="shared" si="7"/>
        <v>81</v>
      </c>
      <c r="S28" s="13">
        <f t="shared" si="7"/>
        <v>64</v>
      </c>
      <c r="T28" s="13">
        <f t="shared" si="7"/>
        <v>107</v>
      </c>
      <c r="U28" s="13">
        <f t="shared" si="7"/>
        <v>88</v>
      </c>
      <c r="V28" s="13">
        <f t="shared" si="7"/>
        <v>95</v>
      </c>
      <c r="W28" s="13">
        <f t="shared" si="7"/>
        <v>113</v>
      </c>
      <c r="X28" s="13">
        <f t="shared" si="7"/>
        <v>89</v>
      </c>
      <c r="Y28" s="13">
        <f t="shared" si="7"/>
        <v>101</v>
      </c>
      <c r="Z28" s="13">
        <f t="shared" si="7"/>
        <v>98</v>
      </c>
      <c r="AA28" s="13">
        <f t="shared" si="7"/>
        <v>73</v>
      </c>
      <c r="AB28" s="13">
        <f t="shared" si="7"/>
        <v>117</v>
      </c>
      <c r="AC28" s="13">
        <f t="shared" si="7"/>
        <v>95</v>
      </c>
      <c r="AD28" s="13">
        <f t="shared" si="7"/>
        <v>83</v>
      </c>
      <c r="AE28" s="13">
        <f t="shared" si="7"/>
        <v>94</v>
      </c>
      <c r="AF28" s="13">
        <f t="shared" si="7"/>
        <v>95</v>
      </c>
      <c r="AG28" s="13">
        <f t="shared" si="3"/>
        <v>2572</v>
      </c>
    </row>
    <row r="29" ht="12.75" customHeight="1">
      <c r="A29" s="35"/>
      <c r="B29" s="27"/>
      <c r="C29" s="34"/>
      <c r="D29" s="13" t="s">
        <v>13</v>
      </c>
      <c r="E29" s="13">
        <f t="shared" ref="E29:AF29" si="8">SUM(E20,E23,E26)</f>
        <v>109</v>
      </c>
      <c r="F29" s="13">
        <f t="shared" si="8"/>
        <v>82</v>
      </c>
      <c r="G29" s="13">
        <f t="shared" si="8"/>
        <v>91</v>
      </c>
      <c r="H29" s="13">
        <f t="shared" si="8"/>
        <v>94</v>
      </c>
      <c r="I29" s="13">
        <f t="shared" si="8"/>
        <v>103</v>
      </c>
      <c r="J29" s="13">
        <f t="shared" si="8"/>
        <v>113</v>
      </c>
      <c r="K29" s="13">
        <f t="shared" si="8"/>
        <v>84</v>
      </c>
      <c r="L29" s="13">
        <f t="shared" si="8"/>
        <v>71</v>
      </c>
      <c r="M29" s="13">
        <f t="shared" si="8"/>
        <v>99</v>
      </c>
      <c r="N29" s="13">
        <f t="shared" si="8"/>
        <v>87</v>
      </c>
      <c r="O29" s="13">
        <f t="shared" si="8"/>
        <v>80</v>
      </c>
      <c r="P29" s="13">
        <f t="shared" si="8"/>
        <v>103</v>
      </c>
      <c r="Q29" s="13">
        <f t="shared" si="8"/>
        <v>93</v>
      </c>
      <c r="R29" s="13">
        <f t="shared" si="8"/>
        <v>92</v>
      </c>
      <c r="S29" s="13">
        <f t="shared" si="8"/>
        <v>86</v>
      </c>
      <c r="T29" s="13">
        <f t="shared" si="8"/>
        <v>101</v>
      </c>
      <c r="U29" s="13">
        <f t="shared" si="8"/>
        <v>106</v>
      </c>
      <c r="V29" s="13">
        <f t="shared" si="8"/>
        <v>99</v>
      </c>
      <c r="W29" s="13">
        <f t="shared" si="8"/>
        <v>97</v>
      </c>
      <c r="X29" s="13">
        <f t="shared" si="8"/>
        <v>98</v>
      </c>
      <c r="Y29" s="13">
        <f t="shared" si="8"/>
        <v>106</v>
      </c>
      <c r="Z29" s="13">
        <f t="shared" si="8"/>
        <v>93</v>
      </c>
      <c r="AA29" s="13">
        <f t="shared" si="8"/>
        <v>87</v>
      </c>
      <c r="AB29" s="13">
        <f t="shared" si="8"/>
        <v>109</v>
      </c>
      <c r="AC29" s="13">
        <f t="shared" si="8"/>
        <v>94</v>
      </c>
      <c r="AD29" s="13">
        <f t="shared" si="8"/>
        <v>91</v>
      </c>
      <c r="AE29" s="13">
        <f t="shared" si="8"/>
        <v>91</v>
      </c>
      <c r="AF29" s="13">
        <f t="shared" si="8"/>
        <v>98</v>
      </c>
      <c r="AG29" s="13">
        <f t="shared" si="3"/>
        <v>2657</v>
      </c>
    </row>
    <row r="30" ht="12.75" customHeight="1">
      <c r="A30" s="35"/>
      <c r="B30" s="28"/>
      <c r="C30" s="36"/>
      <c r="D30" s="13" t="s">
        <v>14</v>
      </c>
      <c r="E30" s="13">
        <f t="shared" ref="E30:AF30" si="9">SUM(E28:E29)</f>
        <v>204</v>
      </c>
      <c r="F30" s="13">
        <f t="shared" si="9"/>
        <v>164</v>
      </c>
      <c r="G30" s="13">
        <f t="shared" si="9"/>
        <v>174</v>
      </c>
      <c r="H30" s="13">
        <f t="shared" si="9"/>
        <v>179</v>
      </c>
      <c r="I30" s="13">
        <f t="shared" si="9"/>
        <v>223</v>
      </c>
      <c r="J30" s="13">
        <f t="shared" si="9"/>
        <v>236</v>
      </c>
      <c r="K30" s="13">
        <f t="shared" si="9"/>
        <v>165</v>
      </c>
      <c r="L30" s="13">
        <f t="shared" si="9"/>
        <v>147</v>
      </c>
      <c r="M30" s="13">
        <f t="shared" si="9"/>
        <v>189</v>
      </c>
      <c r="N30" s="13">
        <f t="shared" si="9"/>
        <v>175</v>
      </c>
      <c r="O30" s="13">
        <f t="shared" si="9"/>
        <v>151</v>
      </c>
      <c r="P30" s="13">
        <f t="shared" si="9"/>
        <v>194</v>
      </c>
      <c r="Q30" s="13">
        <f t="shared" si="9"/>
        <v>187</v>
      </c>
      <c r="R30" s="13">
        <f t="shared" si="9"/>
        <v>173</v>
      </c>
      <c r="S30" s="13">
        <f t="shared" si="9"/>
        <v>150</v>
      </c>
      <c r="T30" s="13">
        <f t="shared" si="9"/>
        <v>208</v>
      </c>
      <c r="U30" s="13">
        <f t="shared" si="9"/>
        <v>194</v>
      </c>
      <c r="V30" s="13">
        <f t="shared" si="9"/>
        <v>194</v>
      </c>
      <c r="W30" s="13">
        <f t="shared" si="9"/>
        <v>210</v>
      </c>
      <c r="X30" s="13">
        <f t="shared" si="9"/>
        <v>187</v>
      </c>
      <c r="Y30" s="13">
        <f t="shared" si="9"/>
        <v>207</v>
      </c>
      <c r="Z30" s="13">
        <f t="shared" si="9"/>
        <v>191</v>
      </c>
      <c r="AA30" s="13">
        <f t="shared" si="9"/>
        <v>160</v>
      </c>
      <c r="AB30" s="13">
        <f t="shared" si="9"/>
        <v>226</v>
      </c>
      <c r="AC30" s="13">
        <f t="shared" si="9"/>
        <v>189</v>
      </c>
      <c r="AD30" s="13">
        <f t="shared" si="9"/>
        <v>174</v>
      </c>
      <c r="AE30" s="13">
        <f t="shared" si="9"/>
        <v>185</v>
      </c>
      <c r="AF30" s="13">
        <f t="shared" si="9"/>
        <v>193</v>
      </c>
      <c r="AG30" s="13">
        <f t="shared" si="3"/>
        <v>5229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9"/>
      <c r="O31" s="19"/>
      <c r="P31" s="19"/>
      <c r="Q31" s="19"/>
      <c r="R31" s="19"/>
      <c r="S31" s="59"/>
      <c r="T31" s="19"/>
      <c r="U31" s="19"/>
      <c r="V31" s="19"/>
      <c r="W31" s="19"/>
      <c r="X31" s="59"/>
      <c r="Y31" s="19"/>
      <c r="Z31" s="19"/>
      <c r="AA31" s="19"/>
      <c r="AB31" s="19"/>
      <c r="AC31" s="59"/>
      <c r="AD31" s="19"/>
      <c r="AE31" s="19"/>
      <c r="AF31" s="19"/>
      <c r="AG31" s="60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1"/>
      <c r="O32" s="13"/>
      <c r="P32" s="13"/>
      <c r="Q32" s="13"/>
      <c r="R32" s="13"/>
      <c r="S32" s="61"/>
      <c r="T32" s="13"/>
      <c r="U32" s="13"/>
      <c r="V32" s="13"/>
      <c r="W32" s="13"/>
      <c r="X32" s="61"/>
      <c r="Y32" s="13"/>
      <c r="Z32" s="13"/>
      <c r="AA32" s="13"/>
      <c r="AB32" s="13"/>
      <c r="AC32" s="61"/>
      <c r="AD32" s="13"/>
      <c r="AE32" s="13"/>
      <c r="AF32" s="13"/>
      <c r="AG32" s="60"/>
    </row>
    <row r="33" ht="12.75" customHeight="1">
      <c r="A33" s="19">
        <v>1.0</v>
      </c>
      <c r="B33" s="20" t="s">
        <v>27</v>
      </c>
      <c r="C33" s="15"/>
      <c r="D33" s="16"/>
      <c r="E33" s="19">
        <v>262.0</v>
      </c>
      <c r="F33" s="19">
        <v>191.0</v>
      </c>
      <c r="G33" s="19">
        <v>236.0</v>
      </c>
      <c r="H33" s="19">
        <v>230.0</v>
      </c>
      <c r="I33" s="19">
        <v>278.0</v>
      </c>
      <c r="J33" s="19">
        <v>297.0</v>
      </c>
      <c r="K33" s="19">
        <v>226.0</v>
      </c>
      <c r="L33" s="19">
        <v>197.0</v>
      </c>
      <c r="M33" s="19">
        <v>241.0</v>
      </c>
      <c r="N33" s="19">
        <v>254.0</v>
      </c>
      <c r="O33" s="19">
        <v>228.0</v>
      </c>
      <c r="P33" s="19">
        <v>289.0</v>
      </c>
      <c r="Q33" s="19">
        <v>293.0</v>
      </c>
      <c r="R33" s="19">
        <v>269.0</v>
      </c>
      <c r="S33" s="19">
        <v>214.0</v>
      </c>
      <c r="T33" s="19">
        <v>289.0</v>
      </c>
      <c r="U33" s="19">
        <v>247.0</v>
      </c>
      <c r="V33" s="19">
        <v>280.0</v>
      </c>
      <c r="W33" s="19">
        <v>289.0</v>
      </c>
      <c r="X33" s="19">
        <v>282.0</v>
      </c>
      <c r="Y33" s="19">
        <v>301.0</v>
      </c>
      <c r="Z33" s="19">
        <v>273.0</v>
      </c>
      <c r="AA33" s="19">
        <v>193.0</v>
      </c>
      <c r="AB33" s="19">
        <v>285.0</v>
      </c>
      <c r="AC33" s="19">
        <v>250.0</v>
      </c>
      <c r="AD33" s="19">
        <v>237.0</v>
      </c>
      <c r="AE33" s="19">
        <v>227.0</v>
      </c>
      <c r="AF33" s="19">
        <v>251.0</v>
      </c>
      <c r="AG33" s="13">
        <f t="shared" ref="AG33:AG36" si="10">SUM(E33:AF33)</f>
        <v>7109</v>
      </c>
    </row>
    <row r="34" ht="12.75" customHeight="1">
      <c r="A34" s="19">
        <v>2.0</v>
      </c>
      <c r="B34" s="20" t="s">
        <v>28</v>
      </c>
      <c r="C34" s="15"/>
      <c r="D34" s="16"/>
      <c r="E34" s="13">
        <v>204.0</v>
      </c>
      <c r="F34" s="13">
        <v>164.0</v>
      </c>
      <c r="G34" s="13">
        <v>174.0</v>
      </c>
      <c r="H34" s="13">
        <v>179.0</v>
      </c>
      <c r="I34" s="13">
        <v>223.0</v>
      </c>
      <c r="J34" s="13">
        <v>236.0</v>
      </c>
      <c r="K34" s="13">
        <v>165.0</v>
      </c>
      <c r="L34" s="13">
        <v>147.0</v>
      </c>
      <c r="M34" s="13">
        <v>189.0</v>
      </c>
      <c r="N34" s="13">
        <v>175.0</v>
      </c>
      <c r="O34" s="13">
        <v>151.0</v>
      </c>
      <c r="P34" s="13">
        <v>194.0</v>
      </c>
      <c r="Q34" s="13">
        <v>187.0</v>
      </c>
      <c r="R34" s="13">
        <v>173.0</v>
      </c>
      <c r="S34" s="13">
        <v>150.0</v>
      </c>
      <c r="T34" s="13">
        <v>208.0</v>
      </c>
      <c r="U34" s="13">
        <v>194.0</v>
      </c>
      <c r="V34" s="13">
        <v>194.0</v>
      </c>
      <c r="W34" s="13">
        <v>210.0</v>
      </c>
      <c r="X34" s="13">
        <v>187.0</v>
      </c>
      <c r="Y34" s="13">
        <v>207.0</v>
      </c>
      <c r="Z34" s="13">
        <v>191.0</v>
      </c>
      <c r="AA34" s="13">
        <v>160.0</v>
      </c>
      <c r="AB34" s="13">
        <v>226.0</v>
      </c>
      <c r="AC34" s="13">
        <v>189.0</v>
      </c>
      <c r="AD34" s="13">
        <v>174.0</v>
      </c>
      <c r="AE34" s="13">
        <v>185.0</v>
      </c>
      <c r="AF34" s="13">
        <v>193.0</v>
      </c>
      <c r="AG34" s="13">
        <f t="shared" si="10"/>
        <v>5229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1.0</v>
      </c>
      <c r="Q35" s="19">
        <v>1.0</v>
      </c>
      <c r="R35" s="19">
        <v>0.0</v>
      </c>
      <c r="S35" s="19">
        <v>0.0</v>
      </c>
      <c r="T35" s="19">
        <v>0.0</v>
      </c>
      <c r="U35" s="19">
        <v>8.0</v>
      </c>
      <c r="V35" s="19">
        <v>0.0</v>
      </c>
      <c r="W35" s="19">
        <v>0.0</v>
      </c>
      <c r="X35" s="19">
        <v>0.0</v>
      </c>
      <c r="Y35" s="19">
        <v>1.0</v>
      </c>
      <c r="Z35" s="19">
        <v>0.0</v>
      </c>
      <c r="AA35" s="19">
        <v>2.0</v>
      </c>
      <c r="AB35" s="19">
        <v>0.0</v>
      </c>
      <c r="AC35" s="19">
        <v>0.0</v>
      </c>
      <c r="AD35" s="19">
        <v>0.0</v>
      </c>
      <c r="AE35" s="19">
        <v>0.0</v>
      </c>
      <c r="AF35" s="19">
        <v>0.0</v>
      </c>
      <c r="AG35" s="13">
        <f t="shared" si="10"/>
        <v>13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F36" si="11">E33-(E34+E35)</f>
        <v>58</v>
      </c>
      <c r="F36" s="13">
        <f t="shared" si="11"/>
        <v>27</v>
      </c>
      <c r="G36" s="13">
        <f t="shared" si="11"/>
        <v>62</v>
      </c>
      <c r="H36" s="13">
        <f t="shared" si="11"/>
        <v>51</v>
      </c>
      <c r="I36" s="13">
        <f t="shared" si="11"/>
        <v>55</v>
      </c>
      <c r="J36" s="13">
        <f t="shared" si="11"/>
        <v>61</v>
      </c>
      <c r="K36" s="13">
        <f t="shared" si="11"/>
        <v>61</v>
      </c>
      <c r="L36" s="13">
        <f t="shared" si="11"/>
        <v>50</v>
      </c>
      <c r="M36" s="13">
        <f t="shared" si="11"/>
        <v>52</v>
      </c>
      <c r="N36" s="13">
        <f t="shared" si="11"/>
        <v>79</v>
      </c>
      <c r="O36" s="13">
        <f t="shared" si="11"/>
        <v>77</v>
      </c>
      <c r="P36" s="13">
        <f t="shared" si="11"/>
        <v>94</v>
      </c>
      <c r="Q36" s="13">
        <f t="shared" si="11"/>
        <v>105</v>
      </c>
      <c r="R36" s="13">
        <f t="shared" si="11"/>
        <v>96</v>
      </c>
      <c r="S36" s="13">
        <f t="shared" si="11"/>
        <v>64</v>
      </c>
      <c r="T36" s="13">
        <f t="shared" si="11"/>
        <v>81</v>
      </c>
      <c r="U36" s="13">
        <f t="shared" si="11"/>
        <v>45</v>
      </c>
      <c r="V36" s="13">
        <f t="shared" si="11"/>
        <v>86</v>
      </c>
      <c r="W36" s="13">
        <f t="shared" si="11"/>
        <v>79</v>
      </c>
      <c r="X36" s="13">
        <f t="shared" si="11"/>
        <v>95</v>
      </c>
      <c r="Y36" s="13">
        <f t="shared" si="11"/>
        <v>93</v>
      </c>
      <c r="Z36" s="13">
        <f t="shared" si="11"/>
        <v>82</v>
      </c>
      <c r="AA36" s="13">
        <f t="shared" si="11"/>
        <v>31</v>
      </c>
      <c r="AB36" s="13">
        <f t="shared" si="11"/>
        <v>59</v>
      </c>
      <c r="AC36" s="13">
        <f t="shared" si="11"/>
        <v>61</v>
      </c>
      <c r="AD36" s="13">
        <f t="shared" si="11"/>
        <v>63</v>
      </c>
      <c r="AE36" s="13">
        <f t="shared" si="11"/>
        <v>42</v>
      </c>
      <c r="AF36" s="13">
        <f t="shared" si="11"/>
        <v>58</v>
      </c>
      <c r="AG36" s="13">
        <f t="shared" si="10"/>
        <v>1867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9"/>
      <c r="O37" s="19"/>
      <c r="P37" s="19"/>
      <c r="Q37" s="19"/>
      <c r="R37" s="19"/>
      <c r="S37" s="59"/>
      <c r="T37" s="19"/>
      <c r="U37" s="19"/>
      <c r="V37" s="19"/>
      <c r="W37" s="19"/>
      <c r="X37" s="59"/>
      <c r="Y37" s="19"/>
      <c r="Z37" s="19"/>
      <c r="AA37" s="19"/>
      <c r="AB37" s="19"/>
      <c r="AC37" s="59"/>
      <c r="AD37" s="19"/>
      <c r="AE37" s="19"/>
      <c r="AF37" s="19"/>
      <c r="AG37" s="60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1"/>
      <c r="O38" s="13"/>
      <c r="P38" s="13"/>
      <c r="Q38" s="13"/>
      <c r="R38" s="13"/>
      <c r="S38" s="61"/>
      <c r="T38" s="13"/>
      <c r="U38" s="13"/>
      <c r="V38" s="13"/>
      <c r="W38" s="13"/>
      <c r="X38" s="61"/>
      <c r="Y38" s="13"/>
      <c r="Z38" s="13"/>
      <c r="AA38" s="13"/>
      <c r="AB38" s="13"/>
      <c r="AC38" s="61"/>
      <c r="AD38" s="13"/>
      <c r="AE38" s="13"/>
      <c r="AF38" s="13"/>
      <c r="AG38" s="60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9">
        <v>3.0</v>
      </c>
      <c r="AG39" s="13">
        <f t="shared" ref="AG39:AG41" si="12">SUM(E39:AF39)</f>
        <v>3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0.0</v>
      </c>
      <c r="AD40" s="19">
        <v>0.0</v>
      </c>
      <c r="AE40" s="19">
        <v>0.0</v>
      </c>
      <c r="AF40" s="19">
        <v>4.0</v>
      </c>
      <c r="AG40" s="13">
        <f t="shared" si="12"/>
        <v>4</v>
      </c>
    </row>
    <row r="41" ht="12.75" customHeight="1">
      <c r="A41" s="41"/>
      <c r="B41" s="44"/>
      <c r="C41" s="28"/>
      <c r="D41" s="13" t="s">
        <v>14</v>
      </c>
      <c r="E41" s="13">
        <f t="shared" ref="E41:AF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7</v>
      </c>
      <c r="AG41" s="13">
        <f t="shared" si="12"/>
        <v>7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9"/>
      <c r="O42" s="19"/>
      <c r="P42" s="19"/>
      <c r="Q42" s="19"/>
      <c r="R42" s="19"/>
      <c r="S42" s="59"/>
      <c r="T42" s="19"/>
      <c r="U42" s="19"/>
      <c r="V42" s="19"/>
      <c r="W42" s="19"/>
      <c r="X42" s="59"/>
      <c r="Y42" s="19"/>
      <c r="Z42" s="19"/>
      <c r="AA42" s="19"/>
      <c r="AB42" s="19"/>
      <c r="AC42" s="59"/>
      <c r="AD42" s="19"/>
      <c r="AE42" s="19"/>
      <c r="AF42" s="19"/>
      <c r="AG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1"/>
      <c r="O43" s="13"/>
      <c r="P43" s="13"/>
      <c r="Q43" s="13"/>
      <c r="R43" s="13"/>
      <c r="S43" s="61"/>
      <c r="T43" s="13"/>
      <c r="U43" s="13"/>
      <c r="V43" s="13"/>
      <c r="W43" s="13"/>
      <c r="X43" s="61"/>
      <c r="Y43" s="13"/>
      <c r="Z43" s="13"/>
      <c r="AA43" s="13"/>
      <c r="AB43" s="13"/>
      <c r="AC43" s="61"/>
      <c r="AD43" s="13"/>
      <c r="AE43" s="13"/>
      <c r="AF43" s="13"/>
      <c r="AG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9"/>
      <c r="O44" s="19"/>
      <c r="P44" s="19"/>
      <c r="Q44" s="19"/>
      <c r="R44" s="19"/>
      <c r="S44" s="59"/>
      <c r="T44" s="19"/>
      <c r="U44" s="19"/>
      <c r="V44" s="19"/>
      <c r="W44" s="19"/>
      <c r="X44" s="59"/>
      <c r="Y44" s="19"/>
      <c r="Z44" s="19"/>
      <c r="AA44" s="19"/>
      <c r="AB44" s="19"/>
      <c r="AC44" s="59"/>
      <c r="AD44" s="19"/>
      <c r="AE44" s="19"/>
      <c r="AF44" s="19"/>
      <c r="AG44" s="13"/>
    </row>
    <row r="45" ht="12.75" customHeight="1">
      <c r="A45" s="62"/>
      <c r="B45" s="47">
        <v>1.0</v>
      </c>
      <c r="C45" s="48" t="s">
        <v>37</v>
      </c>
      <c r="D45" s="16"/>
      <c r="E45" s="19">
        <v>29.0</v>
      </c>
      <c r="F45" s="19">
        <v>9.0</v>
      </c>
      <c r="G45" s="19">
        <v>14.0</v>
      </c>
      <c r="H45" s="19">
        <v>21.0</v>
      </c>
      <c r="I45" s="19">
        <v>7.0</v>
      </c>
      <c r="J45" s="19">
        <v>23.0</v>
      </c>
      <c r="K45" s="19">
        <v>9.0</v>
      </c>
      <c r="L45" s="19">
        <v>1.0</v>
      </c>
      <c r="M45" s="19">
        <v>11.0</v>
      </c>
      <c r="N45" s="19">
        <v>9.0</v>
      </c>
      <c r="O45" s="19">
        <v>15.0</v>
      </c>
      <c r="P45" s="19">
        <v>3.0</v>
      </c>
      <c r="Q45" s="19">
        <v>17.0</v>
      </c>
      <c r="R45" s="19">
        <v>14.0</v>
      </c>
      <c r="S45" s="19">
        <v>11.0</v>
      </c>
      <c r="T45" s="19">
        <v>7.0</v>
      </c>
      <c r="U45" s="19">
        <v>14.0</v>
      </c>
      <c r="V45" s="19">
        <v>13.0</v>
      </c>
      <c r="W45" s="19">
        <v>23.0</v>
      </c>
      <c r="X45" s="19">
        <v>7.0</v>
      </c>
      <c r="Y45" s="19">
        <v>4.0</v>
      </c>
      <c r="Z45" s="19">
        <v>1.0</v>
      </c>
      <c r="AA45" s="19">
        <v>15.0</v>
      </c>
      <c r="AB45" s="19">
        <v>4.0</v>
      </c>
      <c r="AC45" s="19">
        <v>14.0</v>
      </c>
      <c r="AD45" s="19">
        <v>5.0</v>
      </c>
      <c r="AE45" s="19">
        <v>4.0</v>
      </c>
      <c r="AF45" s="19">
        <v>7.0</v>
      </c>
      <c r="AG45" s="13">
        <f t="shared" ref="AG45:AG47" si="14">SUM(E45:AF45)</f>
        <v>311</v>
      </c>
    </row>
    <row r="46" ht="12.75" customHeight="1">
      <c r="A46" s="18"/>
      <c r="B46" s="47">
        <v>2.0</v>
      </c>
      <c r="C46" s="48" t="s">
        <v>38</v>
      </c>
      <c r="D46" s="16"/>
      <c r="E46" s="19">
        <v>122.0</v>
      </c>
      <c r="F46" s="19">
        <v>119.0</v>
      </c>
      <c r="G46" s="19">
        <v>115.0</v>
      </c>
      <c r="H46" s="19">
        <v>121.0</v>
      </c>
      <c r="I46" s="19">
        <v>151.0</v>
      </c>
      <c r="J46" s="19">
        <v>148.0</v>
      </c>
      <c r="K46" s="19">
        <v>103.0</v>
      </c>
      <c r="L46" s="19">
        <v>103.0</v>
      </c>
      <c r="M46" s="19">
        <v>135.0</v>
      </c>
      <c r="N46" s="19">
        <v>112.0</v>
      </c>
      <c r="O46" s="19">
        <v>89.0</v>
      </c>
      <c r="P46" s="19">
        <v>127.0</v>
      </c>
      <c r="Q46" s="19">
        <v>134.0</v>
      </c>
      <c r="R46" s="19">
        <v>121.0</v>
      </c>
      <c r="S46" s="19">
        <v>100.0</v>
      </c>
      <c r="T46" s="19">
        <v>150.0</v>
      </c>
      <c r="U46" s="19">
        <v>135.0</v>
      </c>
      <c r="V46" s="19">
        <v>134.0</v>
      </c>
      <c r="W46" s="19">
        <v>146.0</v>
      </c>
      <c r="X46" s="19">
        <v>151.0</v>
      </c>
      <c r="Y46" s="19">
        <v>174.0</v>
      </c>
      <c r="Z46" s="19">
        <v>161.0</v>
      </c>
      <c r="AA46" s="19">
        <v>130.0</v>
      </c>
      <c r="AB46" s="19">
        <v>189.0</v>
      </c>
      <c r="AC46" s="19">
        <v>167.0</v>
      </c>
      <c r="AD46" s="19">
        <v>157.0</v>
      </c>
      <c r="AE46" s="19">
        <v>174.0</v>
      </c>
      <c r="AF46" s="19">
        <v>170.0</v>
      </c>
      <c r="AG46" s="13">
        <f t="shared" si="14"/>
        <v>3838</v>
      </c>
    </row>
    <row r="47" ht="12.75" customHeight="1">
      <c r="A47" s="45"/>
      <c r="B47" s="47">
        <v>3.0</v>
      </c>
      <c r="C47" s="48" t="s">
        <v>39</v>
      </c>
      <c r="D47" s="16"/>
      <c r="E47" s="19">
        <v>52.0</v>
      </c>
      <c r="F47" s="19">
        <v>35.0</v>
      </c>
      <c r="G47" s="19">
        <v>44.0</v>
      </c>
      <c r="H47" s="19">
        <v>33.0</v>
      </c>
      <c r="I47" s="19">
        <v>62.0</v>
      </c>
      <c r="J47" s="19">
        <v>62.0</v>
      </c>
      <c r="K47" s="19">
        <v>48.0</v>
      </c>
      <c r="L47" s="19">
        <v>40.0</v>
      </c>
      <c r="M47" s="19">
        <v>39.0</v>
      </c>
      <c r="N47" s="19">
        <v>52.0</v>
      </c>
      <c r="O47" s="19">
        <v>46.0</v>
      </c>
      <c r="P47" s="19">
        <v>56.0</v>
      </c>
      <c r="Q47" s="19">
        <v>30.0</v>
      </c>
      <c r="R47" s="19">
        <v>36.0</v>
      </c>
      <c r="S47" s="19">
        <v>36.0</v>
      </c>
      <c r="T47" s="19">
        <v>44.0</v>
      </c>
      <c r="U47" s="19">
        <v>39.0</v>
      </c>
      <c r="V47" s="19">
        <v>45.0</v>
      </c>
      <c r="W47" s="19">
        <v>40.0</v>
      </c>
      <c r="X47" s="19">
        <v>26.0</v>
      </c>
      <c r="Y47" s="19">
        <v>28.0</v>
      </c>
      <c r="Z47" s="19">
        <v>28.0</v>
      </c>
      <c r="AA47" s="19">
        <v>11.0</v>
      </c>
      <c r="AB47" s="19">
        <v>31.0</v>
      </c>
      <c r="AC47" s="19">
        <v>5.0</v>
      </c>
      <c r="AD47" s="19">
        <v>9.0</v>
      </c>
      <c r="AE47" s="19">
        <v>6.0</v>
      </c>
      <c r="AF47" s="19">
        <v>11.0</v>
      </c>
      <c r="AG47" s="13">
        <f t="shared" si="14"/>
        <v>994</v>
      </c>
    </row>
    <row r="48" ht="12.75" customHeight="1">
      <c r="AG48" s="13"/>
    </row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</row>
    <row r="50" ht="12.75" customHeight="1">
      <c r="A50" s="42"/>
      <c r="B50" s="54" t="s">
        <v>42</v>
      </c>
      <c r="C50" s="55" t="s">
        <v>43</v>
      </c>
      <c r="D50" s="16"/>
      <c r="E50" s="19">
        <f t="shared" ref="E50:AF50" si="15">SUM(E45:E47)</f>
        <v>203</v>
      </c>
      <c r="F50" s="19">
        <f t="shared" si="15"/>
        <v>163</v>
      </c>
      <c r="G50" s="19">
        <f t="shared" si="15"/>
        <v>173</v>
      </c>
      <c r="H50" s="19">
        <f t="shared" si="15"/>
        <v>175</v>
      </c>
      <c r="I50" s="19">
        <f t="shared" si="15"/>
        <v>220</v>
      </c>
      <c r="J50" s="19">
        <f t="shared" si="15"/>
        <v>233</v>
      </c>
      <c r="K50" s="19">
        <f t="shared" si="15"/>
        <v>160</v>
      </c>
      <c r="L50" s="19">
        <f t="shared" si="15"/>
        <v>144</v>
      </c>
      <c r="M50" s="19">
        <f t="shared" si="15"/>
        <v>185</v>
      </c>
      <c r="N50" s="19">
        <f t="shared" si="15"/>
        <v>173</v>
      </c>
      <c r="O50" s="19">
        <f t="shared" si="15"/>
        <v>150</v>
      </c>
      <c r="P50" s="19">
        <f t="shared" si="15"/>
        <v>186</v>
      </c>
      <c r="Q50" s="19">
        <f t="shared" si="15"/>
        <v>181</v>
      </c>
      <c r="R50" s="19">
        <f t="shared" si="15"/>
        <v>171</v>
      </c>
      <c r="S50" s="19">
        <f t="shared" si="15"/>
        <v>147</v>
      </c>
      <c r="T50" s="19">
        <f t="shared" si="15"/>
        <v>201</v>
      </c>
      <c r="U50" s="19">
        <f t="shared" si="15"/>
        <v>188</v>
      </c>
      <c r="V50" s="19">
        <f t="shared" si="15"/>
        <v>192</v>
      </c>
      <c r="W50" s="19">
        <f t="shared" si="15"/>
        <v>209</v>
      </c>
      <c r="X50" s="19">
        <f t="shared" si="15"/>
        <v>184</v>
      </c>
      <c r="Y50" s="19">
        <f t="shared" si="15"/>
        <v>206</v>
      </c>
      <c r="Z50" s="19">
        <f t="shared" si="15"/>
        <v>190</v>
      </c>
      <c r="AA50" s="19">
        <f t="shared" si="15"/>
        <v>156</v>
      </c>
      <c r="AB50" s="19">
        <f t="shared" si="15"/>
        <v>224</v>
      </c>
      <c r="AC50" s="19">
        <f t="shared" si="15"/>
        <v>186</v>
      </c>
      <c r="AD50" s="19">
        <f t="shared" si="15"/>
        <v>171</v>
      </c>
      <c r="AE50" s="19">
        <f t="shared" si="15"/>
        <v>184</v>
      </c>
      <c r="AF50" s="19">
        <f t="shared" si="15"/>
        <v>188</v>
      </c>
      <c r="AG50" s="13">
        <f t="shared" ref="AG50:AG52" si="16">SUM(E50:AF50)</f>
        <v>5143</v>
      </c>
    </row>
    <row r="51" ht="12.75" customHeight="1">
      <c r="A51" s="35"/>
      <c r="B51" s="54" t="s">
        <v>44</v>
      </c>
      <c r="C51" s="55" t="s">
        <v>45</v>
      </c>
      <c r="D51" s="16"/>
      <c r="E51" s="19">
        <v>1.0</v>
      </c>
      <c r="F51" s="19">
        <v>1.0</v>
      </c>
      <c r="G51" s="19">
        <v>1.0</v>
      </c>
      <c r="H51" s="19">
        <v>4.0</v>
      </c>
      <c r="I51" s="19">
        <v>3.0</v>
      </c>
      <c r="J51" s="19">
        <v>3.0</v>
      </c>
      <c r="K51" s="19">
        <v>5.0</v>
      </c>
      <c r="L51" s="19">
        <v>3.0</v>
      </c>
      <c r="M51" s="19">
        <v>4.0</v>
      </c>
      <c r="N51" s="19">
        <v>2.0</v>
      </c>
      <c r="O51" s="19">
        <v>1.0</v>
      </c>
      <c r="P51" s="19">
        <v>8.0</v>
      </c>
      <c r="Q51" s="19">
        <v>6.0</v>
      </c>
      <c r="R51" s="19">
        <v>2.0</v>
      </c>
      <c r="S51" s="19">
        <v>3.0</v>
      </c>
      <c r="T51" s="19">
        <v>7.0</v>
      </c>
      <c r="U51" s="19">
        <v>6.0</v>
      </c>
      <c r="V51" s="19">
        <v>2.0</v>
      </c>
      <c r="W51" s="19">
        <v>1.0</v>
      </c>
      <c r="X51" s="19">
        <v>3.0</v>
      </c>
      <c r="Y51" s="19">
        <v>1.0</v>
      </c>
      <c r="Z51" s="19">
        <v>1.0</v>
      </c>
      <c r="AA51" s="19">
        <v>4.0</v>
      </c>
      <c r="AB51" s="19">
        <v>2.0</v>
      </c>
      <c r="AC51" s="19">
        <v>3.0</v>
      </c>
      <c r="AD51" s="19">
        <v>3.0</v>
      </c>
      <c r="AE51" s="19">
        <v>1.0</v>
      </c>
      <c r="AF51" s="19">
        <v>5.0</v>
      </c>
      <c r="AG51" s="13">
        <f t="shared" si="16"/>
        <v>86</v>
      </c>
    </row>
    <row r="52" ht="12.75" customHeight="1">
      <c r="A52" s="41"/>
      <c r="B52" s="54" t="s">
        <v>46</v>
      </c>
      <c r="C52" s="55" t="s">
        <v>47</v>
      </c>
      <c r="D52" s="16"/>
      <c r="E52" s="13">
        <f t="shared" ref="E52:AF52" si="17">SUM(E50:E51)</f>
        <v>204</v>
      </c>
      <c r="F52" s="13">
        <f t="shared" si="17"/>
        <v>164</v>
      </c>
      <c r="G52" s="13">
        <f t="shared" si="17"/>
        <v>174</v>
      </c>
      <c r="H52" s="13">
        <f t="shared" si="17"/>
        <v>179</v>
      </c>
      <c r="I52" s="13">
        <f t="shared" si="17"/>
        <v>223</v>
      </c>
      <c r="J52" s="13">
        <f t="shared" si="17"/>
        <v>236</v>
      </c>
      <c r="K52" s="13">
        <f t="shared" si="17"/>
        <v>165</v>
      </c>
      <c r="L52" s="13">
        <f t="shared" si="17"/>
        <v>147</v>
      </c>
      <c r="M52" s="13">
        <f t="shared" si="17"/>
        <v>189</v>
      </c>
      <c r="N52" s="13">
        <f t="shared" si="17"/>
        <v>175</v>
      </c>
      <c r="O52" s="13">
        <f t="shared" si="17"/>
        <v>151</v>
      </c>
      <c r="P52" s="13">
        <f t="shared" si="17"/>
        <v>194</v>
      </c>
      <c r="Q52" s="13">
        <f t="shared" si="17"/>
        <v>187</v>
      </c>
      <c r="R52" s="13">
        <f t="shared" si="17"/>
        <v>173</v>
      </c>
      <c r="S52" s="13">
        <f t="shared" si="17"/>
        <v>150</v>
      </c>
      <c r="T52" s="13">
        <f t="shared" si="17"/>
        <v>208</v>
      </c>
      <c r="U52" s="13">
        <f t="shared" si="17"/>
        <v>194</v>
      </c>
      <c r="V52" s="13">
        <f t="shared" si="17"/>
        <v>194</v>
      </c>
      <c r="W52" s="13">
        <f t="shared" si="17"/>
        <v>210</v>
      </c>
      <c r="X52" s="13">
        <f t="shared" si="17"/>
        <v>187</v>
      </c>
      <c r="Y52" s="13">
        <f t="shared" si="17"/>
        <v>207</v>
      </c>
      <c r="Z52" s="13">
        <f t="shared" si="17"/>
        <v>191</v>
      </c>
      <c r="AA52" s="13">
        <f t="shared" si="17"/>
        <v>160</v>
      </c>
      <c r="AB52" s="13">
        <f t="shared" si="17"/>
        <v>226</v>
      </c>
      <c r="AC52" s="13">
        <f t="shared" si="17"/>
        <v>189</v>
      </c>
      <c r="AD52" s="13">
        <f t="shared" si="17"/>
        <v>174</v>
      </c>
      <c r="AE52" s="13">
        <f t="shared" si="17"/>
        <v>185</v>
      </c>
      <c r="AF52" s="13">
        <f t="shared" si="17"/>
        <v>193</v>
      </c>
      <c r="AG52" s="13">
        <f t="shared" si="16"/>
        <v>5229</v>
      </c>
    </row>
    <row r="53" ht="12.75" customHeight="1"/>
    <row r="54" ht="12.75" customHeight="1"/>
    <row r="55" ht="15.0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5.0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5.0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5.0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5.0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5.0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5.0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5.0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5.0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5.0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5.0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5.0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5.0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AF12"/>
    <mergeCell ref="AG12:AG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34:AF34">
    <cfRule type="expression" dxfId="0" priority="1">
      <formula>E34&lt;&gt;E64</formula>
    </cfRule>
  </conditionalFormatting>
  <conditionalFormatting sqref="E14:AF15">
    <cfRule type="containsBlanks" dxfId="1" priority="2">
      <formula>LEN(TRIM(E14))=0</formula>
    </cfRule>
  </conditionalFormatting>
  <conditionalFormatting sqref="E19:AF20">
    <cfRule type="containsBlanks" dxfId="1" priority="3">
      <formula>LEN(TRIM(E19))=0</formula>
    </cfRule>
  </conditionalFormatting>
  <conditionalFormatting sqref="E22:AF23 E25:AF26 E33:AF33 E35:AF35 E39:AF40">
    <cfRule type="containsBlanks" dxfId="1" priority="4">
      <formula>LEN(TRIM(E22))=0</formula>
    </cfRule>
  </conditionalFormatting>
  <conditionalFormatting sqref="E30:AF30">
    <cfRule type="expression" dxfId="0" priority="5">
      <formula>E30&lt;&gt;E47</formula>
    </cfRule>
  </conditionalFormatting>
  <conditionalFormatting sqref="E30:AF30">
    <cfRule type="expression" dxfId="0" priority="6">
      <formula>E30&lt;&gt;E34</formula>
    </cfRule>
  </conditionalFormatting>
  <conditionalFormatting sqref="E34:AF34">
    <cfRule type="expression" dxfId="2" priority="7">
      <formula>E30&lt;&gt;E34</formula>
    </cfRule>
  </conditionalFormatting>
  <conditionalFormatting sqref="E34:AF34">
    <cfRule type="expression" dxfId="3" priority="8">
      <formula>E30=E34</formula>
    </cfRule>
  </conditionalFormatting>
  <conditionalFormatting sqref="E34:AF34">
    <cfRule type="expression" dxfId="0" priority="9">
      <formula>E34&lt;&gt;E30</formula>
    </cfRule>
  </conditionalFormatting>
  <conditionalFormatting sqref="E45:AF47">
    <cfRule type="containsBlanks" dxfId="1" priority="10">
      <formula>LEN(TRIM(E45))=0</formula>
    </cfRule>
  </conditionalFormatting>
  <conditionalFormatting sqref="E50:AF51">
    <cfRule type="containsBlanks" dxfId="1" priority="11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51" width="8.71"/>
    <col customWidth="1" min="52" max="52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  <c r="AG11" s="1"/>
      <c r="AH11" s="2"/>
      <c r="AI11" s="1"/>
      <c r="AJ11" s="1"/>
      <c r="AK11" s="1"/>
      <c r="AL11" s="1"/>
      <c r="AM11" s="2"/>
      <c r="AN11" s="1"/>
      <c r="AO11" s="1"/>
      <c r="AP11" s="1"/>
      <c r="AQ11" s="1"/>
      <c r="AR11" s="2"/>
      <c r="AS11" s="1"/>
      <c r="AT11" s="1"/>
      <c r="AU11" s="1"/>
      <c r="AV11" s="1"/>
      <c r="AW11" s="2"/>
      <c r="AX11" s="1"/>
      <c r="AY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5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13" t="s">
        <v>66</v>
      </c>
      <c r="V13" s="13" t="s">
        <v>67</v>
      </c>
      <c r="W13" s="13" t="s">
        <v>68</v>
      </c>
      <c r="X13" s="13" t="s">
        <v>69</v>
      </c>
      <c r="Y13" s="13" t="s">
        <v>70</v>
      </c>
      <c r="Z13" s="13" t="s">
        <v>71</v>
      </c>
      <c r="AA13" s="13" t="s">
        <v>72</v>
      </c>
      <c r="AB13" s="13" t="s">
        <v>73</v>
      </c>
      <c r="AC13" s="13" t="s">
        <v>74</v>
      </c>
      <c r="AD13" s="13" t="s">
        <v>75</v>
      </c>
      <c r="AE13" s="13" t="s">
        <v>76</v>
      </c>
      <c r="AF13" s="13" t="s">
        <v>77</v>
      </c>
      <c r="AG13" s="13" t="s">
        <v>78</v>
      </c>
      <c r="AH13" s="13" t="s">
        <v>79</v>
      </c>
      <c r="AI13" s="13" t="s">
        <v>80</v>
      </c>
      <c r="AJ13" s="13" t="s">
        <v>81</v>
      </c>
      <c r="AK13" s="13" t="s">
        <v>82</v>
      </c>
      <c r="AL13" s="13" t="s">
        <v>83</v>
      </c>
      <c r="AM13" s="13" t="s">
        <v>84</v>
      </c>
      <c r="AN13" s="13" t="s">
        <v>85</v>
      </c>
      <c r="AO13" s="13" t="s">
        <v>86</v>
      </c>
      <c r="AP13" s="13" t="s">
        <v>87</v>
      </c>
      <c r="AQ13" s="13" t="s">
        <v>88</v>
      </c>
      <c r="AR13" s="13" t="s">
        <v>89</v>
      </c>
      <c r="AS13" s="13" t="s">
        <v>90</v>
      </c>
      <c r="AT13" s="13" t="s">
        <v>91</v>
      </c>
      <c r="AU13" s="13" t="s">
        <v>92</v>
      </c>
      <c r="AV13" s="13" t="s">
        <v>93</v>
      </c>
      <c r="AW13" s="13" t="s">
        <v>94</v>
      </c>
      <c r="AX13" s="13" t="s">
        <v>95</v>
      </c>
      <c r="AY13" s="13" t="s">
        <v>96</v>
      </c>
      <c r="AZ13" s="36"/>
    </row>
    <row r="14" ht="12.75" customHeight="1">
      <c r="A14" s="18"/>
      <c r="B14" s="22" t="s">
        <v>11</v>
      </c>
      <c r="C14" s="23"/>
      <c r="D14" s="19" t="s">
        <v>12</v>
      </c>
      <c r="E14" s="19">
        <v>138.0</v>
      </c>
      <c r="F14" s="19">
        <v>150.0</v>
      </c>
      <c r="G14" s="19">
        <v>141.0</v>
      </c>
      <c r="H14" s="19">
        <v>129.0</v>
      </c>
      <c r="I14" s="19">
        <v>146.0</v>
      </c>
      <c r="J14" s="19">
        <v>133.0</v>
      </c>
      <c r="K14" s="19">
        <v>83.0</v>
      </c>
      <c r="L14" s="19">
        <v>145.0</v>
      </c>
      <c r="M14" s="19">
        <v>142.0</v>
      </c>
      <c r="N14" s="19">
        <v>150.0</v>
      </c>
      <c r="O14" s="19">
        <v>147.0</v>
      </c>
      <c r="P14" s="19">
        <v>129.0</v>
      </c>
      <c r="Q14" s="19">
        <v>149.0</v>
      </c>
      <c r="R14" s="19">
        <v>134.0</v>
      </c>
      <c r="S14" s="19">
        <v>132.0</v>
      </c>
      <c r="T14" s="19">
        <v>136.0</v>
      </c>
      <c r="U14" s="19">
        <v>145.0</v>
      </c>
      <c r="V14" s="19">
        <v>131.0</v>
      </c>
      <c r="W14" s="19">
        <v>152.0</v>
      </c>
      <c r="X14" s="19">
        <v>155.0</v>
      </c>
      <c r="Y14" s="19">
        <v>115.0</v>
      </c>
      <c r="Z14" s="19">
        <v>109.0</v>
      </c>
      <c r="AA14" s="19">
        <v>105.0</v>
      </c>
      <c r="AB14" s="19">
        <v>127.0</v>
      </c>
      <c r="AC14" s="19">
        <v>144.0</v>
      </c>
      <c r="AD14" s="19">
        <v>128.0</v>
      </c>
      <c r="AE14" s="19">
        <v>118.0</v>
      </c>
      <c r="AF14" s="19">
        <v>139.0</v>
      </c>
      <c r="AG14" s="19">
        <v>118.0</v>
      </c>
      <c r="AH14" s="19">
        <v>144.0</v>
      </c>
      <c r="AI14" s="19">
        <v>112.0</v>
      </c>
      <c r="AJ14" s="19">
        <v>141.0</v>
      </c>
      <c r="AK14" s="19">
        <v>144.0</v>
      </c>
      <c r="AL14" s="19">
        <v>148.0</v>
      </c>
      <c r="AM14" s="19">
        <v>144.0</v>
      </c>
      <c r="AN14" s="19">
        <v>135.0</v>
      </c>
      <c r="AO14" s="19">
        <v>120.0</v>
      </c>
      <c r="AP14" s="19">
        <v>144.0</v>
      </c>
      <c r="AQ14" s="19">
        <v>142.0</v>
      </c>
      <c r="AR14" s="19">
        <v>146.0</v>
      </c>
      <c r="AS14" s="19">
        <v>130.0</v>
      </c>
      <c r="AT14" s="19">
        <v>132.0</v>
      </c>
      <c r="AU14" s="19">
        <v>128.0</v>
      </c>
      <c r="AV14" s="19">
        <v>134.0</v>
      </c>
      <c r="AW14" s="19">
        <v>146.0</v>
      </c>
      <c r="AX14" s="19">
        <v>146.0</v>
      </c>
      <c r="AY14" s="19">
        <v>123.0</v>
      </c>
      <c r="AZ14" s="13">
        <f t="shared" ref="AZ14:AZ16" si="1">SUM(E14:AY14)</f>
        <v>6329</v>
      </c>
    </row>
    <row r="15" ht="12.75" customHeight="1">
      <c r="A15" s="18"/>
      <c r="B15" s="26"/>
      <c r="C15" s="27"/>
      <c r="D15" s="19" t="s">
        <v>13</v>
      </c>
      <c r="E15" s="19">
        <v>141.0</v>
      </c>
      <c r="F15" s="19">
        <v>138.0</v>
      </c>
      <c r="G15" s="19">
        <v>130.0</v>
      </c>
      <c r="H15" s="19">
        <v>152.0</v>
      </c>
      <c r="I15" s="19">
        <v>151.0</v>
      </c>
      <c r="J15" s="19">
        <v>161.0</v>
      </c>
      <c r="K15" s="19">
        <v>83.0</v>
      </c>
      <c r="L15" s="19">
        <v>136.0</v>
      </c>
      <c r="M15" s="19">
        <v>135.0</v>
      </c>
      <c r="N15" s="19">
        <v>144.0</v>
      </c>
      <c r="O15" s="19">
        <v>142.0</v>
      </c>
      <c r="P15" s="19">
        <v>152.0</v>
      </c>
      <c r="Q15" s="19">
        <v>141.0</v>
      </c>
      <c r="R15" s="19">
        <v>132.0</v>
      </c>
      <c r="S15" s="19">
        <v>128.0</v>
      </c>
      <c r="T15" s="19">
        <v>157.0</v>
      </c>
      <c r="U15" s="19">
        <v>134.0</v>
      </c>
      <c r="V15" s="19">
        <v>126.0</v>
      </c>
      <c r="W15" s="19">
        <v>145.0</v>
      </c>
      <c r="X15" s="19">
        <v>140.0</v>
      </c>
      <c r="Y15" s="19">
        <v>107.0</v>
      </c>
      <c r="Z15" s="19">
        <v>113.0</v>
      </c>
      <c r="AA15" s="19">
        <v>94.0</v>
      </c>
      <c r="AB15" s="19">
        <v>130.0</v>
      </c>
      <c r="AC15" s="19">
        <v>149.0</v>
      </c>
      <c r="AD15" s="19">
        <v>144.0</v>
      </c>
      <c r="AE15" s="19">
        <v>126.0</v>
      </c>
      <c r="AF15" s="19">
        <v>101.0</v>
      </c>
      <c r="AG15" s="19">
        <v>126.0</v>
      </c>
      <c r="AH15" s="19">
        <v>136.0</v>
      </c>
      <c r="AI15" s="19">
        <v>109.0</v>
      </c>
      <c r="AJ15" s="19">
        <v>148.0</v>
      </c>
      <c r="AK15" s="19">
        <v>148.0</v>
      </c>
      <c r="AL15" s="19">
        <v>138.0</v>
      </c>
      <c r="AM15" s="19">
        <v>134.0</v>
      </c>
      <c r="AN15" s="19">
        <v>115.0</v>
      </c>
      <c r="AO15" s="19">
        <v>119.0</v>
      </c>
      <c r="AP15" s="19">
        <v>147.0</v>
      </c>
      <c r="AQ15" s="19">
        <v>153.0</v>
      </c>
      <c r="AR15" s="19">
        <v>142.0</v>
      </c>
      <c r="AS15" s="19">
        <v>148.0</v>
      </c>
      <c r="AT15" s="19">
        <v>160.0</v>
      </c>
      <c r="AU15" s="19">
        <v>157.0</v>
      </c>
      <c r="AV15" s="19">
        <v>160.0</v>
      </c>
      <c r="AW15" s="19">
        <v>146.0</v>
      </c>
      <c r="AX15" s="19">
        <v>144.0</v>
      </c>
      <c r="AY15" s="19">
        <v>145.0</v>
      </c>
      <c r="AZ15" s="13">
        <f t="shared" si="1"/>
        <v>6407</v>
      </c>
    </row>
    <row r="16" ht="12.75" customHeight="1">
      <c r="A16" s="25"/>
      <c r="B16" s="21"/>
      <c r="C16" s="28"/>
      <c r="D16" s="13" t="s">
        <v>14</v>
      </c>
      <c r="E16" s="13">
        <f t="shared" ref="E16:AY16" si="2">SUM(E14:E15)</f>
        <v>279</v>
      </c>
      <c r="F16" s="13">
        <f t="shared" si="2"/>
        <v>288</v>
      </c>
      <c r="G16" s="13">
        <f t="shared" si="2"/>
        <v>271</v>
      </c>
      <c r="H16" s="13">
        <f t="shared" si="2"/>
        <v>281</v>
      </c>
      <c r="I16" s="13">
        <f t="shared" si="2"/>
        <v>297</v>
      </c>
      <c r="J16" s="13">
        <f t="shared" si="2"/>
        <v>294</v>
      </c>
      <c r="K16" s="13">
        <f t="shared" si="2"/>
        <v>166</v>
      </c>
      <c r="L16" s="13">
        <f t="shared" si="2"/>
        <v>281</v>
      </c>
      <c r="M16" s="13">
        <f t="shared" si="2"/>
        <v>277</v>
      </c>
      <c r="N16" s="13">
        <f t="shared" si="2"/>
        <v>294</v>
      </c>
      <c r="O16" s="13">
        <f t="shared" si="2"/>
        <v>289</v>
      </c>
      <c r="P16" s="13">
        <f t="shared" si="2"/>
        <v>281</v>
      </c>
      <c r="Q16" s="13">
        <f t="shared" si="2"/>
        <v>290</v>
      </c>
      <c r="R16" s="13">
        <f t="shared" si="2"/>
        <v>266</v>
      </c>
      <c r="S16" s="13">
        <f t="shared" si="2"/>
        <v>260</v>
      </c>
      <c r="T16" s="13">
        <f t="shared" si="2"/>
        <v>293</v>
      </c>
      <c r="U16" s="13">
        <f t="shared" si="2"/>
        <v>279</v>
      </c>
      <c r="V16" s="13">
        <f t="shared" si="2"/>
        <v>257</v>
      </c>
      <c r="W16" s="13">
        <f t="shared" si="2"/>
        <v>297</v>
      </c>
      <c r="X16" s="13">
        <f t="shared" si="2"/>
        <v>295</v>
      </c>
      <c r="Y16" s="13">
        <f t="shared" si="2"/>
        <v>222</v>
      </c>
      <c r="Z16" s="13">
        <f t="shared" si="2"/>
        <v>222</v>
      </c>
      <c r="AA16" s="13">
        <f t="shared" si="2"/>
        <v>199</v>
      </c>
      <c r="AB16" s="13">
        <f t="shared" si="2"/>
        <v>257</v>
      </c>
      <c r="AC16" s="13">
        <f t="shared" si="2"/>
        <v>293</v>
      </c>
      <c r="AD16" s="13">
        <f t="shared" si="2"/>
        <v>272</v>
      </c>
      <c r="AE16" s="13">
        <f t="shared" si="2"/>
        <v>244</v>
      </c>
      <c r="AF16" s="13">
        <f t="shared" si="2"/>
        <v>240</v>
      </c>
      <c r="AG16" s="13">
        <f t="shared" si="2"/>
        <v>244</v>
      </c>
      <c r="AH16" s="13">
        <f t="shared" si="2"/>
        <v>280</v>
      </c>
      <c r="AI16" s="13">
        <f t="shared" si="2"/>
        <v>221</v>
      </c>
      <c r="AJ16" s="13">
        <f t="shared" si="2"/>
        <v>289</v>
      </c>
      <c r="AK16" s="13">
        <f t="shared" si="2"/>
        <v>292</v>
      </c>
      <c r="AL16" s="13">
        <f t="shared" si="2"/>
        <v>286</v>
      </c>
      <c r="AM16" s="13">
        <f t="shared" si="2"/>
        <v>278</v>
      </c>
      <c r="AN16" s="13">
        <f t="shared" si="2"/>
        <v>250</v>
      </c>
      <c r="AO16" s="13">
        <f t="shared" si="2"/>
        <v>239</v>
      </c>
      <c r="AP16" s="13">
        <f t="shared" si="2"/>
        <v>291</v>
      </c>
      <c r="AQ16" s="13">
        <f t="shared" si="2"/>
        <v>295</v>
      </c>
      <c r="AR16" s="13">
        <f t="shared" si="2"/>
        <v>288</v>
      </c>
      <c r="AS16" s="13">
        <f t="shared" si="2"/>
        <v>278</v>
      </c>
      <c r="AT16" s="13">
        <f t="shared" si="2"/>
        <v>292</v>
      </c>
      <c r="AU16" s="13">
        <f t="shared" si="2"/>
        <v>285</v>
      </c>
      <c r="AV16" s="13">
        <f t="shared" si="2"/>
        <v>294</v>
      </c>
      <c r="AW16" s="13">
        <f t="shared" si="2"/>
        <v>292</v>
      </c>
      <c r="AX16" s="13">
        <f t="shared" si="2"/>
        <v>290</v>
      </c>
      <c r="AY16" s="13">
        <f t="shared" si="2"/>
        <v>268</v>
      </c>
      <c r="AZ16" s="13">
        <f t="shared" si="1"/>
        <v>12736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9"/>
      <c r="O17" s="19"/>
      <c r="P17" s="19"/>
      <c r="Q17" s="19"/>
      <c r="R17" s="19"/>
      <c r="S17" s="59"/>
      <c r="T17" s="19"/>
      <c r="U17" s="19"/>
      <c r="V17" s="19"/>
      <c r="W17" s="19"/>
      <c r="X17" s="59"/>
      <c r="Y17" s="19"/>
      <c r="Z17" s="19"/>
      <c r="AA17" s="19"/>
      <c r="AB17" s="19"/>
      <c r="AC17" s="59"/>
      <c r="AD17" s="19"/>
      <c r="AE17" s="19"/>
      <c r="AF17" s="19"/>
      <c r="AG17" s="19"/>
      <c r="AH17" s="59"/>
      <c r="AI17" s="19"/>
      <c r="AJ17" s="19"/>
      <c r="AK17" s="19"/>
      <c r="AL17" s="19"/>
      <c r="AM17" s="59"/>
      <c r="AN17" s="19"/>
      <c r="AO17" s="19"/>
      <c r="AP17" s="19"/>
      <c r="AQ17" s="19"/>
      <c r="AR17" s="59"/>
      <c r="AS17" s="19"/>
      <c r="AT17" s="19"/>
      <c r="AU17" s="19"/>
      <c r="AV17" s="19"/>
      <c r="AW17" s="59"/>
      <c r="AX17" s="19"/>
      <c r="AY17" s="19"/>
      <c r="AZ17" s="60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9"/>
      <c r="O18" s="19"/>
      <c r="P18" s="19"/>
      <c r="Q18" s="19"/>
      <c r="R18" s="19"/>
      <c r="S18" s="59"/>
      <c r="T18" s="19"/>
      <c r="U18" s="19"/>
      <c r="V18" s="19"/>
      <c r="W18" s="19"/>
      <c r="X18" s="59"/>
      <c r="Y18" s="19"/>
      <c r="Z18" s="19"/>
      <c r="AA18" s="19"/>
      <c r="AB18" s="19"/>
      <c r="AC18" s="59"/>
      <c r="AD18" s="19"/>
      <c r="AE18" s="19"/>
      <c r="AF18" s="19"/>
      <c r="AG18" s="19"/>
      <c r="AH18" s="59"/>
      <c r="AI18" s="19"/>
      <c r="AJ18" s="19"/>
      <c r="AK18" s="19"/>
      <c r="AL18" s="19"/>
      <c r="AM18" s="59"/>
      <c r="AN18" s="19"/>
      <c r="AO18" s="19"/>
      <c r="AP18" s="19"/>
      <c r="AQ18" s="19"/>
      <c r="AR18" s="59"/>
      <c r="AS18" s="19"/>
      <c r="AT18" s="19"/>
      <c r="AU18" s="19"/>
      <c r="AV18" s="19"/>
      <c r="AW18" s="59"/>
      <c r="AX18" s="19"/>
      <c r="AY18" s="19"/>
      <c r="AZ18" s="60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104.0</v>
      </c>
      <c r="F19" s="19">
        <v>115.0</v>
      </c>
      <c r="G19" s="19">
        <v>100.0</v>
      </c>
      <c r="H19" s="19">
        <v>90.0</v>
      </c>
      <c r="I19" s="19">
        <v>103.0</v>
      </c>
      <c r="J19" s="19">
        <v>97.0</v>
      </c>
      <c r="K19" s="19">
        <v>59.0</v>
      </c>
      <c r="L19" s="19">
        <v>108.0</v>
      </c>
      <c r="M19" s="19">
        <v>97.0</v>
      </c>
      <c r="N19" s="19">
        <v>106.0</v>
      </c>
      <c r="O19" s="19">
        <v>117.0</v>
      </c>
      <c r="P19" s="19">
        <v>90.0</v>
      </c>
      <c r="Q19" s="19">
        <v>113.0</v>
      </c>
      <c r="R19" s="19">
        <v>100.0</v>
      </c>
      <c r="S19" s="19">
        <v>109.0</v>
      </c>
      <c r="T19" s="19">
        <v>102.0</v>
      </c>
      <c r="U19" s="19">
        <v>105.0</v>
      </c>
      <c r="V19" s="19">
        <v>99.0</v>
      </c>
      <c r="W19" s="19">
        <v>119.0</v>
      </c>
      <c r="X19" s="19">
        <v>119.0</v>
      </c>
      <c r="Y19" s="19">
        <v>86.0</v>
      </c>
      <c r="Z19" s="19">
        <v>92.0</v>
      </c>
      <c r="AA19" s="19">
        <v>87.0</v>
      </c>
      <c r="AB19" s="19">
        <v>90.0</v>
      </c>
      <c r="AC19" s="19">
        <v>108.0</v>
      </c>
      <c r="AD19" s="19">
        <v>98.0</v>
      </c>
      <c r="AE19" s="19">
        <v>93.0</v>
      </c>
      <c r="AF19" s="19">
        <v>118.0</v>
      </c>
      <c r="AG19" s="19">
        <v>90.0</v>
      </c>
      <c r="AH19" s="19">
        <v>110.0</v>
      </c>
      <c r="AI19" s="19">
        <v>90.0</v>
      </c>
      <c r="AJ19" s="19">
        <v>106.0</v>
      </c>
      <c r="AK19" s="19">
        <v>107.0</v>
      </c>
      <c r="AL19" s="19">
        <v>114.0</v>
      </c>
      <c r="AM19" s="19">
        <v>114.0</v>
      </c>
      <c r="AN19" s="19">
        <v>103.0</v>
      </c>
      <c r="AO19" s="19">
        <v>96.0</v>
      </c>
      <c r="AP19" s="19">
        <v>108.0</v>
      </c>
      <c r="AQ19" s="19">
        <v>106.0</v>
      </c>
      <c r="AR19" s="19">
        <v>110.0</v>
      </c>
      <c r="AS19" s="19">
        <v>85.0</v>
      </c>
      <c r="AT19" s="19">
        <v>97.0</v>
      </c>
      <c r="AU19" s="19">
        <v>100.0</v>
      </c>
      <c r="AV19" s="19">
        <v>90.0</v>
      </c>
      <c r="AW19" s="19">
        <v>94.0</v>
      </c>
      <c r="AX19" s="19">
        <v>90.0</v>
      </c>
      <c r="AY19" s="19">
        <v>100.0</v>
      </c>
      <c r="AZ19" s="13">
        <f t="shared" ref="AZ19:AZ30" si="3">SUM(E19:AY19)</f>
        <v>4734</v>
      </c>
    </row>
    <row r="20" ht="12.75" customHeight="1">
      <c r="A20" s="33"/>
      <c r="B20" s="27"/>
      <c r="C20" s="34"/>
      <c r="D20" s="19" t="s">
        <v>13</v>
      </c>
      <c r="E20" s="19">
        <v>112.0</v>
      </c>
      <c r="F20" s="19">
        <v>119.0</v>
      </c>
      <c r="G20" s="19">
        <v>102.0</v>
      </c>
      <c r="H20" s="19">
        <v>111.0</v>
      </c>
      <c r="I20" s="19">
        <v>115.0</v>
      </c>
      <c r="J20" s="19">
        <v>122.0</v>
      </c>
      <c r="K20" s="19">
        <v>63.0</v>
      </c>
      <c r="L20" s="19">
        <v>110.0</v>
      </c>
      <c r="M20" s="19">
        <v>95.0</v>
      </c>
      <c r="N20" s="19">
        <v>116.0</v>
      </c>
      <c r="O20" s="19">
        <v>124.0</v>
      </c>
      <c r="P20" s="19">
        <v>107.0</v>
      </c>
      <c r="Q20" s="19">
        <v>111.0</v>
      </c>
      <c r="R20" s="19">
        <v>100.0</v>
      </c>
      <c r="S20" s="19">
        <v>103.0</v>
      </c>
      <c r="T20" s="19">
        <v>111.0</v>
      </c>
      <c r="U20" s="19">
        <v>97.0</v>
      </c>
      <c r="V20" s="19">
        <v>101.0</v>
      </c>
      <c r="W20" s="19">
        <v>113.0</v>
      </c>
      <c r="X20" s="19">
        <v>112.0</v>
      </c>
      <c r="Y20" s="19">
        <v>78.0</v>
      </c>
      <c r="Z20" s="19">
        <v>98.0</v>
      </c>
      <c r="AA20" s="19">
        <v>70.0</v>
      </c>
      <c r="AB20" s="19">
        <v>107.0</v>
      </c>
      <c r="AC20" s="19">
        <v>102.0</v>
      </c>
      <c r="AD20" s="19">
        <v>108.0</v>
      </c>
      <c r="AE20" s="19">
        <v>105.0</v>
      </c>
      <c r="AF20" s="19">
        <v>81.0</v>
      </c>
      <c r="AG20" s="19">
        <v>87.0</v>
      </c>
      <c r="AH20" s="19">
        <v>109.0</v>
      </c>
      <c r="AI20" s="19">
        <v>89.0</v>
      </c>
      <c r="AJ20" s="19">
        <v>107.0</v>
      </c>
      <c r="AK20" s="19">
        <v>110.0</v>
      </c>
      <c r="AL20" s="19">
        <v>100.0</v>
      </c>
      <c r="AM20" s="19">
        <v>103.0</v>
      </c>
      <c r="AN20" s="19">
        <v>92.0</v>
      </c>
      <c r="AO20" s="19">
        <v>92.0</v>
      </c>
      <c r="AP20" s="19">
        <v>118.0</v>
      </c>
      <c r="AQ20" s="19">
        <v>119.0</v>
      </c>
      <c r="AR20" s="19">
        <v>112.0</v>
      </c>
      <c r="AS20" s="19">
        <v>106.0</v>
      </c>
      <c r="AT20" s="19">
        <v>120.0</v>
      </c>
      <c r="AU20" s="19">
        <v>114.0</v>
      </c>
      <c r="AV20" s="19">
        <v>110.0</v>
      </c>
      <c r="AW20" s="19">
        <v>100.0</v>
      </c>
      <c r="AX20" s="19">
        <v>101.0</v>
      </c>
      <c r="AY20" s="19">
        <v>108.0</v>
      </c>
      <c r="AZ20" s="13">
        <f t="shared" si="3"/>
        <v>4890</v>
      </c>
    </row>
    <row r="21" ht="12.75" customHeight="1">
      <c r="A21" s="35"/>
      <c r="B21" s="28"/>
      <c r="C21" s="36"/>
      <c r="D21" s="13" t="s">
        <v>14</v>
      </c>
      <c r="E21" s="13">
        <f t="shared" ref="E21:AY21" si="4">SUM(E19:E20)</f>
        <v>216</v>
      </c>
      <c r="F21" s="13">
        <f t="shared" si="4"/>
        <v>234</v>
      </c>
      <c r="G21" s="13">
        <f t="shared" si="4"/>
        <v>202</v>
      </c>
      <c r="H21" s="13">
        <f t="shared" si="4"/>
        <v>201</v>
      </c>
      <c r="I21" s="13">
        <f t="shared" si="4"/>
        <v>218</v>
      </c>
      <c r="J21" s="13">
        <f t="shared" si="4"/>
        <v>219</v>
      </c>
      <c r="K21" s="13">
        <f t="shared" si="4"/>
        <v>122</v>
      </c>
      <c r="L21" s="13">
        <f t="shared" si="4"/>
        <v>218</v>
      </c>
      <c r="M21" s="13">
        <f t="shared" si="4"/>
        <v>192</v>
      </c>
      <c r="N21" s="13">
        <f t="shared" si="4"/>
        <v>222</v>
      </c>
      <c r="O21" s="13">
        <f t="shared" si="4"/>
        <v>241</v>
      </c>
      <c r="P21" s="13">
        <f t="shared" si="4"/>
        <v>197</v>
      </c>
      <c r="Q21" s="13">
        <f t="shared" si="4"/>
        <v>224</v>
      </c>
      <c r="R21" s="13">
        <f t="shared" si="4"/>
        <v>200</v>
      </c>
      <c r="S21" s="13">
        <f t="shared" si="4"/>
        <v>212</v>
      </c>
      <c r="T21" s="13">
        <f t="shared" si="4"/>
        <v>213</v>
      </c>
      <c r="U21" s="13">
        <f t="shared" si="4"/>
        <v>202</v>
      </c>
      <c r="V21" s="13">
        <f t="shared" si="4"/>
        <v>200</v>
      </c>
      <c r="W21" s="13">
        <f t="shared" si="4"/>
        <v>232</v>
      </c>
      <c r="X21" s="13">
        <f t="shared" si="4"/>
        <v>231</v>
      </c>
      <c r="Y21" s="13">
        <f t="shared" si="4"/>
        <v>164</v>
      </c>
      <c r="Z21" s="13">
        <f t="shared" si="4"/>
        <v>190</v>
      </c>
      <c r="AA21" s="13">
        <f t="shared" si="4"/>
        <v>157</v>
      </c>
      <c r="AB21" s="13">
        <f t="shared" si="4"/>
        <v>197</v>
      </c>
      <c r="AC21" s="13">
        <f t="shared" si="4"/>
        <v>210</v>
      </c>
      <c r="AD21" s="13">
        <f t="shared" si="4"/>
        <v>206</v>
      </c>
      <c r="AE21" s="13">
        <f t="shared" si="4"/>
        <v>198</v>
      </c>
      <c r="AF21" s="13">
        <f t="shared" si="4"/>
        <v>199</v>
      </c>
      <c r="AG21" s="13">
        <f t="shared" si="4"/>
        <v>177</v>
      </c>
      <c r="AH21" s="13">
        <f t="shared" si="4"/>
        <v>219</v>
      </c>
      <c r="AI21" s="13">
        <f t="shared" si="4"/>
        <v>179</v>
      </c>
      <c r="AJ21" s="13">
        <f t="shared" si="4"/>
        <v>213</v>
      </c>
      <c r="AK21" s="13">
        <f t="shared" si="4"/>
        <v>217</v>
      </c>
      <c r="AL21" s="13">
        <f t="shared" si="4"/>
        <v>214</v>
      </c>
      <c r="AM21" s="13">
        <f t="shared" si="4"/>
        <v>217</v>
      </c>
      <c r="AN21" s="13">
        <f t="shared" si="4"/>
        <v>195</v>
      </c>
      <c r="AO21" s="13">
        <f t="shared" si="4"/>
        <v>188</v>
      </c>
      <c r="AP21" s="13">
        <f t="shared" si="4"/>
        <v>226</v>
      </c>
      <c r="AQ21" s="13">
        <f t="shared" si="4"/>
        <v>225</v>
      </c>
      <c r="AR21" s="13">
        <f t="shared" si="4"/>
        <v>222</v>
      </c>
      <c r="AS21" s="13">
        <f t="shared" si="4"/>
        <v>191</v>
      </c>
      <c r="AT21" s="13">
        <f t="shared" si="4"/>
        <v>217</v>
      </c>
      <c r="AU21" s="13">
        <f t="shared" si="4"/>
        <v>214</v>
      </c>
      <c r="AV21" s="13">
        <f t="shared" si="4"/>
        <v>200</v>
      </c>
      <c r="AW21" s="13">
        <f t="shared" si="4"/>
        <v>194</v>
      </c>
      <c r="AX21" s="13">
        <f t="shared" si="4"/>
        <v>191</v>
      </c>
      <c r="AY21" s="13">
        <f t="shared" si="4"/>
        <v>208</v>
      </c>
      <c r="AZ21" s="13">
        <f t="shared" si="3"/>
        <v>9624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1.0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9">
        <v>0.0</v>
      </c>
      <c r="AF22" s="19">
        <v>0.0</v>
      </c>
      <c r="AG22" s="19">
        <v>0.0</v>
      </c>
      <c r="AH22" s="19">
        <v>0.0</v>
      </c>
      <c r="AI22" s="19">
        <v>0.0</v>
      </c>
      <c r="AJ22" s="19">
        <v>2.0</v>
      </c>
      <c r="AK22" s="19">
        <v>0.0</v>
      </c>
      <c r="AL22" s="19">
        <v>0.0</v>
      </c>
      <c r="AM22" s="19">
        <v>0.0</v>
      </c>
      <c r="AN22" s="19">
        <v>0.0</v>
      </c>
      <c r="AO22" s="19">
        <v>0.0</v>
      </c>
      <c r="AP22" s="19">
        <v>13.0</v>
      </c>
      <c r="AQ22" s="19">
        <v>10.0</v>
      </c>
      <c r="AR22" s="19">
        <v>13.0</v>
      </c>
      <c r="AS22" s="19">
        <v>11.0</v>
      </c>
      <c r="AT22" s="19">
        <v>0.0</v>
      </c>
      <c r="AU22" s="19">
        <v>0.0</v>
      </c>
      <c r="AV22" s="19">
        <v>7.0</v>
      </c>
      <c r="AW22" s="19">
        <v>0.0</v>
      </c>
      <c r="AX22" s="19">
        <v>0.0</v>
      </c>
      <c r="AY22" s="19">
        <v>0.0</v>
      </c>
      <c r="AZ22" s="13">
        <f t="shared" si="3"/>
        <v>57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1.0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1.0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1.0</v>
      </c>
      <c r="AE23" s="19">
        <v>0.0</v>
      </c>
      <c r="AF23" s="19">
        <v>0.0</v>
      </c>
      <c r="AG23" s="19">
        <v>0.0</v>
      </c>
      <c r="AH23" s="19">
        <v>0.0</v>
      </c>
      <c r="AI23" s="19">
        <v>0.0</v>
      </c>
      <c r="AJ23" s="19">
        <v>0.0</v>
      </c>
      <c r="AK23" s="19">
        <v>0.0</v>
      </c>
      <c r="AL23" s="19">
        <v>0.0</v>
      </c>
      <c r="AM23" s="19">
        <v>0.0</v>
      </c>
      <c r="AN23" s="19">
        <v>0.0</v>
      </c>
      <c r="AO23" s="19">
        <v>0.0</v>
      </c>
      <c r="AP23" s="19">
        <v>3.0</v>
      </c>
      <c r="AQ23" s="19">
        <v>1.0</v>
      </c>
      <c r="AR23" s="19">
        <v>1.0</v>
      </c>
      <c r="AS23" s="19">
        <v>0.0</v>
      </c>
      <c r="AT23" s="19">
        <v>0.0</v>
      </c>
      <c r="AU23" s="19">
        <v>0.0</v>
      </c>
      <c r="AV23" s="19">
        <v>0.0</v>
      </c>
      <c r="AW23" s="19">
        <v>0.0</v>
      </c>
      <c r="AX23" s="19">
        <v>0.0</v>
      </c>
      <c r="AY23" s="19">
        <v>1.0</v>
      </c>
      <c r="AZ23" s="13">
        <f t="shared" si="3"/>
        <v>9</v>
      </c>
    </row>
    <row r="24" ht="12.75" customHeight="1">
      <c r="A24" s="35"/>
      <c r="B24" s="28"/>
      <c r="C24" s="36"/>
      <c r="D24" s="13" t="s">
        <v>14</v>
      </c>
      <c r="E24" s="13">
        <f t="shared" ref="E24:AY24" si="5">SUM(E22:E23)</f>
        <v>0</v>
      </c>
      <c r="F24" s="13">
        <f t="shared" si="5"/>
        <v>0</v>
      </c>
      <c r="G24" s="13">
        <f t="shared" si="5"/>
        <v>1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1</v>
      </c>
      <c r="Q24" s="13">
        <f t="shared" si="5"/>
        <v>1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1</v>
      </c>
      <c r="AE24" s="13">
        <f t="shared" si="5"/>
        <v>0</v>
      </c>
      <c r="AF24" s="13">
        <f t="shared" si="5"/>
        <v>0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5"/>
        <v>2</v>
      </c>
      <c r="AK24" s="13">
        <f t="shared" si="5"/>
        <v>0</v>
      </c>
      <c r="AL24" s="13">
        <f t="shared" si="5"/>
        <v>0</v>
      </c>
      <c r="AM24" s="13">
        <f t="shared" si="5"/>
        <v>0</v>
      </c>
      <c r="AN24" s="13">
        <f t="shared" si="5"/>
        <v>0</v>
      </c>
      <c r="AO24" s="13">
        <f t="shared" si="5"/>
        <v>0</v>
      </c>
      <c r="AP24" s="13">
        <f t="shared" si="5"/>
        <v>16</v>
      </c>
      <c r="AQ24" s="13">
        <f t="shared" si="5"/>
        <v>11</v>
      </c>
      <c r="AR24" s="13">
        <f t="shared" si="5"/>
        <v>14</v>
      </c>
      <c r="AS24" s="13">
        <f t="shared" si="5"/>
        <v>11</v>
      </c>
      <c r="AT24" s="13">
        <f t="shared" si="5"/>
        <v>0</v>
      </c>
      <c r="AU24" s="13">
        <f t="shared" si="5"/>
        <v>0</v>
      </c>
      <c r="AV24" s="13">
        <f t="shared" si="5"/>
        <v>7</v>
      </c>
      <c r="AW24" s="13">
        <f t="shared" si="5"/>
        <v>0</v>
      </c>
      <c r="AX24" s="13">
        <f t="shared" si="5"/>
        <v>0</v>
      </c>
      <c r="AY24" s="13">
        <f t="shared" si="5"/>
        <v>1</v>
      </c>
      <c r="AZ24" s="13">
        <f t="shared" si="3"/>
        <v>66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3.0</v>
      </c>
      <c r="F25" s="19">
        <v>0.0</v>
      </c>
      <c r="G25" s="19">
        <v>1.0</v>
      </c>
      <c r="H25" s="19">
        <v>0.0</v>
      </c>
      <c r="I25" s="19">
        <v>1.0</v>
      </c>
      <c r="J25" s="19">
        <v>1.0</v>
      </c>
      <c r="K25" s="19">
        <v>0.0</v>
      </c>
      <c r="L25" s="19">
        <v>5.0</v>
      </c>
      <c r="M25" s="19">
        <v>2.0</v>
      </c>
      <c r="N25" s="19">
        <v>2.0</v>
      </c>
      <c r="O25" s="19">
        <v>0.0</v>
      </c>
      <c r="P25" s="19">
        <v>1.0</v>
      </c>
      <c r="Q25" s="19">
        <v>3.0</v>
      </c>
      <c r="R25" s="19">
        <v>0.0</v>
      </c>
      <c r="S25" s="19">
        <v>1.0</v>
      </c>
      <c r="T25" s="19">
        <v>2.0</v>
      </c>
      <c r="U25" s="19">
        <v>2.0</v>
      </c>
      <c r="V25" s="19">
        <v>2.0</v>
      </c>
      <c r="W25" s="19">
        <v>0.0</v>
      </c>
      <c r="X25" s="19">
        <v>3.0</v>
      </c>
      <c r="Y25" s="19">
        <v>0.0</v>
      </c>
      <c r="Z25" s="19">
        <v>1.0</v>
      </c>
      <c r="AA25" s="19">
        <v>0.0</v>
      </c>
      <c r="AB25" s="19">
        <v>1.0</v>
      </c>
      <c r="AC25" s="19">
        <v>1.0</v>
      </c>
      <c r="AD25" s="19">
        <v>0.0</v>
      </c>
      <c r="AE25" s="19">
        <v>0.0</v>
      </c>
      <c r="AF25" s="19">
        <v>0.0</v>
      </c>
      <c r="AG25" s="19">
        <v>0.0</v>
      </c>
      <c r="AH25" s="19">
        <v>4.0</v>
      </c>
      <c r="AI25" s="19">
        <v>0.0</v>
      </c>
      <c r="AJ25" s="19">
        <v>2.0</v>
      </c>
      <c r="AK25" s="19">
        <v>0.0</v>
      </c>
      <c r="AL25" s="19">
        <v>1.0</v>
      </c>
      <c r="AM25" s="19">
        <v>1.0</v>
      </c>
      <c r="AN25" s="19">
        <v>0.0</v>
      </c>
      <c r="AO25" s="19">
        <v>0.0</v>
      </c>
      <c r="AP25" s="19">
        <v>3.0</v>
      </c>
      <c r="AQ25" s="19">
        <v>2.0</v>
      </c>
      <c r="AR25" s="19">
        <v>1.0</v>
      </c>
      <c r="AS25" s="19">
        <v>5.0</v>
      </c>
      <c r="AT25" s="19">
        <v>4.0</v>
      </c>
      <c r="AU25" s="19">
        <v>3.0</v>
      </c>
      <c r="AV25" s="19">
        <v>3.0</v>
      </c>
      <c r="AW25" s="19">
        <v>1.0</v>
      </c>
      <c r="AX25" s="19">
        <v>1.0</v>
      </c>
      <c r="AY25" s="19">
        <v>3.0</v>
      </c>
      <c r="AZ25" s="13">
        <f t="shared" si="3"/>
        <v>66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0.0</v>
      </c>
      <c r="G26" s="19">
        <v>1.0</v>
      </c>
      <c r="H26" s="19">
        <v>4.0</v>
      </c>
      <c r="I26" s="19">
        <v>1.0</v>
      </c>
      <c r="J26" s="19">
        <v>1.0</v>
      </c>
      <c r="K26" s="19">
        <v>0.0</v>
      </c>
      <c r="L26" s="19">
        <v>2.0</v>
      </c>
      <c r="M26" s="19">
        <v>4.0</v>
      </c>
      <c r="N26" s="19">
        <v>1.0</v>
      </c>
      <c r="O26" s="19">
        <v>0.0</v>
      </c>
      <c r="P26" s="19">
        <v>1.0</v>
      </c>
      <c r="Q26" s="19">
        <v>3.0</v>
      </c>
      <c r="R26" s="19">
        <v>1.0</v>
      </c>
      <c r="S26" s="19">
        <v>0.0</v>
      </c>
      <c r="T26" s="19">
        <v>1.0</v>
      </c>
      <c r="U26" s="19">
        <v>3.0</v>
      </c>
      <c r="V26" s="19">
        <v>1.0</v>
      </c>
      <c r="W26" s="19">
        <v>0.0</v>
      </c>
      <c r="X26" s="19">
        <v>2.0</v>
      </c>
      <c r="Y26" s="19">
        <v>0.0</v>
      </c>
      <c r="Z26" s="19">
        <v>0.0</v>
      </c>
      <c r="AA26" s="19">
        <v>1.0</v>
      </c>
      <c r="AB26" s="19">
        <v>1.0</v>
      </c>
      <c r="AC26" s="19">
        <v>1.0</v>
      </c>
      <c r="AD26" s="19">
        <v>2.0</v>
      </c>
      <c r="AE26" s="19">
        <v>0.0</v>
      </c>
      <c r="AF26" s="19">
        <v>1.0</v>
      </c>
      <c r="AG26" s="19">
        <v>0.0</v>
      </c>
      <c r="AH26" s="19">
        <v>2.0</v>
      </c>
      <c r="AI26" s="19">
        <v>1.0</v>
      </c>
      <c r="AJ26" s="19">
        <v>0.0</v>
      </c>
      <c r="AK26" s="19">
        <v>0.0</v>
      </c>
      <c r="AL26" s="19">
        <v>2.0</v>
      </c>
      <c r="AM26" s="19">
        <v>0.0</v>
      </c>
      <c r="AN26" s="19">
        <v>0.0</v>
      </c>
      <c r="AO26" s="19">
        <v>0.0</v>
      </c>
      <c r="AP26" s="19">
        <v>2.0</v>
      </c>
      <c r="AQ26" s="19">
        <v>1.0</v>
      </c>
      <c r="AR26" s="19">
        <v>1.0</v>
      </c>
      <c r="AS26" s="19">
        <v>6.0</v>
      </c>
      <c r="AT26" s="19">
        <v>5.0</v>
      </c>
      <c r="AU26" s="19">
        <v>5.0</v>
      </c>
      <c r="AV26" s="19">
        <v>5.0</v>
      </c>
      <c r="AW26" s="19">
        <v>5.0</v>
      </c>
      <c r="AX26" s="19">
        <v>1.0</v>
      </c>
      <c r="AY26" s="19">
        <v>1.0</v>
      </c>
      <c r="AZ26" s="13">
        <f t="shared" si="3"/>
        <v>70</v>
      </c>
    </row>
    <row r="27" ht="12.75" customHeight="1">
      <c r="A27" s="35"/>
      <c r="B27" s="28"/>
      <c r="C27" s="36"/>
      <c r="D27" s="13" t="s">
        <v>14</v>
      </c>
      <c r="E27" s="13">
        <f t="shared" ref="E27:AY27" si="6">SUM(E25:E26)</f>
        <v>4</v>
      </c>
      <c r="F27" s="13">
        <f t="shared" si="6"/>
        <v>0</v>
      </c>
      <c r="G27" s="13">
        <f t="shared" si="6"/>
        <v>2</v>
      </c>
      <c r="H27" s="13">
        <f t="shared" si="6"/>
        <v>4</v>
      </c>
      <c r="I27" s="13">
        <f t="shared" si="6"/>
        <v>2</v>
      </c>
      <c r="J27" s="13">
        <f t="shared" si="6"/>
        <v>2</v>
      </c>
      <c r="K27" s="13">
        <f t="shared" si="6"/>
        <v>0</v>
      </c>
      <c r="L27" s="13">
        <f t="shared" si="6"/>
        <v>7</v>
      </c>
      <c r="M27" s="13">
        <f t="shared" si="6"/>
        <v>6</v>
      </c>
      <c r="N27" s="13">
        <f t="shared" si="6"/>
        <v>3</v>
      </c>
      <c r="O27" s="13">
        <f t="shared" si="6"/>
        <v>0</v>
      </c>
      <c r="P27" s="13">
        <f t="shared" si="6"/>
        <v>2</v>
      </c>
      <c r="Q27" s="13">
        <f t="shared" si="6"/>
        <v>6</v>
      </c>
      <c r="R27" s="13">
        <f t="shared" si="6"/>
        <v>1</v>
      </c>
      <c r="S27" s="13">
        <f t="shared" si="6"/>
        <v>1</v>
      </c>
      <c r="T27" s="13">
        <f t="shared" si="6"/>
        <v>3</v>
      </c>
      <c r="U27" s="13">
        <f t="shared" si="6"/>
        <v>5</v>
      </c>
      <c r="V27" s="13">
        <f t="shared" si="6"/>
        <v>3</v>
      </c>
      <c r="W27" s="13">
        <f t="shared" si="6"/>
        <v>0</v>
      </c>
      <c r="X27" s="13">
        <f t="shared" si="6"/>
        <v>5</v>
      </c>
      <c r="Y27" s="13">
        <f t="shared" si="6"/>
        <v>0</v>
      </c>
      <c r="Z27" s="13">
        <f t="shared" si="6"/>
        <v>1</v>
      </c>
      <c r="AA27" s="13">
        <f t="shared" si="6"/>
        <v>1</v>
      </c>
      <c r="AB27" s="13">
        <f t="shared" si="6"/>
        <v>2</v>
      </c>
      <c r="AC27" s="13">
        <f t="shared" si="6"/>
        <v>2</v>
      </c>
      <c r="AD27" s="13">
        <f t="shared" si="6"/>
        <v>2</v>
      </c>
      <c r="AE27" s="13">
        <f t="shared" si="6"/>
        <v>0</v>
      </c>
      <c r="AF27" s="13">
        <f t="shared" si="6"/>
        <v>1</v>
      </c>
      <c r="AG27" s="13">
        <f t="shared" si="6"/>
        <v>0</v>
      </c>
      <c r="AH27" s="13">
        <f t="shared" si="6"/>
        <v>6</v>
      </c>
      <c r="AI27" s="13">
        <f t="shared" si="6"/>
        <v>1</v>
      </c>
      <c r="AJ27" s="13">
        <f t="shared" si="6"/>
        <v>2</v>
      </c>
      <c r="AK27" s="13">
        <f t="shared" si="6"/>
        <v>0</v>
      </c>
      <c r="AL27" s="13">
        <f t="shared" si="6"/>
        <v>3</v>
      </c>
      <c r="AM27" s="13">
        <f t="shared" si="6"/>
        <v>1</v>
      </c>
      <c r="AN27" s="13">
        <f t="shared" si="6"/>
        <v>0</v>
      </c>
      <c r="AO27" s="13">
        <f t="shared" si="6"/>
        <v>0</v>
      </c>
      <c r="AP27" s="13">
        <f t="shared" si="6"/>
        <v>5</v>
      </c>
      <c r="AQ27" s="13">
        <f t="shared" si="6"/>
        <v>3</v>
      </c>
      <c r="AR27" s="13">
        <f t="shared" si="6"/>
        <v>2</v>
      </c>
      <c r="AS27" s="13">
        <f t="shared" si="6"/>
        <v>11</v>
      </c>
      <c r="AT27" s="13">
        <f t="shared" si="6"/>
        <v>9</v>
      </c>
      <c r="AU27" s="13">
        <f t="shared" si="6"/>
        <v>8</v>
      </c>
      <c r="AV27" s="13">
        <f t="shared" si="6"/>
        <v>8</v>
      </c>
      <c r="AW27" s="13">
        <f t="shared" si="6"/>
        <v>6</v>
      </c>
      <c r="AX27" s="13">
        <f t="shared" si="6"/>
        <v>2</v>
      </c>
      <c r="AY27" s="13">
        <f t="shared" si="6"/>
        <v>4</v>
      </c>
      <c r="AZ27" s="13">
        <f t="shared" si="3"/>
        <v>136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Y28" si="7">SUM(E19,E22,E25)</f>
        <v>107</v>
      </c>
      <c r="F28" s="13">
        <f t="shared" si="7"/>
        <v>115</v>
      </c>
      <c r="G28" s="13">
        <f t="shared" si="7"/>
        <v>101</v>
      </c>
      <c r="H28" s="13">
        <f t="shared" si="7"/>
        <v>90</v>
      </c>
      <c r="I28" s="13">
        <f t="shared" si="7"/>
        <v>104</v>
      </c>
      <c r="J28" s="13">
        <f t="shared" si="7"/>
        <v>98</v>
      </c>
      <c r="K28" s="13">
        <f t="shared" si="7"/>
        <v>59</v>
      </c>
      <c r="L28" s="13">
        <f t="shared" si="7"/>
        <v>113</v>
      </c>
      <c r="M28" s="13">
        <f t="shared" si="7"/>
        <v>99</v>
      </c>
      <c r="N28" s="13">
        <f t="shared" si="7"/>
        <v>108</v>
      </c>
      <c r="O28" s="13">
        <f t="shared" si="7"/>
        <v>117</v>
      </c>
      <c r="P28" s="13">
        <f t="shared" si="7"/>
        <v>92</v>
      </c>
      <c r="Q28" s="13">
        <f t="shared" si="7"/>
        <v>116</v>
      </c>
      <c r="R28" s="13">
        <f t="shared" si="7"/>
        <v>100</v>
      </c>
      <c r="S28" s="13">
        <f t="shared" si="7"/>
        <v>110</v>
      </c>
      <c r="T28" s="13">
        <f t="shared" si="7"/>
        <v>104</v>
      </c>
      <c r="U28" s="13">
        <f t="shared" si="7"/>
        <v>107</v>
      </c>
      <c r="V28" s="13">
        <f t="shared" si="7"/>
        <v>101</v>
      </c>
      <c r="W28" s="13">
        <f t="shared" si="7"/>
        <v>119</v>
      </c>
      <c r="X28" s="13">
        <f t="shared" si="7"/>
        <v>122</v>
      </c>
      <c r="Y28" s="13">
        <f t="shared" si="7"/>
        <v>86</v>
      </c>
      <c r="Z28" s="13">
        <f t="shared" si="7"/>
        <v>93</v>
      </c>
      <c r="AA28" s="13">
        <f t="shared" si="7"/>
        <v>87</v>
      </c>
      <c r="AB28" s="13">
        <f t="shared" si="7"/>
        <v>91</v>
      </c>
      <c r="AC28" s="13">
        <f t="shared" si="7"/>
        <v>109</v>
      </c>
      <c r="AD28" s="13">
        <f t="shared" si="7"/>
        <v>98</v>
      </c>
      <c r="AE28" s="13">
        <f t="shared" si="7"/>
        <v>93</v>
      </c>
      <c r="AF28" s="13">
        <f t="shared" si="7"/>
        <v>118</v>
      </c>
      <c r="AG28" s="13">
        <f t="shared" si="7"/>
        <v>90</v>
      </c>
      <c r="AH28" s="13">
        <f t="shared" si="7"/>
        <v>114</v>
      </c>
      <c r="AI28" s="13">
        <f t="shared" si="7"/>
        <v>90</v>
      </c>
      <c r="AJ28" s="13">
        <f t="shared" si="7"/>
        <v>110</v>
      </c>
      <c r="AK28" s="13">
        <f t="shared" si="7"/>
        <v>107</v>
      </c>
      <c r="AL28" s="13">
        <f t="shared" si="7"/>
        <v>115</v>
      </c>
      <c r="AM28" s="13">
        <f t="shared" si="7"/>
        <v>115</v>
      </c>
      <c r="AN28" s="13">
        <f t="shared" si="7"/>
        <v>103</v>
      </c>
      <c r="AO28" s="13">
        <f t="shared" si="7"/>
        <v>96</v>
      </c>
      <c r="AP28" s="13">
        <f t="shared" si="7"/>
        <v>124</v>
      </c>
      <c r="AQ28" s="13">
        <f t="shared" si="7"/>
        <v>118</v>
      </c>
      <c r="AR28" s="13">
        <f t="shared" si="7"/>
        <v>124</v>
      </c>
      <c r="AS28" s="13">
        <f t="shared" si="7"/>
        <v>101</v>
      </c>
      <c r="AT28" s="13">
        <f t="shared" si="7"/>
        <v>101</v>
      </c>
      <c r="AU28" s="13">
        <f t="shared" si="7"/>
        <v>103</v>
      </c>
      <c r="AV28" s="13">
        <f t="shared" si="7"/>
        <v>100</v>
      </c>
      <c r="AW28" s="13">
        <f t="shared" si="7"/>
        <v>95</v>
      </c>
      <c r="AX28" s="13">
        <f t="shared" si="7"/>
        <v>91</v>
      </c>
      <c r="AY28" s="13">
        <f t="shared" si="7"/>
        <v>103</v>
      </c>
      <c r="AZ28" s="13">
        <f t="shared" si="3"/>
        <v>4857</v>
      </c>
    </row>
    <row r="29" ht="12.75" customHeight="1">
      <c r="A29" s="35"/>
      <c r="B29" s="27"/>
      <c r="C29" s="34"/>
      <c r="D29" s="13" t="s">
        <v>13</v>
      </c>
      <c r="E29" s="13">
        <f t="shared" ref="E29:AY29" si="8">SUM(E20,E23,E26)</f>
        <v>113</v>
      </c>
      <c r="F29" s="13">
        <f t="shared" si="8"/>
        <v>119</v>
      </c>
      <c r="G29" s="13">
        <f t="shared" si="8"/>
        <v>104</v>
      </c>
      <c r="H29" s="13">
        <f t="shared" si="8"/>
        <v>115</v>
      </c>
      <c r="I29" s="13">
        <f t="shared" si="8"/>
        <v>116</v>
      </c>
      <c r="J29" s="13">
        <f t="shared" si="8"/>
        <v>123</v>
      </c>
      <c r="K29" s="13">
        <f t="shared" si="8"/>
        <v>63</v>
      </c>
      <c r="L29" s="13">
        <f t="shared" si="8"/>
        <v>112</v>
      </c>
      <c r="M29" s="13">
        <f t="shared" si="8"/>
        <v>99</v>
      </c>
      <c r="N29" s="13">
        <f t="shared" si="8"/>
        <v>117</v>
      </c>
      <c r="O29" s="13">
        <f t="shared" si="8"/>
        <v>124</v>
      </c>
      <c r="P29" s="13">
        <f t="shared" si="8"/>
        <v>108</v>
      </c>
      <c r="Q29" s="13">
        <f t="shared" si="8"/>
        <v>115</v>
      </c>
      <c r="R29" s="13">
        <f t="shared" si="8"/>
        <v>101</v>
      </c>
      <c r="S29" s="13">
        <f t="shared" si="8"/>
        <v>103</v>
      </c>
      <c r="T29" s="13">
        <f t="shared" si="8"/>
        <v>112</v>
      </c>
      <c r="U29" s="13">
        <f t="shared" si="8"/>
        <v>100</v>
      </c>
      <c r="V29" s="13">
        <f t="shared" si="8"/>
        <v>102</v>
      </c>
      <c r="W29" s="13">
        <f t="shared" si="8"/>
        <v>113</v>
      </c>
      <c r="X29" s="13">
        <f t="shared" si="8"/>
        <v>114</v>
      </c>
      <c r="Y29" s="13">
        <f t="shared" si="8"/>
        <v>78</v>
      </c>
      <c r="Z29" s="13">
        <f t="shared" si="8"/>
        <v>98</v>
      </c>
      <c r="AA29" s="13">
        <f t="shared" si="8"/>
        <v>71</v>
      </c>
      <c r="AB29" s="13">
        <f t="shared" si="8"/>
        <v>108</v>
      </c>
      <c r="AC29" s="13">
        <f t="shared" si="8"/>
        <v>103</v>
      </c>
      <c r="AD29" s="13">
        <f t="shared" si="8"/>
        <v>111</v>
      </c>
      <c r="AE29" s="13">
        <f t="shared" si="8"/>
        <v>105</v>
      </c>
      <c r="AF29" s="13">
        <f t="shared" si="8"/>
        <v>82</v>
      </c>
      <c r="AG29" s="13">
        <f t="shared" si="8"/>
        <v>87</v>
      </c>
      <c r="AH29" s="13">
        <f t="shared" si="8"/>
        <v>111</v>
      </c>
      <c r="AI29" s="13">
        <f t="shared" si="8"/>
        <v>90</v>
      </c>
      <c r="AJ29" s="13">
        <f t="shared" si="8"/>
        <v>107</v>
      </c>
      <c r="AK29" s="13">
        <f t="shared" si="8"/>
        <v>110</v>
      </c>
      <c r="AL29" s="13">
        <f t="shared" si="8"/>
        <v>102</v>
      </c>
      <c r="AM29" s="13">
        <f t="shared" si="8"/>
        <v>103</v>
      </c>
      <c r="AN29" s="13">
        <f t="shared" si="8"/>
        <v>92</v>
      </c>
      <c r="AO29" s="13">
        <f t="shared" si="8"/>
        <v>92</v>
      </c>
      <c r="AP29" s="13">
        <f t="shared" si="8"/>
        <v>123</v>
      </c>
      <c r="AQ29" s="13">
        <f t="shared" si="8"/>
        <v>121</v>
      </c>
      <c r="AR29" s="13">
        <f t="shared" si="8"/>
        <v>114</v>
      </c>
      <c r="AS29" s="13">
        <f t="shared" si="8"/>
        <v>112</v>
      </c>
      <c r="AT29" s="13">
        <f t="shared" si="8"/>
        <v>125</v>
      </c>
      <c r="AU29" s="13">
        <f t="shared" si="8"/>
        <v>119</v>
      </c>
      <c r="AV29" s="13">
        <f t="shared" si="8"/>
        <v>115</v>
      </c>
      <c r="AW29" s="13">
        <f t="shared" si="8"/>
        <v>105</v>
      </c>
      <c r="AX29" s="13">
        <f t="shared" si="8"/>
        <v>102</v>
      </c>
      <c r="AY29" s="13">
        <f t="shared" si="8"/>
        <v>110</v>
      </c>
      <c r="AZ29" s="13">
        <f t="shared" si="3"/>
        <v>4969</v>
      </c>
    </row>
    <row r="30" ht="12.75" customHeight="1">
      <c r="A30" s="35"/>
      <c r="B30" s="28"/>
      <c r="C30" s="36"/>
      <c r="D30" s="13" t="s">
        <v>14</v>
      </c>
      <c r="E30" s="13">
        <f t="shared" ref="E30:AY30" si="9">SUM(E28:E29)</f>
        <v>220</v>
      </c>
      <c r="F30" s="13">
        <f t="shared" si="9"/>
        <v>234</v>
      </c>
      <c r="G30" s="13">
        <f t="shared" si="9"/>
        <v>205</v>
      </c>
      <c r="H30" s="13">
        <f t="shared" si="9"/>
        <v>205</v>
      </c>
      <c r="I30" s="13">
        <f t="shared" si="9"/>
        <v>220</v>
      </c>
      <c r="J30" s="13">
        <f t="shared" si="9"/>
        <v>221</v>
      </c>
      <c r="K30" s="13">
        <f t="shared" si="9"/>
        <v>122</v>
      </c>
      <c r="L30" s="13">
        <f t="shared" si="9"/>
        <v>225</v>
      </c>
      <c r="M30" s="13">
        <f t="shared" si="9"/>
        <v>198</v>
      </c>
      <c r="N30" s="13">
        <f t="shared" si="9"/>
        <v>225</v>
      </c>
      <c r="O30" s="13">
        <f t="shared" si="9"/>
        <v>241</v>
      </c>
      <c r="P30" s="13">
        <f t="shared" si="9"/>
        <v>200</v>
      </c>
      <c r="Q30" s="13">
        <f t="shared" si="9"/>
        <v>231</v>
      </c>
      <c r="R30" s="13">
        <f t="shared" si="9"/>
        <v>201</v>
      </c>
      <c r="S30" s="13">
        <f t="shared" si="9"/>
        <v>213</v>
      </c>
      <c r="T30" s="13">
        <f t="shared" si="9"/>
        <v>216</v>
      </c>
      <c r="U30" s="13">
        <f t="shared" si="9"/>
        <v>207</v>
      </c>
      <c r="V30" s="13">
        <f t="shared" si="9"/>
        <v>203</v>
      </c>
      <c r="W30" s="13">
        <f t="shared" si="9"/>
        <v>232</v>
      </c>
      <c r="X30" s="13">
        <f t="shared" si="9"/>
        <v>236</v>
      </c>
      <c r="Y30" s="13">
        <f t="shared" si="9"/>
        <v>164</v>
      </c>
      <c r="Z30" s="13">
        <f t="shared" si="9"/>
        <v>191</v>
      </c>
      <c r="AA30" s="13">
        <f t="shared" si="9"/>
        <v>158</v>
      </c>
      <c r="AB30" s="13">
        <f t="shared" si="9"/>
        <v>199</v>
      </c>
      <c r="AC30" s="13">
        <f t="shared" si="9"/>
        <v>212</v>
      </c>
      <c r="AD30" s="13">
        <f t="shared" si="9"/>
        <v>209</v>
      </c>
      <c r="AE30" s="13">
        <f t="shared" si="9"/>
        <v>198</v>
      </c>
      <c r="AF30" s="13">
        <f t="shared" si="9"/>
        <v>200</v>
      </c>
      <c r="AG30" s="13">
        <f t="shared" si="9"/>
        <v>177</v>
      </c>
      <c r="AH30" s="13">
        <f t="shared" si="9"/>
        <v>225</v>
      </c>
      <c r="AI30" s="13">
        <f t="shared" si="9"/>
        <v>180</v>
      </c>
      <c r="AJ30" s="13">
        <f t="shared" si="9"/>
        <v>217</v>
      </c>
      <c r="AK30" s="13">
        <f t="shared" si="9"/>
        <v>217</v>
      </c>
      <c r="AL30" s="13">
        <f t="shared" si="9"/>
        <v>217</v>
      </c>
      <c r="AM30" s="13">
        <f t="shared" si="9"/>
        <v>218</v>
      </c>
      <c r="AN30" s="13">
        <f t="shared" si="9"/>
        <v>195</v>
      </c>
      <c r="AO30" s="13">
        <f t="shared" si="9"/>
        <v>188</v>
      </c>
      <c r="AP30" s="13">
        <f t="shared" si="9"/>
        <v>247</v>
      </c>
      <c r="AQ30" s="13">
        <f t="shared" si="9"/>
        <v>239</v>
      </c>
      <c r="AR30" s="13">
        <f t="shared" si="9"/>
        <v>238</v>
      </c>
      <c r="AS30" s="13">
        <f t="shared" si="9"/>
        <v>213</v>
      </c>
      <c r="AT30" s="13">
        <f t="shared" si="9"/>
        <v>226</v>
      </c>
      <c r="AU30" s="13">
        <f t="shared" si="9"/>
        <v>222</v>
      </c>
      <c r="AV30" s="13">
        <f t="shared" si="9"/>
        <v>215</v>
      </c>
      <c r="AW30" s="13">
        <f t="shared" si="9"/>
        <v>200</v>
      </c>
      <c r="AX30" s="13">
        <f t="shared" si="9"/>
        <v>193</v>
      </c>
      <c r="AY30" s="13">
        <f t="shared" si="9"/>
        <v>213</v>
      </c>
      <c r="AZ30" s="13">
        <f t="shared" si="3"/>
        <v>9826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9"/>
      <c r="O31" s="19"/>
      <c r="P31" s="19"/>
      <c r="Q31" s="19"/>
      <c r="R31" s="19"/>
      <c r="S31" s="59"/>
      <c r="T31" s="19"/>
      <c r="U31" s="19"/>
      <c r="V31" s="19"/>
      <c r="W31" s="19"/>
      <c r="X31" s="59"/>
      <c r="Y31" s="19"/>
      <c r="Z31" s="19"/>
      <c r="AA31" s="19"/>
      <c r="AB31" s="19"/>
      <c r="AC31" s="59"/>
      <c r="AD31" s="19"/>
      <c r="AE31" s="19"/>
      <c r="AF31" s="19"/>
      <c r="AG31" s="19"/>
      <c r="AH31" s="59"/>
      <c r="AI31" s="19"/>
      <c r="AJ31" s="19"/>
      <c r="AK31" s="19"/>
      <c r="AL31" s="19"/>
      <c r="AM31" s="59"/>
      <c r="AN31" s="19"/>
      <c r="AO31" s="19"/>
      <c r="AP31" s="19"/>
      <c r="AQ31" s="19"/>
      <c r="AR31" s="59"/>
      <c r="AS31" s="19"/>
      <c r="AT31" s="19"/>
      <c r="AU31" s="19"/>
      <c r="AV31" s="19"/>
      <c r="AW31" s="59"/>
      <c r="AX31" s="19"/>
      <c r="AY31" s="19"/>
      <c r="AZ31" s="60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1"/>
      <c r="O32" s="13"/>
      <c r="P32" s="13"/>
      <c r="Q32" s="13"/>
      <c r="R32" s="13"/>
      <c r="S32" s="61"/>
      <c r="T32" s="13"/>
      <c r="U32" s="13"/>
      <c r="V32" s="13"/>
      <c r="W32" s="13"/>
      <c r="X32" s="61"/>
      <c r="Y32" s="13"/>
      <c r="Z32" s="13"/>
      <c r="AA32" s="13"/>
      <c r="AB32" s="13"/>
      <c r="AC32" s="61"/>
      <c r="AD32" s="13"/>
      <c r="AE32" s="13"/>
      <c r="AF32" s="13"/>
      <c r="AG32" s="13"/>
      <c r="AH32" s="61"/>
      <c r="AI32" s="13"/>
      <c r="AJ32" s="13"/>
      <c r="AK32" s="13"/>
      <c r="AL32" s="13"/>
      <c r="AM32" s="61"/>
      <c r="AN32" s="13"/>
      <c r="AO32" s="13"/>
      <c r="AP32" s="13"/>
      <c r="AQ32" s="13"/>
      <c r="AR32" s="61"/>
      <c r="AS32" s="13"/>
      <c r="AT32" s="13"/>
      <c r="AU32" s="13"/>
      <c r="AV32" s="13"/>
      <c r="AW32" s="61"/>
      <c r="AX32" s="13"/>
      <c r="AY32" s="13"/>
      <c r="AZ32" s="60"/>
    </row>
    <row r="33" ht="12.75" customHeight="1">
      <c r="A33" s="19">
        <v>1.0</v>
      </c>
      <c r="B33" s="20" t="s">
        <v>27</v>
      </c>
      <c r="C33" s="15"/>
      <c r="D33" s="16"/>
      <c r="E33" s="19">
        <v>285.0</v>
      </c>
      <c r="F33" s="19">
        <v>294.0</v>
      </c>
      <c r="G33" s="19">
        <v>277.0</v>
      </c>
      <c r="H33" s="19">
        <v>285.0</v>
      </c>
      <c r="I33" s="19">
        <v>305.0</v>
      </c>
      <c r="J33" s="19">
        <v>300.0</v>
      </c>
      <c r="K33" s="19">
        <v>170.0</v>
      </c>
      <c r="L33" s="19">
        <v>287.0</v>
      </c>
      <c r="M33" s="19">
        <v>285.0</v>
      </c>
      <c r="N33" s="19">
        <v>300.0</v>
      </c>
      <c r="O33" s="19">
        <v>295.0</v>
      </c>
      <c r="P33" s="19">
        <v>287.0</v>
      </c>
      <c r="Q33" s="19">
        <v>296.0</v>
      </c>
      <c r="R33" s="19">
        <v>272.0</v>
      </c>
      <c r="S33" s="19">
        <v>276.0</v>
      </c>
      <c r="T33" s="19">
        <v>300.0</v>
      </c>
      <c r="U33" s="19">
        <v>285.0</v>
      </c>
      <c r="V33" s="19">
        <v>264.0</v>
      </c>
      <c r="W33" s="19">
        <v>304.0</v>
      </c>
      <c r="X33" s="19">
        <v>301.0</v>
      </c>
      <c r="Y33" s="19">
        <v>229.0</v>
      </c>
      <c r="Z33" s="19">
        <v>227.0</v>
      </c>
      <c r="AA33" s="19">
        <v>203.0</v>
      </c>
      <c r="AB33" s="19">
        <v>263.0</v>
      </c>
      <c r="AC33" s="19">
        <v>299.0</v>
      </c>
      <c r="AD33" s="19">
        <v>282.0</v>
      </c>
      <c r="AE33" s="19">
        <v>249.0</v>
      </c>
      <c r="AF33" s="19">
        <v>245.0</v>
      </c>
      <c r="AG33" s="19">
        <v>250.0</v>
      </c>
      <c r="AH33" s="19">
        <v>285.0</v>
      </c>
      <c r="AI33" s="19">
        <v>228.0</v>
      </c>
      <c r="AJ33" s="19">
        <v>296.0</v>
      </c>
      <c r="AK33" s="19">
        <v>299.0</v>
      </c>
      <c r="AL33" s="19">
        <v>294.0</v>
      </c>
      <c r="AM33" s="19">
        <v>285.0</v>
      </c>
      <c r="AN33" s="19">
        <v>255.0</v>
      </c>
      <c r="AO33" s="19">
        <v>249.0</v>
      </c>
      <c r="AP33" s="19">
        <v>297.0</v>
      </c>
      <c r="AQ33" s="19">
        <v>302.0</v>
      </c>
      <c r="AR33" s="19">
        <v>294.0</v>
      </c>
      <c r="AS33" s="19">
        <v>284.0</v>
      </c>
      <c r="AT33" s="19">
        <v>298.0</v>
      </c>
      <c r="AU33" s="19">
        <v>291.0</v>
      </c>
      <c r="AV33" s="19">
        <v>300.0</v>
      </c>
      <c r="AW33" s="19">
        <v>298.0</v>
      </c>
      <c r="AX33" s="19">
        <v>296.0</v>
      </c>
      <c r="AY33" s="19">
        <v>276.0</v>
      </c>
      <c r="AZ33" s="13">
        <f t="shared" ref="AZ33:AZ36" si="10">SUM(E33:AY33)</f>
        <v>13042</v>
      </c>
    </row>
    <row r="34" ht="12.75" customHeight="1">
      <c r="A34" s="19">
        <v>2.0</v>
      </c>
      <c r="B34" s="20" t="s">
        <v>28</v>
      </c>
      <c r="C34" s="15"/>
      <c r="D34" s="16"/>
      <c r="E34" s="13">
        <v>220.0</v>
      </c>
      <c r="F34" s="13">
        <v>234.0</v>
      </c>
      <c r="G34" s="13">
        <v>205.0</v>
      </c>
      <c r="H34" s="13">
        <v>206.0</v>
      </c>
      <c r="I34" s="13">
        <v>220.0</v>
      </c>
      <c r="J34" s="13">
        <v>221.0</v>
      </c>
      <c r="K34" s="13">
        <v>122.0</v>
      </c>
      <c r="L34" s="13">
        <v>225.0</v>
      </c>
      <c r="M34" s="13">
        <v>198.0</v>
      </c>
      <c r="N34" s="13">
        <v>225.0</v>
      </c>
      <c r="O34" s="13">
        <v>241.0</v>
      </c>
      <c r="P34" s="13">
        <v>200.0</v>
      </c>
      <c r="Q34" s="13">
        <v>231.0</v>
      </c>
      <c r="R34" s="13">
        <v>201.0</v>
      </c>
      <c r="S34" s="13">
        <v>213.0</v>
      </c>
      <c r="T34" s="13">
        <v>216.0</v>
      </c>
      <c r="U34" s="13">
        <v>207.0</v>
      </c>
      <c r="V34" s="13">
        <v>203.0</v>
      </c>
      <c r="W34" s="13">
        <v>232.0</v>
      </c>
      <c r="X34" s="13">
        <v>236.0</v>
      </c>
      <c r="Y34" s="13">
        <v>164.0</v>
      </c>
      <c r="Z34" s="13">
        <v>191.0</v>
      </c>
      <c r="AA34" s="13">
        <v>158.0</v>
      </c>
      <c r="AB34" s="13">
        <v>199.0</v>
      </c>
      <c r="AC34" s="13">
        <v>212.0</v>
      </c>
      <c r="AD34" s="13">
        <v>209.0</v>
      </c>
      <c r="AE34" s="13">
        <v>198.0</v>
      </c>
      <c r="AF34" s="13">
        <v>200.0</v>
      </c>
      <c r="AG34" s="13">
        <v>177.0</v>
      </c>
      <c r="AH34" s="13">
        <v>225.0</v>
      </c>
      <c r="AI34" s="13">
        <v>180.0</v>
      </c>
      <c r="AJ34" s="13">
        <v>217.0</v>
      </c>
      <c r="AK34" s="13">
        <v>217.0</v>
      </c>
      <c r="AL34" s="13">
        <v>217.0</v>
      </c>
      <c r="AM34" s="13">
        <v>218.0</v>
      </c>
      <c r="AN34" s="13">
        <v>195.0</v>
      </c>
      <c r="AO34" s="13">
        <v>188.0</v>
      </c>
      <c r="AP34" s="13">
        <v>247.0</v>
      </c>
      <c r="AQ34" s="13">
        <v>239.0</v>
      </c>
      <c r="AR34" s="13">
        <v>238.0</v>
      </c>
      <c r="AS34" s="13">
        <v>213.0</v>
      </c>
      <c r="AT34" s="13">
        <v>226.0</v>
      </c>
      <c r="AU34" s="13">
        <v>222.0</v>
      </c>
      <c r="AV34" s="13">
        <v>215.0</v>
      </c>
      <c r="AW34" s="13">
        <v>200.0</v>
      </c>
      <c r="AX34" s="13">
        <v>193.0</v>
      </c>
      <c r="AY34" s="13">
        <v>213.0</v>
      </c>
      <c r="AZ34" s="13">
        <f t="shared" si="10"/>
        <v>9827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2.0</v>
      </c>
      <c r="W35" s="19">
        <v>0.0</v>
      </c>
      <c r="X35" s="19">
        <v>3.0</v>
      </c>
      <c r="Y35" s="19">
        <v>3.0</v>
      </c>
      <c r="Z35" s="19">
        <v>0.0</v>
      </c>
      <c r="AA35" s="19">
        <v>0.0</v>
      </c>
      <c r="AB35" s="19">
        <v>0.0</v>
      </c>
      <c r="AC35" s="19">
        <v>0.0</v>
      </c>
      <c r="AD35" s="19">
        <v>0.0</v>
      </c>
      <c r="AE35" s="19">
        <v>0.0</v>
      </c>
      <c r="AF35" s="19">
        <v>0.0</v>
      </c>
      <c r="AG35" s="19">
        <v>0.0</v>
      </c>
      <c r="AH35" s="19">
        <v>0.0</v>
      </c>
      <c r="AI35" s="19">
        <v>3.0</v>
      </c>
      <c r="AJ35" s="19">
        <v>0.0</v>
      </c>
      <c r="AK35" s="19">
        <v>0.0</v>
      </c>
      <c r="AL35" s="19">
        <v>0.0</v>
      </c>
      <c r="AM35" s="19">
        <v>0.0</v>
      </c>
      <c r="AN35" s="19">
        <v>0.0</v>
      </c>
      <c r="AO35" s="19">
        <v>2.0</v>
      </c>
      <c r="AP35" s="19">
        <v>0.0</v>
      </c>
      <c r="AQ35" s="19">
        <v>0.0</v>
      </c>
      <c r="AR35" s="19">
        <v>0.0</v>
      </c>
      <c r="AS35" s="19">
        <v>0.0</v>
      </c>
      <c r="AT35" s="19">
        <v>0.0</v>
      </c>
      <c r="AU35" s="19">
        <v>0.0</v>
      </c>
      <c r="AV35" s="19">
        <v>0.0</v>
      </c>
      <c r="AW35" s="19">
        <v>0.0</v>
      </c>
      <c r="AX35" s="19">
        <v>0.0</v>
      </c>
      <c r="AY35" s="19">
        <v>0.0</v>
      </c>
      <c r="AZ35" s="13">
        <f t="shared" si="10"/>
        <v>13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Y36" si="11">E33-(E34+E35)</f>
        <v>65</v>
      </c>
      <c r="F36" s="13">
        <f t="shared" si="11"/>
        <v>60</v>
      </c>
      <c r="G36" s="13">
        <f t="shared" si="11"/>
        <v>72</v>
      </c>
      <c r="H36" s="13">
        <f t="shared" si="11"/>
        <v>79</v>
      </c>
      <c r="I36" s="13">
        <f t="shared" si="11"/>
        <v>85</v>
      </c>
      <c r="J36" s="13">
        <f t="shared" si="11"/>
        <v>79</v>
      </c>
      <c r="K36" s="13">
        <f t="shared" si="11"/>
        <v>48</v>
      </c>
      <c r="L36" s="13">
        <f t="shared" si="11"/>
        <v>62</v>
      </c>
      <c r="M36" s="13">
        <f t="shared" si="11"/>
        <v>87</v>
      </c>
      <c r="N36" s="13">
        <f t="shared" si="11"/>
        <v>75</v>
      </c>
      <c r="O36" s="13">
        <f t="shared" si="11"/>
        <v>54</v>
      </c>
      <c r="P36" s="13">
        <f t="shared" si="11"/>
        <v>87</v>
      </c>
      <c r="Q36" s="13">
        <f t="shared" si="11"/>
        <v>65</v>
      </c>
      <c r="R36" s="13">
        <f t="shared" si="11"/>
        <v>71</v>
      </c>
      <c r="S36" s="13">
        <f t="shared" si="11"/>
        <v>63</v>
      </c>
      <c r="T36" s="13">
        <f t="shared" si="11"/>
        <v>84</v>
      </c>
      <c r="U36" s="13">
        <f t="shared" si="11"/>
        <v>78</v>
      </c>
      <c r="V36" s="13">
        <f t="shared" si="11"/>
        <v>59</v>
      </c>
      <c r="W36" s="13">
        <f t="shared" si="11"/>
        <v>72</v>
      </c>
      <c r="X36" s="13">
        <f t="shared" si="11"/>
        <v>62</v>
      </c>
      <c r="Y36" s="13">
        <f t="shared" si="11"/>
        <v>62</v>
      </c>
      <c r="Z36" s="13">
        <f t="shared" si="11"/>
        <v>36</v>
      </c>
      <c r="AA36" s="13">
        <f t="shared" si="11"/>
        <v>45</v>
      </c>
      <c r="AB36" s="13">
        <f t="shared" si="11"/>
        <v>64</v>
      </c>
      <c r="AC36" s="13">
        <f t="shared" si="11"/>
        <v>87</v>
      </c>
      <c r="AD36" s="13">
        <f t="shared" si="11"/>
        <v>73</v>
      </c>
      <c r="AE36" s="13">
        <f t="shared" si="11"/>
        <v>51</v>
      </c>
      <c r="AF36" s="13">
        <f t="shared" si="11"/>
        <v>45</v>
      </c>
      <c r="AG36" s="13">
        <f t="shared" si="11"/>
        <v>73</v>
      </c>
      <c r="AH36" s="13">
        <f t="shared" si="11"/>
        <v>60</v>
      </c>
      <c r="AI36" s="13">
        <f t="shared" si="11"/>
        <v>45</v>
      </c>
      <c r="AJ36" s="13">
        <f t="shared" si="11"/>
        <v>79</v>
      </c>
      <c r="AK36" s="13">
        <f t="shared" si="11"/>
        <v>82</v>
      </c>
      <c r="AL36" s="13">
        <f t="shared" si="11"/>
        <v>77</v>
      </c>
      <c r="AM36" s="13">
        <f t="shared" si="11"/>
        <v>67</v>
      </c>
      <c r="AN36" s="13">
        <f t="shared" si="11"/>
        <v>60</v>
      </c>
      <c r="AO36" s="13">
        <f t="shared" si="11"/>
        <v>59</v>
      </c>
      <c r="AP36" s="13">
        <f t="shared" si="11"/>
        <v>50</v>
      </c>
      <c r="AQ36" s="13">
        <f t="shared" si="11"/>
        <v>63</v>
      </c>
      <c r="AR36" s="13">
        <f t="shared" si="11"/>
        <v>56</v>
      </c>
      <c r="AS36" s="13">
        <f t="shared" si="11"/>
        <v>71</v>
      </c>
      <c r="AT36" s="13">
        <f t="shared" si="11"/>
        <v>72</v>
      </c>
      <c r="AU36" s="13">
        <f t="shared" si="11"/>
        <v>69</v>
      </c>
      <c r="AV36" s="13">
        <f t="shared" si="11"/>
        <v>85</v>
      </c>
      <c r="AW36" s="13">
        <f t="shared" si="11"/>
        <v>98</v>
      </c>
      <c r="AX36" s="13">
        <f t="shared" si="11"/>
        <v>103</v>
      </c>
      <c r="AY36" s="13">
        <f t="shared" si="11"/>
        <v>63</v>
      </c>
      <c r="AZ36" s="13">
        <f t="shared" si="10"/>
        <v>3202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9"/>
      <c r="O37" s="19"/>
      <c r="P37" s="19"/>
      <c r="Q37" s="19"/>
      <c r="R37" s="19"/>
      <c r="S37" s="59"/>
      <c r="T37" s="19"/>
      <c r="U37" s="19"/>
      <c r="V37" s="19"/>
      <c r="W37" s="19"/>
      <c r="X37" s="59"/>
      <c r="Y37" s="19"/>
      <c r="Z37" s="19"/>
      <c r="AA37" s="19"/>
      <c r="AB37" s="19"/>
      <c r="AC37" s="59"/>
      <c r="AD37" s="19"/>
      <c r="AE37" s="19"/>
      <c r="AF37" s="19"/>
      <c r="AG37" s="19"/>
      <c r="AH37" s="59"/>
      <c r="AI37" s="19"/>
      <c r="AJ37" s="19"/>
      <c r="AK37" s="19"/>
      <c r="AL37" s="19"/>
      <c r="AM37" s="59"/>
      <c r="AN37" s="19"/>
      <c r="AO37" s="19"/>
      <c r="AP37" s="19"/>
      <c r="AQ37" s="19"/>
      <c r="AR37" s="59"/>
      <c r="AS37" s="19"/>
      <c r="AT37" s="19"/>
      <c r="AU37" s="19"/>
      <c r="AV37" s="19"/>
      <c r="AW37" s="59"/>
      <c r="AX37" s="19"/>
      <c r="AY37" s="19"/>
      <c r="AZ37" s="60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1"/>
      <c r="O38" s="13"/>
      <c r="P38" s="13"/>
      <c r="Q38" s="13"/>
      <c r="R38" s="13"/>
      <c r="S38" s="61"/>
      <c r="T38" s="13"/>
      <c r="U38" s="13"/>
      <c r="V38" s="13"/>
      <c r="W38" s="13"/>
      <c r="X38" s="61"/>
      <c r="Y38" s="13"/>
      <c r="Z38" s="13"/>
      <c r="AA38" s="13"/>
      <c r="AB38" s="13"/>
      <c r="AC38" s="61"/>
      <c r="AD38" s="13"/>
      <c r="AE38" s="13"/>
      <c r="AF38" s="13"/>
      <c r="AG38" s="13"/>
      <c r="AH38" s="61"/>
      <c r="AI38" s="13"/>
      <c r="AJ38" s="13"/>
      <c r="AK38" s="13"/>
      <c r="AL38" s="13"/>
      <c r="AM38" s="61"/>
      <c r="AN38" s="13"/>
      <c r="AO38" s="13"/>
      <c r="AP38" s="13"/>
      <c r="AQ38" s="13"/>
      <c r="AR38" s="61"/>
      <c r="AS38" s="13"/>
      <c r="AT38" s="13"/>
      <c r="AU38" s="13"/>
      <c r="AV38" s="13"/>
      <c r="AW38" s="61"/>
      <c r="AX38" s="13"/>
      <c r="AY38" s="13"/>
      <c r="AZ38" s="60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1.0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1.0</v>
      </c>
      <c r="V39" s="19">
        <v>1.0</v>
      </c>
      <c r="W39" s="19">
        <v>0.0</v>
      </c>
      <c r="X39" s="19">
        <v>0.0</v>
      </c>
      <c r="Y39" s="19">
        <v>0.0</v>
      </c>
      <c r="Z39" s="19">
        <v>2.0</v>
      </c>
      <c r="AA39" s="19">
        <v>0.0</v>
      </c>
      <c r="AB39" s="19">
        <v>1.0</v>
      </c>
      <c r="AC39" s="19">
        <v>0.0</v>
      </c>
      <c r="AD39" s="19">
        <v>0.0</v>
      </c>
      <c r="AE39" s="19">
        <v>0.0</v>
      </c>
      <c r="AF39" s="19">
        <v>0.0</v>
      </c>
      <c r="AG39" s="19">
        <v>0.0</v>
      </c>
      <c r="AH39" s="19">
        <v>0.0</v>
      </c>
      <c r="AI39" s="19">
        <v>0.0</v>
      </c>
      <c r="AJ39" s="19">
        <v>0.0</v>
      </c>
      <c r="AK39" s="19">
        <v>0.0</v>
      </c>
      <c r="AL39" s="19">
        <v>0.0</v>
      </c>
      <c r="AM39" s="19">
        <v>0.0</v>
      </c>
      <c r="AN39" s="19">
        <v>0.0</v>
      </c>
      <c r="AO39" s="19">
        <v>0.0</v>
      </c>
      <c r="AP39" s="19">
        <v>0.0</v>
      </c>
      <c r="AQ39" s="19">
        <v>1.0</v>
      </c>
      <c r="AR39" s="19">
        <v>0.0</v>
      </c>
      <c r="AS39" s="19">
        <v>1.0</v>
      </c>
      <c r="AT39" s="19">
        <v>0.0</v>
      </c>
      <c r="AU39" s="19">
        <v>0.0</v>
      </c>
      <c r="AV39" s="19">
        <v>0.0</v>
      </c>
      <c r="AW39" s="19">
        <v>0.0</v>
      </c>
      <c r="AX39" s="19">
        <v>0.0</v>
      </c>
      <c r="AY39" s="19">
        <v>0.0</v>
      </c>
      <c r="AZ39" s="13">
        <f t="shared" ref="AZ39:AZ41" si="12">SUM(E39:AY39)</f>
        <v>8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1.0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1.0</v>
      </c>
      <c r="AA40" s="19">
        <v>0.0</v>
      </c>
      <c r="AB40" s="19">
        <v>1.0</v>
      </c>
      <c r="AC40" s="19">
        <v>0.0</v>
      </c>
      <c r="AD40" s="19">
        <v>0.0</v>
      </c>
      <c r="AE40" s="19">
        <v>0.0</v>
      </c>
      <c r="AF40" s="19">
        <v>0.0</v>
      </c>
      <c r="AG40" s="19">
        <v>0.0</v>
      </c>
      <c r="AH40" s="19">
        <v>0.0</v>
      </c>
      <c r="AI40" s="19">
        <v>0.0</v>
      </c>
      <c r="AJ40" s="19">
        <v>0.0</v>
      </c>
      <c r="AK40" s="19">
        <v>0.0</v>
      </c>
      <c r="AL40" s="19">
        <v>0.0</v>
      </c>
      <c r="AM40" s="19">
        <v>0.0</v>
      </c>
      <c r="AN40" s="19">
        <v>0.0</v>
      </c>
      <c r="AO40" s="19">
        <v>0.0</v>
      </c>
      <c r="AP40" s="19">
        <v>0.0</v>
      </c>
      <c r="AQ40" s="19">
        <v>0.0</v>
      </c>
      <c r="AR40" s="19">
        <v>0.0</v>
      </c>
      <c r="AS40" s="19">
        <v>0.0</v>
      </c>
      <c r="AT40" s="19">
        <v>0.0</v>
      </c>
      <c r="AU40" s="19">
        <v>0.0</v>
      </c>
      <c r="AV40" s="19">
        <v>0.0</v>
      </c>
      <c r="AW40" s="19">
        <v>0.0</v>
      </c>
      <c r="AX40" s="19">
        <v>0.0</v>
      </c>
      <c r="AY40" s="19">
        <v>0.0</v>
      </c>
      <c r="AZ40" s="13">
        <f t="shared" si="12"/>
        <v>3</v>
      </c>
    </row>
    <row r="41" ht="12.75" customHeight="1">
      <c r="A41" s="41"/>
      <c r="B41" s="44"/>
      <c r="C41" s="28"/>
      <c r="D41" s="13" t="s">
        <v>14</v>
      </c>
      <c r="E41" s="13">
        <f t="shared" ref="E41:AY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1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1</v>
      </c>
      <c r="T41" s="13">
        <f t="shared" si="13"/>
        <v>0</v>
      </c>
      <c r="U41" s="13">
        <f t="shared" si="13"/>
        <v>1</v>
      </c>
      <c r="V41" s="13">
        <f t="shared" si="13"/>
        <v>1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3</v>
      </c>
      <c r="AA41" s="13">
        <f t="shared" si="13"/>
        <v>0</v>
      </c>
      <c r="AB41" s="13">
        <f t="shared" si="13"/>
        <v>2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3"/>
        <v>0</v>
      </c>
      <c r="AL41" s="13">
        <f t="shared" si="13"/>
        <v>0</v>
      </c>
      <c r="AM41" s="13">
        <f t="shared" si="13"/>
        <v>0</v>
      </c>
      <c r="AN41" s="13">
        <f t="shared" si="13"/>
        <v>0</v>
      </c>
      <c r="AO41" s="13">
        <f t="shared" si="13"/>
        <v>0</v>
      </c>
      <c r="AP41" s="13">
        <f t="shared" si="13"/>
        <v>0</v>
      </c>
      <c r="AQ41" s="13">
        <f t="shared" si="13"/>
        <v>1</v>
      </c>
      <c r="AR41" s="13">
        <f t="shared" si="13"/>
        <v>0</v>
      </c>
      <c r="AS41" s="13">
        <f t="shared" si="13"/>
        <v>1</v>
      </c>
      <c r="AT41" s="13">
        <f t="shared" si="13"/>
        <v>0</v>
      </c>
      <c r="AU41" s="13">
        <f t="shared" si="13"/>
        <v>0</v>
      </c>
      <c r="AV41" s="13">
        <f t="shared" si="13"/>
        <v>0</v>
      </c>
      <c r="AW41" s="13">
        <f t="shared" si="13"/>
        <v>0</v>
      </c>
      <c r="AX41" s="13">
        <f t="shared" si="13"/>
        <v>0</v>
      </c>
      <c r="AY41" s="13">
        <f t="shared" si="13"/>
        <v>0</v>
      </c>
      <c r="AZ41" s="13">
        <f t="shared" si="12"/>
        <v>11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9"/>
      <c r="O42" s="19"/>
      <c r="P42" s="19"/>
      <c r="Q42" s="19"/>
      <c r="R42" s="19"/>
      <c r="S42" s="59"/>
      <c r="T42" s="19"/>
      <c r="U42" s="19"/>
      <c r="V42" s="19"/>
      <c r="W42" s="19"/>
      <c r="X42" s="59"/>
      <c r="Y42" s="19"/>
      <c r="Z42" s="19"/>
      <c r="AA42" s="19"/>
      <c r="AB42" s="19"/>
      <c r="AC42" s="59"/>
      <c r="AD42" s="19"/>
      <c r="AE42" s="19"/>
      <c r="AF42" s="19"/>
      <c r="AG42" s="19"/>
      <c r="AH42" s="59"/>
      <c r="AI42" s="19"/>
      <c r="AJ42" s="19"/>
      <c r="AK42" s="19"/>
      <c r="AL42" s="19"/>
      <c r="AM42" s="59"/>
      <c r="AN42" s="19"/>
      <c r="AO42" s="19"/>
      <c r="AP42" s="19"/>
      <c r="AQ42" s="19"/>
      <c r="AR42" s="59"/>
      <c r="AS42" s="19"/>
      <c r="AT42" s="19"/>
      <c r="AU42" s="19"/>
      <c r="AV42" s="19"/>
      <c r="AW42" s="59"/>
      <c r="AX42" s="19"/>
      <c r="AY42" s="19"/>
      <c r="AZ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1"/>
      <c r="O43" s="13"/>
      <c r="P43" s="13"/>
      <c r="Q43" s="13"/>
      <c r="R43" s="13"/>
      <c r="S43" s="61"/>
      <c r="T43" s="13"/>
      <c r="U43" s="13"/>
      <c r="V43" s="13"/>
      <c r="W43" s="13"/>
      <c r="X43" s="61"/>
      <c r="Y43" s="13"/>
      <c r="Z43" s="13"/>
      <c r="AA43" s="13"/>
      <c r="AB43" s="13"/>
      <c r="AC43" s="61"/>
      <c r="AD43" s="13"/>
      <c r="AE43" s="13"/>
      <c r="AF43" s="13"/>
      <c r="AG43" s="13"/>
      <c r="AH43" s="61"/>
      <c r="AI43" s="13"/>
      <c r="AJ43" s="13"/>
      <c r="AK43" s="13"/>
      <c r="AL43" s="13"/>
      <c r="AM43" s="61"/>
      <c r="AN43" s="13"/>
      <c r="AO43" s="13"/>
      <c r="AP43" s="13"/>
      <c r="AQ43" s="13"/>
      <c r="AR43" s="61"/>
      <c r="AS43" s="13"/>
      <c r="AT43" s="13"/>
      <c r="AU43" s="13"/>
      <c r="AV43" s="13"/>
      <c r="AW43" s="61"/>
      <c r="AX43" s="13"/>
      <c r="AY43" s="13"/>
      <c r="AZ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9"/>
      <c r="O44" s="19"/>
      <c r="P44" s="19"/>
      <c r="Q44" s="19"/>
      <c r="R44" s="19"/>
      <c r="S44" s="59"/>
      <c r="T44" s="19"/>
      <c r="U44" s="19"/>
      <c r="V44" s="19"/>
      <c r="W44" s="19"/>
      <c r="X44" s="59"/>
      <c r="Y44" s="19"/>
      <c r="Z44" s="19"/>
      <c r="AA44" s="19"/>
      <c r="AB44" s="19"/>
      <c r="AC44" s="59"/>
      <c r="AD44" s="19"/>
      <c r="AE44" s="19"/>
      <c r="AF44" s="19"/>
      <c r="AG44" s="19"/>
      <c r="AH44" s="59"/>
      <c r="AI44" s="19"/>
      <c r="AJ44" s="19"/>
      <c r="AK44" s="19"/>
      <c r="AL44" s="19"/>
      <c r="AM44" s="59"/>
      <c r="AN44" s="19"/>
      <c r="AO44" s="19"/>
      <c r="AP44" s="19"/>
      <c r="AQ44" s="19"/>
      <c r="AR44" s="59"/>
      <c r="AS44" s="19"/>
      <c r="AT44" s="19"/>
      <c r="AU44" s="19"/>
      <c r="AV44" s="19"/>
      <c r="AW44" s="59"/>
      <c r="AX44" s="19"/>
      <c r="AY44" s="19"/>
      <c r="AZ44" s="13"/>
    </row>
    <row r="45" ht="12.75" customHeight="1">
      <c r="A45" s="62"/>
      <c r="B45" s="47">
        <v>1.0</v>
      </c>
      <c r="C45" s="48" t="s">
        <v>37</v>
      </c>
      <c r="D45" s="16"/>
      <c r="E45" s="19">
        <v>14.0</v>
      </c>
      <c r="F45" s="19">
        <v>24.0</v>
      </c>
      <c r="G45" s="19">
        <v>29.0</v>
      </c>
      <c r="H45" s="19">
        <v>29.0</v>
      </c>
      <c r="I45" s="19">
        <v>13.0</v>
      </c>
      <c r="J45" s="19">
        <v>35.0</v>
      </c>
      <c r="K45" s="19">
        <v>19.0</v>
      </c>
      <c r="L45" s="19">
        <v>20.0</v>
      </c>
      <c r="M45" s="19">
        <v>14.0</v>
      </c>
      <c r="N45" s="19">
        <v>16.0</v>
      </c>
      <c r="O45" s="19">
        <v>22.0</v>
      </c>
      <c r="P45" s="19">
        <v>17.0</v>
      </c>
      <c r="Q45" s="19">
        <v>5.0</v>
      </c>
      <c r="R45" s="19">
        <v>18.0</v>
      </c>
      <c r="S45" s="19">
        <v>20.0</v>
      </c>
      <c r="T45" s="19">
        <v>17.0</v>
      </c>
      <c r="U45" s="19">
        <v>30.0</v>
      </c>
      <c r="V45" s="19">
        <v>9.0</v>
      </c>
      <c r="W45" s="19">
        <v>10.0</v>
      </c>
      <c r="X45" s="19">
        <v>12.0</v>
      </c>
      <c r="Y45" s="19">
        <v>4.0</v>
      </c>
      <c r="Z45" s="19">
        <v>8.0</v>
      </c>
      <c r="AA45" s="19">
        <v>2.0</v>
      </c>
      <c r="AB45" s="19">
        <v>3.0</v>
      </c>
      <c r="AC45" s="19">
        <v>11.0</v>
      </c>
      <c r="AD45" s="19">
        <v>14.0</v>
      </c>
      <c r="AE45" s="19">
        <v>8.0</v>
      </c>
      <c r="AF45" s="19">
        <v>2.0</v>
      </c>
      <c r="AG45" s="19">
        <v>6.0</v>
      </c>
      <c r="AH45" s="19">
        <v>3.0</v>
      </c>
      <c r="AI45" s="19">
        <v>4.0</v>
      </c>
      <c r="AJ45" s="19">
        <v>16.0</v>
      </c>
      <c r="AK45" s="19">
        <v>13.0</v>
      </c>
      <c r="AL45" s="19">
        <v>14.0</v>
      </c>
      <c r="AM45" s="19">
        <v>6.0</v>
      </c>
      <c r="AN45" s="19">
        <v>1.0</v>
      </c>
      <c r="AO45" s="19">
        <v>5.0</v>
      </c>
      <c r="AP45" s="19">
        <v>26.0</v>
      </c>
      <c r="AQ45" s="19">
        <v>22.0</v>
      </c>
      <c r="AR45" s="19">
        <v>23.0</v>
      </c>
      <c r="AS45" s="19">
        <v>15.0</v>
      </c>
      <c r="AT45" s="19">
        <v>16.0</v>
      </c>
      <c r="AU45" s="19">
        <v>12.0</v>
      </c>
      <c r="AV45" s="19">
        <v>18.0</v>
      </c>
      <c r="AW45" s="19">
        <v>6.0</v>
      </c>
      <c r="AX45" s="19">
        <v>18.0</v>
      </c>
      <c r="AY45" s="19">
        <v>25.0</v>
      </c>
      <c r="AZ45" s="13">
        <f t="shared" ref="AZ45:AZ47" si="14">SUM(E45:AY45)</f>
        <v>674</v>
      </c>
    </row>
    <row r="46" ht="12.75" customHeight="1">
      <c r="A46" s="18"/>
      <c r="B46" s="47">
        <v>2.0</v>
      </c>
      <c r="C46" s="48" t="s">
        <v>38</v>
      </c>
      <c r="D46" s="16"/>
      <c r="E46" s="19">
        <v>166.0</v>
      </c>
      <c r="F46" s="19">
        <v>172.0</v>
      </c>
      <c r="G46" s="19">
        <v>132.0</v>
      </c>
      <c r="H46" s="19">
        <v>138.0</v>
      </c>
      <c r="I46" s="19">
        <v>132.0</v>
      </c>
      <c r="J46" s="19">
        <v>132.0</v>
      </c>
      <c r="K46" s="19">
        <v>67.0</v>
      </c>
      <c r="L46" s="19">
        <v>147.0</v>
      </c>
      <c r="M46" s="19">
        <v>120.0</v>
      </c>
      <c r="N46" s="19">
        <v>149.0</v>
      </c>
      <c r="O46" s="19">
        <v>137.0</v>
      </c>
      <c r="P46" s="19">
        <v>131.0</v>
      </c>
      <c r="Q46" s="19">
        <v>167.0</v>
      </c>
      <c r="R46" s="19">
        <v>134.0</v>
      </c>
      <c r="S46" s="19">
        <v>134.0</v>
      </c>
      <c r="T46" s="19">
        <v>122.0</v>
      </c>
      <c r="U46" s="19">
        <v>122.0</v>
      </c>
      <c r="V46" s="19">
        <v>138.0</v>
      </c>
      <c r="W46" s="19">
        <v>152.0</v>
      </c>
      <c r="X46" s="19">
        <v>133.0</v>
      </c>
      <c r="Y46" s="19">
        <v>109.0</v>
      </c>
      <c r="Z46" s="19">
        <v>125.0</v>
      </c>
      <c r="AA46" s="19">
        <v>89.0</v>
      </c>
      <c r="AB46" s="19">
        <v>119.0</v>
      </c>
      <c r="AC46" s="19">
        <v>136.0</v>
      </c>
      <c r="AD46" s="19">
        <v>152.0</v>
      </c>
      <c r="AE46" s="19">
        <v>134.0</v>
      </c>
      <c r="AF46" s="19">
        <v>153.0</v>
      </c>
      <c r="AG46" s="19">
        <v>124.0</v>
      </c>
      <c r="AH46" s="19">
        <v>167.0</v>
      </c>
      <c r="AI46" s="19">
        <v>138.0</v>
      </c>
      <c r="AJ46" s="19">
        <v>135.0</v>
      </c>
      <c r="AK46" s="19">
        <v>166.0</v>
      </c>
      <c r="AL46" s="19">
        <v>159.0</v>
      </c>
      <c r="AM46" s="19">
        <v>133.0</v>
      </c>
      <c r="AN46" s="19">
        <v>120.0</v>
      </c>
      <c r="AO46" s="19">
        <v>138.0</v>
      </c>
      <c r="AP46" s="19">
        <v>189.0</v>
      </c>
      <c r="AQ46" s="19">
        <v>158.0</v>
      </c>
      <c r="AR46" s="19">
        <v>130.0</v>
      </c>
      <c r="AS46" s="19">
        <v>135.0</v>
      </c>
      <c r="AT46" s="19">
        <v>152.0</v>
      </c>
      <c r="AU46" s="19">
        <v>161.0</v>
      </c>
      <c r="AV46" s="19">
        <v>129.0</v>
      </c>
      <c r="AW46" s="19">
        <v>144.0</v>
      </c>
      <c r="AX46" s="19">
        <v>110.0</v>
      </c>
      <c r="AY46" s="19">
        <v>120.0</v>
      </c>
      <c r="AZ46" s="13">
        <f t="shared" si="14"/>
        <v>6450</v>
      </c>
    </row>
    <row r="47" ht="12.75" customHeight="1">
      <c r="A47" s="45"/>
      <c r="B47" s="47">
        <v>3.0</v>
      </c>
      <c r="C47" s="48" t="s">
        <v>39</v>
      </c>
      <c r="D47" s="16"/>
      <c r="E47" s="19">
        <v>38.0</v>
      </c>
      <c r="F47" s="19">
        <v>33.0</v>
      </c>
      <c r="G47" s="19">
        <v>43.0</v>
      </c>
      <c r="H47" s="19">
        <v>38.0</v>
      </c>
      <c r="I47" s="19">
        <v>74.0</v>
      </c>
      <c r="J47" s="19">
        <v>49.0</v>
      </c>
      <c r="K47" s="19">
        <v>34.0</v>
      </c>
      <c r="L47" s="19">
        <v>55.0</v>
      </c>
      <c r="M47" s="19">
        <v>63.0</v>
      </c>
      <c r="N47" s="19">
        <v>57.0</v>
      </c>
      <c r="O47" s="19">
        <v>77.0</v>
      </c>
      <c r="P47" s="19">
        <v>48.0</v>
      </c>
      <c r="Q47" s="19">
        <v>53.0</v>
      </c>
      <c r="R47" s="19">
        <v>46.0</v>
      </c>
      <c r="S47" s="19">
        <v>58.0</v>
      </c>
      <c r="T47" s="19">
        <v>74.0</v>
      </c>
      <c r="U47" s="19">
        <v>51.0</v>
      </c>
      <c r="V47" s="19">
        <v>56.0</v>
      </c>
      <c r="W47" s="19">
        <v>63.0</v>
      </c>
      <c r="X47" s="19">
        <v>90.0</v>
      </c>
      <c r="Y47" s="19">
        <v>47.0</v>
      </c>
      <c r="Z47" s="19">
        <v>53.0</v>
      </c>
      <c r="AA47" s="19">
        <v>61.0</v>
      </c>
      <c r="AB47" s="19">
        <v>74.0</v>
      </c>
      <c r="AC47" s="19">
        <v>65.0</v>
      </c>
      <c r="AD47" s="19">
        <v>36.0</v>
      </c>
      <c r="AE47" s="19">
        <v>54.0</v>
      </c>
      <c r="AF47" s="19">
        <v>45.0</v>
      </c>
      <c r="AG47" s="19">
        <v>44.0</v>
      </c>
      <c r="AH47" s="19">
        <v>53.0</v>
      </c>
      <c r="AI47" s="19">
        <v>36.0</v>
      </c>
      <c r="AJ47" s="19">
        <v>60.0</v>
      </c>
      <c r="AK47" s="19">
        <v>33.0</v>
      </c>
      <c r="AL47" s="19">
        <v>41.0</v>
      </c>
      <c r="AM47" s="19">
        <v>77.0</v>
      </c>
      <c r="AN47" s="19">
        <v>74.0</v>
      </c>
      <c r="AO47" s="19">
        <v>40.0</v>
      </c>
      <c r="AP47" s="19">
        <v>29.0</v>
      </c>
      <c r="AQ47" s="19">
        <v>56.0</v>
      </c>
      <c r="AR47" s="19">
        <v>79.0</v>
      </c>
      <c r="AS47" s="19">
        <v>58.0</v>
      </c>
      <c r="AT47" s="19">
        <v>56.0</v>
      </c>
      <c r="AU47" s="19">
        <v>44.0</v>
      </c>
      <c r="AV47" s="19">
        <v>64.0</v>
      </c>
      <c r="AW47" s="19">
        <v>48.0</v>
      </c>
      <c r="AX47" s="19">
        <v>59.0</v>
      </c>
      <c r="AY47" s="19">
        <v>65.0</v>
      </c>
      <c r="AZ47" s="13">
        <f t="shared" si="14"/>
        <v>2551</v>
      </c>
    </row>
    <row r="48" ht="12.75" customHeight="1">
      <c r="AZ48" s="13"/>
    </row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</row>
    <row r="50" ht="12.75" customHeight="1">
      <c r="A50" s="42"/>
      <c r="B50" s="54" t="s">
        <v>42</v>
      </c>
      <c r="C50" s="55" t="s">
        <v>43</v>
      </c>
      <c r="D50" s="16"/>
      <c r="E50" s="19">
        <f t="shared" ref="E50:F50" si="15">sum(E45:E47)</f>
        <v>218</v>
      </c>
      <c r="F50" s="19">
        <f t="shared" si="15"/>
        <v>229</v>
      </c>
      <c r="G50" s="19">
        <f t="shared" ref="G50:AY50" si="16">SUM(G45:G47)</f>
        <v>204</v>
      </c>
      <c r="H50" s="19">
        <f t="shared" si="16"/>
        <v>205</v>
      </c>
      <c r="I50" s="19">
        <f t="shared" si="16"/>
        <v>219</v>
      </c>
      <c r="J50" s="19">
        <f t="shared" si="16"/>
        <v>216</v>
      </c>
      <c r="K50" s="19">
        <f t="shared" si="16"/>
        <v>120</v>
      </c>
      <c r="L50" s="19">
        <f t="shared" si="16"/>
        <v>222</v>
      </c>
      <c r="M50" s="19">
        <f t="shared" si="16"/>
        <v>197</v>
      </c>
      <c r="N50" s="19">
        <f t="shared" si="16"/>
        <v>222</v>
      </c>
      <c r="O50" s="19">
        <f t="shared" si="16"/>
        <v>236</v>
      </c>
      <c r="P50" s="19">
        <f t="shared" si="16"/>
        <v>196</v>
      </c>
      <c r="Q50" s="19">
        <f t="shared" si="16"/>
        <v>225</v>
      </c>
      <c r="R50" s="19">
        <f t="shared" si="16"/>
        <v>198</v>
      </c>
      <c r="S50" s="19">
        <f t="shared" si="16"/>
        <v>212</v>
      </c>
      <c r="T50" s="19">
        <f t="shared" si="16"/>
        <v>213</v>
      </c>
      <c r="U50" s="19">
        <f t="shared" si="16"/>
        <v>203</v>
      </c>
      <c r="V50" s="19">
        <f t="shared" si="16"/>
        <v>203</v>
      </c>
      <c r="W50" s="19">
        <f t="shared" si="16"/>
        <v>225</v>
      </c>
      <c r="X50" s="19">
        <f t="shared" si="16"/>
        <v>235</v>
      </c>
      <c r="Y50" s="19">
        <f t="shared" si="16"/>
        <v>160</v>
      </c>
      <c r="Z50" s="19">
        <f t="shared" si="16"/>
        <v>186</v>
      </c>
      <c r="AA50" s="19">
        <f t="shared" si="16"/>
        <v>152</v>
      </c>
      <c r="AB50" s="19">
        <f t="shared" si="16"/>
        <v>196</v>
      </c>
      <c r="AC50" s="19">
        <f t="shared" si="16"/>
        <v>212</v>
      </c>
      <c r="AD50" s="19">
        <f t="shared" si="16"/>
        <v>202</v>
      </c>
      <c r="AE50" s="19">
        <f t="shared" si="16"/>
        <v>196</v>
      </c>
      <c r="AF50" s="19">
        <f t="shared" si="16"/>
        <v>200</v>
      </c>
      <c r="AG50" s="19">
        <f t="shared" si="16"/>
        <v>174</v>
      </c>
      <c r="AH50" s="19">
        <f t="shared" si="16"/>
        <v>223</v>
      </c>
      <c r="AI50" s="19">
        <f t="shared" si="16"/>
        <v>178</v>
      </c>
      <c r="AJ50" s="19">
        <f t="shared" si="16"/>
        <v>211</v>
      </c>
      <c r="AK50" s="19">
        <f t="shared" si="16"/>
        <v>212</v>
      </c>
      <c r="AL50" s="19">
        <f t="shared" si="16"/>
        <v>214</v>
      </c>
      <c r="AM50" s="19">
        <f t="shared" si="16"/>
        <v>216</v>
      </c>
      <c r="AN50" s="19">
        <f t="shared" si="16"/>
        <v>195</v>
      </c>
      <c r="AO50" s="19">
        <f t="shared" si="16"/>
        <v>183</v>
      </c>
      <c r="AP50" s="19">
        <f t="shared" si="16"/>
        <v>244</v>
      </c>
      <c r="AQ50" s="19">
        <f t="shared" si="16"/>
        <v>236</v>
      </c>
      <c r="AR50" s="19">
        <f t="shared" si="16"/>
        <v>232</v>
      </c>
      <c r="AS50" s="19">
        <f t="shared" si="16"/>
        <v>208</v>
      </c>
      <c r="AT50" s="19">
        <f t="shared" si="16"/>
        <v>224</v>
      </c>
      <c r="AU50" s="19">
        <f t="shared" si="16"/>
        <v>217</v>
      </c>
      <c r="AV50" s="19">
        <f t="shared" si="16"/>
        <v>211</v>
      </c>
      <c r="AW50" s="19">
        <f t="shared" si="16"/>
        <v>198</v>
      </c>
      <c r="AX50" s="19">
        <f t="shared" si="16"/>
        <v>187</v>
      </c>
      <c r="AY50" s="19">
        <f t="shared" si="16"/>
        <v>210</v>
      </c>
      <c r="AZ50" s="13">
        <f t="shared" ref="AZ50:AZ52" si="17">SUM(E50:AY50)</f>
        <v>9675</v>
      </c>
    </row>
    <row r="51" ht="12.75" customHeight="1">
      <c r="A51" s="35"/>
      <c r="B51" s="54" t="s">
        <v>44</v>
      </c>
      <c r="C51" s="55" t="s">
        <v>45</v>
      </c>
      <c r="D51" s="16"/>
      <c r="E51" s="19">
        <v>2.0</v>
      </c>
      <c r="F51" s="19">
        <v>5.0</v>
      </c>
      <c r="G51" s="19">
        <v>1.0</v>
      </c>
      <c r="H51" s="19">
        <v>1.0</v>
      </c>
      <c r="I51" s="19">
        <v>1.0</v>
      </c>
      <c r="J51" s="19">
        <v>5.0</v>
      </c>
      <c r="K51" s="19">
        <v>2.0</v>
      </c>
      <c r="L51" s="19">
        <v>3.0</v>
      </c>
      <c r="M51" s="19">
        <v>1.0</v>
      </c>
      <c r="N51" s="19">
        <v>3.0</v>
      </c>
      <c r="O51" s="19">
        <v>5.0</v>
      </c>
      <c r="P51" s="19">
        <v>4.0</v>
      </c>
      <c r="Q51" s="19">
        <v>6.0</v>
      </c>
      <c r="R51" s="19">
        <v>3.0</v>
      </c>
      <c r="S51" s="19">
        <v>1.0</v>
      </c>
      <c r="T51" s="19">
        <v>3.0</v>
      </c>
      <c r="U51" s="19">
        <v>4.0</v>
      </c>
      <c r="V51" s="19">
        <v>0.0</v>
      </c>
      <c r="W51" s="19">
        <v>7.0</v>
      </c>
      <c r="X51" s="19">
        <v>1.0</v>
      </c>
      <c r="Y51" s="19">
        <v>4.0</v>
      </c>
      <c r="Z51" s="19">
        <v>5.0</v>
      </c>
      <c r="AA51" s="19">
        <v>6.0</v>
      </c>
      <c r="AB51" s="19">
        <v>3.0</v>
      </c>
      <c r="AC51" s="19">
        <v>0.0</v>
      </c>
      <c r="AD51" s="19">
        <v>7.0</v>
      </c>
      <c r="AE51" s="19">
        <v>2.0</v>
      </c>
      <c r="AF51" s="19">
        <v>0.0</v>
      </c>
      <c r="AG51" s="19">
        <v>3.0</v>
      </c>
      <c r="AH51" s="19">
        <v>2.0</v>
      </c>
      <c r="AI51" s="19">
        <v>2.0</v>
      </c>
      <c r="AJ51" s="19">
        <v>6.0</v>
      </c>
      <c r="AK51" s="19">
        <v>5.0</v>
      </c>
      <c r="AL51" s="19">
        <v>3.0</v>
      </c>
      <c r="AM51" s="19">
        <v>2.0</v>
      </c>
      <c r="AN51" s="19">
        <v>0.0</v>
      </c>
      <c r="AO51" s="19">
        <v>5.0</v>
      </c>
      <c r="AP51" s="19">
        <v>3.0</v>
      </c>
      <c r="AQ51" s="19">
        <v>3.0</v>
      </c>
      <c r="AR51" s="19">
        <v>6.0</v>
      </c>
      <c r="AS51" s="19">
        <v>5.0</v>
      </c>
      <c r="AT51" s="19">
        <v>2.0</v>
      </c>
      <c r="AU51" s="19">
        <v>5.0</v>
      </c>
      <c r="AV51" s="19">
        <v>4.0</v>
      </c>
      <c r="AW51" s="19">
        <v>2.0</v>
      </c>
      <c r="AX51" s="19">
        <v>6.0</v>
      </c>
      <c r="AY51" s="19">
        <v>3.0</v>
      </c>
      <c r="AZ51" s="13">
        <f t="shared" si="17"/>
        <v>152</v>
      </c>
    </row>
    <row r="52" ht="12.75" customHeight="1">
      <c r="A52" s="41"/>
      <c r="B52" s="54" t="s">
        <v>46</v>
      </c>
      <c r="C52" s="55" t="s">
        <v>47</v>
      </c>
      <c r="D52" s="16"/>
      <c r="E52" s="13">
        <f t="shared" ref="E52:AY52" si="18">SUM(E50:E51)</f>
        <v>220</v>
      </c>
      <c r="F52" s="13">
        <f t="shared" si="18"/>
        <v>234</v>
      </c>
      <c r="G52" s="13">
        <f t="shared" si="18"/>
        <v>205</v>
      </c>
      <c r="H52" s="13">
        <f t="shared" si="18"/>
        <v>206</v>
      </c>
      <c r="I52" s="13">
        <f t="shared" si="18"/>
        <v>220</v>
      </c>
      <c r="J52" s="13">
        <f t="shared" si="18"/>
        <v>221</v>
      </c>
      <c r="K52" s="13">
        <f t="shared" si="18"/>
        <v>122</v>
      </c>
      <c r="L52" s="13">
        <f t="shared" si="18"/>
        <v>225</v>
      </c>
      <c r="M52" s="13">
        <f t="shared" si="18"/>
        <v>198</v>
      </c>
      <c r="N52" s="13">
        <f t="shared" si="18"/>
        <v>225</v>
      </c>
      <c r="O52" s="13">
        <f t="shared" si="18"/>
        <v>241</v>
      </c>
      <c r="P52" s="13">
        <f t="shared" si="18"/>
        <v>200</v>
      </c>
      <c r="Q52" s="13">
        <f t="shared" si="18"/>
        <v>231</v>
      </c>
      <c r="R52" s="13">
        <f t="shared" si="18"/>
        <v>201</v>
      </c>
      <c r="S52" s="13">
        <f t="shared" si="18"/>
        <v>213</v>
      </c>
      <c r="T52" s="13">
        <f t="shared" si="18"/>
        <v>216</v>
      </c>
      <c r="U52" s="13">
        <f t="shared" si="18"/>
        <v>207</v>
      </c>
      <c r="V52" s="13">
        <f t="shared" si="18"/>
        <v>203</v>
      </c>
      <c r="W52" s="13">
        <f t="shared" si="18"/>
        <v>232</v>
      </c>
      <c r="X52" s="13">
        <f t="shared" si="18"/>
        <v>236</v>
      </c>
      <c r="Y52" s="13">
        <f t="shared" si="18"/>
        <v>164</v>
      </c>
      <c r="Z52" s="13">
        <f t="shared" si="18"/>
        <v>191</v>
      </c>
      <c r="AA52" s="13">
        <f t="shared" si="18"/>
        <v>158</v>
      </c>
      <c r="AB52" s="13">
        <f t="shared" si="18"/>
        <v>199</v>
      </c>
      <c r="AC52" s="13">
        <f t="shared" si="18"/>
        <v>212</v>
      </c>
      <c r="AD52" s="13">
        <f t="shared" si="18"/>
        <v>209</v>
      </c>
      <c r="AE52" s="13">
        <f t="shared" si="18"/>
        <v>198</v>
      </c>
      <c r="AF52" s="13">
        <f t="shared" si="18"/>
        <v>200</v>
      </c>
      <c r="AG52" s="13">
        <f t="shared" si="18"/>
        <v>177</v>
      </c>
      <c r="AH52" s="13">
        <f t="shared" si="18"/>
        <v>225</v>
      </c>
      <c r="AI52" s="13">
        <f t="shared" si="18"/>
        <v>180</v>
      </c>
      <c r="AJ52" s="13">
        <f t="shared" si="18"/>
        <v>217</v>
      </c>
      <c r="AK52" s="13">
        <f t="shared" si="18"/>
        <v>217</v>
      </c>
      <c r="AL52" s="13">
        <f t="shared" si="18"/>
        <v>217</v>
      </c>
      <c r="AM52" s="13">
        <f t="shared" si="18"/>
        <v>218</v>
      </c>
      <c r="AN52" s="13">
        <f t="shared" si="18"/>
        <v>195</v>
      </c>
      <c r="AO52" s="13">
        <f t="shared" si="18"/>
        <v>188</v>
      </c>
      <c r="AP52" s="13">
        <f t="shared" si="18"/>
        <v>247</v>
      </c>
      <c r="AQ52" s="13">
        <f t="shared" si="18"/>
        <v>239</v>
      </c>
      <c r="AR52" s="13">
        <f t="shared" si="18"/>
        <v>238</v>
      </c>
      <c r="AS52" s="13">
        <f t="shared" si="18"/>
        <v>213</v>
      </c>
      <c r="AT52" s="13">
        <f t="shared" si="18"/>
        <v>226</v>
      </c>
      <c r="AU52" s="13">
        <f t="shared" si="18"/>
        <v>222</v>
      </c>
      <c r="AV52" s="13">
        <f t="shared" si="18"/>
        <v>215</v>
      </c>
      <c r="AW52" s="13">
        <f t="shared" si="18"/>
        <v>200</v>
      </c>
      <c r="AX52" s="13">
        <f t="shared" si="18"/>
        <v>193</v>
      </c>
      <c r="AY52" s="13">
        <f t="shared" si="18"/>
        <v>213</v>
      </c>
      <c r="AZ52" s="13">
        <f t="shared" si="17"/>
        <v>9827</v>
      </c>
    </row>
    <row r="53" ht="12.75" customHeight="1"/>
    <row r="54" ht="12.75" customHeight="1"/>
    <row r="55" ht="15.0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5.0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5.0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5.0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5.0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5.0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5.0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5.0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5.0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5.0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5.0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5.0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5.0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AY12"/>
    <mergeCell ref="AZ12:AZ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34:AY34">
    <cfRule type="expression" dxfId="0" priority="1">
      <formula>E34&lt;&gt;E64</formula>
    </cfRule>
  </conditionalFormatting>
  <conditionalFormatting sqref="E14:AY15">
    <cfRule type="containsBlanks" dxfId="1" priority="2">
      <formula>LEN(TRIM(E14))=0</formula>
    </cfRule>
  </conditionalFormatting>
  <conditionalFormatting sqref="E19:AY20">
    <cfRule type="containsBlanks" dxfId="1" priority="3">
      <formula>LEN(TRIM(E19))=0</formula>
    </cfRule>
  </conditionalFormatting>
  <conditionalFormatting sqref="E22:AY23 E25:AY26 E33:AY33 E35:AY35 E39:AY40">
    <cfRule type="containsBlanks" dxfId="1" priority="4">
      <formula>LEN(TRIM(E22))=0</formula>
    </cfRule>
  </conditionalFormatting>
  <conditionalFormatting sqref="E30:AY30">
    <cfRule type="expression" dxfId="0" priority="5">
      <formula>E30&lt;&gt;E47</formula>
    </cfRule>
  </conditionalFormatting>
  <conditionalFormatting sqref="E30:AY30">
    <cfRule type="expression" dxfId="0" priority="6">
      <formula>E30&lt;&gt;E34</formula>
    </cfRule>
  </conditionalFormatting>
  <conditionalFormatting sqref="E34:AY34">
    <cfRule type="expression" dxfId="2" priority="7">
      <formula>E30&lt;&gt;E34</formula>
    </cfRule>
  </conditionalFormatting>
  <conditionalFormatting sqref="E34:AY34">
    <cfRule type="expression" dxfId="3" priority="8">
      <formula>E30=E34</formula>
    </cfRule>
  </conditionalFormatting>
  <conditionalFormatting sqref="E34:AY34">
    <cfRule type="expression" dxfId="0" priority="9">
      <formula>E34&lt;&gt;E30</formula>
    </cfRule>
  </conditionalFormatting>
  <conditionalFormatting sqref="E45:AY47">
    <cfRule type="containsBlanks" dxfId="1" priority="10">
      <formula>LEN(TRIM(E45))=0</formula>
    </cfRule>
  </conditionalFormatting>
  <conditionalFormatting sqref="E50:AY51">
    <cfRule type="containsBlanks" dxfId="1" priority="11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3" width="8.71"/>
    <col customWidth="1" min="24" max="24" width="13.29"/>
    <col customWidth="1" min="25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97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5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13" t="s">
        <v>66</v>
      </c>
      <c r="V13" s="13" t="s">
        <v>67</v>
      </c>
      <c r="W13" s="13" t="s">
        <v>68</v>
      </c>
      <c r="X13" s="36"/>
    </row>
    <row r="14" ht="12.75" customHeight="1">
      <c r="A14" s="18"/>
      <c r="B14" s="22" t="s">
        <v>11</v>
      </c>
      <c r="C14" s="23"/>
      <c r="D14" s="19" t="s">
        <v>12</v>
      </c>
      <c r="E14" s="63">
        <v>105.0</v>
      </c>
      <c r="F14" s="63">
        <v>100.0</v>
      </c>
      <c r="G14" s="63">
        <v>119.0</v>
      </c>
      <c r="H14" s="63">
        <v>147.0</v>
      </c>
      <c r="I14" s="63">
        <v>139.0</v>
      </c>
      <c r="J14" s="63">
        <v>145.0</v>
      </c>
      <c r="K14" s="63">
        <v>140.0</v>
      </c>
      <c r="L14" s="63">
        <v>144.0</v>
      </c>
      <c r="M14" s="63">
        <v>152.0</v>
      </c>
      <c r="N14" s="63">
        <v>145.0</v>
      </c>
      <c r="O14" s="63">
        <v>140.0</v>
      </c>
      <c r="P14" s="63">
        <v>139.0</v>
      </c>
      <c r="Q14" s="63">
        <v>144.0</v>
      </c>
      <c r="R14" s="63">
        <v>119.0</v>
      </c>
      <c r="S14" s="63">
        <v>121.0</v>
      </c>
      <c r="T14" s="19">
        <v>142.0</v>
      </c>
      <c r="U14" s="19">
        <v>98.0</v>
      </c>
      <c r="V14" s="19">
        <v>103.0</v>
      </c>
      <c r="W14" s="19">
        <v>107.0</v>
      </c>
      <c r="X14" s="13">
        <f t="shared" ref="X14:X16" si="1">SUM(E14:W14)</f>
        <v>2449</v>
      </c>
    </row>
    <row r="15" ht="12.75" customHeight="1">
      <c r="A15" s="18"/>
      <c r="B15" s="26"/>
      <c r="C15" s="27"/>
      <c r="D15" s="19" t="s">
        <v>13</v>
      </c>
      <c r="E15" s="63">
        <v>98.0</v>
      </c>
      <c r="F15" s="63">
        <v>99.0</v>
      </c>
      <c r="G15" s="63">
        <v>114.0</v>
      </c>
      <c r="H15" s="63">
        <v>147.0</v>
      </c>
      <c r="I15" s="63">
        <v>133.0</v>
      </c>
      <c r="J15" s="63">
        <v>147.0</v>
      </c>
      <c r="K15" s="63">
        <v>147.0</v>
      </c>
      <c r="L15" s="63">
        <v>148.0</v>
      </c>
      <c r="M15" s="63">
        <v>141.0</v>
      </c>
      <c r="N15" s="63">
        <v>144.0</v>
      </c>
      <c r="O15" s="63">
        <v>146.0</v>
      </c>
      <c r="P15" s="63">
        <v>140.0</v>
      </c>
      <c r="Q15" s="63">
        <v>150.0</v>
      </c>
      <c r="R15" s="63">
        <v>132.0</v>
      </c>
      <c r="S15" s="63">
        <v>127.0</v>
      </c>
      <c r="T15" s="19">
        <v>140.0</v>
      </c>
      <c r="U15" s="19">
        <v>89.0</v>
      </c>
      <c r="V15" s="19">
        <v>107.0</v>
      </c>
      <c r="W15" s="19">
        <v>107.0</v>
      </c>
      <c r="X15" s="13">
        <f t="shared" si="1"/>
        <v>2456</v>
      </c>
    </row>
    <row r="16" ht="12.75" customHeight="1">
      <c r="A16" s="25"/>
      <c r="B16" s="21"/>
      <c r="C16" s="28"/>
      <c r="D16" s="13" t="s">
        <v>14</v>
      </c>
      <c r="E16" s="13">
        <f t="shared" ref="E16:W16" si="2">SUM(E14:E15)</f>
        <v>203</v>
      </c>
      <c r="F16" s="13">
        <f t="shared" si="2"/>
        <v>199</v>
      </c>
      <c r="G16" s="13">
        <f t="shared" si="2"/>
        <v>233</v>
      </c>
      <c r="H16" s="13">
        <f t="shared" si="2"/>
        <v>294</v>
      </c>
      <c r="I16" s="13">
        <f t="shared" si="2"/>
        <v>272</v>
      </c>
      <c r="J16" s="13">
        <f t="shared" si="2"/>
        <v>292</v>
      </c>
      <c r="K16" s="13">
        <f t="shared" si="2"/>
        <v>287</v>
      </c>
      <c r="L16" s="13">
        <f t="shared" si="2"/>
        <v>292</v>
      </c>
      <c r="M16" s="13">
        <f t="shared" si="2"/>
        <v>293</v>
      </c>
      <c r="N16" s="13">
        <f t="shared" si="2"/>
        <v>289</v>
      </c>
      <c r="O16" s="13">
        <f t="shared" si="2"/>
        <v>286</v>
      </c>
      <c r="P16" s="13">
        <f t="shared" si="2"/>
        <v>279</v>
      </c>
      <c r="Q16" s="13">
        <f t="shared" si="2"/>
        <v>294</v>
      </c>
      <c r="R16" s="13">
        <f t="shared" si="2"/>
        <v>251</v>
      </c>
      <c r="S16" s="13">
        <f t="shared" si="2"/>
        <v>248</v>
      </c>
      <c r="T16" s="13">
        <f t="shared" si="2"/>
        <v>282</v>
      </c>
      <c r="U16" s="13">
        <f t="shared" si="2"/>
        <v>187</v>
      </c>
      <c r="V16" s="13">
        <f t="shared" si="2"/>
        <v>210</v>
      </c>
      <c r="W16" s="13">
        <f t="shared" si="2"/>
        <v>214</v>
      </c>
      <c r="X16" s="13">
        <f t="shared" si="1"/>
        <v>4905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9"/>
      <c r="O17" s="19"/>
      <c r="P17" s="19"/>
      <c r="Q17" s="19"/>
      <c r="R17" s="19"/>
      <c r="S17" s="59"/>
      <c r="T17" s="19"/>
      <c r="U17" s="19"/>
      <c r="V17" s="19"/>
      <c r="W17" s="19"/>
      <c r="X17" s="60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9"/>
      <c r="O18" s="19"/>
      <c r="P18" s="19"/>
      <c r="Q18" s="19"/>
      <c r="R18" s="19"/>
      <c r="S18" s="59"/>
      <c r="T18" s="19"/>
      <c r="U18" s="19"/>
      <c r="V18" s="19"/>
      <c r="W18" s="19"/>
      <c r="X18" s="60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63">
        <v>89.0</v>
      </c>
      <c r="F19" s="63">
        <v>74.0</v>
      </c>
      <c r="G19" s="63">
        <v>100.0</v>
      </c>
      <c r="H19" s="63">
        <v>110.0</v>
      </c>
      <c r="I19" s="63">
        <v>112.0</v>
      </c>
      <c r="J19" s="63">
        <v>105.0</v>
      </c>
      <c r="K19" s="63">
        <v>119.0</v>
      </c>
      <c r="L19" s="63">
        <v>102.0</v>
      </c>
      <c r="M19" s="63">
        <v>115.0</v>
      </c>
      <c r="N19" s="63">
        <v>108.0</v>
      </c>
      <c r="O19" s="63">
        <v>105.0</v>
      </c>
      <c r="P19" s="63">
        <v>95.0</v>
      </c>
      <c r="Q19" s="63">
        <v>117.0</v>
      </c>
      <c r="R19" s="63">
        <v>92.0</v>
      </c>
      <c r="S19" s="63">
        <v>90.0</v>
      </c>
      <c r="T19" s="19">
        <v>88.0</v>
      </c>
      <c r="U19" s="19">
        <v>72.0</v>
      </c>
      <c r="V19" s="19">
        <v>81.0</v>
      </c>
      <c r="W19" s="19">
        <v>80.0</v>
      </c>
      <c r="X19" s="13">
        <f t="shared" ref="X19:X30" si="3">SUM(E19:W19)</f>
        <v>1854</v>
      </c>
    </row>
    <row r="20" ht="12.75" customHeight="1">
      <c r="A20" s="33"/>
      <c r="B20" s="27"/>
      <c r="C20" s="34"/>
      <c r="D20" s="19" t="s">
        <v>13</v>
      </c>
      <c r="E20" s="63">
        <v>75.0</v>
      </c>
      <c r="F20" s="63">
        <v>76.0</v>
      </c>
      <c r="G20" s="63">
        <v>101.0</v>
      </c>
      <c r="H20" s="63">
        <v>117.0</v>
      </c>
      <c r="I20" s="63">
        <v>102.0</v>
      </c>
      <c r="J20" s="63">
        <v>105.0</v>
      </c>
      <c r="K20" s="63">
        <v>115.0</v>
      </c>
      <c r="L20" s="63">
        <v>115.0</v>
      </c>
      <c r="M20" s="63">
        <v>104.0</v>
      </c>
      <c r="N20" s="63">
        <v>112.0</v>
      </c>
      <c r="O20" s="63">
        <v>121.0</v>
      </c>
      <c r="P20" s="63">
        <v>106.0</v>
      </c>
      <c r="Q20" s="63">
        <v>122.0</v>
      </c>
      <c r="R20" s="63">
        <v>99.0</v>
      </c>
      <c r="S20" s="63">
        <v>99.0</v>
      </c>
      <c r="T20" s="19">
        <v>104.0</v>
      </c>
      <c r="U20" s="19">
        <v>73.0</v>
      </c>
      <c r="V20" s="19">
        <v>87.0</v>
      </c>
      <c r="W20" s="19">
        <v>72.0</v>
      </c>
      <c r="X20" s="13">
        <f t="shared" si="3"/>
        <v>1905</v>
      </c>
    </row>
    <row r="21" ht="12.75" customHeight="1">
      <c r="A21" s="35"/>
      <c r="B21" s="28"/>
      <c r="C21" s="36"/>
      <c r="D21" s="13" t="s">
        <v>14</v>
      </c>
      <c r="E21" s="13">
        <f t="shared" ref="E21:W21" si="4">SUM(E19:E20)</f>
        <v>164</v>
      </c>
      <c r="F21" s="13">
        <f t="shared" si="4"/>
        <v>150</v>
      </c>
      <c r="G21" s="13">
        <f t="shared" si="4"/>
        <v>201</v>
      </c>
      <c r="H21" s="13">
        <f t="shared" si="4"/>
        <v>227</v>
      </c>
      <c r="I21" s="13">
        <f t="shared" si="4"/>
        <v>214</v>
      </c>
      <c r="J21" s="13">
        <f t="shared" si="4"/>
        <v>210</v>
      </c>
      <c r="K21" s="13">
        <f t="shared" si="4"/>
        <v>234</v>
      </c>
      <c r="L21" s="13">
        <f t="shared" si="4"/>
        <v>217</v>
      </c>
      <c r="M21" s="13">
        <f t="shared" si="4"/>
        <v>219</v>
      </c>
      <c r="N21" s="13">
        <f t="shared" si="4"/>
        <v>220</v>
      </c>
      <c r="O21" s="13">
        <f t="shared" si="4"/>
        <v>226</v>
      </c>
      <c r="P21" s="13">
        <f t="shared" si="4"/>
        <v>201</v>
      </c>
      <c r="Q21" s="13">
        <f t="shared" si="4"/>
        <v>239</v>
      </c>
      <c r="R21" s="13">
        <f t="shared" si="4"/>
        <v>191</v>
      </c>
      <c r="S21" s="13">
        <f t="shared" si="4"/>
        <v>189</v>
      </c>
      <c r="T21" s="13">
        <f t="shared" si="4"/>
        <v>192</v>
      </c>
      <c r="U21" s="13">
        <f t="shared" si="4"/>
        <v>145</v>
      </c>
      <c r="V21" s="13">
        <f t="shared" si="4"/>
        <v>168</v>
      </c>
      <c r="W21" s="13">
        <f t="shared" si="4"/>
        <v>152</v>
      </c>
      <c r="X21" s="13">
        <f t="shared" si="3"/>
        <v>3759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63">
        <v>0.0</v>
      </c>
      <c r="F22" s="63">
        <v>0.0</v>
      </c>
      <c r="G22" s="63">
        <v>0.0</v>
      </c>
      <c r="H22" s="63">
        <v>0.0</v>
      </c>
      <c r="I22" s="63">
        <v>0.0</v>
      </c>
      <c r="J22" s="63">
        <v>0.0</v>
      </c>
      <c r="K22" s="63">
        <v>0.0</v>
      </c>
      <c r="L22" s="63">
        <v>0.0</v>
      </c>
      <c r="M22" s="63">
        <v>0.0</v>
      </c>
      <c r="N22" s="63">
        <v>0.0</v>
      </c>
      <c r="O22" s="63">
        <v>0.0</v>
      </c>
      <c r="P22" s="63">
        <v>0.0</v>
      </c>
      <c r="Q22" s="63">
        <v>0.0</v>
      </c>
      <c r="R22" s="63">
        <v>0.0</v>
      </c>
      <c r="S22" s="63">
        <v>0.0</v>
      </c>
      <c r="T22" s="19">
        <v>0.0</v>
      </c>
      <c r="U22" s="19">
        <v>0.0</v>
      </c>
      <c r="V22" s="19">
        <v>0.0</v>
      </c>
      <c r="W22" s="19">
        <v>3.0</v>
      </c>
      <c r="X22" s="13">
        <f t="shared" si="3"/>
        <v>3</v>
      </c>
    </row>
    <row r="23" ht="12.75" customHeight="1">
      <c r="A23" s="33"/>
      <c r="B23" s="27"/>
      <c r="C23" s="34"/>
      <c r="D23" s="19" t="s">
        <v>13</v>
      </c>
      <c r="E23" s="63">
        <v>0.0</v>
      </c>
      <c r="F23" s="63">
        <v>0.0</v>
      </c>
      <c r="G23" s="63">
        <v>0.0</v>
      </c>
      <c r="H23" s="63">
        <v>0.0</v>
      </c>
      <c r="I23" s="63">
        <v>0.0</v>
      </c>
      <c r="J23" s="63">
        <v>0.0</v>
      </c>
      <c r="K23" s="63">
        <v>0.0</v>
      </c>
      <c r="L23" s="63">
        <v>0.0</v>
      </c>
      <c r="M23" s="63">
        <v>0.0</v>
      </c>
      <c r="N23" s="63">
        <v>0.0</v>
      </c>
      <c r="O23" s="63">
        <v>0.0</v>
      </c>
      <c r="P23" s="63">
        <v>2.0</v>
      </c>
      <c r="Q23" s="63">
        <v>0.0</v>
      </c>
      <c r="R23" s="63">
        <v>0.0</v>
      </c>
      <c r="S23" s="63">
        <v>0.0</v>
      </c>
      <c r="T23" s="19">
        <v>0.0</v>
      </c>
      <c r="U23" s="19">
        <v>0.0</v>
      </c>
      <c r="V23" s="19">
        <v>0.0</v>
      </c>
      <c r="W23" s="19">
        <v>4.0</v>
      </c>
      <c r="X23" s="13">
        <f t="shared" si="3"/>
        <v>6</v>
      </c>
    </row>
    <row r="24" ht="12.75" customHeight="1">
      <c r="A24" s="35"/>
      <c r="B24" s="28"/>
      <c r="C24" s="36"/>
      <c r="D24" s="13" t="s">
        <v>14</v>
      </c>
      <c r="E24" s="13">
        <f t="shared" ref="E24:W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2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7</v>
      </c>
      <c r="X24" s="13">
        <f t="shared" si="3"/>
        <v>9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63">
        <v>1.0</v>
      </c>
      <c r="F25" s="63">
        <v>1.0</v>
      </c>
      <c r="G25" s="63">
        <v>0.0</v>
      </c>
      <c r="H25" s="63">
        <v>12.0</v>
      </c>
      <c r="I25" s="63">
        <v>0.0</v>
      </c>
      <c r="J25" s="63">
        <v>1.0</v>
      </c>
      <c r="K25" s="63">
        <v>1.0</v>
      </c>
      <c r="L25" s="63">
        <v>4.0</v>
      </c>
      <c r="M25" s="63">
        <v>3.0</v>
      </c>
      <c r="N25" s="63">
        <v>0.0</v>
      </c>
      <c r="O25" s="63">
        <v>2.0</v>
      </c>
      <c r="P25" s="63">
        <v>1.0</v>
      </c>
      <c r="Q25" s="63">
        <v>1.0</v>
      </c>
      <c r="R25" s="63">
        <v>5.0</v>
      </c>
      <c r="S25" s="63">
        <v>0.0</v>
      </c>
      <c r="T25" s="19">
        <v>0.0</v>
      </c>
      <c r="U25" s="19">
        <v>2.0</v>
      </c>
      <c r="V25" s="19">
        <v>3.0</v>
      </c>
      <c r="W25" s="19">
        <v>0.0</v>
      </c>
      <c r="X25" s="13">
        <f t="shared" si="3"/>
        <v>37</v>
      </c>
    </row>
    <row r="26" ht="12.75" customHeight="1">
      <c r="A26" s="33"/>
      <c r="B26" s="27"/>
      <c r="C26" s="34"/>
      <c r="D26" s="19" t="s">
        <v>13</v>
      </c>
      <c r="E26" s="63">
        <v>1.0</v>
      </c>
      <c r="F26" s="63">
        <v>1.0</v>
      </c>
      <c r="G26" s="63">
        <v>0.0</v>
      </c>
      <c r="H26" s="63">
        <v>4.0</v>
      </c>
      <c r="I26" s="63">
        <v>5.0</v>
      </c>
      <c r="J26" s="63">
        <v>0.0</v>
      </c>
      <c r="K26" s="63">
        <v>3.0</v>
      </c>
      <c r="L26" s="63">
        <v>2.0</v>
      </c>
      <c r="M26" s="63">
        <v>2.0</v>
      </c>
      <c r="N26" s="63">
        <v>2.0</v>
      </c>
      <c r="O26" s="63">
        <v>0.0</v>
      </c>
      <c r="P26" s="63">
        <v>4.0</v>
      </c>
      <c r="Q26" s="63">
        <v>2.0</v>
      </c>
      <c r="R26" s="63">
        <v>4.0</v>
      </c>
      <c r="S26" s="63">
        <v>1.0</v>
      </c>
      <c r="T26" s="19">
        <v>0.0</v>
      </c>
      <c r="U26" s="19">
        <v>3.0</v>
      </c>
      <c r="V26" s="19">
        <v>5.0</v>
      </c>
      <c r="W26" s="19">
        <v>0.0</v>
      </c>
      <c r="X26" s="13">
        <f t="shared" si="3"/>
        <v>39</v>
      </c>
    </row>
    <row r="27" ht="12.75" customHeight="1">
      <c r="A27" s="35"/>
      <c r="B27" s="28"/>
      <c r="C27" s="36"/>
      <c r="D27" s="13" t="s">
        <v>14</v>
      </c>
      <c r="E27" s="13">
        <f t="shared" ref="E27:W27" si="6">SUM(E25:E26)</f>
        <v>2</v>
      </c>
      <c r="F27" s="13">
        <f t="shared" si="6"/>
        <v>2</v>
      </c>
      <c r="G27" s="13">
        <f t="shared" si="6"/>
        <v>0</v>
      </c>
      <c r="H27" s="13">
        <f t="shared" si="6"/>
        <v>16</v>
      </c>
      <c r="I27" s="13">
        <f t="shared" si="6"/>
        <v>5</v>
      </c>
      <c r="J27" s="13">
        <f t="shared" si="6"/>
        <v>1</v>
      </c>
      <c r="K27" s="13">
        <f t="shared" si="6"/>
        <v>4</v>
      </c>
      <c r="L27" s="13">
        <f t="shared" si="6"/>
        <v>6</v>
      </c>
      <c r="M27" s="13">
        <f t="shared" si="6"/>
        <v>5</v>
      </c>
      <c r="N27" s="13">
        <f t="shared" si="6"/>
        <v>2</v>
      </c>
      <c r="O27" s="13">
        <f t="shared" si="6"/>
        <v>2</v>
      </c>
      <c r="P27" s="13">
        <f t="shared" si="6"/>
        <v>5</v>
      </c>
      <c r="Q27" s="13">
        <f t="shared" si="6"/>
        <v>3</v>
      </c>
      <c r="R27" s="13">
        <f t="shared" si="6"/>
        <v>9</v>
      </c>
      <c r="S27" s="13">
        <f t="shared" si="6"/>
        <v>1</v>
      </c>
      <c r="T27" s="13">
        <f t="shared" si="6"/>
        <v>0</v>
      </c>
      <c r="U27" s="13">
        <f t="shared" si="6"/>
        <v>5</v>
      </c>
      <c r="V27" s="13">
        <f t="shared" si="6"/>
        <v>8</v>
      </c>
      <c r="W27" s="13">
        <f t="shared" si="6"/>
        <v>0</v>
      </c>
      <c r="X27" s="13">
        <f t="shared" si="3"/>
        <v>76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W28" si="7">SUM(E19,E22,E25)</f>
        <v>90</v>
      </c>
      <c r="F28" s="13">
        <f t="shared" si="7"/>
        <v>75</v>
      </c>
      <c r="G28" s="13">
        <f t="shared" si="7"/>
        <v>100</v>
      </c>
      <c r="H28" s="13">
        <f t="shared" si="7"/>
        <v>122</v>
      </c>
      <c r="I28" s="13">
        <f t="shared" si="7"/>
        <v>112</v>
      </c>
      <c r="J28" s="13">
        <f t="shared" si="7"/>
        <v>106</v>
      </c>
      <c r="K28" s="13">
        <f t="shared" si="7"/>
        <v>120</v>
      </c>
      <c r="L28" s="13">
        <f t="shared" si="7"/>
        <v>106</v>
      </c>
      <c r="M28" s="13">
        <f t="shared" si="7"/>
        <v>118</v>
      </c>
      <c r="N28" s="13">
        <f t="shared" si="7"/>
        <v>108</v>
      </c>
      <c r="O28" s="13">
        <f t="shared" si="7"/>
        <v>107</v>
      </c>
      <c r="P28" s="13">
        <f t="shared" si="7"/>
        <v>96</v>
      </c>
      <c r="Q28" s="13">
        <f t="shared" si="7"/>
        <v>118</v>
      </c>
      <c r="R28" s="13">
        <f t="shared" si="7"/>
        <v>97</v>
      </c>
      <c r="S28" s="13">
        <f t="shared" si="7"/>
        <v>90</v>
      </c>
      <c r="T28" s="13">
        <f t="shared" si="7"/>
        <v>88</v>
      </c>
      <c r="U28" s="13">
        <f t="shared" si="7"/>
        <v>74</v>
      </c>
      <c r="V28" s="13">
        <f t="shared" si="7"/>
        <v>84</v>
      </c>
      <c r="W28" s="13">
        <f t="shared" si="7"/>
        <v>83</v>
      </c>
      <c r="X28" s="13">
        <f t="shared" si="3"/>
        <v>1894</v>
      </c>
    </row>
    <row r="29" ht="12.75" customHeight="1">
      <c r="A29" s="35"/>
      <c r="B29" s="27"/>
      <c r="C29" s="34"/>
      <c r="D29" s="13" t="s">
        <v>13</v>
      </c>
      <c r="E29" s="13">
        <f t="shared" ref="E29:W29" si="8">SUM(E20,E23,E26)</f>
        <v>76</v>
      </c>
      <c r="F29" s="13">
        <f t="shared" si="8"/>
        <v>77</v>
      </c>
      <c r="G29" s="13">
        <f t="shared" si="8"/>
        <v>101</v>
      </c>
      <c r="H29" s="13">
        <f t="shared" si="8"/>
        <v>121</v>
      </c>
      <c r="I29" s="13">
        <f t="shared" si="8"/>
        <v>107</v>
      </c>
      <c r="J29" s="13">
        <f t="shared" si="8"/>
        <v>105</v>
      </c>
      <c r="K29" s="13">
        <f t="shared" si="8"/>
        <v>118</v>
      </c>
      <c r="L29" s="13">
        <f t="shared" si="8"/>
        <v>117</v>
      </c>
      <c r="M29" s="13">
        <f t="shared" si="8"/>
        <v>106</v>
      </c>
      <c r="N29" s="13">
        <f t="shared" si="8"/>
        <v>114</v>
      </c>
      <c r="O29" s="13">
        <f t="shared" si="8"/>
        <v>121</v>
      </c>
      <c r="P29" s="13">
        <f t="shared" si="8"/>
        <v>112</v>
      </c>
      <c r="Q29" s="13">
        <f t="shared" si="8"/>
        <v>124</v>
      </c>
      <c r="R29" s="13">
        <f t="shared" si="8"/>
        <v>103</v>
      </c>
      <c r="S29" s="13">
        <f t="shared" si="8"/>
        <v>100</v>
      </c>
      <c r="T29" s="13">
        <f t="shared" si="8"/>
        <v>104</v>
      </c>
      <c r="U29" s="13">
        <f t="shared" si="8"/>
        <v>76</v>
      </c>
      <c r="V29" s="13">
        <f t="shared" si="8"/>
        <v>92</v>
      </c>
      <c r="W29" s="13">
        <f t="shared" si="8"/>
        <v>76</v>
      </c>
      <c r="X29" s="13">
        <f t="shared" si="3"/>
        <v>1950</v>
      </c>
    </row>
    <row r="30" ht="12.75" customHeight="1">
      <c r="A30" s="35"/>
      <c r="B30" s="28"/>
      <c r="C30" s="36"/>
      <c r="D30" s="13" t="s">
        <v>14</v>
      </c>
      <c r="E30" s="13">
        <f t="shared" ref="E30:W30" si="9">SUM(E28:E29)</f>
        <v>166</v>
      </c>
      <c r="F30" s="13">
        <f t="shared" si="9"/>
        <v>152</v>
      </c>
      <c r="G30" s="13">
        <f t="shared" si="9"/>
        <v>201</v>
      </c>
      <c r="H30" s="13">
        <f t="shared" si="9"/>
        <v>243</v>
      </c>
      <c r="I30" s="13">
        <f t="shared" si="9"/>
        <v>219</v>
      </c>
      <c r="J30" s="13">
        <f t="shared" si="9"/>
        <v>211</v>
      </c>
      <c r="K30" s="13">
        <f t="shared" si="9"/>
        <v>238</v>
      </c>
      <c r="L30" s="13">
        <f t="shared" si="9"/>
        <v>223</v>
      </c>
      <c r="M30" s="13">
        <f t="shared" si="9"/>
        <v>224</v>
      </c>
      <c r="N30" s="13">
        <f t="shared" si="9"/>
        <v>222</v>
      </c>
      <c r="O30" s="13">
        <f t="shared" si="9"/>
        <v>228</v>
      </c>
      <c r="P30" s="13">
        <f t="shared" si="9"/>
        <v>208</v>
      </c>
      <c r="Q30" s="13">
        <f t="shared" si="9"/>
        <v>242</v>
      </c>
      <c r="R30" s="13">
        <f t="shared" si="9"/>
        <v>200</v>
      </c>
      <c r="S30" s="13">
        <f t="shared" si="9"/>
        <v>190</v>
      </c>
      <c r="T30" s="13">
        <f t="shared" si="9"/>
        <v>192</v>
      </c>
      <c r="U30" s="13">
        <f t="shared" si="9"/>
        <v>150</v>
      </c>
      <c r="V30" s="13">
        <f t="shared" si="9"/>
        <v>176</v>
      </c>
      <c r="W30" s="13">
        <f t="shared" si="9"/>
        <v>159</v>
      </c>
      <c r="X30" s="13">
        <f t="shared" si="3"/>
        <v>3844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9"/>
      <c r="O31" s="19"/>
      <c r="P31" s="19"/>
      <c r="Q31" s="19"/>
      <c r="R31" s="19"/>
      <c r="S31" s="59"/>
      <c r="T31" s="19"/>
      <c r="U31" s="19"/>
      <c r="V31" s="19"/>
      <c r="W31" s="19"/>
      <c r="X31" s="60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1"/>
      <c r="O32" s="13"/>
      <c r="P32" s="13"/>
      <c r="Q32" s="13"/>
      <c r="R32" s="13"/>
      <c r="S32" s="61"/>
      <c r="T32" s="13"/>
      <c r="U32" s="13"/>
      <c r="V32" s="13"/>
      <c r="W32" s="13"/>
      <c r="X32" s="60"/>
    </row>
    <row r="33" ht="12.75" customHeight="1">
      <c r="A33" s="19">
        <v>1.0</v>
      </c>
      <c r="B33" s="20" t="s">
        <v>27</v>
      </c>
      <c r="C33" s="15"/>
      <c r="D33" s="16"/>
      <c r="E33" s="19">
        <v>208.0</v>
      </c>
      <c r="F33" s="19">
        <v>204.0</v>
      </c>
      <c r="G33" s="19">
        <v>240.0</v>
      </c>
      <c r="H33" s="19">
        <v>300.0</v>
      </c>
      <c r="I33" s="19">
        <v>278.0</v>
      </c>
      <c r="J33" s="19">
        <v>299.0</v>
      </c>
      <c r="K33" s="19">
        <v>292.0</v>
      </c>
      <c r="L33" s="19">
        <v>298.0</v>
      </c>
      <c r="M33" s="19">
        <v>299.0</v>
      </c>
      <c r="N33" s="19">
        <v>297.0</v>
      </c>
      <c r="O33" s="19">
        <v>294.0</v>
      </c>
      <c r="P33" s="19">
        <v>285.0</v>
      </c>
      <c r="Q33" s="19">
        <v>300.0</v>
      </c>
      <c r="R33" s="19">
        <v>257.0</v>
      </c>
      <c r="S33" s="19">
        <v>257.0</v>
      </c>
      <c r="T33" s="19">
        <v>289.0</v>
      </c>
      <c r="U33" s="19">
        <v>191.0</v>
      </c>
      <c r="V33" s="19">
        <v>217.0</v>
      </c>
      <c r="W33" s="19">
        <v>221.0</v>
      </c>
      <c r="X33" s="13">
        <f t="shared" ref="X33:X36" si="10">SUM(E33:W33)</f>
        <v>5026</v>
      </c>
    </row>
    <row r="34" ht="12.75" customHeight="1">
      <c r="A34" s="19">
        <v>2.0</v>
      </c>
      <c r="B34" s="20" t="s">
        <v>28</v>
      </c>
      <c r="C34" s="15"/>
      <c r="D34" s="16"/>
      <c r="E34" s="13">
        <v>166.0</v>
      </c>
      <c r="F34" s="13">
        <v>152.0</v>
      </c>
      <c r="G34" s="13">
        <v>201.0</v>
      </c>
      <c r="H34" s="13">
        <v>243.0</v>
      </c>
      <c r="I34" s="13">
        <v>219.0</v>
      </c>
      <c r="J34" s="13">
        <v>211.0</v>
      </c>
      <c r="K34" s="13">
        <v>238.0</v>
      </c>
      <c r="L34" s="13">
        <v>223.0</v>
      </c>
      <c r="M34" s="13">
        <v>224.0</v>
      </c>
      <c r="N34" s="13">
        <v>222.0</v>
      </c>
      <c r="O34" s="13">
        <v>228.0</v>
      </c>
      <c r="P34" s="13">
        <v>208.0</v>
      </c>
      <c r="Q34" s="13">
        <v>242.0</v>
      </c>
      <c r="R34" s="13">
        <v>200.0</v>
      </c>
      <c r="S34" s="13">
        <v>190.0</v>
      </c>
      <c r="T34" s="13">
        <v>192.0</v>
      </c>
      <c r="U34" s="13">
        <v>150.0</v>
      </c>
      <c r="V34" s="13">
        <v>176.0</v>
      </c>
      <c r="W34" s="13">
        <v>159.0</v>
      </c>
      <c r="X34" s="13">
        <f t="shared" si="10"/>
        <v>3844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3">
        <f t="shared" si="10"/>
        <v>0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W36" si="11">E33-(E34+E35)</f>
        <v>42</v>
      </c>
      <c r="F36" s="13">
        <f t="shared" si="11"/>
        <v>52</v>
      </c>
      <c r="G36" s="13">
        <f t="shared" si="11"/>
        <v>39</v>
      </c>
      <c r="H36" s="13">
        <f t="shared" si="11"/>
        <v>57</v>
      </c>
      <c r="I36" s="13">
        <f t="shared" si="11"/>
        <v>59</v>
      </c>
      <c r="J36" s="13">
        <f t="shared" si="11"/>
        <v>88</v>
      </c>
      <c r="K36" s="13">
        <f t="shared" si="11"/>
        <v>54</v>
      </c>
      <c r="L36" s="13">
        <f t="shared" si="11"/>
        <v>75</v>
      </c>
      <c r="M36" s="13">
        <f t="shared" si="11"/>
        <v>75</v>
      </c>
      <c r="N36" s="13">
        <f t="shared" si="11"/>
        <v>75</v>
      </c>
      <c r="O36" s="13">
        <f t="shared" si="11"/>
        <v>66</v>
      </c>
      <c r="P36" s="13">
        <f t="shared" si="11"/>
        <v>77</v>
      </c>
      <c r="Q36" s="13">
        <f t="shared" si="11"/>
        <v>58</v>
      </c>
      <c r="R36" s="13">
        <f t="shared" si="11"/>
        <v>57</v>
      </c>
      <c r="S36" s="13">
        <f t="shared" si="11"/>
        <v>67</v>
      </c>
      <c r="T36" s="13">
        <f t="shared" si="11"/>
        <v>97</v>
      </c>
      <c r="U36" s="13">
        <f t="shared" si="11"/>
        <v>41</v>
      </c>
      <c r="V36" s="13">
        <f t="shared" si="11"/>
        <v>41</v>
      </c>
      <c r="W36" s="13">
        <f t="shared" si="11"/>
        <v>62</v>
      </c>
      <c r="X36" s="13">
        <f t="shared" si="10"/>
        <v>1182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9"/>
      <c r="O37" s="19"/>
      <c r="P37" s="19"/>
      <c r="Q37" s="19"/>
      <c r="R37" s="19"/>
      <c r="S37" s="59"/>
      <c r="T37" s="19"/>
      <c r="U37" s="19"/>
      <c r="V37" s="19"/>
      <c r="W37" s="19"/>
      <c r="X37" s="60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1"/>
      <c r="O38" s="13"/>
      <c r="P38" s="13"/>
      <c r="Q38" s="13"/>
      <c r="R38" s="13"/>
      <c r="S38" s="61"/>
      <c r="T38" s="13"/>
      <c r="U38" s="13"/>
      <c r="V38" s="13"/>
      <c r="W38" s="13"/>
      <c r="X38" s="60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1.0</v>
      </c>
      <c r="H39" s="19">
        <v>2.0</v>
      </c>
      <c r="I39" s="19">
        <v>0.0</v>
      </c>
      <c r="J39" s="19">
        <v>4.0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3">
        <f t="shared" ref="X39:X41" si="12">SUM(E39:W39)</f>
        <v>7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1.0</v>
      </c>
      <c r="H40" s="19">
        <v>0.0</v>
      </c>
      <c r="I40" s="19">
        <v>1.0</v>
      </c>
      <c r="J40" s="19">
        <v>3.0</v>
      </c>
      <c r="K40" s="19">
        <v>0.0</v>
      </c>
      <c r="L40" s="19">
        <v>0.0</v>
      </c>
      <c r="M40" s="19">
        <v>0.0</v>
      </c>
      <c r="N40" s="19">
        <v>1.0</v>
      </c>
      <c r="O40" s="19">
        <v>0.0</v>
      </c>
      <c r="P40" s="19">
        <v>0.0</v>
      </c>
      <c r="Q40" s="19">
        <v>0.0</v>
      </c>
      <c r="R40" s="19">
        <v>1.0</v>
      </c>
      <c r="S40" s="19">
        <v>1.0</v>
      </c>
      <c r="T40" s="19">
        <v>0.0</v>
      </c>
      <c r="U40" s="19">
        <v>0.0</v>
      </c>
      <c r="V40" s="19">
        <v>0.0</v>
      </c>
      <c r="W40" s="19">
        <v>0.0</v>
      </c>
      <c r="X40" s="13">
        <f t="shared" si="12"/>
        <v>8</v>
      </c>
    </row>
    <row r="41" ht="12.75" customHeight="1">
      <c r="A41" s="41"/>
      <c r="B41" s="44"/>
      <c r="C41" s="28"/>
      <c r="D41" s="13" t="s">
        <v>14</v>
      </c>
      <c r="E41" s="13">
        <f t="shared" ref="E41:W41" si="13">SUM(E39:E40)</f>
        <v>0</v>
      </c>
      <c r="F41" s="13">
        <f t="shared" si="13"/>
        <v>0</v>
      </c>
      <c r="G41" s="13">
        <f t="shared" si="13"/>
        <v>2</v>
      </c>
      <c r="H41" s="13">
        <f t="shared" si="13"/>
        <v>2</v>
      </c>
      <c r="I41" s="13">
        <f t="shared" si="13"/>
        <v>1</v>
      </c>
      <c r="J41" s="13">
        <f t="shared" si="13"/>
        <v>7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1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1</v>
      </c>
      <c r="S41" s="13">
        <f t="shared" si="13"/>
        <v>1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2"/>
        <v>15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9"/>
      <c r="O42" s="19"/>
      <c r="P42" s="19"/>
      <c r="Q42" s="19"/>
      <c r="R42" s="19"/>
      <c r="S42" s="59"/>
      <c r="T42" s="19"/>
      <c r="U42" s="19"/>
      <c r="V42" s="19"/>
      <c r="W42" s="19"/>
      <c r="X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1"/>
      <c r="O43" s="13"/>
      <c r="P43" s="13"/>
      <c r="Q43" s="13"/>
      <c r="R43" s="13"/>
      <c r="S43" s="61"/>
      <c r="T43" s="13"/>
      <c r="U43" s="13"/>
      <c r="V43" s="13"/>
      <c r="W43" s="13"/>
      <c r="X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9"/>
      <c r="O44" s="19"/>
      <c r="P44" s="19"/>
      <c r="Q44" s="19"/>
      <c r="R44" s="19"/>
      <c r="S44" s="59"/>
      <c r="T44" s="19"/>
      <c r="U44" s="19"/>
      <c r="V44" s="19"/>
      <c r="W44" s="19"/>
      <c r="X44" s="13"/>
    </row>
    <row r="45" ht="12.75" customHeight="1">
      <c r="A45" s="62"/>
      <c r="B45" s="47">
        <v>1.0</v>
      </c>
      <c r="C45" s="48" t="s">
        <v>37</v>
      </c>
      <c r="D45" s="16"/>
      <c r="E45" s="19">
        <v>6.0</v>
      </c>
      <c r="F45" s="19">
        <v>7.0</v>
      </c>
      <c r="G45" s="19">
        <v>5.0</v>
      </c>
      <c r="H45" s="19">
        <v>8.0</v>
      </c>
      <c r="I45" s="19">
        <v>7.0</v>
      </c>
      <c r="J45" s="19">
        <v>5.0</v>
      </c>
      <c r="K45" s="19">
        <v>20.0</v>
      </c>
      <c r="L45" s="19">
        <v>11.0</v>
      </c>
      <c r="M45" s="19">
        <v>27.0</v>
      </c>
      <c r="N45" s="19">
        <v>16.0</v>
      </c>
      <c r="O45" s="19">
        <v>22.0</v>
      </c>
      <c r="P45" s="19">
        <v>22.0</v>
      </c>
      <c r="Q45" s="19">
        <v>8.0</v>
      </c>
      <c r="R45" s="19">
        <v>12.0</v>
      </c>
      <c r="S45" s="19">
        <v>14.0</v>
      </c>
      <c r="T45" s="19">
        <v>12.0</v>
      </c>
      <c r="U45" s="19">
        <v>2.0</v>
      </c>
      <c r="V45" s="19">
        <v>12.0</v>
      </c>
      <c r="W45" s="19">
        <v>7.0</v>
      </c>
      <c r="X45" s="13">
        <f t="shared" ref="X45:X47" si="14">SUM(E45:W45)</f>
        <v>223</v>
      </c>
    </row>
    <row r="46" ht="12.75" customHeight="1">
      <c r="A46" s="18"/>
      <c r="B46" s="47">
        <v>2.0</v>
      </c>
      <c r="C46" s="48" t="s">
        <v>38</v>
      </c>
      <c r="D46" s="16"/>
      <c r="E46" s="19">
        <v>109.0</v>
      </c>
      <c r="F46" s="19">
        <v>111.0</v>
      </c>
      <c r="G46" s="19">
        <v>154.0</v>
      </c>
      <c r="H46" s="19">
        <v>152.0</v>
      </c>
      <c r="I46" s="19">
        <v>128.0</v>
      </c>
      <c r="J46" s="19">
        <v>165.0</v>
      </c>
      <c r="K46" s="19">
        <v>152.0</v>
      </c>
      <c r="L46" s="19">
        <v>149.0</v>
      </c>
      <c r="M46" s="19">
        <v>146.0</v>
      </c>
      <c r="N46" s="19">
        <v>129.0</v>
      </c>
      <c r="O46" s="19">
        <v>163.0</v>
      </c>
      <c r="P46" s="19">
        <v>147.0</v>
      </c>
      <c r="Q46" s="19">
        <v>178.0</v>
      </c>
      <c r="R46" s="19">
        <v>140.0</v>
      </c>
      <c r="S46" s="19">
        <v>137.0</v>
      </c>
      <c r="T46" s="19">
        <v>141.0</v>
      </c>
      <c r="U46" s="19">
        <v>134.0</v>
      </c>
      <c r="V46" s="19">
        <v>141.0</v>
      </c>
      <c r="W46" s="19">
        <v>131.0</v>
      </c>
      <c r="X46" s="13">
        <f t="shared" si="14"/>
        <v>2707</v>
      </c>
    </row>
    <row r="47" ht="12.75" customHeight="1">
      <c r="A47" s="45"/>
      <c r="B47" s="47">
        <v>3.0</v>
      </c>
      <c r="C47" s="48" t="s">
        <v>39</v>
      </c>
      <c r="D47" s="16"/>
      <c r="E47" s="19">
        <v>45.0</v>
      </c>
      <c r="F47" s="19">
        <v>30.0</v>
      </c>
      <c r="G47" s="19">
        <v>40.0</v>
      </c>
      <c r="H47" s="19">
        <v>80.0</v>
      </c>
      <c r="I47" s="19">
        <v>79.0</v>
      </c>
      <c r="J47" s="19">
        <v>40.0</v>
      </c>
      <c r="K47" s="19">
        <v>61.0</v>
      </c>
      <c r="L47" s="19">
        <v>60.0</v>
      </c>
      <c r="M47" s="19">
        <v>48.0</v>
      </c>
      <c r="N47" s="19">
        <v>72.0</v>
      </c>
      <c r="O47" s="19">
        <v>41.0</v>
      </c>
      <c r="P47" s="19">
        <v>34.0</v>
      </c>
      <c r="Q47" s="19">
        <v>50.0</v>
      </c>
      <c r="R47" s="19">
        <v>41.0</v>
      </c>
      <c r="S47" s="19">
        <v>32.0</v>
      </c>
      <c r="T47" s="19">
        <v>34.0</v>
      </c>
      <c r="U47" s="19">
        <v>12.0</v>
      </c>
      <c r="V47" s="19">
        <v>21.0</v>
      </c>
      <c r="W47" s="19">
        <v>20.0</v>
      </c>
      <c r="X47" s="13">
        <f t="shared" si="14"/>
        <v>840</v>
      </c>
    </row>
    <row r="48" ht="12.75" customHeight="1">
      <c r="X48" s="13"/>
    </row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</row>
    <row r="50" ht="12.75" customHeight="1">
      <c r="A50" s="42"/>
      <c r="B50" s="54" t="s">
        <v>42</v>
      </c>
      <c r="C50" s="55" t="s">
        <v>43</v>
      </c>
      <c r="D50" s="16"/>
      <c r="E50" s="19">
        <f t="shared" ref="E50:W50" si="15">SUM(E45:E47)</f>
        <v>160</v>
      </c>
      <c r="F50" s="19">
        <f t="shared" si="15"/>
        <v>148</v>
      </c>
      <c r="G50" s="19">
        <f t="shared" si="15"/>
        <v>199</v>
      </c>
      <c r="H50" s="19">
        <f t="shared" si="15"/>
        <v>240</v>
      </c>
      <c r="I50" s="19">
        <f t="shared" si="15"/>
        <v>214</v>
      </c>
      <c r="J50" s="19">
        <f t="shared" si="15"/>
        <v>210</v>
      </c>
      <c r="K50" s="19">
        <f t="shared" si="15"/>
        <v>233</v>
      </c>
      <c r="L50" s="19">
        <f t="shared" si="15"/>
        <v>220</v>
      </c>
      <c r="M50" s="19">
        <f t="shared" si="15"/>
        <v>221</v>
      </c>
      <c r="N50" s="19">
        <f t="shared" si="15"/>
        <v>217</v>
      </c>
      <c r="O50" s="19">
        <f t="shared" si="15"/>
        <v>226</v>
      </c>
      <c r="P50" s="19">
        <f t="shared" si="15"/>
        <v>203</v>
      </c>
      <c r="Q50" s="19">
        <f t="shared" si="15"/>
        <v>236</v>
      </c>
      <c r="R50" s="19">
        <f t="shared" si="15"/>
        <v>193</v>
      </c>
      <c r="S50" s="19">
        <f t="shared" si="15"/>
        <v>183</v>
      </c>
      <c r="T50" s="19">
        <f t="shared" si="15"/>
        <v>187</v>
      </c>
      <c r="U50" s="19">
        <f t="shared" si="15"/>
        <v>148</v>
      </c>
      <c r="V50" s="19">
        <f t="shared" si="15"/>
        <v>174</v>
      </c>
      <c r="W50" s="19">
        <f t="shared" si="15"/>
        <v>158</v>
      </c>
      <c r="X50" s="13">
        <f t="shared" ref="X50:X52" si="16">SUM(E50:W50)</f>
        <v>3770</v>
      </c>
    </row>
    <row r="51" ht="12.75" customHeight="1">
      <c r="A51" s="35"/>
      <c r="B51" s="54" t="s">
        <v>44</v>
      </c>
      <c r="C51" s="55" t="s">
        <v>45</v>
      </c>
      <c r="D51" s="16"/>
      <c r="E51" s="19">
        <v>6.0</v>
      </c>
      <c r="F51" s="19">
        <v>4.0</v>
      </c>
      <c r="G51" s="19">
        <v>2.0</v>
      </c>
      <c r="H51" s="19">
        <v>3.0</v>
      </c>
      <c r="I51" s="19">
        <v>5.0</v>
      </c>
      <c r="J51" s="19">
        <v>1.0</v>
      </c>
      <c r="K51" s="19">
        <v>5.0</v>
      </c>
      <c r="L51" s="19">
        <v>3.0</v>
      </c>
      <c r="M51" s="19">
        <v>3.0</v>
      </c>
      <c r="N51" s="19">
        <v>5.0</v>
      </c>
      <c r="O51" s="19">
        <v>2.0</v>
      </c>
      <c r="P51" s="19">
        <v>5.0</v>
      </c>
      <c r="Q51" s="19">
        <v>6.0</v>
      </c>
      <c r="R51" s="19">
        <v>7.0</v>
      </c>
      <c r="S51" s="19">
        <v>7.0</v>
      </c>
      <c r="T51" s="19">
        <v>5.0</v>
      </c>
      <c r="U51" s="19">
        <v>2.0</v>
      </c>
      <c r="V51" s="19">
        <v>2.0</v>
      </c>
      <c r="W51" s="19">
        <v>1.0</v>
      </c>
      <c r="X51" s="13">
        <f t="shared" si="16"/>
        <v>74</v>
      </c>
    </row>
    <row r="52" ht="12.75" customHeight="1">
      <c r="A52" s="41"/>
      <c r="B52" s="54" t="s">
        <v>46</v>
      </c>
      <c r="C52" s="55" t="s">
        <v>47</v>
      </c>
      <c r="D52" s="16"/>
      <c r="E52" s="13">
        <f t="shared" ref="E52:W52" si="17">SUM(E50:E51)</f>
        <v>166</v>
      </c>
      <c r="F52" s="13">
        <f t="shared" si="17"/>
        <v>152</v>
      </c>
      <c r="G52" s="13">
        <f t="shared" si="17"/>
        <v>201</v>
      </c>
      <c r="H52" s="13">
        <f t="shared" si="17"/>
        <v>243</v>
      </c>
      <c r="I52" s="13">
        <f t="shared" si="17"/>
        <v>219</v>
      </c>
      <c r="J52" s="13">
        <f t="shared" si="17"/>
        <v>211</v>
      </c>
      <c r="K52" s="13">
        <f t="shared" si="17"/>
        <v>238</v>
      </c>
      <c r="L52" s="13">
        <f t="shared" si="17"/>
        <v>223</v>
      </c>
      <c r="M52" s="13">
        <f t="shared" si="17"/>
        <v>224</v>
      </c>
      <c r="N52" s="13">
        <f t="shared" si="17"/>
        <v>222</v>
      </c>
      <c r="O52" s="13">
        <f t="shared" si="17"/>
        <v>228</v>
      </c>
      <c r="P52" s="13">
        <f t="shared" si="17"/>
        <v>208</v>
      </c>
      <c r="Q52" s="13">
        <f t="shared" si="17"/>
        <v>242</v>
      </c>
      <c r="R52" s="13">
        <f t="shared" si="17"/>
        <v>200</v>
      </c>
      <c r="S52" s="13">
        <f t="shared" si="17"/>
        <v>190</v>
      </c>
      <c r="T52" s="13">
        <f t="shared" si="17"/>
        <v>192</v>
      </c>
      <c r="U52" s="13">
        <f t="shared" si="17"/>
        <v>150</v>
      </c>
      <c r="V52" s="13">
        <f t="shared" si="17"/>
        <v>176</v>
      </c>
      <c r="W52" s="13">
        <f t="shared" si="17"/>
        <v>159</v>
      </c>
      <c r="X52" s="13">
        <f t="shared" si="16"/>
        <v>3844</v>
      </c>
    </row>
    <row r="53" ht="12.75" customHeight="1"/>
    <row r="54" ht="12.75" customHeight="1"/>
    <row r="55" ht="15.0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5.0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5.0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5.0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5.0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5.0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5.0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5.0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5.0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5.0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5.0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5.0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5.0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W12"/>
    <mergeCell ref="X12:X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34:W34">
    <cfRule type="expression" dxfId="0" priority="1">
      <formula>E34&lt;&gt;E64</formula>
    </cfRule>
  </conditionalFormatting>
  <conditionalFormatting sqref="E14:W15">
    <cfRule type="containsBlanks" dxfId="1" priority="2">
      <formula>LEN(TRIM(E14))=0</formula>
    </cfRule>
  </conditionalFormatting>
  <conditionalFormatting sqref="E19:W20">
    <cfRule type="containsBlanks" dxfId="1" priority="3">
      <formula>LEN(TRIM(E19))=0</formula>
    </cfRule>
  </conditionalFormatting>
  <conditionalFormatting sqref="E22:W23 E25:W26 E33:W33 E35:W35 E39:W40">
    <cfRule type="containsBlanks" dxfId="1" priority="4">
      <formula>LEN(TRIM(E22))=0</formula>
    </cfRule>
  </conditionalFormatting>
  <conditionalFormatting sqref="E30:W30">
    <cfRule type="expression" dxfId="0" priority="5">
      <formula>E30&lt;&gt;E47</formula>
    </cfRule>
  </conditionalFormatting>
  <conditionalFormatting sqref="E30:W30">
    <cfRule type="expression" dxfId="0" priority="6">
      <formula>E30&lt;&gt;E34</formula>
    </cfRule>
  </conditionalFormatting>
  <conditionalFormatting sqref="E34:W34">
    <cfRule type="expression" dxfId="2" priority="7">
      <formula>E30&lt;&gt;E34</formula>
    </cfRule>
  </conditionalFormatting>
  <conditionalFormatting sqref="E34:W34">
    <cfRule type="expression" dxfId="3" priority="8">
      <formula>E30=E34</formula>
    </cfRule>
  </conditionalFormatting>
  <conditionalFormatting sqref="E34:W34">
    <cfRule type="expression" dxfId="0" priority="9">
      <formula>E34&lt;&gt;E30</formula>
    </cfRule>
  </conditionalFormatting>
  <conditionalFormatting sqref="E45:W47">
    <cfRule type="containsBlanks" dxfId="1" priority="10">
      <formula>LEN(TRIM(E45))=0</formula>
    </cfRule>
  </conditionalFormatting>
  <conditionalFormatting sqref="E50:W51">
    <cfRule type="containsBlanks" dxfId="1" priority="11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49" width="8.71"/>
    <col customWidth="1" min="50" max="50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98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  <c r="AG11" s="1"/>
      <c r="AH11" s="2"/>
      <c r="AI11" s="1"/>
      <c r="AJ11" s="1"/>
      <c r="AK11" s="1"/>
      <c r="AL11" s="1"/>
      <c r="AM11" s="2"/>
      <c r="AN11" s="1"/>
      <c r="AO11" s="1"/>
      <c r="AP11" s="1"/>
      <c r="AQ11" s="1"/>
      <c r="AR11" s="2"/>
      <c r="AS11" s="1"/>
      <c r="AT11" s="1"/>
      <c r="AU11" s="1"/>
      <c r="AV11" s="1"/>
      <c r="AW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5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13" t="s">
        <v>66</v>
      </c>
      <c r="V13" s="13" t="s">
        <v>67</v>
      </c>
      <c r="W13" s="13" t="s">
        <v>68</v>
      </c>
      <c r="X13" s="13" t="s">
        <v>69</v>
      </c>
      <c r="Y13" s="13" t="s">
        <v>70</v>
      </c>
      <c r="Z13" s="13" t="s">
        <v>71</v>
      </c>
      <c r="AA13" s="13" t="s">
        <v>72</v>
      </c>
      <c r="AB13" s="13" t="s">
        <v>73</v>
      </c>
      <c r="AC13" s="13" t="s">
        <v>74</v>
      </c>
      <c r="AD13" s="13" t="s">
        <v>75</v>
      </c>
      <c r="AE13" s="13" t="s">
        <v>76</v>
      </c>
      <c r="AF13" s="13" t="s">
        <v>77</v>
      </c>
      <c r="AG13" s="13" t="s">
        <v>78</v>
      </c>
      <c r="AH13" s="13" t="s">
        <v>79</v>
      </c>
      <c r="AI13" s="13" t="s">
        <v>80</v>
      </c>
      <c r="AJ13" s="13" t="s">
        <v>81</v>
      </c>
      <c r="AK13" s="13" t="s">
        <v>82</v>
      </c>
      <c r="AL13" s="13" t="s">
        <v>83</v>
      </c>
      <c r="AM13" s="13" t="s">
        <v>84</v>
      </c>
      <c r="AN13" s="13" t="s">
        <v>85</v>
      </c>
      <c r="AO13" s="13" t="s">
        <v>86</v>
      </c>
      <c r="AP13" s="13" t="s">
        <v>87</v>
      </c>
      <c r="AQ13" s="13" t="s">
        <v>88</v>
      </c>
      <c r="AR13" s="13" t="s">
        <v>89</v>
      </c>
      <c r="AS13" s="13" t="s">
        <v>90</v>
      </c>
      <c r="AT13" s="13" t="s">
        <v>91</v>
      </c>
      <c r="AU13" s="13" t="s">
        <v>92</v>
      </c>
      <c r="AV13" s="13" t="s">
        <v>93</v>
      </c>
      <c r="AW13" s="13" t="s">
        <v>94</v>
      </c>
      <c r="AX13" s="36"/>
    </row>
    <row r="14" ht="12.75" customHeight="1">
      <c r="A14" s="18"/>
      <c r="B14" s="22" t="s">
        <v>11</v>
      </c>
      <c r="C14" s="23"/>
      <c r="D14" s="19" t="s">
        <v>12</v>
      </c>
      <c r="E14" s="19">
        <v>137.0</v>
      </c>
      <c r="F14" s="19">
        <v>149.0</v>
      </c>
      <c r="G14" s="19">
        <v>147.0</v>
      </c>
      <c r="H14" s="19">
        <v>151.0</v>
      </c>
      <c r="I14" s="19">
        <v>145.0</v>
      </c>
      <c r="J14" s="19">
        <v>148.0</v>
      </c>
      <c r="K14" s="19">
        <v>145.0</v>
      </c>
      <c r="L14" s="19">
        <v>133.0</v>
      </c>
      <c r="M14" s="19">
        <v>129.0</v>
      </c>
      <c r="N14" s="19">
        <v>139.0</v>
      </c>
      <c r="O14" s="19">
        <v>143.0</v>
      </c>
      <c r="P14" s="19">
        <v>143.0</v>
      </c>
      <c r="Q14" s="19">
        <v>142.0</v>
      </c>
      <c r="R14" s="19">
        <v>131.0</v>
      </c>
      <c r="S14" s="19">
        <v>108.0</v>
      </c>
      <c r="T14" s="19">
        <v>97.0</v>
      </c>
      <c r="U14" s="19">
        <v>120.0</v>
      </c>
      <c r="V14" s="19">
        <v>123.0</v>
      </c>
      <c r="W14" s="19">
        <v>133.0</v>
      </c>
      <c r="X14" s="19">
        <v>134.0</v>
      </c>
      <c r="Y14" s="19">
        <v>129.0</v>
      </c>
      <c r="Z14" s="19">
        <v>149.0</v>
      </c>
      <c r="AA14" s="19">
        <v>134.0</v>
      </c>
      <c r="AB14" s="19">
        <v>141.0</v>
      </c>
      <c r="AC14" s="19">
        <v>132.0</v>
      </c>
      <c r="AD14" s="19">
        <v>150.0</v>
      </c>
      <c r="AE14" s="19">
        <v>129.0</v>
      </c>
      <c r="AF14" s="19">
        <v>96.0</v>
      </c>
      <c r="AG14" s="19">
        <v>138.0</v>
      </c>
      <c r="AH14" s="19">
        <v>125.0</v>
      </c>
      <c r="AI14" s="19">
        <v>142.0</v>
      </c>
      <c r="AJ14" s="19">
        <v>149.0</v>
      </c>
      <c r="AK14" s="19">
        <v>153.0</v>
      </c>
      <c r="AL14" s="19">
        <v>140.0</v>
      </c>
      <c r="AM14" s="19">
        <v>153.0</v>
      </c>
      <c r="AN14" s="19">
        <v>140.0</v>
      </c>
      <c r="AO14" s="19">
        <v>135.0</v>
      </c>
      <c r="AP14" s="19">
        <v>128.0</v>
      </c>
      <c r="AQ14" s="19">
        <v>149.0</v>
      </c>
      <c r="AR14" s="19">
        <v>114.0</v>
      </c>
      <c r="AS14" s="19">
        <v>114.0</v>
      </c>
      <c r="AT14" s="19">
        <v>120.0</v>
      </c>
      <c r="AU14" s="19">
        <v>127.0</v>
      </c>
      <c r="AV14" s="19">
        <v>140.0</v>
      </c>
      <c r="AW14" s="19">
        <v>144.0</v>
      </c>
      <c r="AX14" s="13">
        <f t="shared" ref="AX14:AX16" si="1">SUM(E14:AW14)</f>
        <v>6068</v>
      </c>
    </row>
    <row r="15" ht="12.75" customHeight="1">
      <c r="A15" s="18"/>
      <c r="B15" s="26"/>
      <c r="C15" s="27"/>
      <c r="D15" s="19" t="s">
        <v>13</v>
      </c>
      <c r="E15" s="19">
        <v>153.0</v>
      </c>
      <c r="F15" s="19">
        <v>143.0</v>
      </c>
      <c r="G15" s="19">
        <v>149.0</v>
      </c>
      <c r="H15" s="19">
        <v>144.0</v>
      </c>
      <c r="I15" s="19">
        <v>150.0</v>
      </c>
      <c r="J15" s="19">
        <v>147.0</v>
      </c>
      <c r="K15" s="19">
        <v>142.0</v>
      </c>
      <c r="L15" s="19">
        <v>146.0</v>
      </c>
      <c r="M15" s="19">
        <v>123.0</v>
      </c>
      <c r="N15" s="19">
        <v>157.0</v>
      </c>
      <c r="O15" s="19">
        <v>144.0</v>
      </c>
      <c r="P15" s="19">
        <v>142.0</v>
      </c>
      <c r="Q15" s="19">
        <v>146.0</v>
      </c>
      <c r="R15" s="19">
        <v>137.0</v>
      </c>
      <c r="S15" s="19">
        <v>109.0</v>
      </c>
      <c r="T15" s="19">
        <v>90.0</v>
      </c>
      <c r="U15" s="19">
        <v>102.0</v>
      </c>
      <c r="V15" s="19">
        <v>117.0</v>
      </c>
      <c r="W15" s="19">
        <v>126.0</v>
      </c>
      <c r="X15" s="19">
        <v>118.0</v>
      </c>
      <c r="Y15" s="19">
        <v>131.0</v>
      </c>
      <c r="Z15" s="19">
        <v>137.0</v>
      </c>
      <c r="AA15" s="19">
        <v>127.0</v>
      </c>
      <c r="AB15" s="19">
        <v>121.0</v>
      </c>
      <c r="AC15" s="19">
        <v>149.0</v>
      </c>
      <c r="AD15" s="19">
        <v>138.0</v>
      </c>
      <c r="AE15" s="19">
        <v>125.0</v>
      </c>
      <c r="AF15" s="19">
        <v>91.0</v>
      </c>
      <c r="AG15" s="19">
        <v>142.0</v>
      </c>
      <c r="AH15" s="19">
        <v>123.0</v>
      </c>
      <c r="AI15" s="19">
        <v>145.0</v>
      </c>
      <c r="AJ15" s="19">
        <v>144.0</v>
      </c>
      <c r="AK15" s="19">
        <v>144.0</v>
      </c>
      <c r="AL15" s="19">
        <v>145.0</v>
      </c>
      <c r="AM15" s="19">
        <v>134.0</v>
      </c>
      <c r="AN15" s="19">
        <v>143.0</v>
      </c>
      <c r="AO15" s="19">
        <v>149.0</v>
      </c>
      <c r="AP15" s="19">
        <v>111.0</v>
      </c>
      <c r="AQ15" s="19">
        <v>141.0</v>
      </c>
      <c r="AR15" s="19">
        <v>117.0</v>
      </c>
      <c r="AS15" s="19">
        <v>110.0</v>
      </c>
      <c r="AT15" s="19">
        <v>102.0</v>
      </c>
      <c r="AU15" s="19">
        <v>127.0</v>
      </c>
      <c r="AV15" s="19">
        <v>139.0</v>
      </c>
      <c r="AW15" s="19">
        <v>133.0</v>
      </c>
      <c r="AX15" s="13">
        <f t="shared" si="1"/>
        <v>5953</v>
      </c>
    </row>
    <row r="16" ht="12.75" customHeight="1">
      <c r="A16" s="25"/>
      <c r="B16" s="21"/>
      <c r="C16" s="28"/>
      <c r="D16" s="13" t="s">
        <v>14</v>
      </c>
      <c r="E16" s="13">
        <f t="shared" ref="E16:AW16" si="2">SUM(E14:E15)</f>
        <v>290</v>
      </c>
      <c r="F16" s="13">
        <f t="shared" si="2"/>
        <v>292</v>
      </c>
      <c r="G16" s="13">
        <f t="shared" si="2"/>
        <v>296</v>
      </c>
      <c r="H16" s="13">
        <f t="shared" si="2"/>
        <v>295</v>
      </c>
      <c r="I16" s="13">
        <f t="shared" si="2"/>
        <v>295</v>
      </c>
      <c r="J16" s="13">
        <f t="shared" si="2"/>
        <v>295</v>
      </c>
      <c r="K16" s="13">
        <f t="shared" si="2"/>
        <v>287</v>
      </c>
      <c r="L16" s="13">
        <f t="shared" si="2"/>
        <v>279</v>
      </c>
      <c r="M16" s="13">
        <f t="shared" si="2"/>
        <v>252</v>
      </c>
      <c r="N16" s="13">
        <f t="shared" si="2"/>
        <v>296</v>
      </c>
      <c r="O16" s="13">
        <f t="shared" si="2"/>
        <v>287</v>
      </c>
      <c r="P16" s="13">
        <f t="shared" si="2"/>
        <v>285</v>
      </c>
      <c r="Q16" s="13">
        <f t="shared" si="2"/>
        <v>288</v>
      </c>
      <c r="R16" s="13">
        <f t="shared" si="2"/>
        <v>268</v>
      </c>
      <c r="S16" s="13">
        <f t="shared" si="2"/>
        <v>217</v>
      </c>
      <c r="T16" s="13">
        <f t="shared" si="2"/>
        <v>187</v>
      </c>
      <c r="U16" s="13">
        <f t="shared" si="2"/>
        <v>222</v>
      </c>
      <c r="V16" s="13">
        <f t="shared" si="2"/>
        <v>240</v>
      </c>
      <c r="W16" s="13">
        <f t="shared" si="2"/>
        <v>259</v>
      </c>
      <c r="X16" s="13">
        <f t="shared" si="2"/>
        <v>252</v>
      </c>
      <c r="Y16" s="13">
        <f t="shared" si="2"/>
        <v>260</v>
      </c>
      <c r="Z16" s="13">
        <f t="shared" si="2"/>
        <v>286</v>
      </c>
      <c r="AA16" s="13">
        <f t="shared" si="2"/>
        <v>261</v>
      </c>
      <c r="AB16" s="13">
        <f t="shared" si="2"/>
        <v>262</v>
      </c>
      <c r="AC16" s="13">
        <f t="shared" si="2"/>
        <v>281</v>
      </c>
      <c r="AD16" s="13">
        <f t="shared" si="2"/>
        <v>288</v>
      </c>
      <c r="AE16" s="13">
        <f t="shared" si="2"/>
        <v>254</v>
      </c>
      <c r="AF16" s="13">
        <f t="shared" si="2"/>
        <v>187</v>
      </c>
      <c r="AG16" s="13">
        <f t="shared" si="2"/>
        <v>280</v>
      </c>
      <c r="AH16" s="13">
        <f t="shared" si="2"/>
        <v>248</v>
      </c>
      <c r="AI16" s="13">
        <f t="shared" si="2"/>
        <v>287</v>
      </c>
      <c r="AJ16" s="13">
        <f t="shared" si="2"/>
        <v>293</v>
      </c>
      <c r="AK16" s="13">
        <f t="shared" si="2"/>
        <v>297</v>
      </c>
      <c r="AL16" s="13">
        <f t="shared" si="2"/>
        <v>285</v>
      </c>
      <c r="AM16" s="13">
        <f t="shared" si="2"/>
        <v>287</v>
      </c>
      <c r="AN16" s="13">
        <f t="shared" si="2"/>
        <v>283</v>
      </c>
      <c r="AO16" s="13">
        <f t="shared" si="2"/>
        <v>284</v>
      </c>
      <c r="AP16" s="13">
        <f t="shared" si="2"/>
        <v>239</v>
      </c>
      <c r="AQ16" s="13">
        <f t="shared" si="2"/>
        <v>290</v>
      </c>
      <c r="AR16" s="13">
        <f t="shared" si="2"/>
        <v>231</v>
      </c>
      <c r="AS16" s="13">
        <f t="shared" si="2"/>
        <v>224</v>
      </c>
      <c r="AT16" s="13">
        <f t="shared" si="2"/>
        <v>222</v>
      </c>
      <c r="AU16" s="13">
        <f t="shared" si="2"/>
        <v>254</v>
      </c>
      <c r="AV16" s="13">
        <f t="shared" si="2"/>
        <v>279</v>
      </c>
      <c r="AW16" s="13">
        <f t="shared" si="2"/>
        <v>277</v>
      </c>
      <c r="AX16" s="13">
        <f t="shared" si="1"/>
        <v>12021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9"/>
      <c r="O17" s="19"/>
      <c r="P17" s="19"/>
      <c r="Q17" s="19"/>
      <c r="R17" s="19"/>
      <c r="S17" s="59"/>
      <c r="T17" s="19"/>
      <c r="U17" s="19"/>
      <c r="V17" s="19"/>
      <c r="W17" s="19"/>
      <c r="X17" s="59"/>
      <c r="Y17" s="19"/>
      <c r="Z17" s="19"/>
      <c r="AA17" s="19"/>
      <c r="AB17" s="19"/>
      <c r="AC17" s="59"/>
      <c r="AD17" s="19"/>
      <c r="AE17" s="19"/>
      <c r="AF17" s="19"/>
      <c r="AG17" s="19"/>
      <c r="AH17" s="59"/>
      <c r="AI17" s="19"/>
      <c r="AJ17" s="19"/>
      <c r="AK17" s="19"/>
      <c r="AL17" s="19"/>
      <c r="AM17" s="59"/>
      <c r="AN17" s="19"/>
      <c r="AO17" s="19"/>
      <c r="AP17" s="19"/>
      <c r="AQ17" s="19"/>
      <c r="AR17" s="59"/>
      <c r="AS17" s="19"/>
      <c r="AT17" s="19"/>
      <c r="AU17" s="19"/>
      <c r="AV17" s="19"/>
      <c r="AW17" s="59"/>
      <c r="AX17" s="60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9"/>
      <c r="O18" s="19"/>
      <c r="P18" s="19"/>
      <c r="Q18" s="19"/>
      <c r="R18" s="19"/>
      <c r="S18" s="59"/>
      <c r="T18" s="19"/>
      <c r="U18" s="19"/>
      <c r="V18" s="19"/>
      <c r="W18" s="19"/>
      <c r="X18" s="59"/>
      <c r="Y18" s="19"/>
      <c r="Z18" s="19"/>
      <c r="AA18" s="19"/>
      <c r="AB18" s="19"/>
      <c r="AC18" s="59"/>
      <c r="AD18" s="19"/>
      <c r="AE18" s="19"/>
      <c r="AF18" s="19"/>
      <c r="AG18" s="19"/>
      <c r="AH18" s="59"/>
      <c r="AI18" s="19"/>
      <c r="AJ18" s="19"/>
      <c r="AK18" s="19"/>
      <c r="AL18" s="19"/>
      <c r="AM18" s="59"/>
      <c r="AN18" s="19"/>
      <c r="AO18" s="19"/>
      <c r="AP18" s="19"/>
      <c r="AQ18" s="19"/>
      <c r="AR18" s="59"/>
      <c r="AS18" s="19"/>
      <c r="AT18" s="19"/>
      <c r="AU18" s="19"/>
      <c r="AV18" s="19"/>
      <c r="AW18" s="59"/>
      <c r="AX18" s="60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111.0</v>
      </c>
      <c r="F19" s="19">
        <v>119.0</v>
      </c>
      <c r="G19" s="19">
        <v>117.0</v>
      </c>
      <c r="H19" s="19">
        <v>120.0</v>
      </c>
      <c r="I19" s="19">
        <v>107.0</v>
      </c>
      <c r="J19" s="19">
        <v>112.0</v>
      </c>
      <c r="K19" s="19">
        <v>111.0</v>
      </c>
      <c r="L19" s="19">
        <v>93.0</v>
      </c>
      <c r="M19" s="19">
        <v>91.0</v>
      </c>
      <c r="N19" s="19">
        <v>106.0</v>
      </c>
      <c r="O19" s="19">
        <v>108.0</v>
      </c>
      <c r="P19" s="19">
        <v>93.0</v>
      </c>
      <c r="Q19" s="19">
        <v>105.0</v>
      </c>
      <c r="R19" s="19">
        <v>108.0</v>
      </c>
      <c r="S19" s="19">
        <v>82.0</v>
      </c>
      <c r="T19" s="19">
        <v>73.0</v>
      </c>
      <c r="U19" s="19">
        <v>96.0</v>
      </c>
      <c r="V19" s="19">
        <v>89.0</v>
      </c>
      <c r="W19" s="19">
        <v>102.0</v>
      </c>
      <c r="X19" s="19">
        <v>112.0</v>
      </c>
      <c r="Y19" s="19">
        <v>104.0</v>
      </c>
      <c r="Z19" s="19">
        <v>112.0</v>
      </c>
      <c r="AA19" s="19">
        <v>106.0</v>
      </c>
      <c r="AB19" s="19">
        <v>114.0</v>
      </c>
      <c r="AC19" s="19">
        <v>104.0</v>
      </c>
      <c r="AD19" s="19">
        <v>120.0</v>
      </c>
      <c r="AE19" s="19">
        <v>92.0</v>
      </c>
      <c r="AF19" s="19">
        <v>87.0</v>
      </c>
      <c r="AG19" s="19">
        <v>109.0</v>
      </c>
      <c r="AH19" s="19">
        <v>98.0</v>
      </c>
      <c r="AI19" s="19">
        <v>108.0</v>
      </c>
      <c r="AJ19" s="19">
        <v>108.0</v>
      </c>
      <c r="AK19" s="19">
        <v>119.0</v>
      </c>
      <c r="AL19" s="19">
        <v>101.0</v>
      </c>
      <c r="AM19" s="19">
        <v>99.0</v>
      </c>
      <c r="AN19" s="19">
        <v>109.0</v>
      </c>
      <c r="AO19" s="19">
        <v>114.0</v>
      </c>
      <c r="AP19" s="19">
        <v>91.0</v>
      </c>
      <c r="AQ19" s="19">
        <v>105.0</v>
      </c>
      <c r="AR19" s="19">
        <v>77.0</v>
      </c>
      <c r="AS19" s="19">
        <v>75.0</v>
      </c>
      <c r="AT19" s="19">
        <v>87.0</v>
      </c>
      <c r="AU19" s="19">
        <v>84.0</v>
      </c>
      <c r="AV19" s="19">
        <v>110.0</v>
      </c>
      <c r="AW19" s="19">
        <v>106.0</v>
      </c>
      <c r="AX19" s="13">
        <f t="shared" ref="AX19:AX30" si="3">SUM(E19:AW19)</f>
        <v>4594</v>
      </c>
    </row>
    <row r="20" ht="12.75" customHeight="1">
      <c r="A20" s="33"/>
      <c r="B20" s="27"/>
      <c r="C20" s="34"/>
      <c r="D20" s="19" t="s">
        <v>13</v>
      </c>
      <c r="E20" s="19">
        <v>112.0</v>
      </c>
      <c r="F20" s="19">
        <v>113.0</v>
      </c>
      <c r="G20" s="19">
        <v>116.0</v>
      </c>
      <c r="H20" s="19">
        <v>116.0</v>
      </c>
      <c r="I20" s="19">
        <v>115.0</v>
      </c>
      <c r="J20" s="19">
        <v>114.0</v>
      </c>
      <c r="K20" s="19">
        <v>108.0</v>
      </c>
      <c r="L20" s="19">
        <v>109.0</v>
      </c>
      <c r="M20" s="19">
        <v>92.0</v>
      </c>
      <c r="N20" s="19">
        <v>142.0</v>
      </c>
      <c r="O20" s="19">
        <v>114.0</v>
      </c>
      <c r="P20" s="19">
        <v>101.0</v>
      </c>
      <c r="Q20" s="19">
        <v>109.0</v>
      </c>
      <c r="R20" s="19">
        <v>114.0</v>
      </c>
      <c r="S20" s="19">
        <v>81.0</v>
      </c>
      <c r="T20" s="19">
        <v>73.0</v>
      </c>
      <c r="U20" s="19">
        <v>89.0</v>
      </c>
      <c r="V20" s="19">
        <v>72.0</v>
      </c>
      <c r="W20" s="19">
        <v>101.0</v>
      </c>
      <c r="X20" s="19">
        <v>96.0</v>
      </c>
      <c r="Y20" s="19">
        <v>106.0</v>
      </c>
      <c r="Z20" s="19">
        <v>109.0</v>
      </c>
      <c r="AA20" s="19">
        <v>88.0</v>
      </c>
      <c r="AB20" s="19">
        <v>96.0</v>
      </c>
      <c r="AC20" s="19">
        <v>120.0</v>
      </c>
      <c r="AD20" s="19">
        <v>108.0</v>
      </c>
      <c r="AE20" s="19">
        <v>102.0</v>
      </c>
      <c r="AF20" s="19">
        <v>76.0</v>
      </c>
      <c r="AG20" s="19">
        <v>108.0</v>
      </c>
      <c r="AH20" s="19">
        <v>100.0</v>
      </c>
      <c r="AI20" s="19">
        <v>111.0</v>
      </c>
      <c r="AJ20" s="19">
        <v>113.0</v>
      </c>
      <c r="AK20" s="19">
        <v>115.0</v>
      </c>
      <c r="AL20" s="19">
        <v>114.0</v>
      </c>
      <c r="AM20" s="19">
        <v>95.0</v>
      </c>
      <c r="AN20" s="19">
        <v>114.0</v>
      </c>
      <c r="AO20" s="19">
        <v>117.0</v>
      </c>
      <c r="AP20" s="19">
        <v>84.0</v>
      </c>
      <c r="AQ20" s="19">
        <v>117.0</v>
      </c>
      <c r="AR20" s="19">
        <v>88.0</v>
      </c>
      <c r="AS20" s="19">
        <v>81.0</v>
      </c>
      <c r="AT20" s="19">
        <v>80.0</v>
      </c>
      <c r="AU20" s="19">
        <v>92.0</v>
      </c>
      <c r="AV20" s="19">
        <v>110.0</v>
      </c>
      <c r="AW20" s="19">
        <v>91.0</v>
      </c>
      <c r="AX20" s="13">
        <f t="shared" si="3"/>
        <v>4622</v>
      </c>
    </row>
    <row r="21" ht="12.75" customHeight="1">
      <c r="A21" s="35"/>
      <c r="B21" s="28"/>
      <c r="C21" s="36"/>
      <c r="D21" s="13" t="s">
        <v>14</v>
      </c>
      <c r="E21" s="13">
        <f t="shared" ref="E21:AW21" si="4">SUM(E19:E20)</f>
        <v>223</v>
      </c>
      <c r="F21" s="13">
        <f t="shared" si="4"/>
        <v>232</v>
      </c>
      <c r="G21" s="13">
        <f t="shared" si="4"/>
        <v>233</v>
      </c>
      <c r="H21" s="13">
        <f t="shared" si="4"/>
        <v>236</v>
      </c>
      <c r="I21" s="13">
        <f t="shared" si="4"/>
        <v>222</v>
      </c>
      <c r="J21" s="13">
        <f t="shared" si="4"/>
        <v>226</v>
      </c>
      <c r="K21" s="13">
        <f t="shared" si="4"/>
        <v>219</v>
      </c>
      <c r="L21" s="13">
        <f t="shared" si="4"/>
        <v>202</v>
      </c>
      <c r="M21" s="13">
        <f t="shared" si="4"/>
        <v>183</v>
      </c>
      <c r="N21" s="13">
        <f t="shared" si="4"/>
        <v>248</v>
      </c>
      <c r="O21" s="13">
        <f t="shared" si="4"/>
        <v>222</v>
      </c>
      <c r="P21" s="13">
        <f t="shared" si="4"/>
        <v>194</v>
      </c>
      <c r="Q21" s="13">
        <f t="shared" si="4"/>
        <v>214</v>
      </c>
      <c r="R21" s="13">
        <f t="shared" si="4"/>
        <v>222</v>
      </c>
      <c r="S21" s="13">
        <f t="shared" si="4"/>
        <v>163</v>
      </c>
      <c r="T21" s="13">
        <f t="shared" si="4"/>
        <v>146</v>
      </c>
      <c r="U21" s="13">
        <f t="shared" si="4"/>
        <v>185</v>
      </c>
      <c r="V21" s="13">
        <f t="shared" si="4"/>
        <v>161</v>
      </c>
      <c r="W21" s="13">
        <f t="shared" si="4"/>
        <v>203</v>
      </c>
      <c r="X21" s="13">
        <f t="shared" si="4"/>
        <v>208</v>
      </c>
      <c r="Y21" s="13">
        <f t="shared" si="4"/>
        <v>210</v>
      </c>
      <c r="Z21" s="13">
        <f t="shared" si="4"/>
        <v>221</v>
      </c>
      <c r="AA21" s="13">
        <f t="shared" si="4"/>
        <v>194</v>
      </c>
      <c r="AB21" s="13">
        <f t="shared" si="4"/>
        <v>210</v>
      </c>
      <c r="AC21" s="13">
        <f t="shared" si="4"/>
        <v>224</v>
      </c>
      <c r="AD21" s="13">
        <f t="shared" si="4"/>
        <v>228</v>
      </c>
      <c r="AE21" s="13">
        <f t="shared" si="4"/>
        <v>194</v>
      </c>
      <c r="AF21" s="13">
        <f t="shared" si="4"/>
        <v>163</v>
      </c>
      <c r="AG21" s="13">
        <f t="shared" si="4"/>
        <v>217</v>
      </c>
      <c r="AH21" s="13">
        <f t="shared" si="4"/>
        <v>198</v>
      </c>
      <c r="AI21" s="13">
        <f t="shared" si="4"/>
        <v>219</v>
      </c>
      <c r="AJ21" s="13">
        <f t="shared" si="4"/>
        <v>221</v>
      </c>
      <c r="AK21" s="13">
        <f t="shared" si="4"/>
        <v>234</v>
      </c>
      <c r="AL21" s="13">
        <f t="shared" si="4"/>
        <v>215</v>
      </c>
      <c r="AM21" s="13">
        <f t="shared" si="4"/>
        <v>194</v>
      </c>
      <c r="AN21" s="13">
        <f t="shared" si="4"/>
        <v>223</v>
      </c>
      <c r="AO21" s="13">
        <f t="shared" si="4"/>
        <v>231</v>
      </c>
      <c r="AP21" s="13">
        <f t="shared" si="4"/>
        <v>175</v>
      </c>
      <c r="AQ21" s="13">
        <f t="shared" si="4"/>
        <v>222</v>
      </c>
      <c r="AR21" s="13">
        <f t="shared" si="4"/>
        <v>165</v>
      </c>
      <c r="AS21" s="13">
        <f t="shared" si="4"/>
        <v>156</v>
      </c>
      <c r="AT21" s="13">
        <f t="shared" si="4"/>
        <v>167</v>
      </c>
      <c r="AU21" s="13">
        <f t="shared" si="4"/>
        <v>176</v>
      </c>
      <c r="AV21" s="13">
        <f t="shared" si="4"/>
        <v>220</v>
      </c>
      <c r="AW21" s="13">
        <f t="shared" si="4"/>
        <v>197</v>
      </c>
      <c r="AX21" s="13">
        <f t="shared" si="3"/>
        <v>9216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1.0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3.0</v>
      </c>
      <c r="O22" s="19">
        <v>2.0</v>
      </c>
      <c r="P22" s="19">
        <v>11.0</v>
      </c>
      <c r="Q22" s="19">
        <v>8.0</v>
      </c>
      <c r="R22" s="19">
        <v>10.0</v>
      </c>
      <c r="S22" s="19">
        <v>9.0</v>
      </c>
      <c r="T22" s="19">
        <v>6.0</v>
      </c>
      <c r="U22" s="19">
        <v>4.0</v>
      </c>
      <c r="V22" s="19">
        <v>0.0</v>
      </c>
      <c r="W22" s="19">
        <v>5.0</v>
      </c>
      <c r="X22" s="19">
        <v>4.0</v>
      </c>
      <c r="Y22" s="19">
        <v>7.0</v>
      </c>
      <c r="Z22" s="19">
        <v>0.0</v>
      </c>
      <c r="AA22" s="19">
        <v>1.0</v>
      </c>
      <c r="AB22" s="19">
        <v>1.0</v>
      </c>
      <c r="AC22" s="19">
        <v>0.0</v>
      </c>
      <c r="AD22" s="19">
        <v>3.0</v>
      </c>
      <c r="AE22" s="19">
        <v>9.0</v>
      </c>
      <c r="AF22" s="19">
        <v>10.0</v>
      </c>
      <c r="AG22" s="19">
        <v>14.0</v>
      </c>
      <c r="AH22" s="19">
        <v>9.0</v>
      </c>
      <c r="AI22" s="19">
        <v>3.0</v>
      </c>
      <c r="AJ22" s="19">
        <v>10.0</v>
      </c>
      <c r="AK22" s="19">
        <v>5.0</v>
      </c>
      <c r="AL22" s="19">
        <v>0.0</v>
      </c>
      <c r="AM22" s="19">
        <v>0.0</v>
      </c>
      <c r="AN22" s="19">
        <v>0.0</v>
      </c>
      <c r="AO22" s="19">
        <v>0.0</v>
      </c>
      <c r="AP22" s="19">
        <v>0.0</v>
      </c>
      <c r="AQ22" s="19">
        <v>0.0</v>
      </c>
      <c r="AR22" s="19">
        <v>0.0</v>
      </c>
      <c r="AS22" s="19">
        <v>0.0</v>
      </c>
      <c r="AT22" s="19">
        <v>0.0</v>
      </c>
      <c r="AU22" s="19">
        <v>0.0</v>
      </c>
      <c r="AV22" s="19">
        <v>0.0</v>
      </c>
      <c r="AW22" s="19">
        <v>0.0</v>
      </c>
      <c r="AX22" s="13">
        <f t="shared" si="3"/>
        <v>135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2.0</v>
      </c>
      <c r="P23" s="19">
        <v>0.0</v>
      </c>
      <c r="Q23" s="19">
        <v>3.0</v>
      </c>
      <c r="R23" s="19">
        <v>2.0</v>
      </c>
      <c r="S23" s="19">
        <v>1.0</v>
      </c>
      <c r="T23" s="19">
        <v>2.0</v>
      </c>
      <c r="U23" s="19">
        <v>2.0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1.0</v>
      </c>
      <c r="AC23" s="19">
        <v>0.0</v>
      </c>
      <c r="AD23" s="19">
        <v>0.0</v>
      </c>
      <c r="AE23" s="19">
        <v>3.0</v>
      </c>
      <c r="AF23" s="19">
        <v>0.0</v>
      </c>
      <c r="AG23" s="19">
        <v>0.0</v>
      </c>
      <c r="AH23" s="19">
        <v>0.0</v>
      </c>
      <c r="AI23" s="19">
        <v>3.0</v>
      </c>
      <c r="AJ23" s="19">
        <v>0.0</v>
      </c>
      <c r="AK23" s="19">
        <v>0.0</v>
      </c>
      <c r="AL23" s="19">
        <v>0.0</v>
      </c>
      <c r="AM23" s="19">
        <v>0.0</v>
      </c>
      <c r="AN23" s="19">
        <v>0.0</v>
      </c>
      <c r="AO23" s="19">
        <v>0.0</v>
      </c>
      <c r="AP23" s="19">
        <v>0.0</v>
      </c>
      <c r="AQ23" s="19">
        <v>0.0</v>
      </c>
      <c r="AR23" s="19">
        <v>0.0</v>
      </c>
      <c r="AS23" s="19">
        <v>0.0</v>
      </c>
      <c r="AT23" s="19">
        <v>0.0</v>
      </c>
      <c r="AU23" s="19">
        <v>0.0</v>
      </c>
      <c r="AV23" s="19">
        <v>0.0</v>
      </c>
      <c r="AW23" s="19">
        <v>0.0</v>
      </c>
      <c r="AX23" s="13">
        <f t="shared" si="3"/>
        <v>19</v>
      </c>
    </row>
    <row r="24" ht="12.75" customHeight="1">
      <c r="A24" s="35"/>
      <c r="B24" s="28"/>
      <c r="C24" s="36"/>
      <c r="D24" s="13" t="s">
        <v>14</v>
      </c>
      <c r="E24" s="13">
        <f t="shared" ref="E24:AW24" si="5">SUM(E22:E23)</f>
        <v>0</v>
      </c>
      <c r="F24" s="13">
        <f t="shared" si="5"/>
        <v>1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3</v>
      </c>
      <c r="O24" s="13">
        <f t="shared" si="5"/>
        <v>4</v>
      </c>
      <c r="P24" s="13">
        <f t="shared" si="5"/>
        <v>11</v>
      </c>
      <c r="Q24" s="13">
        <f t="shared" si="5"/>
        <v>11</v>
      </c>
      <c r="R24" s="13">
        <f t="shared" si="5"/>
        <v>12</v>
      </c>
      <c r="S24" s="13">
        <f t="shared" si="5"/>
        <v>10</v>
      </c>
      <c r="T24" s="13">
        <f t="shared" si="5"/>
        <v>8</v>
      </c>
      <c r="U24" s="13">
        <f t="shared" si="5"/>
        <v>6</v>
      </c>
      <c r="V24" s="13">
        <f t="shared" si="5"/>
        <v>0</v>
      </c>
      <c r="W24" s="13">
        <f t="shared" si="5"/>
        <v>5</v>
      </c>
      <c r="X24" s="13">
        <f t="shared" si="5"/>
        <v>4</v>
      </c>
      <c r="Y24" s="13">
        <f t="shared" si="5"/>
        <v>7</v>
      </c>
      <c r="Z24" s="13">
        <f t="shared" si="5"/>
        <v>0</v>
      </c>
      <c r="AA24" s="13">
        <f t="shared" si="5"/>
        <v>1</v>
      </c>
      <c r="AB24" s="13">
        <f t="shared" si="5"/>
        <v>2</v>
      </c>
      <c r="AC24" s="13">
        <f t="shared" si="5"/>
        <v>0</v>
      </c>
      <c r="AD24" s="13">
        <f t="shared" si="5"/>
        <v>3</v>
      </c>
      <c r="AE24" s="13">
        <f t="shared" si="5"/>
        <v>12</v>
      </c>
      <c r="AF24" s="13">
        <f t="shared" si="5"/>
        <v>10</v>
      </c>
      <c r="AG24" s="13">
        <f t="shared" si="5"/>
        <v>14</v>
      </c>
      <c r="AH24" s="13">
        <f t="shared" si="5"/>
        <v>9</v>
      </c>
      <c r="AI24" s="13">
        <f t="shared" si="5"/>
        <v>6</v>
      </c>
      <c r="AJ24" s="13">
        <f t="shared" si="5"/>
        <v>10</v>
      </c>
      <c r="AK24" s="13">
        <f t="shared" si="5"/>
        <v>5</v>
      </c>
      <c r="AL24" s="13">
        <f t="shared" si="5"/>
        <v>0</v>
      </c>
      <c r="AM24" s="13">
        <f t="shared" si="5"/>
        <v>0</v>
      </c>
      <c r="AN24" s="13">
        <f t="shared" si="5"/>
        <v>0</v>
      </c>
      <c r="AO24" s="13">
        <f t="shared" si="5"/>
        <v>0</v>
      </c>
      <c r="AP24" s="13">
        <f t="shared" si="5"/>
        <v>0</v>
      </c>
      <c r="AQ24" s="13">
        <f t="shared" si="5"/>
        <v>0</v>
      </c>
      <c r="AR24" s="13">
        <f t="shared" si="5"/>
        <v>0</v>
      </c>
      <c r="AS24" s="13">
        <f t="shared" si="5"/>
        <v>0</v>
      </c>
      <c r="AT24" s="13">
        <f t="shared" si="5"/>
        <v>0</v>
      </c>
      <c r="AU24" s="13">
        <f t="shared" si="5"/>
        <v>0</v>
      </c>
      <c r="AV24" s="13">
        <f t="shared" si="5"/>
        <v>0</v>
      </c>
      <c r="AW24" s="13">
        <f t="shared" si="5"/>
        <v>0</v>
      </c>
      <c r="AX24" s="13">
        <f t="shared" si="3"/>
        <v>154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3.0</v>
      </c>
      <c r="G25" s="19">
        <v>3.0</v>
      </c>
      <c r="H25" s="19">
        <v>2.0</v>
      </c>
      <c r="I25" s="19">
        <v>5.0</v>
      </c>
      <c r="J25" s="19">
        <v>1.0</v>
      </c>
      <c r="K25" s="19">
        <v>0.0</v>
      </c>
      <c r="L25" s="19">
        <v>1.0</v>
      </c>
      <c r="M25" s="19">
        <v>0.0</v>
      </c>
      <c r="N25" s="19">
        <v>3.0</v>
      </c>
      <c r="O25" s="19">
        <v>0.0</v>
      </c>
      <c r="P25" s="19">
        <v>1.0</v>
      </c>
      <c r="Q25" s="19">
        <v>4.0</v>
      </c>
      <c r="R25" s="19">
        <v>0.0</v>
      </c>
      <c r="S25" s="19">
        <v>0.0</v>
      </c>
      <c r="T25" s="19">
        <v>2.0</v>
      </c>
      <c r="U25" s="19">
        <v>1.0</v>
      </c>
      <c r="V25" s="19">
        <v>0.0</v>
      </c>
      <c r="W25" s="19">
        <v>4.0</v>
      </c>
      <c r="X25" s="19">
        <v>1.0</v>
      </c>
      <c r="Y25" s="19">
        <v>1.0</v>
      </c>
      <c r="Z25" s="19">
        <v>1.0</v>
      </c>
      <c r="AA25" s="19">
        <v>0.0</v>
      </c>
      <c r="AB25" s="19">
        <v>3.0</v>
      </c>
      <c r="AC25" s="19">
        <v>0.0</v>
      </c>
      <c r="AD25" s="19">
        <v>0.0</v>
      </c>
      <c r="AE25" s="19">
        <v>1.0</v>
      </c>
      <c r="AF25" s="19">
        <v>0.0</v>
      </c>
      <c r="AG25" s="19">
        <v>6.0</v>
      </c>
      <c r="AH25" s="19">
        <v>0.0</v>
      </c>
      <c r="AI25" s="19">
        <v>3.0</v>
      </c>
      <c r="AJ25" s="19">
        <v>3.0</v>
      </c>
      <c r="AK25" s="19">
        <v>1.0</v>
      </c>
      <c r="AL25" s="19">
        <v>3.0</v>
      </c>
      <c r="AM25" s="19">
        <v>4.0</v>
      </c>
      <c r="AN25" s="19">
        <v>5.0</v>
      </c>
      <c r="AO25" s="19">
        <v>3.0</v>
      </c>
      <c r="AP25" s="19">
        <v>3.0</v>
      </c>
      <c r="AQ25" s="19">
        <v>1.0</v>
      </c>
      <c r="AR25" s="19">
        <v>11.0</v>
      </c>
      <c r="AS25" s="19">
        <v>0.0</v>
      </c>
      <c r="AT25" s="19">
        <v>9.0</v>
      </c>
      <c r="AU25" s="19">
        <v>0.0</v>
      </c>
      <c r="AV25" s="19">
        <v>0.0</v>
      </c>
      <c r="AW25" s="19">
        <v>2.0</v>
      </c>
      <c r="AX25" s="13">
        <f t="shared" si="3"/>
        <v>92</v>
      </c>
    </row>
    <row r="26" ht="12.75" customHeight="1">
      <c r="A26" s="33"/>
      <c r="B26" s="27"/>
      <c r="C26" s="34"/>
      <c r="D26" s="19" t="s">
        <v>13</v>
      </c>
      <c r="E26" s="19">
        <v>2.0</v>
      </c>
      <c r="F26" s="19">
        <v>0.0</v>
      </c>
      <c r="G26" s="19">
        <v>0.0</v>
      </c>
      <c r="H26" s="19">
        <v>4.0</v>
      </c>
      <c r="I26" s="19">
        <v>3.0</v>
      </c>
      <c r="J26" s="19">
        <v>1.0</v>
      </c>
      <c r="K26" s="19">
        <v>0.0</v>
      </c>
      <c r="L26" s="19">
        <v>1.0</v>
      </c>
      <c r="M26" s="19">
        <v>0.0</v>
      </c>
      <c r="N26" s="19">
        <v>0.0</v>
      </c>
      <c r="O26" s="19">
        <v>2.0</v>
      </c>
      <c r="P26" s="19">
        <v>3.0</v>
      </c>
      <c r="Q26" s="19">
        <v>2.0</v>
      </c>
      <c r="R26" s="19">
        <v>3.0</v>
      </c>
      <c r="S26" s="19">
        <v>0.0</v>
      </c>
      <c r="T26" s="19">
        <v>2.0</v>
      </c>
      <c r="U26" s="19">
        <v>1.0</v>
      </c>
      <c r="V26" s="19">
        <v>0.0</v>
      </c>
      <c r="W26" s="19">
        <v>5.0</v>
      </c>
      <c r="X26" s="19">
        <v>3.0</v>
      </c>
      <c r="Y26" s="19">
        <v>1.0</v>
      </c>
      <c r="Z26" s="19">
        <v>4.0</v>
      </c>
      <c r="AA26" s="19">
        <v>0.0</v>
      </c>
      <c r="AB26" s="19">
        <v>3.0</v>
      </c>
      <c r="AC26" s="19">
        <v>1.0</v>
      </c>
      <c r="AD26" s="19">
        <v>0.0</v>
      </c>
      <c r="AE26" s="19">
        <v>0.0</v>
      </c>
      <c r="AF26" s="19">
        <v>0.0</v>
      </c>
      <c r="AG26" s="19">
        <v>2.0</v>
      </c>
      <c r="AH26" s="19">
        <v>0.0</v>
      </c>
      <c r="AI26" s="19">
        <v>0.0</v>
      </c>
      <c r="AJ26" s="19">
        <v>1.0</v>
      </c>
      <c r="AK26" s="19">
        <v>0.0</v>
      </c>
      <c r="AL26" s="19">
        <v>0.0</v>
      </c>
      <c r="AM26" s="19">
        <v>6.0</v>
      </c>
      <c r="AN26" s="19">
        <v>1.0</v>
      </c>
      <c r="AO26" s="19">
        <v>2.0</v>
      </c>
      <c r="AP26" s="19">
        <v>4.0</v>
      </c>
      <c r="AQ26" s="19">
        <v>0.0</v>
      </c>
      <c r="AR26" s="19">
        <v>8.0</v>
      </c>
      <c r="AS26" s="19">
        <v>1.0</v>
      </c>
      <c r="AT26" s="19">
        <v>9.0</v>
      </c>
      <c r="AU26" s="19">
        <v>0.0</v>
      </c>
      <c r="AV26" s="19">
        <v>1.0</v>
      </c>
      <c r="AW26" s="19">
        <v>2.0</v>
      </c>
      <c r="AX26" s="13">
        <f t="shared" si="3"/>
        <v>78</v>
      </c>
    </row>
    <row r="27" ht="12.75" customHeight="1">
      <c r="A27" s="35"/>
      <c r="B27" s="28"/>
      <c r="C27" s="36"/>
      <c r="D27" s="13" t="s">
        <v>14</v>
      </c>
      <c r="E27" s="13">
        <f t="shared" ref="E27:AW27" si="6">SUM(E25:E26)</f>
        <v>3</v>
      </c>
      <c r="F27" s="13">
        <f t="shared" si="6"/>
        <v>3</v>
      </c>
      <c r="G27" s="13">
        <f t="shared" si="6"/>
        <v>3</v>
      </c>
      <c r="H27" s="13">
        <f t="shared" si="6"/>
        <v>6</v>
      </c>
      <c r="I27" s="13">
        <f t="shared" si="6"/>
        <v>8</v>
      </c>
      <c r="J27" s="13">
        <f t="shared" si="6"/>
        <v>2</v>
      </c>
      <c r="K27" s="13">
        <f t="shared" si="6"/>
        <v>0</v>
      </c>
      <c r="L27" s="13">
        <f t="shared" si="6"/>
        <v>2</v>
      </c>
      <c r="M27" s="13">
        <f t="shared" si="6"/>
        <v>0</v>
      </c>
      <c r="N27" s="13">
        <f t="shared" si="6"/>
        <v>3</v>
      </c>
      <c r="O27" s="13">
        <f t="shared" si="6"/>
        <v>2</v>
      </c>
      <c r="P27" s="13">
        <f t="shared" si="6"/>
        <v>4</v>
      </c>
      <c r="Q27" s="13">
        <f t="shared" si="6"/>
        <v>6</v>
      </c>
      <c r="R27" s="13">
        <f t="shared" si="6"/>
        <v>3</v>
      </c>
      <c r="S27" s="13">
        <f t="shared" si="6"/>
        <v>0</v>
      </c>
      <c r="T27" s="13">
        <f t="shared" si="6"/>
        <v>4</v>
      </c>
      <c r="U27" s="13">
        <f t="shared" si="6"/>
        <v>2</v>
      </c>
      <c r="V27" s="13">
        <f t="shared" si="6"/>
        <v>0</v>
      </c>
      <c r="W27" s="13">
        <f t="shared" si="6"/>
        <v>9</v>
      </c>
      <c r="X27" s="13">
        <f t="shared" si="6"/>
        <v>4</v>
      </c>
      <c r="Y27" s="13">
        <f t="shared" si="6"/>
        <v>2</v>
      </c>
      <c r="Z27" s="13">
        <f t="shared" si="6"/>
        <v>5</v>
      </c>
      <c r="AA27" s="13">
        <f t="shared" si="6"/>
        <v>0</v>
      </c>
      <c r="AB27" s="13">
        <f t="shared" si="6"/>
        <v>6</v>
      </c>
      <c r="AC27" s="13">
        <f t="shared" si="6"/>
        <v>1</v>
      </c>
      <c r="AD27" s="13">
        <f t="shared" si="6"/>
        <v>0</v>
      </c>
      <c r="AE27" s="13">
        <f t="shared" si="6"/>
        <v>1</v>
      </c>
      <c r="AF27" s="13">
        <f t="shared" si="6"/>
        <v>0</v>
      </c>
      <c r="AG27" s="13">
        <f t="shared" si="6"/>
        <v>8</v>
      </c>
      <c r="AH27" s="13">
        <f t="shared" si="6"/>
        <v>0</v>
      </c>
      <c r="AI27" s="13">
        <f t="shared" si="6"/>
        <v>3</v>
      </c>
      <c r="AJ27" s="13">
        <f t="shared" si="6"/>
        <v>4</v>
      </c>
      <c r="AK27" s="13">
        <f t="shared" si="6"/>
        <v>1</v>
      </c>
      <c r="AL27" s="13">
        <f t="shared" si="6"/>
        <v>3</v>
      </c>
      <c r="AM27" s="13">
        <f t="shared" si="6"/>
        <v>10</v>
      </c>
      <c r="AN27" s="13">
        <f t="shared" si="6"/>
        <v>6</v>
      </c>
      <c r="AO27" s="13">
        <f t="shared" si="6"/>
        <v>5</v>
      </c>
      <c r="AP27" s="13">
        <f t="shared" si="6"/>
        <v>7</v>
      </c>
      <c r="AQ27" s="13">
        <f t="shared" si="6"/>
        <v>1</v>
      </c>
      <c r="AR27" s="13">
        <f t="shared" si="6"/>
        <v>19</v>
      </c>
      <c r="AS27" s="13">
        <f t="shared" si="6"/>
        <v>1</v>
      </c>
      <c r="AT27" s="13">
        <f t="shared" si="6"/>
        <v>18</v>
      </c>
      <c r="AU27" s="13">
        <f t="shared" si="6"/>
        <v>0</v>
      </c>
      <c r="AV27" s="13">
        <f t="shared" si="6"/>
        <v>1</v>
      </c>
      <c r="AW27" s="13">
        <f t="shared" si="6"/>
        <v>4</v>
      </c>
      <c r="AX27" s="13">
        <f t="shared" si="3"/>
        <v>170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W28" si="7">SUM(E19,E22,E25)</f>
        <v>112</v>
      </c>
      <c r="F28" s="13">
        <f t="shared" si="7"/>
        <v>123</v>
      </c>
      <c r="G28" s="13">
        <f t="shared" si="7"/>
        <v>120</v>
      </c>
      <c r="H28" s="13">
        <f t="shared" si="7"/>
        <v>122</v>
      </c>
      <c r="I28" s="13">
        <f t="shared" si="7"/>
        <v>112</v>
      </c>
      <c r="J28" s="13">
        <f t="shared" si="7"/>
        <v>113</v>
      </c>
      <c r="K28" s="13">
        <f t="shared" si="7"/>
        <v>111</v>
      </c>
      <c r="L28" s="13">
        <f t="shared" si="7"/>
        <v>94</v>
      </c>
      <c r="M28" s="13">
        <f t="shared" si="7"/>
        <v>91</v>
      </c>
      <c r="N28" s="13">
        <f t="shared" si="7"/>
        <v>112</v>
      </c>
      <c r="O28" s="13">
        <f t="shared" si="7"/>
        <v>110</v>
      </c>
      <c r="P28" s="13">
        <f t="shared" si="7"/>
        <v>105</v>
      </c>
      <c r="Q28" s="13">
        <f t="shared" si="7"/>
        <v>117</v>
      </c>
      <c r="R28" s="13">
        <f t="shared" si="7"/>
        <v>118</v>
      </c>
      <c r="S28" s="13">
        <f t="shared" si="7"/>
        <v>91</v>
      </c>
      <c r="T28" s="13">
        <f t="shared" si="7"/>
        <v>81</v>
      </c>
      <c r="U28" s="13">
        <f t="shared" si="7"/>
        <v>101</v>
      </c>
      <c r="V28" s="13">
        <f t="shared" si="7"/>
        <v>89</v>
      </c>
      <c r="W28" s="13">
        <f t="shared" si="7"/>
        <v>111</v>
      </c>
      <c r="X28" s="13">
        <f t="shared" si="7"/>
        <v>117</v>
      </c>
      <c r="Y28" s="13">
        <f t="shared" si="7"/>
        <v>112</v>
      </c>
      <c r="Z28" s="13">
        <f t="shared" si="7"/>
        <v>113</v>
      </c>
      <c r="AA28" s="13">
        <f t="shared" si="7"/>
        <v>107</v>
      </c>
      <c r="AB28" s="13">
        <f t="shared" si="7"/>
        <v>118</v>
      </c>
      <c r="AC28" s="13">
        <f t="shared" si="7"/>
        <v>104</v>
      </c>
      <c r="AD28" s="13">
        <f t="shared" si="7"/>
        <v>123</v>
      </c>
      <c r="AE28" s="13">
        <f t="shared" si="7"/>
        <v>102</v>
      </c>
      <c r="AF28" s="13">
        <f t="shared" si="7"/>
        <v>97</v>
      </c>
      <c r="AG28" s="13">
        <f t="shared" si="7"/>
        <v>129</v>
      </c>
      <c r="AH28" s="13">
        <f t="shared" si="7"/>
        <v>107</v>
      </c>
      <c r="AI28" s="13">
        <f t="shared" si="7"/>
        <v>114</v>
      </c>
      <c r="AJ28" s="13">
        <f t="shared" si="7"/>
        <v>121</v>
      </c>
      <c r="AK28" s="13">
        <f t="shared" si="7"/>
        <v>125</v>
      </c>
      <c r="AL28" s="13">
        <f t="shared" si="7"/>
        <v>104</v>
      </c>
      <c r="AM28" s="13">
        <f t="shared" si="7"/>
        <v>103</v>
      </c>
      <c r="AN28" s="13">
        <f t="shared" si="7"/>
        <v>114</v>
      </c>
      <c r="AO28" s="13">
        <f t="shared" si="7"/>
        <v>117</v>
      </c>
      <c r="AP28" s="13">
        <f t="shared" si="7"/>
        <v>94</v>
      </c>
      <c r="AQ28" s="13">
        <f t="shared" si="7"/>
        <v>106</v>
      </c>
      <c r="AR28" s="13">
        <f t="shared" si="7"/>
        <v>88</v>
      </c>
      <c r="AS28" s="13">
        <f t="shared" si="7"/>
        <v>75</v>
      </c>
      <c r="AT28" s="13">
        <f t="shared" si="7"/>
        <v>96</v>
      </c>
      <c r="AU28" s="13">
        <f t="shared" si="7"/>
        <v>84</v>
      </c>
      <c r="AV28" s="13">
        <f t="shared" si="7"/>
        <v>110</v>
      </c>
      <c r="AW28" s="13">
        <f t="shared" si="7"/>
        <v>108</v>
      </c>
      <c r="AX28" s="13">
        <f t="shared" si="3"/>
        <v>4821</v>
      </c>
    </row>
    <row r="29" ht="12.75" customHeight="1">
      <c r="A29" s="35"/>
      <c r="B29" s="27"/>
      <c r="C29" s="34"/>
      <c r="D29" s="13" t="s">
        <v>13</v>
      </c>
      <c r="E29" s="13">
        <f t="shared" ref="E29:AW29" si="8">SUM(E20,E23,E26)</f>
        <v>114</v>
      </c>
      <c r="F29" s="13">
        <f t="shared" si="8"/>
        <v>113</v>
      </c>
      <c r="G29" s="13">
        <f t="shared" si="8"/>
        <v>116</v>
      </c>
      <c r="H29" s="13">
        <f t="shared" si="8"/>
        <v>120</v>
      </c>
      <c r="I29" s="13">
        <f t="shared" si="8"/>
        <v>118</v>
      </c>
      <c r="J29" s="13">
        <f t="shared" si="8"/>
        <v>115</v>
      </c>
      <c r="K29" s="13">
        <f t="shared" si="8"/>
        <v>108</v>
      </c>
      <c r="L29" s="13">
        <f t="shared" si="8"/>
        <v>110</v>
      </c>
      <c r="M29" s="13">
        <f t="shared" si="8"/>
        <v>92</v>
      </c>
      <c r="N29" s="13">
        <f t="shared" si="8"/>
        <v>142</v>
      </c>
      <c r="O29" s="13">
        <f t="shared" si="8"/>
        <v>118</v>
      </c>
      <c r="P29" s="13">
        <f t="shared" si="8"/>
        <v>104</v>
      </c>
      <c r="Q29" s="13">
        <f t="shared" si="8"/>
        <v>114</v>
      </c>
      <c r="R29" s="13">
        <f t="shared" si="8"/>
        <v>119</v>
      </c>
      <c r="S29" s="13">
        <f t="shared" si="8"/>
        <v>82</v>
      </c>
      <c r="T29" s="13">
        <f t="shared" si="8"/>
        <v>77</v>
      </c>
      <c r="U29" s="13">
        <f t="shared" si="8"/>
        <v>92</v>
      </c>
      <c r="V29" s="13">
        <f t="shared" si="8"/>
        <v>72</v>
      </c>
      <c r="W29" s="13">
        <f t="shared" si="8"/>
        <v>106</v>
      </c>
      <c r="X29" s="13">
        <f t="shared" si="8"/>
        <v>99</v>
      </c>
      <c r="Y29" s="13">
        <f t="shared" si="8"/>
        <v>107</v>
      </c>
      <c r="Z29" s="13">
        <f t="shared" si="8"/>
        <v>113</v>
      </c>
      <c r="AA29" s="13">
        <f t="shared" si="8"/>
        <v>88</v>
      </c>
      <c r="AB29" s="13">
        <f t="shared" si="8"/>
        <v>100</v>
      </c>
      <c r="AC29" s="13">
        <f t="shared" si="8"/>
        <v>121</v>
      </c>
      <c r="AD29" s="13">
        <f t="shared" si="8"/>
        <v>108</v>
      </c>
      <c r="AE29" s="13">
        <f t="shared" si="8"/>
        <v>105</v>
      </c>
      <c r="AF29" s="13">
        <f t="shared" si="8"/>
        <v>76</v>
      </c>
      <c r="AG29" s="13">
        <f t="shared" si="8"/>
        <v>110</v>
      </c>
      <c r="AH29" s="13">
        <f t="shared" si="8"/>
        <v>100</v>
      </c>
      <c r="AI29" s="13">
        <f t="shared" si="8"/>
        <v>114</v>
      </c>
      <c r="AJ29" s="13">
        <f t="shared" si="8"/>
        <v>114</v>
      </c>
      <c r="AK29" s="13">
        <f t="shared" si="8"/>
        <v>115</v>
      </c>
      <c r="AL29" s="13">
        <f t="shared" si="8"/>
        <v>114</v>
      </c>
      <c r="AM29" s="13">
        <f t="shared" si="8"/>
        <v>101</v>
      </c>
      <c r="AN29" s="13">
        <f t="shared" si="8"/>
        <v>115</v>
      </c>
      <c r="AO29" s="13">
        <f t="shared" si="8"/>
        <v>119</v>
      </c>
      <c r="AP29" s="13">
        <f t="shared" si="8"/>
        <v>88</v>
      </c>
      <c r="AQ29" s="13">
        <f t="shared" si="8"/>
        <v>117</v>
      </c>
      <c r="AR29" s="13">
        <f t="shared" si="8"/>
        <v>96</v>
      </c>
      <c r="AS29" s="13">
        <f t="shared" si="8"/>
        <v>82</v>
      </c>
      <c r="AT29" s="13">
        <f t="shared" si="8"/>
        <v>89</v>
      </c>
      <c r="AU29" s="13">
        <f t="shared" si="8"/>
        <v>92</v>
      </c>
      <c r="AV29" s="13">
        <f t="shared" si="8"/>
        <v>111</v>
      </c>
      <c r="AW29" s="13">
        <f t="shared" si="8"/>
        <v>93</v>
      </c>
      <c r="AX29" s="13">
        <f t="shared" si="3"/>
        <v>4719</v>
      </c>
    </row>
    <row r="30" ht="12.75" customHeight="1">
      <c r="A30" s="35"/>
      <c r="B30" s="28"/>
      <c r="C30" s="36"/>
      <c r="D30" s="13" t="s">
        <v>14</v>
      </c>
      <c r="E30" s="13">
        <f t="shared" ref="E30:AW30" si="9">SUM(E28:E29)</f>
        <v>226</v>
      </c>
      <c r="F30" s="13">
        <f t="shared" si="9"/>
        <v>236</v>
      </c>
      <c r="G30" s="13">
        <f t="shared" si="9"/>
        <v>236</v>
      </c>
      <c r="H30" s="13">
        <f t="shared" si="9"/>
        <v>242</v>
      </c>
      <c r="I30" s="13">
        <f t="shared" si="9"/>
        <v>230</v>
      </c>
      <c r="J30" s="13">
        <f t="shared" si="9"/>
        <v>228</v>
      </c>
      <c r="K30" s="13">
        <f t="shared" si="9"/>
        <v>219</v>
      </c>
      <c r="L30" s="13">
        <f t="shared" si="9"/>
        <v>204</v>
      </c>
      <c r="M30" s="13">
        <f t="shared" si="9"/>
        <v>183</v>
      </c>
      <c r="N30" s="13">
        <f t="shared" si="9"/>
        <v>254</v>
      </c>
      <c r="O30" s="13">
        <f t="shared" si="9"/>
        <v>228</v>
      </c>
      <c r="P30" s="13">
        <f t="shared" si="9"/>
        <v>209</v>
      </c>
      <c r="Q30" s="13">
        <f t="shared" si="9"/>
        <v>231</v>
      </c>
      <c r="R30" s="13">
        <f t="shared" si="9"/>
        <v>237</v>
      </c>
      <c r="S30" s="13">
        <f t="shared" si="9"/>
        <v>173</v>
      </c>
      <c r="T30" s="13">
        <f t="shared" si="9"/>
        <v>158</v>
      </c>
      <c r="U30" s="13">
        <f t="shared" si="9"/>
        <v>193</v>
      </c>
      <c r="V30" s="13">
        <f t="shared" si="9"/>
        <v>161</v>
      </c>
      <c r="W30" s="13">
        <f t="shared" si="9"/>
        <v>217</v>
      </c>
      <c r="X30" s="13">
        <f t="shared" si="9"/>
        <v>216</v>
      </c>
      <c r="Y30" s="13">
        <f t="shared" si="9"/>
        <v>219</v>
      </c>
      <c r="Z30" s="13">
        <f t="shared" si="9"/>
        <v>226</v>
      </c>
      <c r="AA30" s="13">
        <f t="shared" si="9"/>
        <v>195</v>
      </c>
      <c r="AB30" s="13">
        <f t="shared" si="9"/>
        <v>218</v>
      </c>
      <c r="AC30" s="13">
        <f t="shared" si="9"/>
        <v>225</v>
      </c>
      <c r="AD30" s="13">
        <f t="shared" si="9"/>
        <v>231</v>
      </c>
      <c r="AE30" s="13">
        <f t="shared" si="9"/>
        <v>207</v>
      </c>
      <c r="AF30" s="13">
        <f t="shared" si="9"/>
        <v>173</v>
      </c>
      <c r="AG30" s="13">
        <f t="shared" si="9"/>
        <v>239</v>
      </c>
      <c r="AH30" s="13">
        <f t="shared" si="9"/>
        <v>207</v>
      </c>
      <c r="AI30" s="13">
        <f t="shared" si="9"/>
        <v>228</v>
      </c>
      <c r="AJ30" s="13">
        <f t="shared" si="9"/>
        <v>235</v>
      </c>
      <c r="AK30" s="13">
        <f t="shared" si="9"/>
        <v>240</v>
      </c>
      <c r="AL30" s="13">
        <f t="shared" si="9"/>
        <v>218</v>
      </c>
      <c r="AM30" s="13">
        <f t="shared" si="9"/>
        <v>204</v>
      </c>
      <c r="AN30" s="13">
        <f t="shared" si="9"/>
        <v>229</v>
      </c>
      <c r="AO30" s="13">
        <f t="shared" si="9"/>
        <v>236</v>
      </c>
      <c r="AP30" s="13">
        <f t="shared" si="9"/>
        <v>182</v>
      </c>
      <c r="AQ30" s="13">
        <f t="shared" si="9"/>
        <v>223</v>
      </c>
      <c r="AR30" s="13">
        <f t="shared" si="9"/>
        <v>184</v>
      </c>
      <c r="AS30" s="13">
        <f t="shared" si="9"/>
        <v>157</v>
      </c>
      <c r="AT30" s="13">
        <f t="shared" si="9"/>
        <v>185</v>
      </c>
      <c r="AU30" s="13">
        <f t="shared" si="9"/>
        <v>176</v>
      </c>
      <c r="AV30" s="13">
        <f t="shared" si="9"/>
        <v>221</v>
      </c>
      <c r="AW30" s="13">
        <f t="shared" si="9"/>
        <v>201</v>
      </c>
      <c r="AX30" s="13">
        <f t="shared" si="3"/>
        <v>9540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9"/>
      <c r="O31" s="19"/>
      <c r="P31" s="19"/>
      <c r="Q31" s="19"/>
      <c r="R31" s="19"/>
      <c r="S31" s="59"/>
      <c r="T31" s="19"/>
      <c r="U31" s="19"/>
      <c r="V31" s="19"/>
      <c r="W31" s="19"/>
      <c r="X31" s="59"/>
      <c r="Y31" s="19"/>
      <c r="Z31" s="19"/>
      <c r="AA31" s="19"/>
      <c r="AB31" s="19"/>
      <c r="AC31" s="59"/>
      <c r="AD31" s="19"/>
      <c r="AE31" s="19"/>
      <c r="AF31" s="19"/>
      <c r="AG31" s="19"/>
      <c r="AH31" s="59"/>
      <c r="AI31" s="19"/>
      <c r="AJ31" s="19"/>
      <c r="AK31" s="19"/>
      <c r="AL31" s="19"/>
      <c r="AM31" s="59"/>
      <c r="AN31" s="19"/>
      <c r="AO31" s="19"/>
      <c r="AP31" s="19"/>
      <c r="AQ31" s="19"/>
      <c r="AR31" s="59"/>
      <c r="AS31" s="19"/>
      <c r="AT31" s="19"/>
      <c r="AU31" s="19"/>
      <c r="AV31" s="19"/>
      <c r="AW31" s="59"/>
      <c r="AX31" s="60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1"/>
      <c r="O32" s="13"/>
      <c r="P32" s="13"/>
      <c r="Q32" s="13"/>
      <c r="R32" s="13"/>
      <c r="S32" s="61"/>
      <c r="T32" s="13"/>
      <c r="U32" s="13"/>
      <c r="V32" s="13"/>
      <c r="W32" s="13"/>
      <c r="X32" s="61"/>
      <c r="Y32" s="13"/>
      <c r="Z32" s="13"/>
      <c r="AA32" s="13"/>
      <c r="AB32" s="13"/>
      <c r="AC32" s="61"/>
      <c r="AD32" s="13"/>
      <c r="AE32" s="13"/>
      <c r="AF32" s="13"/>
      <c r="AG32" s="13"/>
      <c r="AH32" s="61"/>
      <c r="AI32" s="13"/>
      <c r="AJ32" s="13"/>
      <c r="AK32" s="13"/>
      <c r="AL32" s="13"/>
      <c r="AM32" s="61"/>
      <c r="AN32" s="13"/>
      <c r="AO32" s="13"/>
      <c r="AP32" s="13"/>
      <c r="AQ32" s="13"/>
      <c r="AR32" s="61"/>
      <c r="AS32" s="13"/>
      <c r="AT32" s="13"/>
      <c r="AU32" s="13"/>
      <c r="AV32" s="13"/>
      <c r="AW32" s="61"/>
      <c r="AX32" s="60"/>
    </row>
    <row r="33" ht="12.75" customHeight="1">
      <c r="A33" s="19">
        <v>1.0</v>
      </c>
      <c r="B33" s="20" t="s">
        <v>27</v>
      </c>
      <c r="C33" s="15"/>
      <c r="D33" s="16"/>
      <c r="E33" s="19">
        <v>296.0</v>
      </c>
      <c r="F33" s="19">
        <v>304.0</v>
      </c>
      <c r="G33" s="19">
        <v>302.0</v>
      </c>
      <c r="H33" s="19">
        <v>301.0</v>
      </c>
      <c r="I33" s="19">
        <v>301.0</v>
      </c>
      <c r="J33" s="19">
        <v>302.0</v>
      </c>
      <c r="K33" s="19">
        <v>303.0</v>
      </c>
      <c r="L33" s="19">
        <v>286.0</v>
      </c>
      <c r="M33" s="19">
        <v>257.0</v>
      </c>
      <c r="N33" s="19">
        <v>302.0</v>
      </c>
      <c r="O33" s="19">
        <v>293.0</v>
      </c>
      <c r="P33" s="19">
        <v>291.0</v>
      </c>
      <c r="Q33" s="19">
        <v>294.0</v>
      </c>
      <c r="R33" s="19">
        <v>274.0</v>
      </c>
      <c r="S33" s="19">
        <v>222.0</v>
      </c>
      <c r="T33" s="19">
        <v>191.0</v>
      </c>
      <c r="U33" s="19">
        <v>226.0</v>
      </c>
      <c r="V33" s="19">
        <v>245.0</v>
      </c>
      <c r="W33" s="19">
        <v>265.0</v>
      </c>
      <c r="X33" s="19">
        <v>258.0</v>
      </c>
      <c r="Y33" s="19">
        <v>266.0</v>
      </c>
      <c r="Z33" s="19">
        <v>292.0</v>
      </c>
      <c r="AA33" s="19">
        <v>267.0</v>
      </c>
      <c r="AB33" s="19">
        <v>271.0</v>
      </c>
      <c r="AC33" s="19">
        <v>289.0</v>
      </c>
      <c r="AD33" s="19">
        <v>297.0</v>
      </c>
      <c r="AE33" s="19">
        <v>260.0</v>
      </c>
      <c r="AF33" s="19">
        <v>191.0</v>
      </c>
      <c r="AG33" s="19">
        <v>287.0</v>
      </c>
      <c r="AH33" s="19">
        <v>253.0</v>
      </c>
      <c r="AI33" s="19">
        <v>290.0</v>
      </c>
      <c r="AJ33" s="19">
        <v>299.0</v>
      </c>
      <c r="AK33" s="19">
        <v>303.0</v>
      </c>
      <c r="AL33" s="19">
        <v>291.0</v>
      </c>
      <c r="AM33" s="19">
        <v>293.0</v>
      </c>
      <c r="AN33" s="19">
        <v>238.0</v>
      </c>
      <c r="AO33" s="19">
        <v>290.0</v>
      </c>
      <c r="AP33" s="19">
        <v>244.0</v>
      </c>
      <c r="AQ33" s="19">
        <v>298.0</v>
      </c>
      <c r="AR33" s="19">
        <v>237.0</v>
      </c>
      <c r="AS33" s="19">
        <v>231.0</v>
      </c>
      <c r="AT33" s="19">
        <v>228.0</v>
      </c>
      <c r="AU33" s="19">
        <v>260.0</v>
      </c>
      <c r="AV33" s="19">
        <v>285.0</v>
      </c>
      <c r="AW33" s="19">
        <v>283.0</v>
      </c>
      <c r="AX33" s="13">
        <f t="shared" ref="AX33:AX36" si="10">SUM(E33:AW33)</f>
        <v>12256</v>
      </c>
    </row>
    <row r="34" ht="12.75" customHeight="1">
      <c r="A34" s="19">
        <v>2.0</v>
      </c>
      <c r="B34" s="20" t="s">
        <v>28</v>
      </c>
      <c r="C34" s="15"/>
      <c r="D34" s="16"/>
      <c r="E34" s="13">
        <v>226.0</v>
      </c>
      <c r="F34" s="13">
        <v>236.0</v>
      </c>
      <c r="G34" s="13">
        <v>236.0</v>
      </c>
      <c r="H34" s="13">
        <v>242.0</v>
      </c>
      <c r="I34" s="13">
        <v>233.0</v>
      </c>
      <c r="J34" s="13">
        <v>228.0</v>
      </c>
      <c r="K34" s="13">
        <v>219.0</v>
      </c>
      <c r="L34" s="13">
        <v>204.0</v>
      </c>
      <c r="M34" s="13">
        <v>183.0</v>
      </c>
      <c r="N34" s="13">
        <v>254.0</v>
      </c>
      <c r="O34" s="13">
        <v>228.0</v>
      </c>
      <c r="P34" s="13">
        <v>209.0</v>
      </c>
      <c r="Q34" s="13">
        <v>231.0</v>
      </c>
      <c r="R34" s="13">
        <v>237.0</v>
      </c>
      <c r="S34" s="13">
        <v>173.0</v>
      </c>
      <c r="T34" s="13">
        <v>158.0</v>
      </c>
      <c r="U34" s="13">
        <v>193.0</v>
      </c>
      <c r="V34" s="13">
        <v>161.0</v>
      </c>
      <c r="W34" s="13">
        <v>217.0</v>
      </c>
      <c r="X34" s="13">
        <v>216.0</v>
      </c>
      <c r="Y34" s="13">
        <v>219.0</v>
      </c>
      <c r="Z34" s="13">
        <v>226.0</v>
      </c>
      <c r="AA34" s="13">
        <v>195.0</v>
      </c>
      <c r="AB34" s="13">
        <v>218.0</v>
      </c>
      <c r="AC34" s="13">
        <v>225.0</v>
      </c>
      <c r="AD34" s="13">
        <v>231.0</v>
      </c>
      <c r="AE34" s="13">
        <v>207.0</v>
      </c>
      <c r="AF34" s="13">
        <v>173.0</v>
      </c>
      <c r="AG34" s="13">
        <v>239.0</v>
      </c>
      <c r="AH34" s="13">
        <v>207.0</v>
      </c>
      <c r="AI34" s="13">
        <v>228.0</v>
      </c>
      <c r="AJ34" s="13">
        <v>235.0</v>
      </c>
      <c r="AK34" s="13">
        <v>240.0</v>
      </c>
      <c r="AL34" s="13">
        <v>218.0</v>
      </c>
      <c r="AM34" s="13">
        <v>204.0</v>
      </c>
      <c r="AN34" s="13">
        <v>229.0</v>
      </c>
      <c r="AO34" s="13">
        <v>236.0</v>
      </c>
      <c r="AP34" s="13">
        <v>182.0</v>
      </c>
      <c r="AQ34" s="13">
        <v>223.0</v>
      </c>
      <c r="AR34" s="13">
        <v>184.0</v>
      </c>
      <c r="AS34" s="13">
        <v>157.0</v>
      </c>
      <c r="AT34" s="13">
        <v>185.0</v>
      </c>
      <c r="AU34" s="13">
        <v>176.0</v>
      </c>
      <c r="AV34" s="13">
        <v>221.0</v>
      </c>
      <c r="AW34" s="13">
        <v>201.0</v>
      </c>
      <c r="AX34" s="13">
        <f t="shared" si="10"/>
        <v>9543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4.0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9">
        <v>1.0</v>
      </c>
      <c r="AC35" s="19">
        <v>2.0</v>
      </c>
      <c r="AD35" s="19">
        <v>11.0</v>
      </c>
      <c r="AE35" s="19">
        <v>1.0</v>
      </c>
      <c r="AF35" s="19">
        <v>0.0</v>
      </c>
      <c r="AG35" s="19">
        <v>0.0</v>
      </c>
      <c r="AH35" s="19">
        <v>0.0</v>
      </c>
      <c r="AI35" s="19">
        <v>0.0</v>
      </c>
      <c r="AJ35" s="19">
        <v>0.0</v>
      </c>
      <c r="AK35" s="19">
        <v>0.0</v>
      </c>
      <c r="AL35" s="19">
        <v>0.0</v>
      </c>
      <c r="AM35" s="19">
        <v>0.0</v>
      </c>
      <c r="AN35" s="19">
        <v>0.0</v>
      </c>
      <c r="AO35" s="19">
        <v>0.0</v>
      </c>
      <c r="AP35" s="19">
        <v>0.0</v>
      </c>
      <c r="AQ35" s="19">
        <v>0.0</v>
      </c>
      <c r="AR35" s="19">
        <v>0.0</v>
      </c>
      <c r="AS35" s="19">
        <v>0.0</v>
      </c>
      <c r="AT35" s="19">
        <v>0.0</v>
      </c>
      <c r="AU35" s="19">
        <v>0.0</v>
      </c>
      <c r="AV35" s="19">
        <v>0.0</v>
      </c>
      <c r="AW35" s="19">
        <v>0.0</v>
      </c>
      <c r="AX35" s="13">
        <f t="shared" si="10"/>
        <v>19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W36" si="11">E33-(E34+E35)</f>
        <v>70</v>
      </c>
      <c r="F36" s="13">
        <f t="shared" si="11"/>
        <v>68</v>
      </c>
      <c r="G36" s="13">
        <f t="shared" si="11"/>
        <v>66</v>
      </c>
      <c r="H36" s="13">
        <f t="shared" si="11"/>
        <v>59</v>
      </c>
      <c r="I36" s="13">
        <f t="shared" si="11"/>
        <v>68</v>
      </c>
      <c r="J36" s="13">
        <f t="shared" si="11"/>
        <v>74</v>
      </c>
      <c r="K36" s="13">
        <f t="shared" si="11"/>
        <v>84</v>
      </c>
      <c r="L36" s="13">
        <f t="shared" si="11"/>
        <v>82</v>
      </c>
      <c r="M36" s="13">
        <f t="shared" si="11"/>
        <v>74</v>
      </c>
      <c r="N36" s="13">
        <f t="shared" si="11"/>
        <v>48</v>
      </c>
      <c r="O36" s="13">
        <f t="shared" si="11"/>
        <v>65</v>
      </c>
      <c r="P36" s="13">
        <f t="shared" si="11"/>
        <v>82</v>
      </c>
      <c r="Q36" s="13">
        <f t="shared" si="11"/>
        <v>63</v>
      </c>
      <c r="R36" s="13">
        <f t="shared" si="11"/>
        <v>33</v>
      </c>
      <c r="S36" s="13">
        <f t="shared" si="11"/>
        <v>49</v>
      </c>
      <c r="T36" s="13">
        <f t="shared" si="11"/>
        <v>33</v>
      </c>
      <c r="U36" s="13">
        <f t="shared" si="11"/>
        <v>33</v>
      </c>
      <c r="V36" s="13">
        <f t="shared" si="11"/>
        <v>84</v>
      </c>
      <c r="W36" s="13">
        <f t="shared" si="11"/>
        <v>48</v>
      </c>
      <c r="X36" s="13">
        <f t="shared" si="11"/>
        <v>42</v>
      </c>
      <c r="Y36" s="13">
        <f t="shared" si="11"/>
        <v>47</v>
      </c>
      <c r="Z36" s="13">
        <f t="shared" si="11"/>
        <v>66</v>
      </c>
      <c r="AA36" s="13">
        <f t="shared" si="11"/>
        <v>72</v>
      </c>
      <c r="AB36" s="13">
        <f t="shared" si="11"/>
        <v>52</v>
      </c>
      <c r="AC36" s="13">
        <f t="shared" si="11"/>
        <v>62</v>
      </c>
      <c r="AD36" s="13">
        <f t="shared" si="11"/>
        <v>55</v>
      </c>
      <c r="AE36" s="13">
        <f t="shared" si="11"/>
        <v>52</v>
      </c>
      <c r="AF36" s="13">
        <f t="shared" si="11"/>
        <v>18</v>
      </c>
      <c r="AG36" s="13">
        <f t="shared" si="11"/>
        <v>48</v>
      </c>
      <c r="AH36" s="13">
        <f t="shared" si="11"/>
        <v>46</v>
      </c>
      <c r="AI36" s="13">
        <f t="shared" si="11"/>
        <v>62</v>
      </c>
      <c r="AJ36" s="13">
        <f t="shared" si="11"/>
        <v>64</v>
      </c>
      <c r="AK36" s="13">
        <f t="shared" si="11"/>
        <v>63</v>
      </c>
      <c r="AL36" s="13">
        <f t="shared" si="11"/>
        <v>73</v>
      </c>
      <c r="AM36" s="13">
        <f t="shared" si="11"/>
        <v>89</v>
      </c>
      <c r="AN36" s="13">
        <f t="shared" si="11"/>
        <v>9</v>
      </c>
      <c r="AO36" s="13">
        <f t="shared" si="11"/>
        <v>54</v>
      </c>
      <c r="AP36" s="13">
        <f t="shared" si="11"/>
        <v>62</v>
      </c>
      <c r="AQ36" s="13">
        <f t="shared" si="11"/>
        <v>75</v>
      </c>
      <c r="AR36" s="13">
        <f t="shared" si="11"/>
        <v>53</v>
      </c>
      <c r="AS36" s="13">
        <f t="shared" si="11"/>
        <v>74</v>
      </c>
      <c r="AT36" s="13">
        <f t="shared" si="11"/>
        <v>43</v>
      </c>
      <c r="AU36" s="13">
        <f t="shared" si="11"/>
        <v>84</v>
      </c>
      <c r="AV36" s="13">
        <f t="shared" si="11"/>
        <v>64</v>
      </c>
      <c r="AW36" s="13">
        <f t="shared" si="11"/>
        <v>82</v>
      </c>
      <c r="AX36" s="13">
        <f t="shared" si="10"/>
        <v>2694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9"/>
      <c r="O37" s="19"/>
      <c r="P37" s="19"/>
      <c r="Q37" s="19"/>
      <c r="R37" s="19"/>
      <c r="S37" s="59"/>
      <c r="T37" s="19"/>
      <c r="U37" s="19"/>
      <c r="V37" s="19"/>
      <c r="W37" s="19"/>
      <c r="X37" s="59"/>
      <c r="Y37" s="19"/>
      <c r="Z37" s="19"/>
      <c r="AA37" s="19"/>
      <c r="AB37" s="19"/>
      <c r="AC37" s="59"/>
      <c r="AD37" s="19"/>
      <c r="AE37" s="19"/>
      <c r="AF37" s="19"/>
      <c r="AG37" s="19"/>
      <c r="AH37" s="59"/>
      <c r="AI37" s="19"/>
      <c r="AJ37" s="19"/>
      <c r="AK37" s="19"/>
      <c r="AL37" s="19"/>
      <c r="AM37" s="59"/>
      <c r="AN37" s="19"/>
      <c r="AO37" s="19"/>
      <c r="AP37" s="19"/>
      <c r="AQ37" s="19"/>
      <c r="AR37" s="59"/>
      <c r="AS37" s="19"/>
      <c r="AT37" s="19"/>
      <c r="AU37" s="19"/>
      <c r="AV37" s="19"/>
      <c r="AW37" s="59"/>
      <c r="AX37" s="60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1"/>
      <c r="O38" s="13"/>
      <c r="P38" s="13"/>
      <c r="Q38" s="13"/>
      <c r="R38" s="13"/>
      <c r="S38" s="61"/>
      <c r="T38" s="13"/>
      <c r="U38" s="13"/>
      <c r="V38" s="13"/>
      <c r="W38" s="13"/>
      <c r="X38" s="61"/>
      <c r="Y38" s="13"/>
      <c r="Z38" s="13"/>
      <c r="AA38" s="13"/>
      <c r="AB38" s="13"/>
      <c r="AC38" s="61"/>
      <c r="AD38" s="13"/>
      <c r="AE38" s="13"/>
      <c r="AF38" s="13"/>
      <c r="AG38" s="13"/>
      <c r="AH38" s="61"/>
      <c r="AI38" s="13"/>
      <c r="AJ38" s="13"/>
      <c r="AK38" s="13"/>
      <c r="AL38" s="13"/>
      <c r="AM38" s="61"/>
      <c r="AN38" s="13"/>
      <c r="AO38" s="13"/>
      <c r="AP38" s="13"/>
      <c r="AQ38" s="13"/>
      <c r="AR38" s="61"/>
      <c r="AS38" s="13"/>
      <c r="AT38" s="13"/>
      <c r="AU38" s="13"/>
      <c r="AV38" s="13"/>
      <c r="AW38" s="61"/>
      <c r="AX38" s="60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1.0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9">
        <v>2.0</v>
      </c>
      <c r="AG39" s="19">
        <v>0.0</v>
      </c>
      <c r="AH39" s="19">
        <v>1.0</v>
      </c>
      <c r="AI39" s="19">
        <v>1.0</v>
      </c>
      <c r="AJ39" s="19">
        <v>0.0</v>
      </c>
      <c r="AK39" s="19">
        <v>0.0</v>
      </c>
      <c r="AL39" s="19">
        <v>0.0</v>
      </c>
      <c r="AM39" s="19">
        <v>0.0</v>
      </c>
      <c r="AN39" s="19">
        <v>0.0</v>
      </c>
      <c r="AO39" s="19">
        <v>0.0</v>
      </c>
      <c r="AP39" s="19">
        <v>0.0</v>
      </c>
      <c r="AQ39" s="19">
        <v>0.0</v>
      </c>
      <c r="AR39" s="19">
        <v>1.0</v>
      </c>
      <c r="AS39" s="19">
        <v>0.0</v>
      </c>
      <c r="AT39" s="19">
        <v>0.0</v>
      </c>
      <c r="AU39" s="19">
        <v>0.0</v>
      </c>
      <c r="AV39" s="19">
        <v>0.0</v>
      </c>
      <c r="AW39" s="19">
        <v>0.0</v>
      </c>
      <c r="AX39" s="13">
        <f t="shared" ref="AX39:AX41" si="12">SUM(E39:AW39)</f>
        <v>6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2.0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1.0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0.0</v>
      </c>
      <c r="AD40" s="19">
        <v>0.0</v>
      </c>
      <c r="AE40" s="19">
        <v>0.0</v>
      </c>
      <c r="AF40" s="19">
        <v>0.0</v>
      </c>
      <c r="AG40" s="19">
        <v>0.0</v>
      </c>
      <c r="AH40" s="19">
        <v>0.0</v>
      </c>
      <c r="AI40" s="19">
        <v>0.0</v>
      </c>
      <c r="AJ40" s="19">
        <v>0.0</v>
      </c>
      <c r="AK40" s="19">
        <v>0.0</v>
      </c>
      <c r="AL40" s="19">
        <v>0.0</v>
      </c>
      <c r="AM40" s="19">
        <v>0.0</v>
      </c>
      <c r="AN40" s="19">
        <v>0.0</v>
      </c>
      <c r="AO40" s="19">
        <v>0.0</v>
      </c>
      <c r="AP40" s="19">
        <v>0.0</v>
      </c>
      <c r="AQ40" s="19">
        <v>0.0</v>
      </c>
      <c r="AR40" s="19">
        <v>1.0</v>
      </c>
      <c r="AS40" s="19">
        <v>0.0</v>
      </c>
      <c r="AT40" s="19">
        <v>0.0</v>
      </c>
      <c r="AU40" s="19">
        <v>0.0</v>
      </c>
      <c r="AV40" s="19">
        <v>0.0</v>
      </c>
      <c r="AW40" s="19">
        <v>0.0</v>
      </c>
      <c r="AX40" s="13">
        <f t="shared" si="12"/>
        <v>4</v>
      </c>
    </row>
    <row r="41" ht="12.75" customHeight="1">
      <c r="A41" s="41"/>
      <c r="B41" s="44"/>
      <c r="C41" s="28"/>
      <c r="D41" s="13" t="s">
        <v>14</v>
      </c>
      <c r="E41" s="13">
        <f t="shared" ref="E41:AW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2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1</v>
      </c>
      <c r="P41" s="13">
        <f t="shared" si="13"/>
        <v>1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2</v>
      </c>
      <c r="AG41" s="13">
        <f t="shared" si="13"/>
        <v>0</v>
      </c>
      <c r="AH41" s="13">
        <f t="shared" si="13"/>
        <v>1</v>
      </c>
      <c r="AI41" s="13">
        <f t="shared" si="13"/>
        <v>1</v>
      </c>
      <c r="AJ41" s="13">
        <f t="shared" si="13"/>
        <v>0</v>
      </c>
      <c r="AK41" s="13">
        <f t="shared" si="13"/>
        <v>0</v>
      </c>
      <c r="AL41" s="13">
        <f t="shared" si="13"/>
        <v>0</v>
      </c>
      <c r="AM41" s="13">
        <f t="shared" si="13"/>
        <v>0</v>
      </c>
      <c r="AN41" s="13">
        <f t="shared" si="13"/>
        <v>0</v>
      </c>
      <c r="AO41" s="13">
        <f t="shared" si="13"/>
        <v>0</v>
      </c>
      <c r="AP41" s="13">
        <f t="shared" si="13"/>
        <v>0</v>
      </c>
      <c r="AQ41" s="13">
        <f t="shared" si="13"/>
        <v>0</v>
      </c>
      <c r="AR41" s="13">
        <f t="shared" si="13"/>
        <v>2</v>
      </c>
      <c r="AS41" s="13">
        <f t="shared" si="13"/>
        <v>0</v>
      </c>
      <c r="AT41" s="13">
        <f t="shared" si="13"/>
        <v>0</v>
      </c>
      <c r="AU41" s="13">
        <f t="shared" si="13"/>
        <v>0</v>
      </c>
      <c r="AV41" s="13">
        <f t="shared" si="13"/>
        <v>0</v>
      </c>
      <c r="AW41" s="13">
        <f t="shared" si="13"/>
        <v>0</v>
      </c>
      <c r="AX41" s="13">
        <f t="shared" si="12"/>
        <v>10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9"/>
      <c r="O42" s="19"/>
      <c r="P42" s="19"/>
      <c r="Q42" s="19"/>
      <c r="R42" s="19"/>
      <c r="S42" s="59"/>
      <c r="T42" s="19"/>
      <c r="U42" s="19"/>
      <c r="V42" s="19"/>
      <c r="W42" s="19"/>
      <c r="X42" s="59"/>
      <c r="Y42" s="19"/>
      <c r="Z42" s="19"/>
      <c r="AA42" s="19"/>
      <c r="AB42" s="19"/>
      <c r="AC42" s="59"/>
      <c r="AD42" s="19"/>
      <c r="AE42" s="19"/>
      <c r="AF42" s="19"/>
      <c r="AG42" s="19"/>
      <c r="AH42" s="59"/>
      <c r="AI42" s="19"/>
      <c r="AJ42" s="19"/>
      <c r="AK42" s="19"/>
      <c r="AL42" s="19"/>
      <c r="AM42" s="59"/>
      <c r="AN42" s="19"/>
      <c r="AO42" s="19"/>
      <c r="AP42" s="19"/>
      <c r="AQ42" s="19"/>
      <c r="AR42" s="59"/>
      <c r="AS42" s="19"/>
      <c r="AT42" s="19"/>
      <c r="AU42" s="19"/>
      <c r="AV42" s="19"/>
      <c r="AW42" s="59"/>
      <c r="AX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1"/>
      <c r="O43" s="13"/>
      <c r="P43" s="13"/>
      <c r="Q43" s="13"/>
      <c r="R43" s="13"/>
      <c r="S43" s="61"/>
      <c r="T43" s="13"/>
      <c r="U43" s="13"/>
      <c r="V43" s="13"/>
      <c r="W43" s="13"/>
      <c r="X43" s="61"/>
      <c r="Y43" s="13"/>
      <c r="Z43" s="13"/>
      <c r="AA43" s="13"/>
      <c r="AB43" s="13"/>
      <c r="AC43" s="61"/>
      <c r="AD43" s="13"/>
      <c r="AE43" s="13"/>
      <c r="AF43" s="13"/>
      <c r="AG43" s="13"/>
      <c r="AH43" s="61"/>
      <c r="AI43" s="13"/>
      <c r="AJ43" s="13"/>
      <c r="AK43" s="13"/>
      <c r="AL43" s="13"/>
      <c r="AM43" s="61"/>
      <c r="AN43" s="13"/>
      <c r="AO43" s="13"/>
      <c r="AP43" s="13"/>
      <c r="AQ43" s="13"/>
      <c r="AR43" s="61"/>
      <c r="AS43" s="13"/>
      <c r="AT43" s="13"/>
      <c r="AU43" s="13"/>
      <c r="AV43" s="13"/>
      <c r="AW43" s="61"/>
      <c r="AX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9"/>
      <c r="O44" s="19"/>
      <c r="P44" s="19"/>
      <c r="Q44" s="19"/>
      <c r="R44" s="19"/>
      <c r="S44" s="59"/>
      <c r="T44" s="19"/>
      <c r="U44" s="19"/>
      <c r="V44" s="19"/>
      <c r="W44" s="19"/>
      <c r="X44" s="59"/>
      <c r="Y44" s="19"/>
      <c r="Z44" s="19"/>
      <c r="AA44" s="19"/>
      <c r="AB44" s="19"/>
      <c r="AC44" s="59"/>
      <c r="AD44" s="19"/>
      <c r="AE44" s="19"/>
      <c r="AF44" s="19"/>
      <c r="AG44" s="19"/>
      <c r="AH44" s="59"/>
      <c r="AI44" s="19"/>
      <c r="AJ44" s="19"/>
      <c r="AK44" s="19"/>
      <c r="AL44" s="19"/>
      <c r="AM44" s="59"/>
      <c r="AN44" s="19"/>
      <c r="AO44" s="19"/>
      <c r="AP44" s="19"/>
      <c r="AQ44" s="19"/>
      <c r="AR44" s="59"/>
      <c r="AS44" s="19"/>
      <c r="AT44" s="19"/>
      <c r="AU44" s="19"/>
      <c r="AV44" s="19"/>
      <c r="AW44" s="59"/>
      <c r="AX44" s="13"/>
    </row>
    <row r="45" ht="12.75" customHeight="1">
      <c r="A45" s="62"/>
      <c r="B45" s="47">
        <v>1.0</v>
      </c>
      <c r="C45" s="48" t="s">
        <v>37</v>
      </c>
      <c r="D45" s="16"/>
      <c r="E45" s="19">
        <v>14.0</v>
      </c>
      <c r="F45" s="19">
        <v>14.0</v>
      </c>
      <c r="G45" s="19">
        <v>11.0</v>
      </c>
      <c r="H45" s="19">
        <v>10.0</v>
      </c>
      <c r="I45" s="19">
        <v>6.0</v>
      </c>
      <c r="J45" s="19">
        <v>14.0</v>
      </c>
      <c r="K45" s="19">
        <v>13.0</v>
      </c>
      <c r="L45" s="19">
        <v>17.0</v>
      </c>
      <c r="M45" s="19">
        <v>13.0</v>
      </c>
      <c r="N45" s="19">
        <v>32.0</v>
      </c>
      <c r="O45" s="19">
        <v>15.0</v>
      </c>
      <c r="P45" s="19">
        <v>18.0</v>
      </c>
      <c r="Q45" s="19">
        <v>29.0</v>
      </c>
      <c r="R45" s="19">
        <v>23.0</v>
      </c>
      <c r="S45" s="19">
        <v>11.0</v>
      </c>
      <c r="T45" s="19">
        <v>18.0</v>
      </c>
      <c r="U45" s="19">
        <v>10.0</v>
      </c>
      <c r="V45" s="19">
        <v>11.0</v>
      </c>
      <c r="W45" s="19">
        <v>15.0</v>
      </c>
      <c r="X45" s="19">
        <v>13.0</v>
      </c>
      <c r="Y45" s="19">
        <v>8.0</v>
      </c>
      <c r="Z45" s="19">
        <v>14.0</v>
      </c>
      <c r="AA45" s="19">
        <v>3.0</v>
      </c>
      <c r="AB45" s="19">
        <v>15.0</v>
      </c>
      <c r="AC45" s="19">
        <v>27.0</v>
      </c>
      <c r="AD45" s="19">
        <v>7.0</v>
      </c>
      <c r="AE45" s="19">
        <v>11.0</v>
      </c>
      <c r="AF45" s="19">
        <v>3.0</v>
      </c>
      <c r="AG45" s="19">
        <v>19.0</v>
      </c>
      <c r="AH45" s="19">
        <v>16.0</v>
      </c>
      <c r="AI45" s="19">
        <v>17.0</v>
      </c>
      <c r="AJ45" s="19">
        <v>14.0</v>
      </c>
      <c r="AK45" s="19">
        <v>11.0</v>
      </c>
      <c r="AL45" s="19">
        <v>12.0</v>
      </c>
      <c r="AM45" s="19">
        <v>4.0</v>
      </c>
      <c r="AN45" s="19">
        <v>2.0</v>
      </c>
      <c r="AO45" s="19">
        <v>14.0</v>
      </c>
      <c r="AP45" s="19">
        <v>9.0</v>
      </c>
      <c r="AQ45" s="19">
        <v>9.0</v>
      </c>
      <c r="AR45" s="19">
        <v>19.0</v>
      </c>
      <c r="AS45" s="19">
        <v>4.0</v>
      </c>
      <c r="AT45" s="19">
        <v>8.0</v>
      </c>
      <c r="AU45" s="19">
        <v>23.0</v>
      </c>
      <c r="AV45" s="19">
        <v>18.0</v>
      </c>
      <c r="AW45" s="19">
        <v>11.0</v>
      </c>
      <c r="AX45" s="13">
        <f t="shared" ref="AX45:AX47" si="14">SUM(E45:AW45)</f>
        <v>605</v>
      </c>
    </row>
    <row r="46" ht="12.75" customHeight="1">
      <c r="A46" s="18"/>
      <c r="B46" s="47">
        <v>2.0</v>
      </c>
      <c r="C46" s="48" t="s">
        <v>38</v>
      </c>
      <c r="D46" s="16"/>
      <c r="E46" s="19">
        <v>136.0</v>
      </c>
      <c r="F46" s="19">
        <v>187.0</v>
      </c>
      <c r="G46" s="19">
        <v>159.0</v>
      </c>
      <c r="H46" s="19">
        <v>155.0</v>
      </c>
      <c r="I46" s="19">
        <v>155.0</v>
      </c>
      <c r="J46" s="19">
        <v>156.0</v>
      </c>
      <c r="K46" s="19">
        <v>146.0</v>
      </c>
      <c r="L46" s="19">
        <v>126.0</v>
      </c>
      <c r="M46" s="19">
        <v>132.0</v>
      </c>
      <c r="N46" s="19">
        <v>165.0</v>
      </c>
      <c r="O46" s="19">
        <v>163.0</v>
      </c>
      <c r="P46" s="19">
        <v>136.0</v>
      </c>
      <c r="Q46" s="19">
        <v>132.0</v>
      </c>
      <c r="R46" s="19">
        <v>169.0</v>
      </c>
      <c r="S46" s="19">
        <v>112.0</v>
      </c>
      <c r="T46" s="19">
        <v>105.0</v>
      </c>
      <c r="U46" s="19">
        <v>140.0</v>
      </c>
      <c r="V46" s="19">
        <v>127.0</v>
      </c>
      <c r="W46" s="19">
        <v>155.0</v>
      </c>
      <c r="X46" s="19">
        <v>143.0</v>
      </c>
      <c r="Y46" s="19">
        <v>149.0</v>
      </c>
      <c r="Z46" s="19">
        <v>143.0</v>
      </c>
      <c r="AA46" s="19">
        <v>141.0</v>
      </c>
      <c r="AB46" s="19">
        <v>153.0</v>
      </c>
      <c r="AC46" s="19">
        <v>150.0</v>
      </c>
      <c r="AD46" s="19">
        <v>141.0</v>
      </c>
      <c r="AE46" s="19">
        <v>162.0</v>
      </c>
      <c r="AF46" s="19">
        <v>129.0</v>
      </c>
      <c r="AG46" s="19">
        <v>160.0</v>
      </c>
      <c r="AH46" s="19">
        <v>145.0</v>
      </c>
      <c r="AI46" s="19">
        <v>165.0</v>
      </c>
      <c r="AJ46" s="19">
        <v>171.0</v>
      </c>
      <c r="AK46" s="19">
        <v>157.0</v>
      </c>
      <c r="AL46" s="19">
        <v>167.0</v>
      </c>
      <c r="AM46" s="19">
        <v>162.0</v>
      </c>
      <c r="AN46" s="19">
        <v>193.0</v>
      </c>
      <c r="AO46" s="19">
        <v>195.0</v>
      </c>
      <c r="AP46" s="19">
        <v>158.0</v>
      </c>
      <c r="AQ46" s="19">
        <v>186.0</v>
      </c>
      <c r="AR46" s="19">
        <v>147.0</v>
      </c>
      <c r="AS46" s="19">
        <v>132.0</v>
      </c>
      <c r="AT46" s="19">
        <v>123.0</v>
      </c>
      <c r="AU46" s="19">
        <v>132.0</v>
      </c>
      <c r="AV46" s="19">
        <v>173.0</v>
      </c>
      <c r="AW46" s="19">
        <v>166.0</v>
      </c>
      <c r="AX46" s="13">
        <f t="shared" si="14"/>
        <v>6799</v>
      </c>
    </row>
    <row r="47" ht="12.75" customHeight="1">
      <c r="A47" s="45"/>
      <c r="B47" s="47">
        <v>3.0</v>
      </c>
      <c r="C47" s="48" t="s">
        <v>39</v>
      </c>
      <c r="D47" s="16"/>
      <c r="E47" s="19">
        <v>69.0</v>
      </c>
      <c r="F47" s="19">
        <v>33.0</v>
      </c>
      <c r="G47" s="19">
        <v>62.0</v>
      </c>
      <c r="H47" s="19">
        <v>73.0</v>
      </c>
      <c r="I47" s="19">
        <v>72.0</v>
      </c>
      <c r="J47" s="19">
        <v>56.0</v>
      </c>
      <c r="K47" s="19">
        <v>56.0</v>
      </c>
      <c r="L47" s="19">
        <v>56.0</v>
      </c>
      <c r="M47" s="19">
        <v>37.0</v>
      </c>
      <c r="N47" s="19">
        <v>57.0</v>
      </c>
      <c r="O47" s="19">
        <v>48.0</v>
      </c>
      <c r="P47" s="19">
        <v>50.0</v>
      </c>
      <c r="Q47" s="19">
        <v>66.0</v>
      </c>
      <c r="R47" s="19">
        <v>44.0</v>
      </c>
      <c r="S47" s="19">
        <v>48.0</v>
      </c>
      <c r="T47" s="19">
        <v>33.0</v>
      </c>
      <c r="U47" s="19">
        <v>41.0</v>
      </c>
      <c r="V47" s="19">
        <v>22.0</v>
      </c>
      <c r="W47" s="19">
        <v>43.0</v>
      </c>
      <c r="X47" s="19">
        <v>54.0</v>
      </c>
      <c r="Y47" s="19">
        <v>58.0</v>
      </c>
      <c r="Z47" s="19">
        <v>67.0</v>
      </c>
      <c r="AA47" s="19">
        <v>44.0</v>
      </c>
      <c r="AB47" s="19">
        <v>42.0</v>
      </c>
      <c r="AC47" s="19">
        <v>47.0</v>
      </c>
      <c r="AD47" s="19">
        <v>74.0</v>
      </c>
      <c r="AE47" s="19">
        <v>32.0</v>
      </c>
      <c r="AF47" s="19">
        <v>36.0</v>
      </c>
      <c r="AG47" s="19">
        <v>57.0</v>
      </c>
      <c r="AH47" s="19">
        <v>43.0</v>
      </c>
      <c r="AI47" s="19">
        <v>46.0</v>
      </c>
      <c r="AJ47" s="19">
        <v>45.0</v>
      </c>
      <c r="AK47" s="19">
        <v>65.0</v>
      </c>
      <c r="AL47" s="19">
        <v>36.0</v>
      </c>
      <c r="AM47" s="19">
        <v>38.0</v>
      </c>
      <c r="AN47" s="19">
        <v>32.0</v>
      </c>
      <c r="AO47" s="19">
        <v>26.0</v>
      </c>
      <c r="AP47" s="19">
        <v>9.0</v>
      </c>
      <c r="AQ47" s="19">
        <v>25.0</v>
      </c>
      <c r="AR47" s="19">
        <v>17.0</v>
      </c>
      <c r="AS47" s="19">
        <v>17.0</v>
      </c>
      <c r="AT47" s="19">
        <v>52.0</v>
      </c>
      <c r="AU47" s="19">
        <v>19.0</v>
      </c>
      <c r="AV47" s="19">
        <v>28.0</v>
      </c>
      <c r="AW47" s="19">
        <v>23.0</v>
      </c>
      <c r="AX47" s="13">
        <f t="shared" si="14"/>
        <v>1998</v>
      </c>
    </row>
    <row r="48" ht="12.75" customHeight="1">
      <c r="AX48" s="13"/>
    </row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</row>
    <row r="50" ht="12.75" customHeight="1">
      <c r="A50" s="42"/>
      <c r="B50" s="54" t="s">
        <v>42</v>
      </c>
      <c r="C50" s="55" t="s">
        <v>43</v>
      </c>
      <c r="D50" s="16"/>
      <c r="E50" s="19">
        <f t="shared" ref="E50:AW50" si="15">SUM(E45:E47)</f>
        <v>219</v>
      </c>
      <c r="F50" s="19">
        <f t="shared" si="15"/>
        <v>234</v>
      </c>
      <c r="G50" s="19">
        <f t="shared" si="15"/>
        <v>232</v>
      </c>
      <c r="H50" s="19">
        <f t="shared" si="15"/>
        <v>238</v>
      </c>
      <c r="I50" s="19">
        <f t="shared" si="15"/>
        <v>233</v>
      </c>
      <c r="J50" s="19">
        <f t="shared" si="15"/>
        <v>226</v>
      </c>
      <c r="K50" s="19">
        <f t="shared" si="15"/>
        <v>215</v>
      </c>
      <c r="L50" s="19">
        <f t="shared" si="15"/>
        <v>199</v>
      </c>
      <c r="M50" s="19">
        <f t="shared" si="15"/>
        <v>182</v>
      </c>
      <c r="N50" s="19">
        <f t="shared" si="15"/>
        <v>254</v>
      </c>
      <c r="O50" s="19">
        <f t="shared" si="15"/>
        <v>226</v>
      </c>
      <c r="P50" s="19">
        <f t="shared" si="15"/>
        <v>204</v>
      </c>
      <c r="Q50" s="19">
        <f t="shared" si="15"/>
        <v>227</v>
      </c>
      <c r="R50" s="19">
        <f t="shared" si="15"/>
        <v>236</v>
      </c>
      <c r="S50" s="19">
        <f t="shared" si="15"/>
        <v>171</v>
      </c>
      <c r="T50" s="19">
        <f t="shared" si="15"/>
        <v>156</v>
      </c>
      <c r="U50" s="19">
        <f t="shared" si="15"/>
        <v>191</v>
      </c>
      <c r="V50" s="19">
        <f t="shared" si="15"/>
        <v>160</v>
      </c>
      <c r="W50" s="19">
        <f t="shared" si="15"/>
        <v>213</v>
      </c>
      <c r="X50" s="19">
        <f t="shared" si="15"/>
        <v>210</v>
      </c>
      <c r="Y50" s="19">
        <f t="shared" si="15"/>
        <v>215</v>
      </c>
      <c r="Z50" s="19">
        <f t="shared" si="15"/>
        <v>224</v>
      </c>
      <c r="AA50" s="19">
        <f t="shared" si="15"/>
        <v>188</v>
      </c>
      <c r="AB50" s="19">
        <f t="shared" si="15"/>
        <v>210</v>
      </c>
      <c r="AC50" s="19">
        <f t="shared" si="15"/>
        <v>224</v>
      </c>
      <c r="AD50" s="19">
        <f t="shared" si="15"/>
        <v>222</v>
      </c>
      <c r="AE50" s="19">
        <f t="shared" si="15"/>
        <v>205</v>
      </c>
      <c r="AF50" s="19">
        <f t="shared" si="15"/>
        <v>168</v>
      </c>
      <c r="AG50" s="19">
        <f t="shared" si="15"/>
        <v>236</v>
      </c>
      <c r="AH50" s="19">
        <f t="shared" si="15"/>
        <v>204</v>
      </c>
      <c r="AI50" s="19">
        <f t="shared" si="15"/>
        <v>228</v>
      </c>
      <c r="AJ50" s="19">
        <f t="shared" si="15"/>
        <v>230</v>
      </c>
      <c r="AK50" s="19">
        <f t="shared" si="15"/>
        <v>233</v>
      </c>
      <c r="AL50" s="19">
        <f t="shared" si="15"/>
        <v>215</v>
      </c>
      <c r="AM50" s="19">
        <f t="shared" si="15"/>
        <v>204</v>
      </c>
      <c r="AN50" s="19">
        <f t="shared" si="15"/>
        <v>227</v>
      </c>
      <c r="AO50" s="19">
        <f t="shared" si="15"/>
        <v>235</v>
      </c>
      <c r="AP50" s="19">
        <f t="shared" si="15"/>
        <v>176</v>
      </c>
      <c r="AQ50" s="19">
        <f t="shared" si="15"/>
        <v>220</v>
      </c>
      <c r="AR50" s="19">
        <f t="shared" si="15"/>
        <v>183</v>
      </c>
      <c r="AS50" s="19">
        <f t="shared" si="15"/>
        <v>153</v>
      </c>
      <c r="AT50" s="19">
        <f t="shared" si="15"/>
        <v>183</v>
      </c>
      <c r="AU50" s="19">
        <f t="shared" si="15"/>
        <v>174</v>
      </c>
      <c r="AV50" s="19">
        <f t="shared" si="15"/>
        <v>219</v>
      </c>
      <c r="AW50" s="19">
        <f t="shared" si="15"/>
        <v>200</v>
      </c>
      <c r="AX50" s="13">
        <f t="shared" ref="AX50:AX52" si="16">SUM(E50:AW50)</f>
        <v>9402</v>
      </c>
    </row>
    <row r="51" ht="12.75" customHeight="1">
      <c r="A51" s="35"/>
      <c r="B51" s="54" t="s">
        <v>44</v>
      </c>
      <c r="C51" s="55" t="s">
        <v>45</v>
      </c>
      <c r="D51" s="16"/>
      <c r="E51" s="19">
        <v>7.0</v>
      </c>
      <c r="F51" s="19">
        <v>2.0</v>
      </c>
      <c r="G51" s="19">
        <v>4.0</v>
      </c>
      <c r="H51" s="19">
        <v>4.0</v>
      </c>
      <c r="I51" s="19">
        <v>0.0</v>
      </c>
      <c r="J51" s="19">
        <v>2.0</v>
      </c>
      <c r="K51" s="19">
        <v>4.0</v>
      </c>
      <c r="L51" s="19">
        <v>5.0</v>
      </c>
      <c r="M51" s="19">
        <v>1.0</v>
      </c>
      <c r="N51" s="19">
        <v>0.0</v>
      </c>
      <c r="O51" s="19">
        <v>2.0</v>
      </c>
      <c r="P51" s="19">
        <v>5.0</v>
      </c>
      <c r="Q51" s="19">
        <v>4.0</v>
      </c>
      <c r="R51" s="19">
        <v>1.0</v>
      </c>
      <c r="S51" s="19">
        <v>2.0</v>
      </c>
      <c r="T51" s="19">
        <v>2.0</v>
      </c>
      <c r="U51" s="19">
        <v>2.0</v>
      </c>
      <c r="V51" s="19">
        <v>1.0</v>
      </c>
      <c r="W51" s="19">
        <v>4.0</v>
      </c>
      <c r="X51" s="19">
        <v>6.0</v>
      </c>
      <c r="Y51" s="19">
        <v>4.0</v>
      </c>
      <c r="Z51" s="19">
        <v>2.0</v>
      </c>
      <c r="AA51" s="19">
        <v>7.0</v>
      </c>
      <c r="AB51" s="19">
        <v>8.0</v>
      </c>
      <c r="AC51" s="19">
        <v>1.0</v>
      </c>
      <c r="AD51" s="19">
        <v>9.0</v>
      </c>
      <c r="AE51" s="19">
        <v>2.0</v>
      </c>
      <c r="AF51" s="19">
        <v>5.0</v>
      </c>
      <c r="AG51" s="19">
        <v>3.0</v>
      </c>
      <c r="AH51" s="19">
        <v>3.0</v>
      </c>
      <c r="AI51" s="19">
        <v>0.0</v>
      </c>
      <c r="AJ51" s="19">
        <v>5.0</v>
      </c>
      <c r="AK51" s="19">
        <v>7.0</v>
      </c>
      <c r="AL51" s="19">
        <v>3.0</v>
      </c>
      <c r="AM51" s="19">
        <v>0.0</v>
      </c>
      <c r="AN51" s="19">
        <v>2.0</v>
      </c>
      <c r="AO51" s="19">
        <v>1.0</v>
      </c>
      <c r="AP51" s="19">
        <v>6.0</v>
      </c>
      <c r="AQ51" s="19">
        <v>3.0</v>
      </c>
      <c r="AR51" s="19">
        <v>1.0</v>
      </c>
      <c r="AS51" s="19">
        <v>4.0</v>
      </c>
      <c r="AT51" s="19">
        <v>2.0</v>
      </c>
      <c r="AU51" s="19">
        <v>2.0</v>
      </c>
      <c r="AV51" s="19">
        <v>2.0</v>
      </c>
      <c r="AW51" s="19">
        <v>1.0</v>
      </c>
      <c r="AX51" s="13">
        <f t="shared" si="16"/>
        <v>141</v>
      </c>
    </row>
    <row r="52" ht="12.75" customHeight="1">
      <c r="A52" s="41"/>
      <c r="B52" s="54" t="s">
        <v>46</v>
      </c>
      <c r="C52" s="55" t="s">
        <v>47</v>
      </c>
      <c r="D52" s="16"/>
      <c r="E52" s="13">
        <f t="shared" ref="E52:AW52" si="17">SUM(E50:E51)</f>
        <v>226</v>
      </c>
      <c r="F52" s="13">
        <f t="shared" si="17"/>
        <v>236</v>
      </c>
      <c r="G52" s="13">
        <f t="shared" si="17"/>
        <v>236</v>
      </c>
      <c r="H52" s="13">
        <f t="shared" si="17"/>
        <v>242</v>
      </c>
      <c r="I52" s="13">
        <f t="shared" si="17"/>
        <v>233</v>
      </c>
      <c r="J52" s="13">
        <f t="shared" si="17"/>
        <v>228</v>
      </c>
      <c r="K52" s="13">
        <f t="shared" si="17"/>
        <v>219</v>
      </c>
      <c r="L52" s="13">
        <f t="shared" si="17"/>
        <v>204</v>
      </c>
      <c r="M52" s="13">
        <f t="shared" si="17"/>
        <v>183</v>
      </c>
      <c r="N52" s="13">
        <f t="shared" si="17"/>
        <v>254</v>
      </c>
      <c r="O52" s="13">
        <f t="shared" si="17"/>
        <v>228</v>
      </c>
      <c r="P52" s="13">
        <f t="shared" si="17"/>
        <v>209</v>
      </c>
      <c r="Q52" s="13">
        <f t="shared" si="17"/>
        <v>231</v>
      </c>
      <c r="R52" s="13">
        <f t="shared" si="17"/>
        <v>237</v>
      </c>
      <c r="S52" s="13">
        <f t="shared" si="17"/>
        <v>173</v>
      </c>
      <c r="T52" s="13">
        <f t="shared" si="17"/>
        <v>158</v>
      </c>
      <c r="U52" s="13">
        <f t="shared" si="17"/>
        <v>193</v>
      </c>
      <c r="V52" s="13">
        <f t="shared" si="17"/>
        <v>161</v>
      </c>
      <c r="W52" s="13">
        <f t="shared" si="17"/>
        <v>217</v>
      </c>
      <c r="X52" s="13">
        <f t="shared" si="17"/>
        <v>216</v>
      </c>
      <c r="Y52" s="13">
        <f t="shared" si="17"/>
        <v>219</v>
      </c>
      <c r="Z52" s="13">
        <f t="shared" si="17"/>
        <v>226</v>
      </c>
      <c r="AA52" s="13">
        <f t="shared" si="17"/>
        <v>195</v>
      </c>
      <c r="AB52" s="13">
        <f t="shared" si="17"/>
        <v>218</v>
      </c>
      <c r="AC52" s="13">
        <f t="shared" si="17"/>
        <v>225</v>
      </c>
      <c r="AD52" s="13">
        <f t="shared" si="17"/>
        <v>231</v>
      </c>
      <c r="AE52" s="13">
        <f t="shared" si="17"/>
        <v>207</v>
      </c>
      <c r="AF52" s="13">
        <f t="shared" si="17"/>
        <v>173</v>
      </c>
      <c r="AG52" s="13">
        <f t="shared" si="17"/>
        <v>239</v>
      </c>
      <c r="AH52" s="13">
        <f t="shared" si="17"/>
        <v>207</v>
      </c>
      <c r="AI52" s="13">
        <f t="shared" si="17"/>
        <v>228</v>
      </c>
      <c r="AJ52" s="13">
        <f t="shared" si="17"/>
        <v>235</v>
      </c>
      <c r="AK52" s="13">
        <f t="shared" si="17"/>
        <v>240</v>
      </c>
      <c r="AL52" s="13">
        <f t="shared" si="17"/>
        <v>218</v>
      </c>
      <c r="AM52" s="13">
        <f t="shared" si="17"/>
        <v>204</v>
      </c>
      <c r="AN52" s="13">
        <f t="shared" si="17"/>
        <v>229</v>
      </c>
      <c r="AO52" s="13">
        <f t="shared" si="17"/>
        <v>236</v>
      </c>
      <c r="AP52" s="13">
        <f t="shared" si="17"/>
        <v>182</v>
      </c>
      <c r="AQ52" s="13">
        <f t="shared" si="17"/>
        <v>223</v>
      </c>
      <c r="AR52" s="13">
        <f t="shared" si="17"/>
        <v>184</v>
      </c>
      <c r="AS52" s="13">
        <f t="shared" si="17"/>
        <v>157</v>
      </c>
      <c r="AT52" s="13">
        <f t="shared" si="17"/>
        <v>185</v>
      </c>
      <c r="AU52" s="13">
        <f t="shared" si="17"/>
        <v>176</v>
      </c>
      <c r="AV52" s="13">
        <f t="shared" si="17"/>
        <v>221</v>
      </c>
      <c r="AW52" s="13">
        <f t="shared" si="17"/>
        <v>201</v>
      </c>
      <c r="AX52" s="13">
        <f t="shared" si="16"/>
        <v>9543</v>
      </c>
    </row>
    <row r="53" ht="12.75" customHeight="1"/>
    <row r="54" ht="12.75" customHeight="1"/>
    <row r="55" ht="15.0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AW12"/>
    <mergeCell ref="AX12:AX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AW15">
    <cfRule type="containsBlanks" dxfId="1" priority="1">
      <formula>LEN(TRIM(E14))=0</formula>
    </cfRule>
  </conditionalFormatting>
  <conditionalFormatting sqref="E19:AW20">
    <cfRule type="containsBlanks" dxfId="1" priority="2">
      <formula>LEN(TRIM(E19))=0</formula>
    </cfRule>
  </conditionalFormatting>
  <conditionalFormatting sqref="E22:AW23 E25:AW26 E33:AW33 E35:AW35 E39:AW40">
    <cfRule type="containsBlanks" dxfId="1" priority="3">
      <formula>LEN(TRIM(E22))=0</formula>
    </cfRule>
  </conditionalFormatting>
  <conditionalFormatting sqref="E30:AW30">
    <cfRule type="expression" dxfId="0" priority="4">
      <formula>E30&lt;&gt;E47</formula>
    </cfRule>
  </conditionalFormatting>
  <conditionalFormatting sqref="E30:AW30">
    <cfRule type="expression" dxfId="0" priority="5">
      <formula>E30&lt;&gt;E34</formula>
    </cfRule>
  </conditionalFormatting>
  <conditionalFormatting sqref="E34:AW34">
    <cfRule type="expression" dxfId="2" priority="6">
      <formula>E30&lt;&gt;E34</formula>
    </cfRule>
  </conditionalFormatting>
  <conditionalFormatting sqref="E34:AW34">
    <cfRule type="expression" dxfId="3" priority="7">
      <formula>E30=E34</formula>
    </cfRule>
  </conditionalFormatting>
  <conditionalFormatting sqref="E34:AW34">
    <cfRule type="expression" dxfId="0" priority="8">
      <formula>E34&lt;&gt;E30</formula>
    </cfRule>
  </conditionalFormatting>
  <conditionalFormatting sqref="E34:AW34">
    <cfRule type="expression" dxfId="0" priority="9">
      <formula>E34&lt;&gt;#REF!</formula>
    </cfRule>
  </conditionalFormatting>
  <conditionalFormatting sqref="E45:AW47">
    <cfRule type="containsBlanks" dxfId="1" priority="10">
      <formula>LEN(TRIM(E45))=0</formula>
    </cfRule>
  </conditionalFormatting>
  <conditionalFormatting sqref="E50:AW51">
    <cfRule type="containsBlanks" dxfId="1" priority="11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7" width="8.71"/>
    <col customWidth="1" min="28" max="28" width="13.29"/>
    <col customWidth="1" min="29" max="30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99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5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13" t="s">
        <v>66</v>
      </c>
      <c r="V13" s="13" t="s">
        <v>67</v>
      </c>
      <c r="W13" s="13" t="s">
        <v>68</v>
      </c>
      <c r="X13" s="13" t="s">
        <v>69</v>
      </c>
      <c r="Y13" s="13" t="s">
        <v>70</v>
      </c>
      <c r="Z13" s="13" t="s">
        <v>71</v>
      </c>
      <c r="AA13" s="13" t="s">
        <v>72</v>
      </c>
      <c r="AB13" s="36"/>
    </row>
    <row r="14" ht="12.75" customHeight="1">
      <c r="A14" s="18"/>
      <c r="B14" s="22" t="s">
        <v>11</v>
      </c>
      <c r="C14" s="23"/>
      <c r="D14" s="19" t="s">
        <v>12</v>
      </c>
      <c r="E14" s="19">
        <v>156.0</v>
      </c>
      <c r="F14" s="19">
        <v>144.0</v>
      </c>
      <c r="G14" s="19">
        <v>150.0</v>
      </c>
      <c r="H14" s="19">
        <v>150.0</v>
      </c>
      <c r="I14" s="19">
        <v>137.0</v>
      </c>
      <c r="J14" s="19">
        <v>140.0</v>
      </c>
      <c r="K14" s="19">
        <v>138.0</v>
      </c>
      <c r="L14" s="19">
        <v>129.0</v>
      </c>
      <c r="M14" s="19">
        <v>106.0</v>
      </c>
      <c r="N14" s="19">
        <v>154.0</v>
      </c>
      <c r="O14" s="19">
        <v>124.0</v>
      </c>
      <c r="P14" s="19">
        <v>126.0</v>
      </c>
      <c r="Q14" s="19">
        <v>96.0</v>
      </c>
      <c r="R14" s="19">
        <v>146.0</v>
      </c>
      <c r="S14" s="19">
        <v>148.0</v>
      </c>
      <c r="T14" s="19">
        <v>144.0</v>
      </c>
      <c r="U14" s="19">
        <v>151.0</v>
      </c>
      <c r="V14" s="19">
        <v>120.0</v>
      </c>
      <c r="W14" s="19">
        <v>133.0</v>
      </c>
      <c r="X14" s="19">
        <v>123.0</v>
      </c>
      <c r="Y14" s="19">
        <v>143.0</v>
      </c>
      <c r="Z14" s="19">
        <v>132.0</v>
      </c>
      <c r="AA14" s="19">
        <v>145.0</v>
      </c>
      <c r="AB14" s="13">
        <f t="shared" ref="AB14:AB16" si="1">SUM(E14:AA14)</f>
        <v>3135</v>
      </c>
    </row>
    <row r="15" ht="12.75" customHeight="1">
      <c r="A15" s="18"/>
      <c r="B15" s="26"/>
      <c r="C15" s="27"/>
      <c r="D15" s="19" t="s">
        <v>13</v>
      </c>
      <c r="E15" s="19">
        <v>141.0</v>
      </c>
      <c r="F15" s="19">
        <v>148.0</v>
      </c>
      <c r="G15" s="19">
        <v>146.0</v>
      </c>
      <c r="H15" s="19">
        <v>148.0</v>
      </c>
      <c r="I15" s="19">
        <v>142.0</v>
      </c>
      <c r="J15" s="19">
        <v>149.0</v>
      </c>
      <c r="K15" s="19">
        <v>137.0</v>
      </c>
      <c r="L15" s="19">
        <v>127.0</v>
      </c>
      <c r="M15" s="19">
        <v>113.0</v>
      </c>
      <c r="N15" s="19">
        <v>136.0</v>
      </c>
      <c r="O15" s="19">
        <v>143.0</v>
      </c>
      <c r="P15" s="19">
        <v>120.0</v>
      </c>
      <c r="Q15" s="19">
        <v>94.0</v>
      </c>
      <c r="R15" s="19">
        <v>143.0</v>
      </c>
      <c r="S15" s="19">
        <v>144.0</v>
      </c>
      <c r="T15" s="19">
        <v>152.0</v>
      </c>
      <c r="U15" s="19">
        <v>144.0</v>
      </c>
      <c r="V15" s="19">
        <v>127.0</v>
      </c>
      <c r="W15" s="19">
        <v>131.0</v>
      </c>
      <c r="X15" s="19">
        <v>137.0</v>
      </c>
      <c r="Y15" s="19">
        <v>135.0</v>
      </c>
      <c r="Z15" s="19">
        <v>131.0</v>
      </c>
      <c r="AA15" s="19">
        <v>150.0</v>
      </c>
      <c r="AB15" s="13">
        <f t="shared" si="1"/>
        <v>3138</v>
      </c>
    </row>
    <row r="16" ht="12.75" customHeight="1">
      <c r="A16" s="25"/>
      <c r="B16" s="21"/>
      <c r="C16" s="28"/>
      <c r="D16" s="13" t="s">
        <v>14</v>
      </c>
      <c r="E16" s="13">
        <f t="shared" ref="E16:AA16" si="2">SUM(E14:E15)</f>
        <v>297</v>
      </c>
      <c r="F16" s="13">
        <f t="shared" si="2"/>
        <v>292</v>
      </c>
      <c r="G16" s="13">
        <f t="shared" si="2"/>
        <v>296</v>
      </c>
      <c r="H16" s="13">
        <f t="shared" si="2"/>
        <v>298</v>
      </c>
      <c r="I16" s="13">
        <f t="shared" si="2"/>
        <v>279</v>
      </c>
      <c r="J16" s="13">
        <f t="shared" si="2"/>
        <v>289</v>
      </c>
      <c r="K16" s="13">
        <f t="shared" si="2"/>
        <v>275</v>
      </c>
      <c r="L16" s="13">
        <f t="shared" si="2"/>
        <v>256</v>
      </c>
      <c r="M16" s="13">
        <f t="shared" si="2"/>
        <v>219</v>
      </c>
      <c r="N16" s="13">
        <f t="shared" si="2"/>
        <v>290</v>
      </c>
      <c r="O16" s="13">
        <f t="shared" si="2"/>
        <v>267</v>
      </c>
      <c r="P16" s="13">
        <f t="shared" si="2"/>
        <v>246</v>
      </c>
      <c r="Q16" s="13">
        <f t="shared" si="2"/>
        <v>190</v>
      </c>
      <c r="R16" s="13">
        <f t="shared" si="2"/>
        <v>289</v>
      </c>
      <c r="S16" s="13">
        <f t="shared" si="2"/>
        <v>292</v>
      </c>
      <c r="T16" s="13">
        <f t="shared" si="2"/>
        <v>296</v>
      </c>
      <c r="U16" s="13">
        <f t="shared" si="2"/>
        <v>295</v>
      </c>
      <c r="V16" s="13">
        <f t="shared" si="2"/>
        <v>247</v>
      </c>
      <c r="W16" s="13">
        <f t="shared" si="2"/>
        <v>264</v>
      </c>
      <c r="X16" s="13">
        <f t="shared" si="2"/>
        <v>260</v>
      </c>
      <c r="Y16" s="13">
        <f t="shared" si="2"/>
        <v>278</v>
      </c>
      <c r="Z16" s="13">
        <f t="shared" si="2"/>
        <v>263</v>
      </c>
      <c r="AA16" s="13">
        <f t="shared" si="2"/>
        <v>295</v>
      </c>
      <c r="AB16" s="13">
        <f t="shared" si="1"/>
        <v>6273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9"/>
      <c r="O17" s="19"/>
      <c r="P17" s="19"/>
      <c r="Q17" s="19"/>
      <c r="R17" s="19"/>
      <c r="S17" s="59"/>
      <c r="T17" s="19"/>
      <c r="U17" s="19"/>
      <c r="V17" s="19"/>
      <c r="W17" s="19"/>
      <c r="X17" s="59"/>
      <c r="Y17" s="19"/>
      <c r="Z17" s="19"/>
      <c r="AA17" s="19"/>
      <c r="AB17" s="60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9"/>
      <c r="O18" s="19"/>
      <c r="P18" s="19"/>
      <c r="Q18" s="19"/>
      <c r="R18" s="19"/>
      <c r="S18" s="59"/>
      <c r="T18" s="19"/>
      <c r="U18" s="19"/>
      <c r="V18" s="19"/>
      <c r="W18" s="19"/>
      <c r="X18" s="59"/>
      <c r="Y18" s="19"/>
      <c r="Z18" s="19"/>
      <c r="AA18" s="19"/>
      <c r="AB18" s="60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125.0</v>
      </c>
      <c r="F19" s="19">
        <v>118.0</v>
      </c>
      <c r="G19" s="19">
        <v>119.0</v>
      </c>
      <c r="H19" s="19">
        <v>104.0</v>
      </c>
      <c r="I19" s="19">
        <v>100.0</v>
      </c>
      <c r="J19" s="19">
        <v>104.0</v>
      </c>
      <c r="K19" s="19">
        <v>92.0</v>
      </c>
      <c r="L19" s="19">
        <v>94.0</v>
      </c>
      <c r="M19" s="19">
        <v>81.0</v>
      </c>
      <c r="N19" s="19">
        <v>120.0</v>
      </c>
      <c r="O19" s="19">
        <v>96.0</v>
      </c>
      <c r="P19" s="19">
        <v>103.0</v>
      </c>
      <c r="Q19" s="19">
        <v>70.0</v>
      </c>
      <c r="R19" s="19">
        <v>118.0</v>
      </c>
      <c r="S19" s="19">
        <v>119.0</v>
      </c>
      <c r="T19" s="19">
        <v>110.0</v>
      </c>
      <c r="U19" s="19">
        <v>122.0</v>
      </c>
      <c r="V19" s="19">
        <v>88.0</v>
      </c>
      <c r="W19" s="19">
        <v>111.0</v>
      </c>
      <c r="X19" s="19">
        <v>104.0</v>
      </c>
      <c r="Y19" s="19">
        <v>122.0</v>
      </c>
      <c r="Z19" s="19">
        <v>113.0</v>
      </c>
      <c r="AA19" s="19">
        <v>122.0</v>
      </c>
      <c r="AB19" s="13">
        <f t="shared" ref="AB19:AB30" si="3">SUM(E19:AA19)</f>
        <v>2455</v>
      </c>
    </row>
    <row r="20" ht="12.75" customHeight="1">
      <c r="A20" s="33"/>
      <c r="B20" s="27"/>
      <c r="C20" s="34"/>
      <c r="D20" s="19" t="s">
        <v>13</v>
      </c>
      <c r="E20" s="19">
        <v>115.0</v>
      </c>
      <c r="F20" s="19">
        <v>116.0</v>
      </c>
      <c r="G20" s="19">
        <v>110.0</v>
      </c>
      <c r="H20" s="19">
        <v>107.0</v>
      </c>
      <c r="I20" s="19">
        <v>110.0</v>
      </c>
      <c r="J20" s="19">
        <v>109.0</v>
      </c>
      <c r="K20" s="19">
        <v>103.0</v>
      </c>
      <c r="L20" s="19">
        <v>100.0</v>
      </c>
      <c r="M20" s="19">
        <v>92.0</v>
      </c>
      <c r="N20" s="19">
        <v>102.0</v>
      </c>
      <c r="O20" s="19">
        <v>109.0</v>
      </c>
      <c r="P20" s="19">
        <v>100.0</v>
      </c>
      <c r="Q20" s="19">
        <v>70.0</v>
      </c>
      <c r="R20" s="19">
        <v>112.0</v>
      </c>
      <c r="S20" s="19">
        <v>112.0</v>
      </c>
      <c r="T20" s="19">
        <v>105.0</v>
      </c>
      <c r="U20" s="19">
        <v>123.0</v>
      </c>
      <c r="V20" s="19">
        <v>99.0</v>
      </c>
      <c r="W20" s="19">
        <v>106.0</v>
      </c>
      <c r="X20" s="19">
        <v>118.0</v>
      </c>
      <c r="Y20" s="19">
        <v>117.0</v>
      </c>
      <c r="Z20" s="19">
        <v>108.0</v>
      </c>
      <c r="AA20" s="19">
        <v>114.0</v>
      </c>
      <c r="AB20" s="13">
        <f t="shared" si="3"/>
        <v>2457</v>
      </c>
    </row>
    <row r="21" ht="12.75" customHeight="1">
      <c r="A21" s="35"/>
      <c r="B21" s="28"/>
      <c r="C21" s="36"/>
      <c r="D21" s="13" t="s">
        <v>14</v>
      </c>
      <c r="E21" s="13">
        <f t="shared" ref="E21:AA21" si="4">SUM(E19:E20)</f>
        <v>240</v>
      </c>
      <c r="F21" s="13">
        <f t="shared" si="4"/>
        <v>234</v>
      </c>
      <c r="G21" s="13">
        <f t="shared" si="4"/>
        <v>229</v>
      </c>
      <c r="H21" s="13">
        <f t="shared" si="4"/>
        <v>211</v>
      </c>
      <c r="I21" s="13">
        <f t="shared" si="4"/>
        <v>210</v>
      </c>
      <c r="J21" s="13">
        <f t="shared" si="4"/>
        <v>213</v>
      </c>
      <c r="K21" s="13">
        <f t="shared" si="4"/>
        <v>195</v>
      </c>
      <c r="L21" s="13">
        <f t="shared" si="4"/>
        <v>194</v>
      </c>
      <c r="M21" s="13">
        <f t="shared" si="4"/>
        <v>173</v>
      </c>
      <c r="N21" s="13">
        <f t="shared" si="4"/>
        <v>222</v>
      </c>
      <c r="O21" s="13">
        <f t="shared" si="4"/>
        <v>205</v>
      </c>
      <c r="P21" s="13">
        <f t="shared" si="4"/>
        <v>203</v>
      </c>
      <c r="Q21" s="13">
        <f t="shared" si="4"/>
        <v>140</v>
      </c>
      <c r="R21" s="13">
        <f t="shared" si="4"/>
        <v>230</v>
      </c>
      <c r="S21" s="13">
        <f t="shared" si="4"/>
        <v>231</v>
      </c>
      <c r="T21" s="13">
        <f t="shared" si="4"/>
        <v>215</v>
      </c>
      <c r="U21" s="13">
        <f t="shared" si="4"/>
        <v>245</v>
      </c>
      <c r="V21" s="13">
        <f t="shared" si="4"/>
        <v>187</v>
      </c>
      <c r="W21" s="13">
        <f t="shared" si="4"/>
        <v>217</v>
      </c>
      <c r="X21" s="13">
        <f t="shared" si="4"/>
        <v>222</v>
      </c>
      <c r="Y21" s="13">
        <f t="shared" si="4"/>
        <v>239</v>
      </c>
      <c r="Z21" s="13">
        <f t="shared" si="4"/>
        <v>221</v>
      </c>
      <c r="AA21" s="13">
        <f t="shared" si="4"/>
        <v>236</v>
      </c>
      <c r="AB21" s="13">
        <f t="shared" si="3"/>
        <v>4912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3.0</v>
      </c>
      <c r="L22" s="19">
        <v>0.0</v>
      </c>
      <c r="M22" s="19">
        <v>6.0</v>
      </c>
      <c r="N22" s="19">
        <v>1.0</v>
      </c>
      <c r="O22" s="19">
        <v>0.0</v>
      </c>
      <c r="P22" s="19">
        <v>0.0</v>
      </c>
      <c r="Q22" s="19">
        <v>8.0</v>
      </c>
      <c r="R22" s="19">
        <v>0.0</v>
      </c>
      <c r="S22" s="19">
        <v>0.0</v>
      </c>
      <c r="T22" s="19">
        <v>1.0</v>
      </c>
      <c r="U22" s="19">
        <v>0.0</v>
      </c>
      <c r="V22" s="19">
        <v>10.0</v>
      </c>
      <c r="W22" s="19">
        <v>8.0</v>
      </c>
      <c r="X22" s="19">
        <v>0.0</v>
      </c>
      <c r="Y22" s="19">
        <v>0.0</v>
      </c>
      <c r="Z22" s="19">
        <v>5.0</v>
      </c>
      <c r="AA22" s="19">
        <v>0.0</v>
      </c>
      <c r="AB22" s="13">
        <f t="shared" si="3"/>
        <v>42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2.0</v>
      </c>
      <c r="L23" s="19">
        <v>1.0</v>
      </c>
      <c r="M23" s="19">
        <v>2.0</v>
      </c>
      <c r="N23" s="19">
        <v>0.0</v>
      </c>
      <c r="O23" s="19">
        <v>0.0</v>
      </c>
      <c r="P23" s="19">
        <v>0.0</v>
      </c>
      <c r="Q23" s="19">
        <v>1.0</v>
      </c>
      <c r="R23" s="19">
        <v>0.0</v>
      </c>
      <c r="S23" s="19">
        <v>0.0</v>
      </c>
      <c r="T23" s="19">
        <v>0.0</v>
      </c>
      <c r="U23" s="19">
        <v>0.0</v>
      </c>
      <c r="V23" s="19">
        <v>1.0</v>
      </c>
      <c r="W23" s="19">
        <v>0.0</v>
      </c>
      <c r="X23" s="19">
        <v>0.0</v>
      </c>
      <c r="Y23" s="19">
        <v>8.0</v>
      </c>
      <c r="Z23" s="19">
        <v>0.0</v>
      </c>
      <c r="AA23" s="19">
        <v>0.0</v>
      </c>
      <c r="AB23" s="13">
        <f t="shared" si="3"/>
        <v>15</v>
      </c>
    </row>
    <row r="24" ht="12.75" customHeight="1">
      <c r="A24" s="35"/>
      <c r="B24" s="28"/>
      <c r="C24" s="36"/>
      <c r="D24" s="13" t="s">
        <v>14</v>
      </c>
      <c r="E24" s="13">
        <f t="shared" ref="E24:AA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5</v>
      </c>
      <c r="L24" s="13">
        <f t="shared" si="5"/>
        <v>1</v>
      </c>
      <c r="M24" s="13">
        <f t="shared" si="5"/>
        <v>8</v>
      </c>
      <c r="N24" s="13">
        <f t="shared" si="5"/>
        <v>1</v>
      </c>
      <c r="O24" s="13">
        <f t="shared" si="5"/>
        <v>0</v>
      </c>
      <c r="P24" s="13">
        <f t="shared" si="5"/>
        <v>0</v>
      </c>
      <c r="Q24" s="13">
        <f t="shared" si="5"/>
        <v>9</v>
      </c>
      <c r="R24" s="13">
        <f t="shared" si="5"/>
        <v>0</v>
      </c>
      <c r="S24" s="13">
        <f t="shared" si="5"/>
        <v>0</v>
      </c>
      <c r="T24" s="13">
        <f t="shared" si="5"/>
        <v>1</v>
      </c>
      <c r="U24" s="13">
        <f t="shared" si="5"/>
        <v>0</v>
      </c>
      <c r="V24" s="13">
        <f t="shared" si="5"/>
        <v>11</v>
      </c>
      <c r="W24" s="13">
        <f t="shared" si="5"/>
        <v>8</v>
      </c>
      <c r="X24" s="13">
        <f t="shared" si="5"/>
        <v>0</v>
      </c>
      <c r="Y24" s="13">
        <f t="shared" si="5"/>
        <v>8</v>
      </c>
      <c r="Z24" s="13">
        <f t="shared" si="5"/>
        <v>5</v>
      </c>
      <c r="AA24" s="13">
        <f t="shared" si="5"/>
        <v>0</v>
      </c>
      <c r="AB24" s="13">
        <f t="shared" si="3"/>
        <v>57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2.0</v>
      </c>
      <c r="F25" s="19">
        <v>1.0</v>
      </c>
      <c r="G25" s="19">
        <v>4.0</v>
      </c>
      <c r="H25" s="19">
        <v>11.0</v>
      </c>
      <c r="I25" s="19">
        <v>2.0</v>
      </c>
      <c r="J25" s="19">
        <v>1.0</v>
      </c>
      <c r="K25" s="19">
        <v>0.0</v>
      </c>
      <c r="L25" s="19">
        <v>2.0</v>
      </c>
      <c r="M25" s="19">
        <v>1.0</v>
      </c>
      <c r="N25" s="19">
        <v>2.0</v>
      </c>
      <c r="O25" s="19">
        <v>0.0</v>
      </c>
      <c r="P25" s="19">
        <v>0.0</v>
      </c>
      <c r="Q25" s="19">
        <v>0.0</v>
      </c>
      <c r="R25" s="19">
        <v>1.0</v>
      </c>
      <c r="S25" s="19">
        <v>0.0</v>
      </c>
      <c r="T25" s="19">
        <v>0.0</v>
      </c>
      <c r="U25" s="19">
        <v>0.0</v>
      </c>
      <c r="V25" s="19">
        <v>0.0</v>
      </c>
      <c r="W25" s="19">
        <v>1.0</v>
      </c>
      <c r="X25" s="19">
        <v>0.0</v>
      </c>
      <c r="Y25" s="19">
        <v>0.0</v>
      </c>
      <c r="Z25" s="19">
        <v>0.0</v>
      </c>
      <c r="AA25" s="19">
        <v>0.0</v>
      </c>
      <c r="AB25" s="13">
        <f t="shared" si="3"/>
        <v>28</v>
      </c>
    </row>
    <row r="26" ht="12.75" customHeight="1">
      <c r="A26" s="33"/>
      <c r="B26" s="27"/>
      <c r="C26" s="34"/>
      <c r="D26" s="19" t="s">
        <v>13</v>
      </c>
      <c r="E26" s="19">
        <v>2.0</v>
      </c>
      <c r="F26" s="19">
        <v>1.0</v>
      </c>
      <c r="G26" s="19">
        <v>3.0</v>
      </c>
      <c r="H26" s="19">
        <v>8.0</v>
      </c>
      <c r="I26" s="19">
        <v>2.0</v>
      </c>
      <c r="J26" s="19">
        <v>3.0</v>
      </c>
      <c r="K26" s="19">
        <v>1.0</v>
      </c>
      <c r="L26" s="19">
        <v>1.0</v>
      </c>
      <c r="M26" s="19">
        <v>1.0</v>
      </c>
      <c r="N26" s="19">
        <v>3.0</v>
      </c>
      <c r="O26" s="19">
        <v>0.0</v>
      </c>
      <c r="P26" s="19">
        <v>1.0</v>
      </c>
      <c r="Q26" s="19">
        <v>0.0</v>
      </c>
      <c r="R26" s="19">
        <v>1.0</v>
      </c>
      <c r="S26" s="19">
        <v>1.0</v>
      </c>
      <c r="T26" s="19">
        <v>1.0</v>
      </c>
      <c r="U26" s="19">
        <v>4.0</v>
      </c>
      <c r="V26" s="19">
        <v>1.0</v>
      </c>
      <c r="W26" s="19">
        <v>0.0</v>
      </c>
      <c r="X26" s="19">
        <v>2.0</v>
      </c>
      <c r="Y26" s="19">
        <v>1.0</v>
      </c>
      <c r="Z26" s="19">
        <v>0.0</v>
      </c>
      <c r="AA26" s="19">
        <v>0.0</v>
      </c>
      <c r="AB26" s="13">
        <f t="shared" si="3"/>
        <v>37</v>
      </c>
    </row>
    <row r="27" ht="12.75" customHeight="1">
      <c r="A27" s="35"/>
      <c r="B27" s="28"/>
      <c r="C27" s="36"/>
      <c r="D27" s="13" t="s">
        <v>14</v>
      </c>
      <c r="E27" s="13">
        <f t="shared" ref="E27:AA27" si="6">SUM(E25:E26)</f>
        <v>4</v>
      </c>
      <c r="F27" s="13">
        <f t="shared" si="6"/>
        <v>2</v>
      </c>
      <c r="G27" s="13">
        <f t="shared" si="6"/>
        <v>7</v>
      </c>
      <c r="H27" s="13">
        <f t="shared" si="6"/>
        <v>19</v>
      </c>
      <c r="I27" s="13">
        <f t="shared" si="6"/>
        <v>4</v>
      </c>
      <c r="J27" s="13">
        <f t="shared" si="6"/>
        <v>4</v>
      </c>
      <c r="K27" s="13">
        <f t="shared" si="6"/>
        <v>1</v>
      </c>
      <c r="L27" s="13">
        <f t="shared" si="6"/>
        <v>3</v>
      </c>
      <c r="M27" s="13">
        <f t="shared" si="6"/>
        <v>2</v>
      </c>
      <c r="N27" s="13">
        <f t="shared" si="6"/>
        <v>5</v>
      </c>
      <c r="O27" s="13">
        <f t="shared" si="6"/>
        <v>0</v>
      </c>
      <c r="P27" s="13">
        <f t="shared" si="6"/>
        <v>1</v>
      </c>
      <c r="Q27" s="13">
        <f t="shared" si="6"/>
        <v>0</v>
      </c>
      <c r="R27" s="13">
        <f t="shared" si="6"/>
        <v>2</v>
      </c>
      <c r="S27" s="13">
        <f t="shared" si="6"/>
        <v>1</v>
      </c>
      <c r="T27" s="13">
        <f t="shared" si="6"/>
        <v>1</v>
      </c>
      <c r="U27" s="13">
        <f t="shared" si="6"/>
        <v>4</v>
      </c>
      <c r="V27" s="13">
        <f t="shared" si="6"/>
        <v>1</v>
      </c>
      <c r="W27" s="13">
        <f t="shared" si="6"/>
        <v>1</v>
      </c>
      <c r="X27" s="13">
        <f t="shared" si="6"/>
        <v>2</v>
      </c>
      <c r="Y27" s="13">
        <f t="shared" si="6"/>
        <v>1</v>
      </c>
      <c r="Z27" s="13">
        <f t="shared" si="6"/>
        <v>0</v>
      </c>
      <c r="AA27" s="13">
        <f t="shared" si="6"/>
        <v>0</v>
      </c>
      <c r="AB27" s="13">
        <f t="shared" si="3"/>
        <v>65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A28" si="7">SUM(E19,E22,E25)</f>
        <v>127</v>
      </c>
      <c r="F28" s="13">
        <f t="shared" si="7"/>
        <v>119</v>
      </c>
      <c r="G28" s="13">
        <f t="shared" si="7"/>
        <v>123</v>
      </c>
      <c r="H28" s="13">
        <f t="shared" si="7"/>
        <v>115</v>
      </c>
      <c r="I28" s="13">
        <f t="shared" si="7"/>
        <v>102</v>
      </c>
      <c r="J28" s="13">
        <f t="shared" si="7"/>
        <v>105</v>
      </c>
      <c r="K28" s="13">
        <f t="shared" si="7"/>
        <v>95</v>
      </c>
      <c r="L28" s="13">
        <f t="shared" si="7"/>
        <v>96</v>
      </c>
      <c r="M28" s="13">
        <f t="shared" si="7"/>
        <v>88</v>
      </c>
      <c r="N28" s="13">
        <f t="shared" si="7"/>
        <v>123</v>
      </c>
      <c r="O28" s="13">
        <f t="shared" si="7"/>
        <v>96</v>
      </c>
      <c r="P28" s="13">
        <f t="shared" si="7"/>
        <v>103</v>
      </c>
      <c r="Q28" s="13">
        <f t="shared" si="7"/>
        <v>78</v>
      </c>
      <c r="R28" s="13">
        <f t="shared" si="7"/>
        <v>119</v>
      </c>
      <c r="S28" s="13">
        <f t="shared" si="7"/>
        <v>119</v>
      </c>
      <c r="T28" s="13">
        <f t="shared" si="7"/>
        <v>111</v>
      </c>
      <c r="U28" s="13">
        <f t="shared" si="7"/>
        <v>122</v>
      </c>
      <c r="V28" s="13">
        <f t="shared" si="7"/>
        <v>98</v>
      </c>
      <c r="W28" s="13">
        <f t="shared" si="7"/>
        <v>120</v>
      </c>
      <c r="X28" s="13">
        <f t="shared" si="7"/>
        <v>104</v>
      </c>
      <c r="Y28" s="13">
        <f t="shared" si="7"/>
        <v>122</v>
      </c>
      <c r="Z28" s="13">
        <f t="shared" si="7"/>
        <v>118</v>
      </c>
      <c r="AA28" s="13">
        <f t="shared" si="7"/>
        <v>122</v>
      </c>
      <c r="AB28" s="13">
        <f t="shared" si="3"/>
        <v>2525</v>
      </c>
    </row>
    <row r="29" ht="12.75" customHeight="1">
      <c r="A29" s="35"/>
      <c r="B29" s="27"/>
      <c r="C29" s="34"/>
      <c r="D29" s="13" t="s">
        <v>13</v>
      </c>
      <c r="E29" s="13">
        <f t="shared" ref="E29:AA29" si="8">SUM(E20,E23,E26)</f>
        <v>117</v>
      </c>
      <c r="F29" s="13">
        <f t="shared" si="8"/>
        <v>117</v>
      </c>
      <c r="G29" s="13">
        <f t="shared" si="8"/>
        <v>113</v>
      </c>
      <c r="H29" s="13">
        <f t="shared" si="8"/>
        <v>115</v>
      </c>
      <c r="I29" s="13">
        <f t="shared" si="8"/>
        <v>112</v>
      </c>
      <c r="J29" s="13">
        <f t="shared" si="8"/>
        <v>112</v>
      </c>
      <c r="K29" s="13">
        <f t="shared" si="8"/>
        <v>106</v>
      </c>
      <c r="L29" s="13">
        <f t="shared" si="8"/>
        <v>102</v>
      </c>
      <c r="M29" s="13">
        <f t="shared" si="8"/>
        <v>95</v>
      </c>
      <c r="N29" s="13">
        <f t="shared" si="8"/>
        <v>105</v>
      </c>
      <c r="O29" s="13">
        <f t="shared" si="8"/>
        <v>109</v>
      </c>
      <c r="P29" s="13">
        <f t="shared" si="8"/>
        <v>101</v>
      </c>
      <c r="Q29" s="13">
        <f t="shared" si="8"/>
        <v>71</v>
      </c>
      <c r="R29" s="13">
        <f t="shared" si="8"/>
        <v>113</v>
      </c>
      <c r="S29" s="13">
        <f t="shared" si="8"/>
        <v>113</v>
      </c>
      <c r="T29" s="13">
        <f t="shared" si="8"/>
        <v>106</v>
      </c>
      <c r="U29" s="13">
        <f t="shared" si="8"/>
        <v>127</v>
      </c>
      <c r="V29" s="13">
        <f t="shared" si="8"/>
        <v>101</v>
      </c>
      <c r="W29" s="13">
        <f t="shared" si="8"/>
        <v>106</v>
      </c>
      <c r="X29" s="13">
        <f t="shared" si="8"/>
        <v>120</v>
      </c>
      <c r="Y29" s="13">
        <f t="shared" si="8"/>
        <v>126</v>
      </c>
      <c r="Z29" s="13">
        <f t="shared" si="8"/>
        <v>108</v>
      </c>
      <c r="AA29" s="13">
        <f t="shared" si="8"/>
        <v>114</v>
      </c>
      <c r="AB29" s="13">
        <f t="shared" si="3"/>
        <v>2509</v>
      </c>
    </row>
    <row r="30" ht="12.75" customHeight="1">
      <c r="A30" s="35"/>
      <c r="B30" s="28"/>
      <c r="C30" s="36"/>
      <c r="D30" s="13" t="s">
        <v>14</v>
      </c>
      <c r="E30" s="13">
        <f t="shared" ref="E30:AA30" si="9">SUM(E28:E29)</f>
        <v>244</v>
      </c>
      <c r="F30" s="13">
        <f t="shared" si="9"/>
        <v>236</v>
      </c>
      <c r="G30" s="13">
        <f t="shared" si="9"/>
        <v>236</v>
      </c>
      <c r="H30" s="13">
        <f t="shared" si="9"/>
        <v>230</v>
      </c>
      <c r="I30" s="13">
        <f t="shared" si="9"/>
        <v>214</v>
      </c>
      <c r="J30" s="13">
        <f t="shared" si="9"/>
        <v>217</v>
      </c>
      <c r="K30" s="13">
        <f t="shared" si="9"/>
        <v>201</v>
      </c>
      <c r="L30" s="13">
        <f t="shared" si="9"/>
        <v>198</v>
      </c>
      <c r="M30" s="13">
        <f t="shared" si="9"/>
        <v>183</v>
      </c>
      <c r="N30" s="13">
        <f t="shared" si="9"/>
        <v>228</v>
      </c>
      <c r="O30" s="13">
        <f t="shared" si="9"/>
        <v>205</v>
      </c>
      <c r="P30" s="13">
        <f t="shared" si="9"/>
        <v>204</v>
      </c>
      <c r="Q30" s="13">
        <f t="shared" si="9"/>
        <v>149</v>
      </c>
      <c r="R30" s="13">
        <f t="shared" si="9"/>
        <v>232</v>
      </c>
      <c r="S30" s="13">
        <f t="shared" si="9"/>
        <v>232</v>
      </c>
      <c r="T30" s="13">
        <f t="shared" si="9"/>
        <v>217</v>
      </c>
      <c r="U30" s="13">
        <f t="shared" si="9"/>
        <v>249</v>
      </c>
      <c r="V30" s="13">
        <f t="shared" si="9"/>
        <v>199</v>
      </c>
      <c r="W30" s="13">
        <f t="shared" si="9"/>
        <v>226</v>
      </c>
      <c r="X30" s="13">
        <f t="shared" si="9"/>
        <v>224</v>
      </c>
      <c r="Y30" s="13">
        <f t="shared" si="9"/>
        <v>248</v>
      </c>
      <c r="Z30" s="13">
        <f t="shared" si="9"/>
        <v>226</v>
      </c>
      <c r="AA30" s="13">
        <f t="shared" si="9"/>
        <v>236</v>
      </c>
      <c r="AB30" s="13">
        <f t="shared" si="3"/>
        <v>5034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9"/>
      <c r="O31" s="19"/>
      <c r="P31" s="19"/>
      <c r="Q31" s="19"/>
      <c r="R31" s="19"/>
      <c r="S31" s="59"/>
      <c r="T31" s="19"/>
      <c r="U31" s="19"/>
      <c r="V31" s="19"/>
      <c r="W31" s="19"/>
      <c r="X31" s="59"/>
      <c r="Y31" s="19"/>
      <c r="Z31" s="19"/>
      <c r="AA31" s="19"/>
      <c r="AB31" s="60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1"/>
      <c r="O32" s="13"/>
      <c r="P32" s="13"/>
      <c r="Q32" s="13"/>
      <c r="R32" s="13"/>
      <c r="S32" s="61"/>
      <c r="T32" s="13"/>
      <c r="U32" s="13"/>
      <c r="V32" s="13"/>
      <c r="W32" s="13"/>
      <c r="X32" s="61"/>
      <c r="Y32" s="13"/>
      <c r="Z32" s="13"/>
      <c r="AA32" s="13"/>
      <c r="AB32" s="60"/>
    </row>
    <row r="33" ht="12.75" customHeight="1">
      <c r="A33" s="19">
        <v>1.0</v>
      </c>
      <c r="B33" s="20" t="s">
        <v>27</v>
      </c>
      <c r="C33" s="15"/>
      <c r="D33" s="16"/>
      <c r="E33" s="19">
        <v>303.0</v>
      </c>
      <c r="F33" s="19">
        <v>299.0</v>
      </c>
      <c r="G33" s="19">
        <v>302.0</v>
      </c>
      <c r="H33" s="19">
        <v>303.0</v>
      </c>
      <c r="I33" s="19">
        <v>285.0</v>
      </c>
      <c r="J33" s="19">
        <v>295.0</v>
      </c>
      <c r="K33" s="19">
        <v>300.0</v>
      </c>
      <c r="L33" s="19">
        <v>262.0</v>
      </c>
      <c r="M33" s="19">
        <v>224.0</v>
      </c>
      <c r="N33" s="19">
        <v>295.0</v>
      </c>
      <c r="O33" s="19">
        <v>275.0</v>
      </c>
      <c r="P33" s="19">
        <v>250.0</v>
      </c>
      <c r="Q33" s="19">
        <v>194.0</v>
      </c>
      <c r="R33" s="19">
        <v>295.0</v>
      </c>
      <c r="S33" s="19">
        <v>299.0</v>
      </c>
      <c r="T33" s="19">
        <v>302.0</v>
      </c>
      <c r="U33" s="19">
        <v>301.0</v>
      </c>
      <c r="V33" s="19">
        <v>253.0</v>
      </c>
      <c r="W33" s="19">
        <v>274.0</v>
      </c>
      <c r="X33" s="19">
        <v>266.0</v>
      </c>
      <c r="Y33" s="19">
        <v>284.0</v>
      </c>
      <c r="Z33" s="19">
        <v>270.0</v>
      </c>
      <c r="AA33" s="19">
        <v>302.0</v>
      </c>
      <c r="AB33" s="13">
        <f t="shared" ref="AB33:AB36" si="10">SUM(E33:AA33)</f>
        <v>6433</v>
      </c>
    </row>
    <row r="34" ht="12.75" customHeight="1">
      <c r="A34" s="19">
        <v>2.0</v>
      </c>
      <c r="B34" s="20" t="s">
        <v>28</v>
      </c>
      <c r="C34" s="15"/>
      <c r="D34" s="16"/>
      <c r="E34" s="13">
        <v>244.0</v>
      </c>
      <c r="F34" s="13">
        <v>236.0</v>
      </c>
      <c r="G34" s="13">
        <v>236.0</v>
      </c>
      <c r="H34" s="13">
        <v>230.0</v>
      </c>
      <c r="I34" s="13">
        <v>214.0</v>
      </c>
      <c r="J34" s="13">
        <v>217.0</v>
      </c>
      <c r="K34" s="13">
        <v>201.0</v>
      </c>
      <c r="L34" s="13">
        <v>198.0</v>
      </c>
      <c r="M34" s="13">
        <v>183.0</v>
      </c>
      <c r="N34" s="13">
        <v>228.0</v>
      </c>
      <c r="O34" s="13">
        <v>205.0</v>
      </c>
      <c r="P34" s="13">
        <v>204.0</v>
      </c>
      <c r="Q34" s="13">
        <v>149.0</v>
      </c>
      <c r="R34" s="13">
        <v>232.0</v>
      </c>
      <c r="S34" s="13">
        <v>232.0</v>
      </c>
      <c r="T34" s="13">
        <v>217.0</v>
      </c>
      <c r="U34" s="13">
        <v>249.0</v>
      </c>
      <c r="V34" s="13">
        <v>199.0</v>
      </c>
      <c r="W34" s="13">
        <v>226.0</v>
      </c>
      <c r="X34" s="13">
        <v>224.0</v>
      </c>
      <c r="Y34" s="13">
        <v>248.0</v>
      </c>
      <c r="Z34" s="13">
        <v>226.0</v>
      </c>
      <c r="AA34" s="13">
        <v>236.0</v>
      </c>
      <c r="AB34" s="13">
        <f t="shared" si="10"/>
        <v>5034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1.0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1.0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3">
        <f t="shared" si="10"/>
        <v>2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A36" si="11">E33-(E34+E35)</f>
        <v>59</v>
      </c>
      <c r="F36" s="13">
        <f t="shared" si="11"/>
        <v>63</v>
      </c>
      <c r="G36" s="13">
        <f t="shared" si="11"/>
        <v>66</v>
      </c>
      <c r="H36" s="13">
        <f t="shared" si="11"/>
        <v>73</v>
      </c>
      <c r="I36" s="13">
        <f t="shared" si="11"/>
        <v>70</v>
      </c>
      <c r="J36" s="13">
        <f t="shared" si="11"/>
        <v>78</v>
      </c>
      <c r="K36" s="13">
        <f t="shared" si="11"/>
        <v>99</v>
      </c>
      <c r="L36" s="13">
        <f t="shared" si="11"/>
        <v>64</v>
      </c>
      <c r="M36" s="13">
        <f t="shared" si="11"/>
        <v>41</v>
      </c>
      <c r="N36" s="13">
        <f t="shared" si="11"/>
        <v>67</v>
      </c>
      <c r="O36" s="13">
        <f t="shared" si="11"/>
        <v>69</v>
      </c>
      <c r="P36" s="13">
        <f t="shared" si="11"/>
        <v>46</v>
      </c>
      <c r="Q36" s="13">
        <f t="shared" si="11"/>
        <v>45</v>
      </c>
      <c r="R36" s="13">
        <f t="shared" si="11"/>
        <v>63</v>
      </c>
      <c r="S36" s="13">
        <f t="shared" si="11"/>
        <v>67</v>
      </c>
      <c r="T36" s="13">
        <f t="shared" si="11"/>
        <v>85</v>
      </c>
      <c r="U36" s="13">
        <f t="shared" si="11"/>
        <v>52</v>
      </c>
      <c r="V36" s="13">
        <f t="shared" si="11"/>
        <v>54</v>
      </c>
      <c r="W36" s="13">
        <f t="shared" si="11"/>
        <v>48</v>
      </c>
      <c r="X36" s="13">
        <f t="shared" si="11"/>
        <v>42</v>
      </c>
      <c r="Y36" s="13">
        <f t="shared" si="11"/>
        <v>36</v>
      </c>
      <c r="Z36" s="13">
        <f t="shared" si="11"/>
        <v>44</v>
      </c>
      <c r="AA36" s="13">
        <f t="shared" si="11"/>
        <v>66</v>
      </c>
      <c r="AB36" s="13">
        <f t="shared" si="10"/>
        <v>1397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9"/>
      <c r="O37" s="19"/>
      <c r="P37" s="19"/>
      <c r="Q37" s="19"/>
      <c r="R37" s="19"/>
      <c r="S37" s="59"/>
      <c r="T37" s="19"/>
      <c r="U37" s="19"/>
      <c r="V37" s="19"/>
      <c r="W37" s="19"/>
      <c r="X37" s="59"/>
      <c r="Y37" s="19"/>
      <c r="Z37" s="19"/>
      <c r="AA37" s="19"/>
      <c r="AB37" s="60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1"/>
      <c r="O38" s="13"/>
      <c r="P38" s="13"/>
      <c r="Q38" s="13"/>
      <c r="R38" s="13"/>
      <c r="S38" s="61"/>
      <c r="T38" s="13"/>
      <c r="U38" s="13"/>
      <c r="V38" s="13"/>
      <c r="W38" s="13"/>
      <c r="X38" s="61"/>
      <c r="Y38" s="13"/>
      <c r="Z38" s="13"/>
      <c r="AA38" s="13"/>
      <c r="AB38" s="60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2.0</v>
      </c>
      <c r="O39" s="19">
        <v>0.0</v>
      </c>
      <c r="P39" s="19">
        <v>0.0</v>
      </c>
      <c r="Q39" s="19">
        <v>0.0</v>
      </c>
      <c r="R39" s="19">
        <v>1.0</v>
      </c>
      <c r="S39" s="19">
        <v>0.0</v>
      </c>
      <c r="T39" s="19">
        <v>0.0</v>
      </c>
      <c r="U39" s="19">
        <v>2.0</v>
      </c>
      <c r="V39" s="19">
        <v>0.0</v>
      </c>
      <c r="W39" s="19">
        <v>0.0</v>
      </c>
      <c r="X39" s="19">
        <v>0.0</v>
      </c>
      <c r="Y39" s="19">
        <v>0.0</v>
      </c>
      <c r="Z39" s="19">
        <v>1.0</v>
      </c>
      <c r="AA39" s="19">
        <v>0.0</v>
      </c>
      <c r="AB39" s="13">
        <f t="shared" ref="AB39:AB41" si="12">SUM(E39:AA39)</f>
        <v>6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3.0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1.0</v>
      </c>
      <c r="X40" s="19">
        <v>0.0</v>
      </c>
      <c r="Y40" s="19">
        <v>0.0</v>
      </c>
      <c r="Z40" s="19">
        <v>0.0</v>
      </c>
      <c r="AA40" s="19">
        <v>0.0</v>
      </c>
      <c r="AB40" s="13">
        <f t="shared" si="12"/>
        <v>4</v>
      </c>
    </row>
    <row r="41" ht="12.75" customHeight="1">
      <c r="A41" s="41"/>
      <c r="B41" s="44"/>
      <c r="C41" s="28"/>
      <c r="D41" s="13" t="s">
        <v>14</v>
      </c>
      <c r="E41" s="13">
        <f t="shared" ref="E41:AA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5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1</v>
      </c>
      <c r="S41" s="13">
        <f t="shared" si="13"/>
        <v>0</v>
      </c>
      <c r="T41" s="13">
        <f t="shared" si="13"/>
        <v>0</v>
      </c>
      <c r="U41" s="13">
        <f t="shared" si="13"/>
        <v>2</v>
      </c>
      <c r="V41" s="13">
        <f t="shared" si="13"/>
        <v>0</v>
      </c>
      <c r="W41" s="13">
        <f t="shared" si="13"/>
        <v>1</v>
      </c>
      <c r="X41" s="13">
        <f t="shared" si="13"/>
        <v>0</v>
      </c>
      <c r="Y41" s="13">
        <f t="shared" si="13"/>
        <v>0</v>
      </c>
      <c r="Z41" s="13">
        <f t="shared" si="13"/>
        <v>1</v>
      </c>
      <c r="AA41" s="13">
        <f t="shared" si="13"/>
        <v>0</v>
      </c>
      <c r="AB41" s="13">
        <f t="shared" si="12"/>
        <v>10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9"/>
      <c r="O42" s="19"/>
      <c r="P42" s="19"/>
      <c r="Q42" s="19"/>
      <c r="R42" s="19"/>
      <c r="S42" s="59"/>
      <c r="T42" s="19"/>
      <c r="U42" s="19"/>
      <c r="V42" s="19"/>
      <c r="W42" s="19"/>
      <c r="X42" s="59"/>
      <c r="Y42" s="19"/>
      <c r="Z42" s="19"/>
      <c r="AA42" s="19"/>
      <c r="AB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1"/>
      <c r="O43" s="13"/>
      <c r="P43" s="13"/>
      <c r="Q43" s="13"/>
      <c r="R43" s="13"/>
      <c r="S43" s="61"/>
      <c r="T43" s="13"/>
      <c r="U43" s="13"/>
      <c r="V43" s="13"/>
      <c r="W43" s="13"/>
      <c r="X43" s="61"/>
      <c r="Y43" s="13"/>
      <c r="Z43" s="13"/>
      <c r="AA43" s="13"/>
      <c r="AB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9"/>
      <c r="O44" s="19"/>
      <c r="P44" s="19"/>
      <c r="Q44" s="19"/>
      <c r="R44" s="19"/>
      <c r="S44" s="59"/>
      <c r="T44" s="19"/>
      <c r="U44" s="19"/>
      <c r="V44" s="19"/>
      <c r="W44" s="19"/>
      <c r="X44" s="59"/>
      <c r="Y44" s="19"/>
      <c r="Z44" s="19"/>
      <c r="AA44" s="19"/>
      <c r="AB44" s="13"/>
    </row>
    <row r="45" ht="12.75" customHeight="1">
      <c r="A45" s="62"/>
      <c r="B45" s="47">
        <v>1.0</v>
      </c>
      <c r="C45" s="48" t="s">
        <v>37</v>
      </c>
      <c r="D45" s="16"/>
      <c r="E45" s="19">
        <v>11.0</v>
      </c>
      <c r="F45" s="19">
        <v>6.0</v>
      </c>
      <c r="G45" s="19">
        <v>8.0</v>
      </c>
      <c r="H45" s="19">
        <v>7.0</v>
      </c>
      <c r="I45" s="19">
        <v>16.0</v>
      </c>
      <c r="J45" s="19">
        <v>11.0</v>
      </c>
      <c r="K45" s="19">
        <v>13.0</v>
      </c>
      <c r="L45" s="19">
        <v>20.0</v>
      </c>
      <c r="M45" s="19">
        <v>11.0</v>
      </c>
      <c r="N45" s="19">
        <v>31.0</v>
      </c>
      <c r="O45" s="19">
        <v>16.0</v>
      </c>
      <c r="P45" s="19">
        <v>6.0</v>
      </c>
      <c r="Q45" s="19">
        <v>9.0</v>
      </c>
      <c r="R45" s="19">
        <v>12.0</v>
      </c>
      <c r="S45" s="19">
        <v>17.0</v>
      </c>
      <c r="T45" s="19">
        <v>35.0</v>
      </c>
      <c r="U45" s="19">
        <v>56.0</v>
      </c>
      <c r="V45" s="19">
        <v>23.0</v>
      </c>
      <c r="W45" s="19">
        <v>11.0</v>
      </c>
      <c r="X45" s="19">
        <v>20.0</v>
      </c>
      <c r="Y45" s="19">
        <v>33.0</v>
      </c>
      <c r="Z45" s="19">
        <v>23.0</v>
      </c>
      <c r="AA45" s="19">
        <v>19.0</v>
      </c>
      <c r="AB45" s="13">
        <f t="shared" ref="AB45:AB47" si="14">SUM(E45:AA45)</f>
        <v>414</v>
      </c>
    </row>
    <row r="46" ht="12.75" customHeight="1">
      <c r="A46" s="18"/>
      <c r="B46" s="47">
        <v>2.0</v>
      </c>
      <c r="C46" s="48" t="s">
        <v>38</v>
      </c>
      <c r="D46" s="16"/>
      <c r="E46" s="19">
        <v>157.0</v>
      </c>
      <c r="F46" s="19">
        <v>152.0</v>
      </c>
      <c r="G46" s="19">
        <v>137.0</v>
      </c>
      <c r="H46" s="19">
        <v>147.0</v>
      </c>
      <c r="I46" s="19">
        <v>133.0</v>
      </c>
      <c r="J46" s="19">
        <v>142.0</v>
      </c>
      <c r="K46" s="19">
        <v>132.0</v>
      </c>
      <c r="L46" s="19">
        <v>132.0</v>
      </c>
      <c r="M46" s="19">
        <v>141.0</v>
      </c>
      <c r="N46" s="19">
        <v>142.0</v>
      </c>
      <c r="O46" s="19">
        <v>135.0</v>
      </c>
      <c r="P46" s="19">
        <v>164.0</v>
      </c>
      <c r="Q46" s="19">
        <v>116.0</v>
      </c>
      <c r="R46" s="19">
        <v>172.0</v>
      </c>
      <c r="S46" s="19">
        <v>126.0</v>
      </c>
      <c r="T46" s="19">
        <v>120.0</v>
      </c>
      <c r="U46" s="19">
        <v>148.0</v>
      </c>
      <c r="V46" s="19">
        <v>131.0</v>
      </c>
      <c r="W46" s="19">
        <v>155.0</v>
      </c>
      <c r="X46" s="19">
        <v>149.0</v>
      </c>
      <c r="Y46" s="19">
        <v>155.0</v>
      </c>
      <c r="Z46" s="19">
        <v>157.0</v>
      </c>
      <c r="AA46" s="19">
        <v>158.0</v>
      </c>
      <c r="AB46" s="13">
        <f t="shared" si="14"/>
        <v>3301</v>
      </c>
    </row>
    <row r="47" ht="12.75" customHeight="1">
      <c r="A47" s="45"/>
      <c r="B47" s="47">
        <v>3.0</v>
      </c>
      <c r="C47" s="48" t="s">
        <v>39</v>
      </c>
      <c r="D47" s="16"/>
      <c r="E47" s="19">
        <v>70.0</v>
      </c>
      <c r="F47" s="19">
        <v>75.0</v>
      </c>
      <c r="G47" s="19">
        <v>90.0</v>
      </c>
      <c r="H47" s="19">
        <v>71.0</v>
      </c>
      <c r="I47" s="19">
        <v>63.0</v>
      </c>
      <c r="J47" s="19">
        <v>62.0</v>
      </c>
      <c r="K47" s="19">
        <v>53.0</v>
      </c>
      <c r="L47" s="19">
        <v>46.0</v>
      </c>
      <c r="M47" s="19">
        <v>29.0</v>
      </c>
      <c r="N47" s="19">
        <v>48.0</v>
      </c>
      <c r="O47" s="19">
        <v>52.0</v>
      </c>
      <c r="P47" s="19">
        <v>29.0</v>
      </c>
      <c r="Q47" s="19">
        <v>22.0</v>
      </c>
      <c r="R47" s="19">
        <v>47.0</v>
      </c>
      <c r="S47" s="19">
        <v>86.0</v>
      </c>
      <c r="T47" s="19">
        <v>56.0</v>
      </c>
      <c r="U47" s="19">
        <v>44.0</v>
      </c>
      <c r="V47" s="19">
        <v>42.0</v>
      </c>
      <c r="W47" s="19">
        <v>59.0</v>
      </c>
      <c r="X47" s="19">
        <v>53.0</v>
      </c>
      <c r="Y47" s="19">
        <v>59.0</v>
      </c>
      <c r="Z47" s="19">
        <v>40.0</v>
      </c>
      <c r="AA47" s="19">
        <v>58.0</v>
      </c>
      <c r="AB47" s="13">
        <f t="shared" si="14"/>
        <v>1254</v>
      </c>
    </row>
    <row r="48" ht="12.75" customHeight="1">
      <c r="AB48" s="13"/>
    </row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</row>
    <row r="50" ht="12.75" customHeight="1">
      <c r="A50" s="42"/>
      <c r="B50" s="54" t="s">
        <v>42</v>
      </c>
      <c r="C50" s="55" t="s">
        <v>43</v>
      </c>
      <c r="D50" s="16"/>
      <c r="E50" s="19">
        <f t="shared" ref="E50:AA50" si="15">SUM(E45:E47)</f>
        <v>238</v>
      </c>
      <c r="F50" s="19">
        <f t="shared" si="15"/>
        <v>233</v>
      </c>
      <c r="G50" s="19">
        <f t="shared" si="15"/>
        <v>235</v>
      </c>
      <c r="H50" s="19">
        <f t="shared" si="15"/>
        <v>225</v>
      </c>
      <c r="I50" s="19">
        <f t="shared" si="15"/>
        <v>212</v>
      </c>
      <c r="J50" s="19">
        <f t="shared" si="15"/>
        <v>215</v>
      </c>
      <c r="K50" s="19">
        <f t="shared" si="15"/>
        <v>198</v>
      </c>
      <c r="L50" s="19">
        <f t="shared" si="15"/>
        <v>198</v>
      </c>
      <c r="M50" s="19">
        <f t="shared" si="15"/>
        <v>181</v>
      </c>
      <c r="N50" s="19">
        <f t="shared" si="15"/>
        <v>221</v>
      </c>
      <c r="O50" s="19">
        <f t="shared" si="15"/>
        <v>203</v>
      </c>
      <c r="P50" s="19">
        <f t="shared" si="15"/>
        <v>199</v>
      </c>
      <c r="Q50" s="19">
        <f t="shared" si="15"/>
        <v>147</v>
      </c>
      <c r="R50" s="19">
        <f t="shared" si="15"/>
        <v>231</v>
      </c>
      <c r="S50" s="19">
        <f t="shared" si="15"/>
        <v>229</v>
      </c>
      <c r="T50" s="19">
        <f t="shared" si="15"/>
        <v>211</v>
      </c>
      <c r="U50" s="19">
        <f t="shared" si="15"/>
        <v>248</v>
      </c>
      <c r="V50" s="19">
        <f t="shared" si="15"/>
        <v>196</v>
      </c>
      <c r="W50" s="19">
        <f t="shared" si="15"/>
        <v>225</v>
      </c>
      <c r="X50" s="19">
        <f t="shared" si="15"/>
        <v>222</v>
      </c>
      <c r="Y50" s="19">
        <f t="shared" si="15"/>
        <v>247</v>
      </c>
      <c r="Z50" s="19">
        <f t="shared" si="15"/>
        <v>220</v>
      </c>
      <c r="AA50" s="19">
        <f t="shared" si="15"/>
        <v>235</v>
      </c>
      <c r="AB50" s="13">
        <f t="shared" ref="AB50:AB52" si="16">SUM(E50:AA50)</f>
        <v>4969</v>
      </c>
    </row>
    <row r="51" ht="12.75" customHeight="1">
      <c r="A51" s="35"/>
      <c r="B51" s="54" t="s">
        <v>44</v>
      </c>
      <c r="C51" s="55" t="s">
        <v>45</v>
      </c>
      <c r="D51" s="16"/>
      <c r="E51" s="19">
        <v>6.0</v>
      </c>
      <c r="F51" s="19">
        <v>3.0</v>
      </c>
      <c r="G51" s="19">
        <v>1.0</v>
      </c>
      <c r="H51" s="19">
        <v>5.0</v>
      </c>
      <c r="I51" s="19">
        <v>2.0</v>
      </c>
      <c r="J51" s="19">
        <v>2.0</v>
      </c>
      <c r="K51" s="19">
        <v>3.0</v>
      </c>
      <c r="L51" s="19">
        <v>0.0</v>
      </c>
      <c r="M51" s="19">
        <v>2.0</v>
      </c>
      <c r="N51" s="19">
        <v>7.0</v>
      </c>
      <c r="O51" s="19">
        <v>2.0</v>
      </c>
      <c r="P51" s="19">
        <v>5.0</v>
      </c>
      <c r="Q51" s="19">
        <v>2.0</v>
      </c>
      <c r="R51" s="19">
        <v>1.0</v>
      </c>
      <c r="S51" s="19">
        <v>3.0</v>
      </c>
      <c r="T51" s="19">
        <v>6.0</v>
      </c>
      <c r="U51" s="19">
        <v>1.0</v>
      </c>
      <c r="V51" s="19">
        <v>3.0</v>
      </c>
      <c r="W51" s="19">
        <v>1.0</v>
      </c>
      <c r="X51" s="19">
        <v>2.0</v>
      </c>
      <c r="Y51" s="19">
        <v>1.0</v>
      </c>
      <c r="Z51" s="19">
        <v>3.0</v>
      </c>
      <c r="AA51" s="19">
        <v>1.0</v>
      </c>
      <c r="AB51" s="13">
        <f t="shared" si="16"/>
        <v>62</v>
      </c>
    </row>
    <row r="52" ht="12.75" customHeight="1">
      <c r="A52" s="41"/>
      <c r="B52" s="54" t="s">
        <v>46</v>
      </c>
      <c r="C52" s="55" t="s">
        <v>47</v>
      </c>
      <c r="D52" s="16"/>
      <c r="E52" s="13">
        <f t="shared" ref="E52:AA52" si="17">SUM(E50:E51)</f>
        <v>244</v>
      </c>
      <c r="F52" s="13">
        <f t="shared" si="17"/>
        <v>236</v>
      </c>
      <c r="G52" s="13">
        <f t="shared" si="17"/>
        <v>236</v>
      </c>
      <c r="H52" s="13">
        <f t="shared" si="17"/>
        <v>230</v>
      </c>
      <c r="I52" s="13">
        <f t="shared" si="17"/>
        <v>214</v>
      </c>
      <c r="J52" s="13">
        <f t="shared" si="17"/>
        <v>217</v>
      </c>
      <c r="K52" s="13">
        <f t="shared" si="17"/>
        <v>201</v>
      </c>
      <c r="L52" s="13">
        <f t="shared" si="17"/>
        <v>198</v>
      </c>
      <c r="M52" s="13">
        <f t="shared" si="17"/>
        <v>183</v>
      </c>
      <c r="N52" s="13">
        <f t="shared" si="17"/>
        <v>228</v>
      </c>
      <c r="O52" s="13">
        <f t="shared" si="17"/>
        <v>205</v>
      </c>
      <c r="P52" s="13">
        <f t="shared" si="17"/>
        <v>204</v>
      </c>
      <c r="Q52" s="13">
        <f t="shared" si="17"/>
        <v>149</v>
      </c>
      <c r="R52" s="13">
        <f t="shared" si="17"/>
        <v>232</v>
      </c>
      <c r="S52" s="13">
        <f t="shared" si="17"/>
        <v>232</v>
      </c>
      <c r="T52" s="13">
        <f t="shared" si="17"/>
        <v>217</v>
      </c>
      <c r="U52" s="13">
        <f t="shared" si="17"/>
        <v>249</v>
      </c>
      <c r="V52" s="13">
        <f t="shared" si="17"/>
        <v>199</v>
      </c>
      <c r="W52" s="13">
        <f t="shared" si="17"/>
        <v>226</v>
      </c>
      <c r="X52" s="13">
        <f t="shared" si="17"/>
        <v>224</v>
      </c>
      <c r="Y52" s="13">
        <f t="shared" si="17"/>
        <v>248</v>
      </c>
      <c r="Z52" s="13">
        <f t="shared" si="17"/>
        <v>223</v>
      </c>
      <c r="AA52" s="13">
        <f t="shared" si="17"/>
        <v>236</v>
      </c>
      <c r="AB52" s="13">
        <f t="shared" si="16"/>
        <v>5031</v>
      </c>
    </row>
    <row r="53" ht="12.75" customHeight="1"/>
    <row r="54" ht="12.75" customHeight="1"/>
    <row r="55" ht="15.0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>
      <c r="AD104" s="5"/>
    </row>
    <row r="105" ht="12.75" customHeight="1">
      <c r="AD105" s="5"/>
    </row>
    <row r="106" ht="12.75" customHeight="1">
      <c r="AD106" s="5"/>
    </row>
    <row r="107" ht="12.75" customHeight="1">
      <c r="AD107" s="5"/>
    </row>
    <row r="108" ht="12.75" customHeight="1">
      <c r="AD108" s="5"/>
    </row>
    <row r="109" ht="12.75" customHeight="1">
      <c r="AD109" s="5"/>
    </row>
    <row r="110" ht="12.75" customHeight="1">
      <c r="AD110" s="5"/>
    </row>
    <row r="111" ht="12.75" customHeight="1">
      <c r="AD111" s="5"/>
    </row>
    <row r="112" ht="12.75" customHeight="1">
      <c r="AD112" s="5"/>
    </row>
    <row r="113" ht="12.75" customHeight="1">
      <c r="AD113" s="5"/>
    </row>
    <row r="114" ht="12.75" customHeight="1">
      <c r="AD114" s="5"/>
    </row>
    <row r="115" ht="12.75" customHeight="1">
      <c r="AD115" s="5"/>
    </row>
    <row r="116" ht="12.75" customHeight="1">
      <c r="AD116" s="5"/>
    </row>
    <row r="117" ht="12.75" customHeight="1">
      <c r="AD117" s="1"/>
    </row>
    <row r="118" ht="12.75" customHeight="1">
      <c r="AD118" s="50"/>
    </row>
    <row r="119" ht="12.75" customHeight="1">
      <c r="AD119" s="5"/>
    </row>
    <row r="120" ht="12.75" customHeight="1">
      <c r="AD120" s="5"/>
    </row>
    <row r="121" ht="12.75" customHeight="1">
      <c r="AD121" s="5"/>
    </row>
    <row r="122" ht="12.75" customHeight="1">
      <c r="AD122" s="5"/>
    </row>
    <row r="123" ht="12.75" customHeight="1">
      <c r="AD123" s="5"/>
    </row>
    <row r="124" ht="12.75" customHeight="1">
      <c r="AD124" s="5"/>
    </row>
    <row r="125" ht="12.75" customHeight="1">
      <c r="AD125" s="5"/>
    </row>
    <row r="126" ht="12.75" customHeight="1">
      <c r="AD126" s="5"/>
    </row>
    <row r="127" ht="12.75" customHeight="1">
      <c r="AD127" s="5"/>
    </row>
    <row r="128" ht="12.75" customHeight="1">
      <c r="AD128" s="1"/>
    </row>
    <row r="129" ht="12.75" customHeight="1">
      <c r="AD129" s="50"/>
    </row>
    <row r="130" ht="12.75" customHeight="1">
      <c r="AD130" s="5"/>
    </row>
    <row r="131" ht="12.75" customHeight="1">
      <c r="AD131" s="5"/>
    </row>
    <row r="132" ht="12.75" customHeight="1">
      <c r="AD132" s="5"/>
    </row>
    <row r="133" ht="12.75" customHeight="1">
      <c r="AD133" s="5"/>
    </row>
    <row r="134" ht="12.75" customHeight="1">
      <c r="AD134" s="5"/>
    </row>
    <row r="135" ht="12.75" customHeight="1">
      <c r="AD135" s="5"/>
    </row>
    <row r="136" ht="12.75" customHeight="1">
      <c r="AD136" s="5"/>
    </row>
    <row r="137" ht="12.75" customHeight="1">
      <c r="AD137" s="5"/>
    </row>
    <row r="138" ht="12.75" customHeight="1">
      <c r="AD138" s="1"/>
    </row>
    <row r="139" ht="12.75" customHeight="1">
      <c r="AD139" s="50"/>
    </row>
    <row r="140" ht="12.75" customHeight="1">
      <c r="AD140" s="5"/>
    </row>
    <row r="141" ht="12.75" customHeight="1">
      <c r="AD141" s="5"/>
    </row>
    <row r="142" ht="12.75" customHeight="1">
      <c r="AD142" s="5"/>
    </row>
    <row r="143" ht="12.75" customHeight="1">
      <c r="AD143" s="5"/>
    </row>
    <row r="144" ht="12.75" customHeight="1">
      <c r="AD144" s="5"/>
    </row>
    <row r="145" ht="12.75" customHeight="1">
      <c r="AD145" s="5"/>
    </row>
    <row r="146" ht="12.75" customHeight="1">
      <c r="AD146" s="5"/>
    </row>
    <row r="147" ht="12.75" customHeight="1">
      <c r="AD147" s="5"/>
    </row>
    <row r="148" ht="12.75" customHeight="1">
      <c r="AD148" s="5"/>
    </row>
    <row r="149" ht="12.75" customHeight="1">
      <c r="AD149" s="5"/>
    </row>
    <row r="150" ht="12.75" customHeight="1">
      <c r="AD150" s="5"/>
    </row>
    <row r="151" ht="12.75" customHeight="1">
      <c r="AD151" s="5"/>
    </row>
    <row r="152" ht="12.75" customHeight="1">
      <c r="AD152" s="1"/>
    </row>
    <row r="153" ht="12.75" customHeight="1">
      <c r="AD153" s="50"/>
    </row>
    <row r="154" ht="12.75" customHeight="1">
      <c r="AD154" s="5"/>
    </row>
    <row r="155" ht="12.75" customHeight="1">
      <c r="AD155" s="5"/>
    </row>
    <row r="156" ht="12.75" customHeight="1">
      <c r="AD156" s="5"/>
    </row>
    <row r="157" ht="12.75" customHeight="1">
      <c r="AD157" s="5"/>
    </row>
    <row r="158" ht="12.75" customHeight="1">
      <c r="AD158" s="5"/>
    </row>
    <row r="159" ht="12.75" customHeight="1">
      <c r="AD159" s="5"/>
    </row>
    <row r="160" ht="12.75" customHeight="1">
      <c r="AD160" s="5"/>
    </row>
    <row r="161" ht="12.75" customHeight="1">
      <c r="AD161" s="5"/>
    </row>
    <row r="162" ht="12.75" customHeight="1">
      <c r="AD162" s="5"/>
    </row>
    <row r="163" ht="12.75" customHeight="1">
      <c r="AD163" s="1"/>
    </row>
    <row r="164" ht="12.75" customHeight="1"/>
    <row r="165" ht="12.75" customHeight="1">
      <c r="AD165" s="5"/>
    </row>
    <row r="166" ht="12.75" customHeight="1">
      <c r="AD166" s="5"/>
    </row>
    <row r="167" ht="12.75" customHeight="1">
      <c r="AD167" s="5"/>
    </row>
    <row r="168" ht="12.75" customHeight="1">
      <c r="AD168" s="5"/>
    </row>
    <row r="169" ht="12.75" customHeight="1">
      <c r="AD169" s="5"/>
    </row>
    <row r="170" ht="12.75" customHeight="1">
      <c r="AD170" s="5"/>
    </row>
    <row r="171" ht="12.75" customHeight="1">
      <c r="AD171" s="5"/>
    </row>
    <row r="172" ht="12.75" customHeight="1">
      <c r="AD172" s="5"/>
    </row>
    <row r="173" ht="12.75" customHeight="1">
      <c r="AD173" s="5"/>
    </row>
    <row r="174" ht="12.75" customHeight="1">
      <c r="AD174" s="1"/>
    </row>
    <row r="175" ht="12.75" customHeight="1"/>
    <row r="176" ht="12.75" customHeight="1">
      <c r="AD176" s="5"/>
    </row>
    <row r="177" ht="12.75" customHeight="1">
      <c r="AD177" s="5"/>
    </row>
    <row r="178" ht="12.75" customHeight="1">
      <c r="AD178" s="5"/>
    </row>
    <row r="179" ht="12.75" customHeight="1">
      <c r="AD179" s="5"/>
    </row>
    <row r="180" ht="12.75" customHeight="1">
      <c r="AD180" s="5"/>
    </row>
    <row r="181" ht="12.75" customHeight="1">
      <c r="AD181" s="5"/>
    </row>
    <row r="182" ht="12.75" customHeight="1">
      <c r="AD182" s="5"/>
    </row>
    <row r="183" ht="12.75" customHeight="1">
      <c r="AD183" s="1"/>
    </row>
    <row r="184" ht="12.75" customHeight="1">
      <c r="AD184" s="1"/>
    </row>
    <row r="185" ht="12.75" customHeight="1">
      <c r="AD185" s="1"/>
    </row>
    <row r="186" ht="12.75" customHeight="1">
      <c r="AD186" s="50"/>
    </row>
    <row r="187" ht="12.75" customHeight="1">
      <c r="AD187" s="5"/>
    </row>
    <row r="188" ht="12.75" customHeight="1">
      <c r="AD188" s="5"/>
    </row>
    <row r="189" ht="12.75" customHeight="1">
      <c r="AD189" s="5"/>
    </row>
    <row r="190" ht="12.75" customHeight="1">
      <c r="AD190" s="5"/>
    </row>
    <row r="191" ht="12.75" customHeight="1">
      <c r="AD191" s="5"/>
    </row>
    <row r="192" ht="12.75" customHeight="1">
      <c r="AD192" s="5"/>
    </row>
    <row r="193" ht="12.75" customHeight="1">
      <c r="AD193" s="5"/>
    </row>
    <row r="194" ht="12.75" customHeight="1">
      <c r="AD194" s="1"/>
    </row>
    <row r="195" ht="12.75" customHeight="1">
      <c r="AD195" s="50"/>
    </row>
    <row r="196" ht="12.75" customHeight="1">
      <c r="AD196" s="50"/>
    </row>
    <row r="197" ht="12.75" customHeight="1">
      <c r="AD197" s="50"/>
    </row>
    <row r="198" ht="12.75" customHeight="1">
      <c r="AD198" s="5"/>
    </row>
    <row r="199" ht="12.75" customHeight="1">
      <c r="AD199" s="5"/>
    </row>
    <row r="200" ht="12.75" customHeight="1">
      <c r="AD200" s="5"/>
    </row>
    <row r="201" ht="12.75" customHeight="1">
      <c r="AD201" s="5"/>
    </row>
    <row r="202" ht="12.75" customHeight="1">
      <c r="AD202" s="5"/>
    </row>
    <row r="203" ht="12.75" customHeight="1">
      <c r="AD203" s="5"/>
    </row>
    <row r="204" ht="12.75" customHeight="1">
      <c r="AD204" s="5"/>
    </row>
    <row r="205" ht="12.75" customHeight="1">
      <c r="AD205" s="1"/>
    </row>
    <row r="206" ht="12.75" customHeight="1">
      <c r="AD206" s="50"/>
    </row>
    <row r="207" ht="12.75" customHeight="1">
      <c r="AD207" s="5"/>
    </row>
    <row r="208" ht="12.75" customHeight="1">
      <c r="AD208" s="5"/>
    </row>
    <row r="209" ht="12.75" customHeight="1">
      <c r="AD209" s="5"/>
    </row>
    <row r="210" ht="12.75" customHeight="1">
      <c r="AD210" s="5"/>
    </row>
    <row r="211" ht="12.75" customHeight="1">
      <c r="AD211" s="5"/>
    </row>
    <row r="212" ht="12.75" customHeight="1">
      <c r="AD212" s="5"/>
    </row>
    <row r="213" ht="12.75" customHeight="1">
      <c r="AD213" s="5"/>
    </row>
    <row r="214" ht="12.75" customHeight="1">
      <c r="AD214" s="5"/>
    </row>
    <row r="215" ht="12.75" customHeight="1">
      <c r="AD215" s="5"/>
    </row>
    <row r="216" ht="12.75" customHeight="1">
      <c r="AD216" s="1"/>
    </row>
    <row r="217" ht="12.75" customHeight="1">
      <c r="AD217" s="50"/>
    </row>
    <row r="218" ht="12.75" customHeight="1">
      <c r="AD218" s="5"/>
    </row>
    <row r="219" ht="12.75" customHeight="1">
      <c r="AD219" s="5"/>
    </row>
    <row r="220" ht="12.75" customHeight="1">
      <c r="AD220" s="5"/>
    </row>
    <row r="221" ht="12.75" customHeight="1">
      <c r="AD221" s="5"/>
    </row>
    <row r="222" ht="12.75" customHeight="1">
      <c r="AD222" s="5"/>
    </row>
    <row r="223" ht="12.75" customHeight="1">
      <c r="AD223" s="5"/>
    </row>
    <row r="224" ht="12.75" customHeight="1">
      <c r="AD224" s="5"/>
    </row>
    <row r="225" ht="12.75" customHeight="1">
      <c r="AD225" s="5"/>
    </row>
    <row r="226" ht="12.75" customHeight="1">
      <c r="AD226" s="5"/>
    </row>
    <row r="227" ht="12.75" customHeight="1">
      <c r="AD227" s="1"/>
    </row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AA12"/>
    <mergeCell ref="AB12:AB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AA15">
    <cfRule type="containsBlanks" dxfId="1" priority="1">
      <formula>LEN(TRIM(E14))=0</formula>
    </cfRule>
  </conditionalFormatting>
  <conditionalFormatting sqref="E19:AA20">
    <cfRule type="containsBlanks" dxfId="1" priority="2">
      <formula>LEN(TRIM(E19))=0</formula>
    </cfRule>
  </conditionalFormatting>
  <conditionalFormatting sqref="E22:AA23 E25:AA26 E33:AA33 E35:AA35 E39:AA40">
    <cfRule type="containsBlanks" dxfId="1" priority="3">
      <formula>LEN(TRIM(E22))=0</formula>
    </cfRule>
  </conditionalFormatting>
  <conditionalFormatting sqref="E30:AA30">
    <cfRule type="expression" dxfId="0" priority="4">
      <formula>E30&lt;&gt;E47</formula>
    </cfRule>
  </conditionalFormatting>
  <conditionalFormatting sqref="E30:AA30">
    <cfRule type="expression" dxfId="0" priority="5">
      <formula>E30&lt;&gt;E34</formula>
    </cfRule>
  </conditionalFormatting>
  <conditionalFormatting sqref="E34:AA34">
    <cfRule type="expression" dxfId="2" priority="6">
      <formula>E30&lt;&gt;E34</formula>
    </cfRule>
  </conditionalFormatting>
  <conditionalFormatting sqref="E34:AA34">
    <cfRule type="expression" dxfId="3" priority="7">
      <formula>E30=E34</formula>
    </cfRule>
  </conditionalFormatting>
  <conditionalFormatting sqref="E34:AA34">
    <cfRule type="expression" dxfId="0" priority="8">
      <formula>E34&lt;&gt;E30</formula>
    </cfRule>
  </conditionalFormatting>
  <conditionalFormatting sqref="E34:AA34">
    <cfRule type="expression" dxfId="0" priority="9">
      <formula>E34&lt;&gt;#REF!</formula>
    </cfRule>
  </conditionalFormatting>
  <conditionalFormatting sqref="E45:AA47">
    <cfRule type="containsBlanks" dxfId="1" priority="10">
      <formula>LEN(TRIM(E45))=0</formula>
    </cfRule>
  </conditionalFormatting>
  <conditionalFormatting sqref="E50:AA51">
    <cfRule type="containsBlanks" dxfId="1" priority="11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