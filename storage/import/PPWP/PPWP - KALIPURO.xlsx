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Kalipuro" sheetId="2" r:id="rId5"/>
    <sheet state="visible" name="KLATAK" sheetId="3" r:id="rId6"/>
    <sheet state="visible" name="GOMBENGSARI" sheetId="4" r:id="rId7"/>
    <sheet state="visible" name="BULUSAN" sheetId="5" r:id="rId8"/>
    <sheet state="visible" name="Ketapang" sheetId="6" r:id="rId9"/>
    <sheet state="visible" name="Pesucen" sheetId="7" r:id="rId10"/>
    <sheet state="visible" name="Kelir" sheetId="8" r:id="rId11"/>
    <sheet state="visible" name="Telemung" sheetId="9" r:id="rId12"/>
    <sheet state="visible" name="Bulusari" sheetId="10" r:id="rId13"/>
  </sheets>
  <definedNames/>
  <calcPr/>
  <extLst>
    <ext uri="GoogleSheetsCustomDataVersion2">
      <go:sheetsCustomData xmlns:go="http://customooxmlschemas.google.com/" r:id="rId14" roundtripDataChecksum="ciipFBr5HA+QrtvY+UK0Qq4p0NOEshq8hwClyfDjRNs="/>
    </ext>
  </extLst>
</workbook>
</file>

<file path=xl/sharedStrings.xml><?xml version="1.0" encoding="utf-8"?>
<sst xmlns="http://schemas.openxmlformats.org/spreadsheetml/2006/main" count="870" uniqueCount="100">
  <si>
    <t>Kecamatan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</si>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</sst>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3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/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1</v>
      </c>
      <c r="D9" s="8" t="s">
        <v>2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3</v>
      </c>
      <c r="D10" s="8" t="s">
        <v>4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5</v>
      </c>
      <c r="B12" s="14" t="s">
        <v>6</v>
      </c>
      <c r="C12" s="15"/>
      <c r="D12" s="16"/>
      <c r="E12" s="17" t="s">
        <v>7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8</v>
      </c>
      <c r="B13" s="20" t="s">
        <v>9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10</v>
      </c>
      <c r="C14" s="23"/>
      <c r="D14" s="19" t="s">
        <v>11</v>
      </c>
      <c r="E14" s="24">
        <v>31987.0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12</v>
      </c>
      <c r="E15" s="24">
        <v>33057.0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13</v>
      </c>
      <c r="E16" s="29">
        <f>SUM(E14:E15)</f>
        <v>65044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/>
      <c r="B17" s="15"/>
      <c r="C17" s="15"/>
      <c r="D17" s="16"/>
      <c r="E17" s="30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 t="s">
        <v>14</v>
      </c>
      <c r="B18" s="20" t="s">
        <v>15</v>
      </c>
      <c r="C18" s="15"/>
      <c r="D18" s="16"/>
      <c r="E18" s="30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1"/>
      <c r="B19" s="32" t="s">
        <v>16</v>
      </c>
      <c r="C19" s="33" t="s">
        <v>17</v>
      </c>
      <c r="D19" s="19" t="s">
        <v>11</v>
      </c>
      <c r="E19" s="30">
        <f>Kalipuro!AR19+KLATAK!AV19+GOMBENGSARI!AC19+BULUSAN!AC19+Ketapang!BE19+Pesucen!R19+Kelir!W19+Telemung!T19+Bulusari!R19</f>
        <v>24074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12</v>
      </c>
      <c r="E20" s="30">
        <f>Kalipuro!AR20+KLATAK!AV20+GOMBENGSARI!AC20+BULUSAN!AC20+Ketapang!BE20+Pesucen!R20+Kelir!W20+Telemung!T20+Bulusari!R20</f>
        <v>26769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13</v>
      </c>
      <c r="E21" s="38">
        <f>SUM(E19:E20)</f>
        <v>50843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2" t="s">
        <v>18</v>
      </c>
      <c r="C22" s="33" t="s">
        <v>19</v>
      </c>
      <c r="D22" s="19" t="s">
        <v>11</v>
      </c>
      <c r="E22" s="30">
        <f>Kalipuro!AR22+KLATAK!AV22+GOMBENGSARI!AC22+BULUSAN!AC22+Ketapang!BE22+Pesucen!R22+Kelir!W22+Telemung!T22+Bulusari!R22</f>
        <v>169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12</v>
      </c>
      <c r="E23" s="30">
        <f>Kalipuro!AR23+KLATAK!AV23+GOMBENGSARI!AC23+BULUSAN!AC23+Ketapang!BE23+Pesucen!R23+Kelir!W23+Telemung!T23+Bulusari!R23</f>
        <v>135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13</v>
      </c>
      <c r="E24" s="38">
        <f>SUM(E22:E23)</f>
        <v>304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2" t="s">
        <v>20</v>
      </c>
      <c r="C25" s="33" t="s">
        <v>21</v>
      </c>
      <c r="D25" s="19" t="s">
        <v>11</v>
      </c>
      <c r="E25" s="30">
        <f>Kalipuro!AR25+KLATAK!AV25+GOMBENGSARI!AC25+BULUSAN!AC25+Ketapang!BE25+Pesucen!R25+Kelir!W25+Telemung!T25+Bulusari!R25</f>
        <v>365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12</v>
      </c>
      <c r="E26" s="30">
        <f>Kalipuro!AR26+KLATAK!AV26+GOMBENGSARI!AC26+BULUSAN!AC26+Ketapang!BE26+Pesucen!R26+Kelir!W26+Telemung!T26+Bulusari!R26</f>
        <v>432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13</v>
      </c>
      <c r="E27" s="38">
        <f>SUM(E25:E26)</f>
        <v>797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39" t="s">
        <v>22</v>
      </c>
      <c r="C28" s="40" t="s">
        <v>23</v>
      </c>
      <c r="D28" s="13" t="s">
        <v>11</v>
      </c>
      <c r="E28" s="38">
        <f t="shared" ref="E28:E29" si="1">E19+E22+E25</f>
        <v>24608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12</v>
      </c>
      <c r="E29" s="38">
        <f t="shared" si="1"/>
        <v>27336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13</v>
      </c>
      <c r="E30" s="38">
        <f>SUM(E28:E29)</f>
        <v>51944</v>
      </c>
      <c r="F30" s="41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/>
      <c r="B31" s="15"/>
      <c r="C31" s="15"/>
      <c r="D31" s="16"/>
      <c r="E31" s="42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3" t="s">
        <v>24</v>
      </c>
      <c r="B32" s="14" t="s">
        <v>25</v>
      </c>
      <c r="C32" s="15"/>
      <c r="D32" s="16"/>
      <c r="E32" s="38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26</v>
      </c>
      <c r="C33" s="15"/>
      <c r="D33" s="16"/>
      <c r="E33" s="30">
        <f>Kalipuro!AR33+KLATAK!AV33+GOMBENGSARI!AC33+BULUSAN!AC33+Ketapang!BE33+Pesucen!R33+Kelir!W33+Telemung!T33+Bulusari!R33</f>
        <v>65562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27</v>
      </c>
      <c r="C34" s="15"/>
      <c r="D34" s="16"/>
      <c r="E34" s="30">
        <f>Kalipuro!AR34+KLATAK!AV34+GOMBENGSARI!AC34+BULUSAN!AC34+Ketapang!BE34+Pesucen!R34+Kelir!W34+Telemung!T34+Bulusari!R34</f>
        <v>51944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28</v>
      </c>
      <c r="C35" s="15"/>
      <c r="D35" s="16"/>
      <c r="E35" s="30">
        <f>Kalipuro!AR35+KLATAK!AV35+GOMBENGSARI!AC35+BULUSAN!AC35+Ketapang!BE35+Pesucen!R35+Kelir!W35+Telemung!T35+Bulusari!R35</f>
        <v>107</v>
      </c>
      <c r="F35" s="41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29</v>
      </c>
      <c r="C36" s="15"/>
      <c r="D36" s="16"/>
      <c r="E36" s="38">
        <f>E33-(E34+E35)</f>
        <v>13511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4" t="s">
        <v>30</v>
      </c>
      <c r="B38" s="14" t="s">
        <v>31</v>
      </c>
      <c r="C38" s="15"/>
      <c r="D38" s="16"/>
      <c r="E38" s="38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1"/>
      <c r="B39" s="45" t="s">
        <v>32</v>
      </c>
      <c r="C39" s="23"/>
      <c r="D39" s="19" t="s">
        <v>11</v>
      </c>
      <c r="E39" s="30">
        <f>Kalipuro!AR39+KLATAK!AV39+GOMBENGSARI!AC39+BULUSAN!AC39+Ketapang!BE39+Pesucen!R39+Kelir!W39+Telemung!T39+Bulusari!R39</f>
        <v>63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12</v>
      </c>
      <c r="E40" s="30">
        <f>Kalipuro!AR40+KLATAK!AV40+GOMBENGSARI!AC40+BULUSAN!AC40+Ketapang!BE40+Pesucen!R40+Kelir!W40+Telemung!T40+Bulusari!R40</f>
        <v>85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3"/>
      <c r="B41" s="46"/>
      <c r="C41" s="28"/>
      <c r="D41" s="13" t="s">
        <v>13</v>
      </c>
      <c r="E41" s="38">
        <f>SUM(E39:E40)</f>
        <v>148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7"/>
      <c r="B42" s="46"/>
      <c r="C42" s="46"/>
      <c r="D42" s="28"/>
      <c r="E42" s="30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4" t="s">
        <v>33</v>
      </c>
      <c r="B43" s="14" t="s">
        <v>34</v>
      </c>
      <c r="C43" s="15"/>
      <c r="D43" s="16"/>
      <c r="E43" s="38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5" t="s">
        <v>35</v>
      </c>
      <c r="B44" s="48"/>
      <c r="C44" s="48"/>
      <c r="D44" s="23"/>
      <c r="E44" s="30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1"/>
      <c r="B45" s="49">
        <v>1.0</v>
      </c>
      <c r="C45" s="50" t="s">
        <v>36</v>
      </c>
      <c r="D45" s="16"/>
      <c r="E45" s="30">
        <f>Kalipuro!AR45+KLATAK!AV45+GOMBENGSARI!AC45+BULUSAN!AC45+Ketapang!BE45+Pesucen!R45+Kelir!W45+Telemung!T45+Bulusari!R45</f>
        <v>11043</v>
      </c>
      <c r="F45" s="51"/>
      <c r="G45" s="52"/>
      <c r="H45" s="52"/>
      <c r="I45" s="52"/>
      <c r="J45" s="52"/>
      <c r="K45" s="52"/>
      <c r="L45" s="52"/>
      <c r="M45" s="52"/>
      <c r="N45" s="52"/>
      <c r="O45" s="52"/>
      <c r="P45" s="53"/>
      <c r="Q45" s="3"/>
      <c r="R45" s="3"/>
      <c r="S45" s="3"/>
      <c r="T45" s="3"/>
      <c r="U45" s="3"/>
      <c r="V45" s="3"/>
      <c r="W45" s="54"/>
      <c r="X45" s="3"/>
      <c r="Y45" s="3"/>
      <c r="Z45" s="3"/>
    </row>
    <row r="46" ht="15.75" customHeight="1">
      <c r="A46" s="34"/>
      <c r="B46" s="49">
        <v>2.0</v>
      </c>
      <c r="C46" s="50" t="s">
        <v>37</v>
      </c>
      <c r="D46" s="16"/>
      <c r="E46" s="30">
        <f>Kalipuro!AR46+KLATAK!AV46+GOMBENGSARI!AC46+BULUSAN!AC46+Ketapang!BE46+Pesucen!R46+Kelir!W46+Telemung!T46+Bulusari!R46</f>
        <v>32014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5"/>
      <c r="B47" s="49">
        <v>3.0</v>
      </c>
      <c r="C47" s="50" t="s">
        <v>38</v>
      </c>
      <c r="D47" s="16"/>
      <c r="E47" s="30">
        <f>Kalipuro!AR47+KLATAK!AV47+GOMBENGSARI!AC47+BULUSAN!AC47+Ketapang!BE47+Pesucen!R47+Kelir!W47+Telemung!T47+Bulusari!R47</f>
        <v>7570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4" t="s">
        <v>39</v>
      </c>
      <c r="B49" s="14" t="s">
        <v>40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4"/>
      <c r="B50" s="56" t="s">
        <v>41</v>
      </c>
      <c r="C50" s="57" t="s">
        <v>42</v>
      </c>
      <c r="D50" s="16"/>
      <c r="E50" s="30">
        <f>Kalipuro!AR50+KLATAK!AV50+GOMBENGSARI!AC50+BULUSAN!AC50+Ketapang!BE50+Pesucen!R50+Kelir!W50+Telemung!T50+Bulusari!R50</f>
        <v>50627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6"/>
      <c r="B51" s="56" t="s">
        <v>43</v>
      </c>
      <c r="C51" s="57" t="s">
        <v>44</v>
      </c>
      <c r="D51" s="16"/>
      <c r="E51" s="30">
        <f>Kalipuro!AR51+KLATAK!AV51+GOMBENGSARI!AC51+BULUSAN!AC51+Ketapang!BE51+Pesucen!R51+Kelir!W51+Telemung!T51+Bulusari!R51</f>
        <v>1317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3"/>
      <c r="B52" s="56" t="s">
        <v>45</v>
      </c>
      <c r="C52" s="57" t="s">
        <v>46</v>
      </c>
      <c r="D52" s="16"/>
      <c r="E52" s="13">
        <f>SUM(E50:E51)</f>
        <v>51944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8"/>
      <c r="C53" s="5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8"/>
      <c r="C54" s="59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8"/>
      <c r="C55" s="59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8"/>
      <c r="C56" s="59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8"/>
      <c r="C57" s="5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8"/>
      <c r="C58" s="5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8"/>
      <c r="C59" s="5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8"/>
      <c r="C60" s="5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8"/>
      <c r="C61" s="5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8"/>
      <c r="C62" s="5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8"/>
      <c r="C63" s="5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8"/>
      <c r="C64" s="5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8"/>
      <c r="C65" s="5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8"/>
      <c r="C66" s="59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8"/>
      <c r="C67" s="5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8"/>
      <c r="C68" s="5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8"/>
      <c r="C69" s="5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8"/>
      <c r="C70" s="5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8"/>
      <c r="C71" s="5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8"/>
      <c r="C72" s="5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8"/>
      <c r="C73" s="5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8"/>
      <c r="C74" s="59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8"/>
      <c r="C75" s="59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8"/>
      <c r="C76" s="5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8"/>
      <c r="C77" s="5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8"/>
      <c r="C78" s="5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8"/>
      <c r="C79" s="5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8"/>
      <c r="C80" s="5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8"/>
      <c r="C81" s="5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8"/>
      <c r="C82" s="5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8"/>
      <c r="C83" s="5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8"/>
      <c r="C84" s="59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8"/>
      <c r="C85" s="59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8"/>
      <c r="C86" s="59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8"/>
      <c r="C87" s="59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8"/>
      <c r="C88" s="59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8"/>
      <c r="C89" s="5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8"/>
      <c r="C90" s="5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8"/>
      <c r="C91" s="5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8"/>
      <c r="C92" s="5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8"/>
      <c r="C93" s="5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8"/>
      <c r="C94" s="59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8"/>
      <c r="C95" s="59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8"/>
      <c r="C96" s="59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8"/>
      <c r="C97" s="59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8"/>
      <c r="C98" s="5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8"/>
      <c r="C99" s="5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8"/>
      <c r="C100" s="5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8"/>
      <c r="C101" s="5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8"/>
      <c r="C102" s="5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8"/>
      <c r="C103" s="5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8"/>
      <c r="C104" s="59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8"/>
      <c r="C105" s="5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8"/>
      <c r="C106" s="59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8"/>
      <c r="C107" s="59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8"/>
      <c r="C108" s="5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8"/>
      <c r="C109" s="5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8"/>
      <c r="C110" s="5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8"/>
      <c r="C111" s="5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8"/>
      <c r="C112" s="5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8"/>
      <c r="C113" s="5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8"/>
      <c r="C114" s="59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8"/>
      <c r="C115" s="59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8"/>
      <c r="C116" s="59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8"/>
      <c r="C117" s="5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8"/>
      <c r="C118" s="5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8"/>
      <c r="C119" s="5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8"/>
      <c r="C120" s="5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8"/>
      <c r="C121" s="5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8"/>
      <c r="C122" s="5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8"/>
      <c r="C123" s="5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8"/>
      <c r="C124" s="5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8"/>
      <c r="C125" s="59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8"/>
      <c r="C126" s="59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8"/>
      <c r="C127" s="59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8"/>
      <c r="C128" s="5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8"/>
      <c r="C129" s="5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8"/>
      <c r="C130" s="5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8"/>
      <c r="C131" s="5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8"/>
      <c r="C132" s="5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8"/>
      <c r="C133" s="5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8"/>
      <c r="C134" s="59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8"/>
      <c r="C135" s="59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8"/>
      <c r="C136" s="59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8"/>
      <c r="C137" s="59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8"/>
      <c r="C138" s="59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8"/>
      <c r="C139" s="5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8"/>
      <c r="C140" s="5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8"/>
      <c r="C141" s="5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8"/>
      <c r="C142" s="5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8"/>
      <c r="C143" s="5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8"/>
      <c r="C144" s="59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8"/>
      <c r="C145" s="59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8"/>
      <c r="C146" s="59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8"/>
      <c r="C147" s="59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8"/>
      <c r="C148" s="59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8"/>
      <c r="C149" s="59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8"/>
      <c r="C150" s="5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8"/>
      <c r="C151" s="5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8"/>
      <c r="C152" s="5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8"/>
      <c r="C153" s="5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8"/>
      <c r="C154" s="59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8"/>
      <c r="C155" s="59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8"/>
      <c r="C156" s="59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8"/>
      <c r="C157" s="59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8"/>
      <c r="C158" s="5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8"/>
      <c r="C159" s="59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8"/>
      <c r="C160" s="5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8"/>
      <c r="C161" s="5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8"/>
      <c r="C162" s="5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8"/>
      <c r="C163" s="5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8"/>
      <c r="C164" s="59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8"/>
      <c r="C165" s="59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8"/>
      <c r="C166" s="59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8"/>
      <c r="C167" s="59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8"/>
      <c r="C168" s="5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8"/>
      <c r="C169" s="5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8"/>
      <c r="C170" s="5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8"/>
      <c r="C171" s="5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8"/>
      <c r="C172" s="5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8"/>
      <c r="C173" s="5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8"/>
      <c r="C174" s="59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8"/>
      <c r="C175" s="59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8"/>
      <c r="C176" s="59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8"/>
      <c r="C177" s="59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8"/>
      <c r="C178" s="5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8"/>
      <c r="C179" s="5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8"/>
      <c r="C180" s="5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8"/>
      <c r="C181" s="5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8"/>
      <c r="C182" s="5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8"/>
      <c r="C183" s="5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8"/>
      <c r="C184" s="59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8"/>
      <c r="C185" s="59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8"/>
      <c r="C186" s="59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8"/>
      <c r="C187" s="59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8"/>
      <c r="C188" s="5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8"/>
      <c r="C189" s="59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8"/>
      <c r="C190" s="5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8"/>
      <c r="C191" s="5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8"/>
      <c r="C192" s="5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8"/>
      <c r="C193" s="5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8"/>
      <c r="C194" s="59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8"/>
      <c r="C195" s="59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8"/>
      <c r="C196" s="59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8"/>
      <c r="C197" s="59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8"/>
      <c r="C198" s="5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8"/>
      <c r="C199" s="5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8"/>
      <c r="C200" s="5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8"/>
      <c r="C201" s="5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8"/>
      <c r="C202" s="5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8"/>
      <c r="C203" s="5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8"/>
      <c r="C204" s="59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8"/>
      <c r="C205" s="59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8"/>
      <c r="C206" s="59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8"/>
      <c r="C207" s="59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8"/>
      <c r="C208" s="5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8"/>
      <c r="C209" s="5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8"/>
      <c r="C210" s="5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8"/>
      <c r="C211" s="5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8"/>
      <c r="C212" s="5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8"/>
      <c r="C213" s="5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8"/>
      <c r="C214" s="59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8"/>
      <c r="C215" s="59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8"/>
      <c r="C216" s="59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8"/>
      <c r="C217" s="59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8"/>
      <c r="C218" s="5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8"/>
      <c r="C219" s="5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8"/>
      <c r="C220" s="5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8"/>
      <c r="C221" s="5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8"/>
      <c r="C222" s="5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8"/>
      <c r="C223" s="5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8"/>
      <c r="C224" s="59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8"/>
      <c r="C225" s="59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8"/>
      <c r="C226" s="59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8"/>
      <c r="C227" s="59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8"/>
      <c r="C228" s="59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8"/>
      <c r="C229" s="59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8"/>
      <c r="C230" s="5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8"/>
      <c r="C231" s="5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8"/>
      <c r="C232" s="5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8"/>
      <c r="C233" s="5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8"/>
      <c r="C234" s="59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8"/>
      <c r="C235" s="59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8"/>
      <c r="C236" s="59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8"/>
      <c r="C237" s="59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8"/>
      <c r="C238" s="59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8"/>
      <c r="C239" s="59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8"/>
      <c r="C240" s="5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8"/>
      <c r="C241" s="5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8"/>
      <c r="C242" s="5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8"/>
      <c r="C243" s="5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8"/>
      <c r="C244" s="59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8"/>
      <c r="C245" s="59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8"/>
      <c r="C246" s="59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8"/>
      <c r="C247" s="59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8"/>
      <c r="C248" s="59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8"/>
      <c r="C249" s="59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8"/>
      <c r="C250" s="59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8"/>
      <c r="C251" s="59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8"/>
      <c r="C252" s="59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3" width="8.71"/>
    <col customWidth="1" min="44" max="44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</row>
    <row r="12" ht="12.75" customHeight="1">
      <c r="A12" s="13" t="s">
        <v>5</v>
      </c>
      <c r="B12" s="14" t="s">
        <v>6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60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13" t="s">
        <v>61</v>
      </c>
      <c r="S13" s="13" t="s">
        <v>62</v>
      </c>
      <c r="T13" s="13" t="s">
        <v>63</v>
      </c>
      <c r="U13" s="13" t="s">
        <v>64</v>
      </c>
      <c r="V13" s="13" t="s">
        <v>65</v>
      </c>
      <c r="W13" s="13" t="s">
        <v>66</v>
      </c>
      <c r="X13" s="13" t="s">
        <v>67</v>
      </c>
      <c r="Y13" s="13" t="s">
        <v>68</v>
      </c>
      <c r="Z13" s="13" t="s">
        <v>69</v>
      </c>
      <c r="AA13" s="13" t="s">
        <v>70</v>
      </c>
      <c r="AB13" s="13" t="s">
        <v>71</v>
      </c>
      <c r="AC13" s="13" t="s">
        <v>72</v>
      </c>
      <c r="AD13" s="13" t="s">
        <v>73</v>
      </c>
      <c r="AE13" s="13" t="s">
        <v>74</v>
      </c>
      <c r="AF13" s="13" t="s">
        <v>75</v>
      </c>
      <c r="AG13" s="13" t="s">
        <v>76</v>
      </c>
      <c r="AH13" s="13" t="s">
        <v>77</v>
      </c>
      <c r="AI13" s="13" t="s">
        <v>78</v>
      </c>
      <c r="AJ13" s="13" t="s">
        <v>79</v>
      </c>
      <c r="AK13" s="13" t="s">
        <v>80</v>
      </c>
      <c r="AL13" s="13" t="s">
        <v>81</v>
      </c>
      <c r="AM13" s="13" t="s">
        <v>82</v>
      </c>
      <c r="AN13" s="13" t="s">
        <v>83</v>
      </c>
      <c r="AO13" s="13" t="s">
        <v>84</v>
      </c>
      <c r="AP13" s="13" t="s">
        <v>85</v>
      </c>
      <c r="AQ13" s="13" t="s">
        <v>86</v>
      </c>
      <c r="AR13" s="37"/>
    </row>
    <row r="14" ht="12.75" customHeight="1">
      <c r="A14" s="18"/>
      <c r="B14" s="22" t="s">
        <v>10</v>
      </c>
      <c r="C14" s="23"/>
      <c r="D14" s="19" t="s">
        <v>11</v>
      </c>
      <c r="E14" s="19">
        <v>137.0</v>
      </c>
      <c r="F14" s="19">
        <v>141.0</v>
      </c>
      <c r="G14" s="19">
        <v>136.0</v>
      </c>
      <c r="H14" s="19">
        <v>135.0</v>
      </c>
      <c r="I14" s="19">
        <v>156.0</v>
      </c>
      <c r="J14" s="19">
        <v>147.0</v>
      </c>
      <c r="K14" s="19">
        <v>145.0</v>
      </c>
      <c r="L14" s="19">
        <v>147.0</v>
      </c>
      <c r="M14" s="19">
        <v>140.0</v>
      </c>
      <c r="N14" s="19">
        <v>141.0</v>
      </c>
      <c r="O14" s="19">
        <v>145.0</v>
      </c>
      <c r="P14" s="19">
        <v>134.0</v>
      </c>
      <c r="Q14" s="19">
        <v>148.0</v>
      </c>
      <c r="R14" s="19">
        <v>147.0</v>
      </c>
      <c r="S14" s="19">
        <v>139.0</v>
      </c>
      <c r="T14" s="19">
        <v>147.0</v>
      </c>
      <c r="U14" s="19">
        <v>138.0</v>
      </c>
      <c r="V14" s="19">
        <v>143.0</v>
      </c>
      <c r="W14" s="19">
        <v>133.0</v>
      </c>
      <c r="X14" s="19">
        <v>141.0</v>
      </c>
      <c r="Y14" s="19">
        <v>122.0</v>
      </c>
      <c r="Z14" s="19">
        <v>145.0</v>
      </c>
      <c r="AA14" s="19">
        <v>126.0</v>
      </c>
      <c r="AB14" s="19">
        <v>144.0</v>
      </c>
      <c r="AC14" s="19">
        <v>145.0</v>
      </c>
      <c r="AD14" s="19">
        <v>155.0</v>
      </c>
      <c r="AE14" s="19">
        <v>155.0</v>
      </c>
      <c r="AF14" s="19">
        <v>149.0</v>
      </c>
      <c r="AG14" s="19">
        <v>145.0</v>
      </c>
      <c r="AH14" s="19">
        <v>141.0</v>
      </c>
      <c r="AI14" s="19">
        <v>143.0</v>
      </c>
      <c r="AJ14" s="19">
        <v>135.0</v>
      </c>
      <c r="AK14" s="19">
        <v>145.0</v>
      </c>
      <c r="AL14" s="19">
        <v>147.0</v>
      </c>
      <c r="AM14" s="19">
        <v>132.0</v>
      </c>
      <c r="AN14" s="19">
        <v>147.0</v>
      </c>
      <c r="AO14" s="19">
        <v>136.0</v>
      </c>
      <c r="AP14" s="19">
        <v>150.0</v>
      </c>
      <c r="AQ14" s="19">
        <v>134.0</v>
      </c>
      <c r="AR14" s="13">
        <f t="shared" ref="AR14:AR16" si="1">SUM(E14:AQ14)</f>
        <v>5536</v>
      </c>
    </row>
    <row r="15" ht="12.75" customHeight="1">
      <c r="A15" s="18"/>
      <c r="B15" s="26"/>
      <c r="C15" s="27"/>
      <c r="D15" s="19" t="s">
        <v>12</v>
      </c>
      <c r="E15" s="19">
        <v>157.0</v>
      </c>
      <c r="F15" s="19">
        <v>146.0</v>
      </c>
      <c r="G15" s="19">
        <v>131.0</v>
      </c>
      <c r="H15" s="19">
        <v>154.0</v>
      </c>
      <c r="I15" s="19">
        <v>140.0</v>
      </c>
      <c r="J15" s="19">
        <v>146.0</v>
      </c>
      <c r="K15" s="19">
        <v>148.0</v>
      </c>
      <c r="L15" s="19">
        <v>151.0</v>
      </c>
      <c r="M15" s="19">
        <v>135.0</v>
      </c>
      <c r="N15" s="19">
        <v>158.0</v>
      </c>
      <c r="O15" s="19">
        <v>154.0</v>
      </c>
      <c r="P15" s="19">
        <v>124.0</v>
      </c>
      <c r="Q15" s="19">
        <v>150.0</v>
      </c>
      <c r="R15" s="19">
        <v>149.0</v>
      </c>
      <c r="S15" s="19">
        <v>156.0</v>
      </c>
      <c r="T15" s="19">
        <v>151.0</v>
      </c>
      <c r="U15" s="19">
        <v>158.0</v>
      </c>
      <c r="V15" s="19">
        <v>153.0</v>
      </c>
      <c r="W15" s="19">
        <v>158.0</v>
      </c>
      <c r="X15" s="19">
        <v>157.0</v>
      </c>
      <c r="Y15" s="19">
        <v>143.0</v>
      </c>
      <c r="Z15" s="19">
        <v>142.0</v>
      </c>
      <c r="AA15" s="19">
        <v>156.0</v>
      </c>
      <c r="AB15" s="19">
        <v>154.0</v>
      </c>
      <c r="AC15" s="19">
        <v>149.0</v>
      </c>
      <c r="AD15" s="19">
        <v>143.0</v>
      </c>
      <c r="AE15" s="19">
        <v>144.0</v>
      </c>
      <c r="AF15" s="19">
        <v>143.0</v>
      </c>
      <c r="AG15" s="19">
        <v>142.0</v>
      </c>
      <c r="AH15" s="19">
        <v>137.0</v>
      </c>
      <c r="AI15" s="19">
        <v>150.0</v>
      </c>
      <c r="AJ15" s="19">
        <v>157.0</v>
      </c>
      <c r="AK15" s="19">
        <v>149.0</v>
      </c>
      <c r="AL15" s="19">
        <v>147.0</v>
      </c>
      <c r="AM15" s="19">
        <v>123.0</v>
      </c>
      <c r="AN15" s="19">
        <v>147.0</v>
      </c>
      <c r="AO15" s="19">
        <v>143.0</v>
      </c>
      <c r="AP15" s="19">
        <v>147.0</v>
      </c>
      <c r="AQ15" s="19">
        <v>149.0</v>
      </c>
      <c r="AR15" s="13">
        <f t="shared" si="1"/>
        <v>5741</v>
      </c>
    </row>
    <row r="16" ht="12.75" customHeight="1">
      <c r="A16" s="25"/>
      <c r="B16" s="21"/>
      <c r="C16" s="28"/>
      <c r="D16" s="13" t="s">
        <v>13</v>
      </c>
      <c r="E16" s="13">
        <f t="shared" ref="E16:S16" si="2">SUM(E14:E15)</f>
        <v>294</v>
      </c>
      <c r="F16" s="13">
        <f t="shared" si="2"/>
        <v>287</v>
      </c>
      <c r="G16" s="13">
        <f t="shared" si="2"/>
        <v>267</v>
      </c>
      <c r="H16" s="13">
        <f t="shared" si="2"/>
        <v>289</v>
      </c>
      <c r="I16" s="13">
        <f t="shared" si="2"/>
        <v>296</v>
      </c>
      <c r="J16" s="13">
        <f t="shared" si="2"/>
        <v>293</v>
      </c>
      <c r="K16" s="13">
        <f t="shared" si="2"/>
        <v>293</v>
      </c>
      <c r="L16" s="13">
        <f t="shared" si="2"/>
        <v>298</v>
      </c>
      <c r="M16" s="13">
        <f t="shared" si="2"/>
        <v>275</v>
      </c>
      <c r="N16" s="13">
        <f t="shared" si="2"/>
        <v>299</v>
      </c>
      <c r="O16" s="13">
        <f t="shared" si="2"/>
        <v>299</v>
      </c>
      <c r="P16" s="13">
        <f t="shared" si="2"/>
        <v>258</v>
      </c>
      <c r="Q16" s="13">
        <f t="shared" si="2"/>
        <v>298</v>
      </c>
      <c r="R16" s="13">
        <f t="shared" si="2"/>
        <v>296</v>
      </c>
      <c r="S16" s="13">
        <f t="shared" si="2"/>
        <v>295</v>
      </c>
      <c r="T16" s="13">
        <v>298.0</v>
      </c>
      <c r="U16" s="13">
        <f t="shared" ref="U16:Y16" si="3">SUM(U14:U15)</f>
        <v>296</v>
      </c>
      <c r="V16" s="13">
        <f t="shared" si="3"/>
        <v>296</v>
      </c>
      <c r="W16" s="13">
        <f t="shared" si="3"/>
        <v>291</v>
      </c>
      <c r="X16" s="13">
        <f t="shared" si="3"/>
        <v>298</v>
      </c>
      <c r="Y16" s="13">
        <f t="shared" si="3"/>
        <v>265</v>
      </c>
      <c r="Z16" s="13">
        <v>287.0</v>
      </c>
      <c r="AA16" s="13">
        <f t="shared" ref="AA16:AI16" si="4">SUM(AA14:AA15)</f>
        <v>282</v>
      </c>
      <c r="AB16" s="13">
        <f t="shared" si="4"/>
        <v>298</v>
      </c>
      <c r="AC16" s="13">
        <f t="shared" si="4"/>
        <v>294</v>
      </c>
      <c r="AD16" s="13">
        <f t="shared" si="4"/>
        <v>298</v>
      </c>
      <c r="AE16" s="13">
        <f t="shared" si="4"/>
        <v>299</v>
      </c>
      <c r="AF16" s="13">
        <f t="shared" si="4"/>
        <v>292</v>
      </c>
      <c r="AG16" s="13">
        <f t="shared" si="4"/>
        <v>287</v>
      </c>
      <c r="AH16" s="13">
        <f t="shared" si="4"/>
        <v>278</v>
      </c>
      <c r="AI16" s="13">
        <f t="shared" si="4"/>
        <v>293</v>
      </c>
      <c r="AJ16" s="13">
        <v>292.0</v>
      </c>
      <c r="AK16" s="13">
        <f>SUM(AK14:AK15)</f>
        <v>294</v>
      </c>
      <c r="AL16" s="13">
        <v>294.0</v>
      </c>
      <c r="AM16" s="13">
        <f t="shared" ref="AM16:AP16" si="5">SUM(AM14:AM15)</f>
        <v>255</v>
      </c>
      <c r="AN16" s="13">
        <f t="shared" si="5"/>
        <v>294</v>
      </c>
      <c r="AO16" s="13">
        <f t="shared" si="5"/>
        <v>279</v>
      </c>
      <c r="AP16" s="13">
        <f t="shared" si="5"/>
        <v>297</v>
      </c>
      <c r="AQ16" s="13">
        <v>283.0</v>
      </c>
      <c r="AR16" s="13">
        <f t="shared" si="1"/>
        <v>11277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19"/>
      <c r="X17" s="61"/>
      <c r="Y17" s="19"/>
      <c r="Z17" s="19"/>
      <c r="AA17" s="19"/>
      <c r="AB17" s="19"/>
      <c r="AC17" s="61"/>
      <c r="AD17" s="19"/>
      <c r="AE17" s="19"/>
      <c r="AF17" s="19"/>
      <c r="AG17" s="19"/>
      <c r="AH17" s="61"/>
      <c r="AI17" s="19"/>
      <c r="AJ17" s="19"/>
      <c r="AK17" s="19"/>
      <c r="AL17" s="19"/>
      <c r="AM17" s="61"/>
      <c r="AN17" s="19"/>
      <c r="AO17" s="19"/>
      <c r="AP17" s="19"/>
      <c r="AQ17" s="19"/>
      <c r="AR17" s="62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19"/>
      <c r="X18" s="61"/>
      <c r="Y18" s="19"/>
      <c r="Z18" s="19"/>
      <c r="AA18" s="19"/>
      <c r="AB18" s="19"/>
      <c r="AC18" s="61"/>
      <c r="AD18" s="19"/>
      <c r="AE18" s="19"/>
      <c r="AF18" s="19"/>
      <c r="AG18" s="19"/>
      <c r="AH18" s="61"/>
      <c r="AI18" s="19"/>
      <c r="AJ18" s="19"/>
      <c r="AK18" s="19"/>
      <c r="AL18" s="19"/>
      <c r="AM18" s="61"/>
      <c r="AN18" s="19"/>
      <c r="AO18" s="19"/>
      <c r="AP18" s="19"/>
      <c r="AQ18" s="19"/>
      <c r="AR18" s="62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19">
        <v>107.0</v>
      </c>
      <c r="F19" s="19">
        <v>105.0</v>
      </c>
      <c r="G19" s="19">
        <v>71.0</v>
      </c>
      <c r="H19" s="19">
        <v>91.0</v>
      </c>
      <c r="I19" s="19">
        <v>100.0</v>
      </c>
      <c r="J19" s="19">
        <v>84.0</v>
      </c>
      <c r="K19" s="19">
        <v>104.0</v>
      </c>
      <c r="L19" s="19">
        <v>108.0</v>
      </c>
      <c r="M19" s="19">
        <v>106.0</v>
      </c>
      <c r="N19" s="19">
        <v>101.0</v>
      </c>
      <c r="O19" s="19">
        <v>104.0</v>
      </c>
      <c r="P19" s="19">
        <v>103.0</v>
      </c>
      <c r="Q19" s="19">
        <v>113.0</v>
      </c>
      <c r="R19" s="19">
        <v>108.0</v>
      </c>
      <c r="S19" s="19">
        <v>105.0</v>
      </c>
      <c r="T19" s="19">
        <v>122.0</v>
      </c>
      <c r="U19" s="19">
        <v>89.0</v>
      </c>
      <c r="V19" s="19">
        <v>122.0</v>
      </c>
      <c r="W19" s="19">
        <v>95.0</v>
      </c>
      <c r="X19" s="19">
        <v>96.0</v>
      </c>
      <c r="Y19" s="19">
        <v>98.0</v>
      </c>
      <c r="Z19" s="19">
        <v>104.0</v>
      </c>
      <c r="AA19" s="19">
        <v>94.0</v>
      </c>
      <c r="AB19" s="19">
        <v>132.0</v>
      </c>
      <c r="AC19" s="19">
        <v>109.0</v>
      </c>
      <c r="AD19" s="19">
        <v>138.0</v>
      </c>
      <c r="AE19" s="19">
        <v>116.0</v>
      </c>
      <c r="AF19" s="19">
        <v>131.0</v>
      </c>
      <c r="AG19" s="19">
        <v>109.0</v>
      </c>
      <c r="AH19" s="19">
        <v>107.0</v>
      </c>
      <c r="AI19" s="19">
        <v>114.0</v>
      </c>
      <c r="AJ19" s="19">
        <v>110.0</v>
      </c>
      <c r="AK19" s="19">
        <v>111.0</v>
      </c>
      <c r="AL19" s="19">
        <v>127.0</v>
      </c>
      <c r="AM19" s="19">
        <v>107.0</v>
      </c>
      <c r="AN19" s="19">
        <v>123.0</v>
      </c>
      <c r="AO19" s="19">
        <v>101.0</v>
      </c>
      <c r="AP19" s="19">
        <v>131.0</v>
      </c>
      <c r="AQ19" s="19">
        <v>101.0</v>
      </c>
      <c r="AR19" s="13">
        <f t="shared" ref="AR19:AR30" si="6">SUM(E19:AQ19)</f>
        <v>4197</v>
      </c>
    </row>
    <row r="20" ht="12.75" customHeight="1">
      <c r="A20" s="34"/>
      <c r="B20" s="27"/>
      <c r="C20" s="35"/>
      <c r="D20" s="19" t="s">
        <v>12</v>
      </c>
      <c r="E20" s="19">
        <v>128.0</v>
      </c>
      <c r="F20" s="19">
        <v>117.0</v>
      </c>
      <c r="G20" s="19">
        <v>90.0</v>
      </c>
      <c r="H20" s="19">
        <v>101.0</v>
      </c>
      <c r="I20" s="19">
        <v>104.0</v>
      </c>
      <c r="J20" s="19">
        <v>99.0</v>
      </c>
      <c r="K20" s="19">
        <v>108.0</v>
      </c>
      <c r="L20" s="19">
        <v>126.0</v>
      </c>
      <c r="M20" s="19">
        <v>102.0</v>
      </c>
      <c r="N20" s="19">
        <v>116.0</v>
      </c>
      <c r="O20" s="19">
        <v>132.0</v>
      </c>
      <c r="P20" s="19">
        <v>109.0</v>
      </c>
      <c r="Q20" s="19">
        <v>122.0</v>
      </c>
      <c r="R20" s="19">
        <v>125.0</v>
      </c>
      <c r="S20" s="19">
        <v>120.0</v>
      </c>
      <c r="T20" s="19">
        <v>130.0</v>
      </c>
      <c r="U20" s="19">
        <v>111.0</v>
      </c>
      <c r="V20" s="19">
        <v>116.0</v>
      </c>
      <c r="W20" s="19">
        <v>125.0</v>
      </c>
      <c r="X20" s="19">
        <v>126.0</v>
      </c>
      <c r="Y20" s="19">
        <v>102.0</v>
      </c>
      <c r="Z20" s="19">
        <v>107.0</v>
      </c>
      <c r="AA20" s="19">
        <v>121.0</v>
      </c>
      <c r="AB20" s="19">
        <v>124.0</v>
      </c>
      <c r="AC20" s="19">
        <v>127.0</v>
      </c>
      <c r="AD20" s="19">
        <v>127.0</v>
      </c>
      <c r="AE20" s="19">
        <v>117.0</v>
      </c>
      <c r="AF20" s="19">
        <v>134.0</v>
      </c>
      <c r="AG20" s="19">
        <v>114.0</v>
      </c>
      <c r="AH20" s="19">
        <v>103.0</v>
      </c>
      <c r="AI20" s="19">
        <v>120.0</v>
      </c>
      <c r="AJ20" s="19">
        <v>123.0</v>
      </c>
      <c r="AK20" s="19">
        <v>109.0</v>
      </c>
      <c r="AL20" s="19">
        <v>126.0</v>
      </c>
      <c r="AM20" s="19">
        <v>107.0</v>
      </c>
      <c r="AN20" s="19">
        <v>116.0</v>
      </c>
      <c r="AO20" s="19">
        <v>96.0</v>
      </c>
      <c r="AP20" s="19">
        <v>122.0</v>
      </c>
      <c r="AQ20" s="19">
        <v>99.0</v>
      </c>
      <c r="AR20" s="13">
        <f t="shared" si="6"/>
        <v>4501</v>
      </c>
    </row>
    <row r="21" ht="12.75" customHeight="1">
      <c r="A21" s="36"/>
      <c r="B21" s="28"/>
      <c r="C21" s="37"/>
      <c r="D21" s="13" t="s">
        <v>13</v>
      </c>
      <c r="E21" s="13">
        <f t="shared" ref="E21:AH21" si="7">SUM(E19:E20)</f>
        <v>235</v>
      </c>
      <c r="F21" s="13">
        <f t="shared" si="7"/>
        <v>222</v>
      </c>
      <c r="G21" s="13">
        <f t="shared" si="7"/>
        <v>161</v>
      </c>
      <c r="H21" s="13">
        <f t="shared" si="7"/>
        <v>192</v>
      </c>
      <c r="I21" s="13">
        <f t="shared" si="7"/>
        <v>204</v>
      </c>
      <c r="J21" s="13">
        <f t="shared" si="7"/>
        <v>183</v>
      </c>
      <c r="K21" s="13">
        <f t="shared" si="7"/>
        <v>212</v>
      </c>
      <c r="L21" s="13">
        <f t="shared" si="7"/>
        <v>234</v>
      </c>
      <c r="M21" s="13">
        <f t="shared" si="7"/>
        <v>208</v>
      </c>
      <c r="N21" s="13">
        <f t="shared" si="7"/>
        <v>217</v>
      </c>
      <c r="O21" s="13">
        <f t="shared" si="7"/>
        <v>236</v>
      </c>
      <c r="P21" s="13">
        <f t="shared" si="7"/>
        <v>212</v>
      </c>
      <c r="Q21" s="13">
        <f t="shared" si="7"/>
        <v>235</v>
      </c>
      <c r="R21" s="13">
        <f t="shared" si="7"/>
        <v>233</v>
      </c>
      <c r="S21" s="13">
        <f t="shared" si="7"/>
        <v>225</v>
      </c>
      <c r="T21" s="13">
        <f t="shared" si="7"/>
        <v>252</v>
      </c>
      <c r="U21" s="13">
        <f t="shared" si="7"/>
        <v>200</v>
      </c>
      <c r="V21" s="13">
        <f t="shared" si="7"/>
        <v>238</v>
      </c>
      <c r="W21" s="13">
        <f t="shared" si="7"/>
        <v>220</v>
      </c>
      <c r="X21" s="13">
        <f t="shared" si="7"/>
        <v>222</v>
      </c>
      <c r="Y21" s="13">
        <f t="shared" si="7"/>
        <v>200</v>
      </c>
      <c r="Z21" s="13">
        <f t="shared" si="7"/>
        <v>211</v>
      </c>
      <c r="AA21" s="13">
        <f t="shared" si="7"/>
        <v>215</v>
      </c>
      <c r="AB21" s="13">
        <f t="shared" si="7"/>
        <v>256</v>
      </c>
      <c r="AC21" s="13">
        <f t="shared" si="7"/>
        <v>236</v>
      </c>
      <c r="AD21" s="13">
        <f t="shared" si="7"/>
        <v>265</v>
      </c>
      <c r="AE21" s="13">
        <f t="shared" si="7"/>
        <v>233</v>
      </c>
      <c r="AF21" s="13">
        <f t="shared" si="7"/>
        <v>265</v>
      </c>
      <c r="AG21" s="13">
        <f t="shared" si="7"/>
        <v>223</v>
      </c>
      <c r="AH21" s="13">
        <f t="shared" si="7"/>
        <v>210</v>
      </c>
      <c r="AI21" s="13">
        <v>234.0</v>
      </c>
      <c r="AJ21" s="13">
        <f t="shared" ref="AJ21:AN21" si="8">SUM(AJ19:AJ20)</f>
        <v>233</v>
      </c>
      <c r="AK21" s="13">
        <f t="shared" si="8"/>
        <v>220</v>
      </c>
      <c r="AL21" s="13">
        <f t="shared" si="8"/>
        <v>253</v>
      </c>
      <c r="AM21" s="13">
        <f t="shared" si="8"/>
        <v>214</v>
      </c>
      <c r="AN21" s="13">
        <f t="shared" si="8"/>
        <v>239</v>
      </c>
      <c r="AO21" s="13">
        <v>197.0</v>
      </c>
      <c r="AP21" s="13">
        <v>253.0</v>
      </c>
      <c r="AQ21" s="13">
        <f>SUM(AQ19:AQ20)</f>
        <v>200</v>
      </c>
      <c r="AR21" s="13">
        <f t="shared" si="6"/>
        <v>8698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19">
        <v>0.0</v>
      </c>
      <c r="F22" s="19">
        <v>0.0</v>
      </c>
      <c r="G22" s="19">
        <v>3.0</v>
      </c>
      <c r="H22" s="19">
        <v>0.0</v>
      </c>
      <c r="I22" s="19">
        <v>1.0</v>
      </c>
      <c r="J22" s="19">
        <v>2.0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2.0</v>
      </c>
      <c r="R22" s="19">
        <v>2.0</v>
      </c>
      <c r="S22" s="19">
        <v>0.0</v>
      </c>
      <c r="T22" s="19">
        <v>1.0</v>
      </c>
      <c r="U22" s="19">
        <v>1.0</v>
      </c>
      <c r="V22" s="19">
        <v>0.0</v>
      </c>
      <c r="W22" s="19">
        <v>1.0</v>
      </c>
      <c r="X22" s="19">
        <v>0.0</v>
      </c>
      <c r="Y22" s="19">
        <v>0.0</v>
      </c>
      <c r="Z22" s="19">
        <v>1.0</v>
      </c>
      <c r="AA22" s="19">
        <v>0.0</v>
      </c>
      <c r="AB22" s="19">
        <v>1.0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1.0</v>
      </c>
      <c r="AL22" s="19">
        <v>1.0</v>
      </c>
      <c r="AM22" s="19">
        <v>0.0</v>
      </c>
      <c r="AN22" s="19">
        <v>0.0</v>
      </c>
      <c r="AO22" s="19">
        <v>0.0</v>
      </c>
      <c r="AP22" s="19">
        <v>0.0</v>
      </c>
      <c r="AQ22" s="19">
        <v>1.0</v>
      </c>
      <c r="AR22" s="13">
        <f t="shared" si="6"/>
        <v>19</v>
      </c>
    </row>
    <row r="23" ht="12.75" customHeight="1">
      <c r="A23" s="34"/>
      <c r="B23" s="27"/>
      <c r="C23" s="35"/>
      <c r="D23" s="19" t="s">
        <v>12</v>
      </c>
      <c r="E23" s="19">
        <v>0.0</v>
      </c>
      <c r="F23" s="19">
        <v>1.0</v>
      </c>
      <c r="G23" s="19">
        <v>1.0</v>
      </c>
      <c r="H23" s="19">
        <v>0.0</v>
      </c>
      <c r="I23" s="19">
        <v>0.0</v>
      </c>
      <c r="J23" s="19">
        <v>0.0</v>
      </c>
      <c r="K23" s="19">
        <v>1.0</v>
      </c>
      <c r="L23" s="19">
        <v>1.0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1.0</v>
      </c>
      <c r="T23" s="19">
        <v>1.0</v>
      </c>
      <c r="U23" s="19">
        <v>0.0</v>
      </c>
      <c r="V23" s="19">
        <v>1.0</v>
      </c>
      <c r="W23" s="19">
        <v>0.0</v>
      </c>
      <c r="X23" s="19">
        <v>1.0</v>
      </c>
      <c r="Y23" s="19">
        <v>0.0</v>
      </c>
      <c r="Z23" s="19">
        <v>0.0</v>
      </c>
      <c r="AA23" s="19">
        <v>1.0</v>
      </c>
      <c r="AB23" s="19">
        <v>1.0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1.0</v>
      </c>
      <c r="AJ23" s="19">
        <v>0.0</v>
      </c>
      <c r="AK23" s="19">
        <v>0.0</v>
      </c>
      <c r="AL23" s="19">
        <v>0.0</v>
      </c>
      <c r="AM23" s="19">
        <v>1.0</v>
      </c>
      <c r="AN23" s="19">
        <v>0.0</v>
      </c>
      <c r="AO23" s="19">
        <v>0.0</v>
      </c>
      <c r="AP23" s="19">
        <v>0.0</v>
      </c>
      <c r="AQ23" s="19">
        <v>0.0</v>
      </c>
      <c r="AR23" s="13">
        <f t="shared" si="6"/>
        <v>13</v>
      </c>
    </row>
    <row r="24" ht="12.75" customHeight="1">
      <c r="A24" s="36"/>
      <c r="B24" s="28"/>
      <c r="C24" s="37"/>
      <c r="D24" s="13" t="s">
        <v>13</v>
      </c>
      <c r="E24" s="13">
        <f>SUM(E22:E23)</f>
        <v>0</v>
      </c>
      <c r="F24" s="13">
        <v>1.0</v>
      </c>
      <c r="G24" s="13">
        <f t="shared" ref="G24:Y24" si="9">SUM(G22:G23)</f>
        <v>4</v>
      </c>
      <c r="H24" s="13">
        <f t="shared" si="9"/>
        <v>0</v>
      </c>
      <c r="I24" s="13">
        <f t="shared" si="9"/>
        <v>1</v>
      </c>
      <c r="J24" s="13">
        <f t="shared" si="9"/>
        <v>2</v>
      </c>
      <c r="K24" s="13">
        <f t="shared" si="9"/>
        <v>1</v>
      </c>
      <c r="L24" s="13">
        <f t="shared" si="9"/>
        <v>2</v>
      </c>
      <c r="M24" s="13">
        <f t="shared" si="9"/>
        <v>0</v>
      </c>
      <c r="N24" s="13">
        <f t="shared" si="9"/>
        <v>0</v>
      </c>
      <c r="O24" s="13">
        <f t="shared" si="9"/>
        <v>0</v>
      </c>
      <c r="P24" s="13">
        <f t="shared" si="9"/>
        <v>0</v>
      </c>
      <c r="Q24" s="13">
        <f t="shared" si="9"/>
        <v>2</v>
      </c>
      <c r="R24" s="13">
        <f t="shared" si="9"/>
        <v>3</v>
      </c>
      <c r="S24" s="13">
        <f t="shared" si="9"/>
        <v>1</v>
      </c>
      <c r="T24" s="13">
        <f t="shared" si="9"/>
        <v>2</v>
      </c>
      <c r="U24" s="13">
        <f t="shared" si="9"/>
        <v>1</v>
      </c>
      <c r="V24" s="13">
        <f t="shared" si="9"/>
        <v>1</v>
      </c>
      <c r="W24" s="13">
        <f t="shared" si="9"/>
        <v>1</v>
      </c>
      <c r="X24" s="13">
        <f t="shared" si="9"/>
        <v>1</v>
      </c>
      <c r="Y24" s="13">
        <f t="shared" si="9"/>
        <v>0</v>
      </c>
      <c r="Z24" s="13">
        <v>1.0</v>
      </c>
      <c r="AA24" s="13">
        <v>1.0</v>
      </c>
      <c r="AB24" s="13">
        <f t="shared" ref="AB24:AQ24" si="10">SUM(AB22:AB23)</f>
        <v>2</v>
      </c>
      <c r="AC24" s="13">
        <f t="shared" si="10"/>
        <v>0</v>
      </c>
      <c r="AD24" s="13">
        <f t="shared" si="10"/>
        <v>0</v>
      </c>
      <c r="AE24" s="13">
        <f t="shared" si="10"/>
        <v>0</v>
      </c>
      <c r="AF24" s="13">
        <f t="shared" si="10"/>
        <v>0</v>
      </c>
      <c r="AG24" s="13">
        <f t="shared" si="10"/>
        <v>0</v>
      </c>
      <c r="AH24" s="13">
        <f t="shared" si="10"/>
        <v>0</v>
      </c>
      <c r="AI24" s="13">
        <f t="shared" si="10"/>
        <v>1</v>
      </c>
      <c r="AJ24" s="13">
        <f t="shared" si="10"/>
        <v>0</v>
      </c>
      <c r="AK24" s="13">
        <f t="shared" si="10"/>
        <v>1</v>
      </c>
      <c r="AL24" s="13">
        <f t="shared" si="10"/>
        <v>1</v>
      </c>
      <c r="AM24" s="13">
        <f t="shared" si="10"/>
        <v>1</v>
      </c>
      <c r="AN24" s="13">
        <f t="shared" si="10"/>
        <v>0</v>
      </c>
      <c r="AO24" s="13">
        <f t="shared" si="10"/>
        <v>0</v>
      </c>
      <c r="AP24" s="13">
        <f t="shared" si="10"/>
        <v>0</v>
      </c>
      <c r="AQ24" s="13">
        <f t="shared" si="10"/>
        <v>1</v>
      </c>
      <c r="AR24" s="13">
        <f t="shared" si="6"/>
        <v>32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19">
        <v>1.0</v>
      </c>
      <c r="F25" s="19">
        <v>7.0</v>
      </c>
      <c r="G25" s="19">
        <v>1.0</v>
      </c>
      <c r="H25" s="19">
        <v>0.0</v>
      </c>
      <c r="I25" s="19">
        <v>2.0</v>
      </c>
      <c r="J25" s="19">
        <v>4.0</v>
      </c>
      <c r="K25" s="19">
        <v>4.0</v>
      </c>
      <c r="L25" s="19">
        <v>3.0</v>
      </c>
      <c r="M25" s="19">
        <v>2.0</v>
      </c>
      <c r="N25" s="19">
        <v>2.0</v>
      </c>
      <c r="O25" s="19">
        <v>2.0</v>
      </c>
      <c r="P25" s="19">
        <v>2.0</v>
      </c>
      <c r="Q25" s="19">
        <v>1.0</v>
      </c>
      <c r="R25" s="19">
        <v>0.0</v>
      </c>
      <c r="S25" s="19">
        <v>0.0</v>
      </c>
      <c r="T25" s="19">
        <v>3.0</v>
      </c>
      <c r="U25" s="19">
        <v>0.0</v>
      </c>
      <c r="V25" s="19">
        <v>9.0</v>
      </c>
      <c r="W25" s="19">
        <v>1.0</v>
      </c>
      <c r="X25" s="19">
        <v>7.0</v>
      </c>
      <c r="Y25" s="19">
        <v>1.0</v>
      </c>
      <c r="Z25" s="19">
        <v>1.0</v>
      </c>
      <c r="AA25" s="19">
        <v>0.0</v>
      </c>
      <c r="AB25" s="19">
        <v>2.0</v>
      </c>
      <c r="AC25" s="19">
        <v>1.0</v>
      </c>
      <c r="AD25" s="19">
        <v>3.0</v>
      </c>
      <c r="AE25" s="19">
        <v>3.0</v>
      </c>
      <c r="AF25" s="19">
        <v>0.0</v>
      </c>
      <c r="AG25" s="19">
        <v>2.0</v>
      </c>
      <c r="AH25" s="19">
        <v>6.0</v>
      </c>
      <c r="AI25" s="19">
        <v>4.0</v>
      </c>
      <c r="AJ25" s="19">
        <v>5.0</v>
      </c>
      <c r="AK25" s="19">
        <v>5.0</v>
      </c>
      <c r="AL25" s="19">
        <v>1.0</v>
      </c>
      <c r="AM25" s="19">
        <v>6.0</v>
      </c>
      <c r="AN25" s="19">
        <v>15.0</v>
      </c>
      <c r="AO25" s="19">
        <v>4.0</v>
      </c>
      <c r="AP25" s="19">
        <v>0.0</v>
      </c>
      <c r="AQ25" s="19">
        <v>0.0</v>
      </c>
      <c r="AR25" s="13">
        <f t="shared" si="6"/>
        <v>110</v>
      </c>
    </row>
    <row r="26" ht="12.75" customHeight="1">
      <c r="A26" s="34"/>
      <c r="B26" s="27"/>
      <c r="C26" s="35"/>
      <c r="D26" s="19" t="s">
        <v>12</v>
      </c>
      <c r="E26" s="19">
        <v>0.0</v>
      </c>
      <c r="F26" s="19">
        <v>1.0</v>
      </c>
      <c r="G26" s="19">
        <v>1.0</v>
      </c>
      <c r="H26" s="19">
        <v>1.0</v>
      </c>
      <c r="I26" s="19">
        <v>3.0</v>
      </c>
      <c r="J26" s="19">
        <v>8.0</v>
      </c>
      <c r="K26" s="19">
        <v>2.0</v>
      </c>
      <c r="L26" s="19">
        <v>2.0</v>
      </c>
      <c r="M26" s="19">
        <v>3.0</v>
      </c>
      <c r="N26" s="19">
        <v>1.0</v>
      </c>
      <c r="O26" s="19">
        <v>3.0</v>
      </c>
      <c r="P26" s="19">
        <v>2.0</v>
      </c>
      <c r="Q26" s="19">
        <v>2.0</v>
      </c>
      <c r="R26" s="19">
        <v>1.0</v>
      </c>
      <c r="S26" s="19">
        <v>5.0</v>
      </c>
      <c r="T26" s="19">
        <v>4.0</v>
      </c>
      <c r="U26" s="19">
        <v>0.0</v>
      </c>
      <c r="V26" s="19">
        <v>10.0</v>
      </c>
      <c r="W26" s="19">
        <v>0.0</v>
      </c>
      <c r="X26" s="19">
        <v>6.0</v>
      </c>
      <c r="Y26" s="19">
        <v>1.0</v>
      </c>
      <c r="Z26" s="19">
        <v>4.0</v>
      </c>
      <c r="AA26" s="19">
        <v>0.0</v>
      </c>
      <c r="AB26" s="19">
        <v>0.0</v>
      </c>
      <c r="AC26" s="19">
        <v>2.0</v>
      </c>
      <c r="AD26" s="19">
        <v>6.0</v>
      </c>
      <c r="AE26" s="19">
        <v>6.0</v>
      </c>
      <c r="AF26" s="19">
        <v>1.0</v>
      </c>
      <c r="AG26" s="19">
        <v>3.0</v>
      </c>
      <c r="AH26" s="19">
        <v>3.0</v>
      </c>
      <c r="AI26" s="19">
        <v>7.0</v>
      </c>
      <c r="AJ26" s="19">
        <v>6.0</v>
      </c>
      <c r="AK26" s="19">
        <v>8.0</v>
      </c>
      <c r="AL26" s="19">
        <v>2.0</v>
      </c>
      <c r="AM26" s="19">
        <v>5.0</v>
      </c>
      <c r="AN26" s="19">
        <v>15.0</v>
      </c>
      <c r="AO26" s="19">
        <v>4.0</v>
      </c>
      <c r="AP26" s="19">
        <v>0.0</v>
      </c>
      <c r="AQ26" s="19">
        <v>1.0</v>
      </c>
      <c r="AR26" s="13">
        <f t="shared" si="6"/>
        <v>129</v>
      </c>
    </row>
    <row r="27" ht="12.75" customHeight="1">
      <c r="A27" s="36"/>
      <c r="B27" s="28"/>
      <c r="C27" s="37"/>
      <c r="D27" s="13" t="s">
        <v>13</v>
      </c>
      <c r="E27" s="13">
        <f t="shared" ref="E27:AQ27" si="11">SUM(E25:E26)</f>
        <v>1</v>
      </c>
      <c r="F27" s="13">
        <f t="shared" si="11"/>
        <v>8</v>
      </c>
      <c r="G27" s="13">
        <f t="shared" si="11"/>
        <v>2</v>
      </c>
      <c r="H27" s="13">
        <f t="shared" si="11"/>
        <v>1</v>
      </c>
      <c r="I27" s="13">
        <f t="shared" si="11"/>
        <v>5</v>
      </c>
      <c r="J27" s="13">
        <f t="shared" si="11"/>
        <v>12</v>
      </c>
      <c r="K27" s="13">
        <f t="shared" si="11"/>
        <v>6</v>
      </c>
      <c r="L27" s="13">
        <f t="shared" si="11"/>
        <v>5</v>
      </c>
      <c r="M27" s="13">
        <f t="shared" si="11"/>
        <v>5</v>
      </c>
      <c r="N27" s="13">
        <f t="shared" si="11"/>
        <v>3</v>
      </c>
      <c r="O27" s="13">
        <f t="shared" si="11"/>
        <v>5</v>
      </c>
      <c r="P27" s="13">
        <f t="shared" si="11"/>
        <v>4</v>
      </c>
      <c r="Q27" s="13">
        <f t="shared" si="11"/>
        <v>3</v>
      </c>
      <c r="R27" s="13">
        <f t="shared" si="11"/>
        <v>1</v>
      </c>
      <c r="S27" s="13">
        <f t="shared" si="11"/>
        <v>5</v>
      </c>
      <c r="T27" s="13">
        <f t="shared" si="11"/>
        <v>7</v>
      </c>
      <c r="U27" s="13">
        <f t="shared" si="11"/>
        <v>0</v>
      </c>
      <c r="V27" s="13">
        <f t="shared" si="11"/>
        <v>19</v>
      </c>
      <c r="W27" s="13">
        <f t="shared" si="11"/>
        <v>1</v>
      </c>
      <c r="X27" s="13">
        <f t="shared" si="11"/>
        <v>13</v>
      </c>
      <c r="Y27" s="13">
        <f t="shared" si="11"/>
        <v>2</v>
      </c>
      <c r="Z27" s="13">
        <f t="shared" si="11"/>
        <v>5</v>
      </c>
      <c r="AA27" s="13">
        <f t="shared" si="11"/>
        <v>0</v>
      </c>
      <c r="AB27" s="13">
        <f t="shared" si="11"/>
        <v>2</v>
      </c>
      <c r="AC27" s="13">
        <f t="shared" si="11"/>
        <v>3</v>
      </c>
      <c r="AD27" s="13">
        <f t="shared" si="11"/>
        <v>9</v>
      </c>
      <c r="AE27" s="13">
        <f t="shared" si="11"/>
        <v>9</v>
      </c>
      <c r="AF27" s="13">
        <f t="shared" si="11"/>
        <v>1</v>
      </c>
      <c r="AG27" s="13">
        <f t="shared" si="11"/>
        <v>5</v>
      </c>
      <c r="AH27" s="13">
        <f t="shared" si="11"/>
        <v>9</v>
      </c>
      <c r="AI27" s="13">
        <f t="shared" si="11"/>
        <v>11</v>
      </c>
      <c r="AJ27" s="13">
        <f t="shared" si="11"/>
        <v>11</v>
      </c>
      <c r="AK27" s="13">
        <f t="shared" si="11"/>
        <v>13</v>
      </c>
      <c r="AL27" s="13">
        <f t="shared" si="11"/>
        <v>3</v>
      </c>
      <c r="AM27" s="13">
        <f t="shared" si="11"/>
        <v>11</v>
      </c>
      <c r="AN27" s="13">
        <f t="shared" si="11"/>
        <v>30</v>
      </c>
      <c r="AO27" s="13">
        <f t="shared" si="11"/>
        <v>8</v>
      </c>
      <c r="AP27" s="13">
        <f t="shared" si="11"/>
        <v>0</v>
      </c>
      <c r="AQ27" s="13">
        <f t="shared" si="11"/>
        <v>1</v>
      </c>
      <c r="AR27" s="13">
        <f t="shared" si="6"/>
        <v>239</v>
      </c>
    </row>
    <row r="28" ht="12.75" customHeight="1">
      <c r="A28" s="36"/>
      <c r="B28" s="39" t="s">
        <v>22</v>
      </c>
      <c r="C28" s="40" t="s">
        <v>23</v>
      </c>
      <c r="D28" s="13" t="s">
        <v>11</v>
      </c>
      <c r="E28" s="13">
        <f t="shared" ref="E28:AQ28" si="12">SUM(E19,E22,E25)</f>
        <v>108</v>
      </c>
      <c r="F28" s="13">
        <f t="shared" si="12"/>
        <v>112</v>
      </c>
      <c r="G28" s="13">
        <f t="shared" si="12"/>
        <v>75</v>
      </c>
      <c r="H28" s="13">
        <f t="shared" si="12"/>
        <v>91</v>
      </c>
      <c r="I28" s="13">
        <f t="shared" si="12"/>
        <v>103</v>
      </c>
      <c r="J28" s="13">
        <f t="shared" si="12"/>
        <v>90</v>
      </c>
      <c r="K28" s="13">
        <f t="shared" si="12"/>
        <v>108</v>
      </c>
      <c r="L28" s="13">
        <f t="shared" si="12"/>
        <v>112</v>
      </c>
      <c r="M28" s="13">
        <f t="shared" si="12"/>
        <v>108</v>
      </c>
      <c r="N28" s="13">
        <f t="shared" si="12"/>
        <v>103</v>
      </c>
      <c r="O28" s="13">
        <f t="shared" si="12"/>
        <v>106</v>
      </c>
      <c r="P28" s="13">
        <f t="shared" si="12"/>
        <v>105</v>
      </c>
      <c r="Q28" s="13">
        <f t="shared" si="12"/>
        <v>116</v>
      </c>
      <c r="R28" s="13">
        <f t="shared" si="12"/>
        <v>110</v>
      </c>
      <c r="S28" s="13">
        <f t="shared" si="12"/>
        <v>105</v>
      </c>
      <c r="T28" s="13">
        <f t="shared" si="12"/>
        <v>126</v>
      </c>
      <c r="U28" s="13">
        <f t="shared" si="12"/>
        <v>90</v>
      </c>
      <c r="V28" s="13">
        <f t="shared" si="12"/>
        <v>131</v>
      </c>
      <c r="W28" s="13">
        <f t="shared" si="12"/>
        <v>97</v>
      </c>
      <c r="X28" s="13">
        <f t="shared" si="12"/>
        <v>103</v>
      </c>
      <c r="Y28" s="13">
        <f t="shared" si="12"/>
        <v>99</v>
      </c>
      <c r="Z28" s="13">
        <f t="shared" si="12"/>
        <v>106</v>
      </c>
      <c r="AA28" s="13">
        <f t="shared" si="12"/>
        <v>94</v>
      </c>
      <c r="AB28" s="13">
        <f t="shared" si="12"/>
        <v>135</v>
      </c>
      <c r="AC28" s="13">
        <f t="shared" si="12"/>
        <v>110</v>
      </c>
      <c r="AD28" s="13">
        <f t="shared" si="12"/>
        <v>141</v>
      </c>
      <c r="AE28" s="13">
        <f t="shared" si="12"/>
        <v>119</v>
      </c>
      <c r="AF28" s="13">
        <f t="shared" si="12"/>
        <v>131</v>
      </c>
      <c r="AG28" s="13">
        <f t="shared" si="12"/>
        <v>111</v>
      </c>
      <c r="AH28" s="13">
        <f t="shared" si="12"/>
        <v>113</v>
      </c>
      <c r="AI28" s="13">
        <f t="shared" si="12"/>
        <v>118</v>
      </c>
      <c r="AJ28" s="13">
        <f t="shared" si="12"/>
        <v>115</v>
      </c>
      <c r="AK28" s="13">
        <f t="shared" si="12"/>
        <v>117</v>
      </c>
      <c r="AL28" s="13">
        <f t="shared" si="12"/>
        <v>129</v>
      </c>
      <c r="AM28" s="13">
        <f t="shared" si="12"/>
        <v>113</v>
      </c>
      <c r="AN28" s="13">
        <f t="shared" si="12"/>
        <v>138</v>
      </c>
      <c r="AO28" s="13">
        <f t="shared" si="12"/>
        <v>105</v>
      </c>
      <c r="AP28" s="13">
        <f t="shared" si="12"/>
        <v>131</v>
      </c>
      <c r="AQ28" s="13">
        <f t="shared" si="12"/>
        <v>102</v>
      </c>
      <c r="AR28" s="13">
        <f t="shared" si="6"/>
        <v>4326</v>
      </c>
    </row>
    <row r="29" ht="12.75" customHeight="1">
      <c r="A29" s="36"/>
      <c r="B29" s="27"/>
      <c r="C29" s="35"/>
      <c r="D29" s="13" t="s">
        <v>12</v>
      </c>
      <c r="E29" s="13">
        <f t="shared" ref="E29:AQ29" si="13">SUM(E20,E23,E26)</f>
        <v>128</v>
      </c>
      <c r="F29" s="13">
        <f t="shared" si="13"/>
        <v>119</v>
      </c>
      <c r="G29" s="13">
        <f t="shared" si="13"/>
        <v>92</v>
      </c>
      <c r="H29" s="13">
        <f t="shared" si="13"/>
        <v>102</v>
      </c>
      <c r="I29" s="13">
        <f t="shared" si="13"/>
        <v>107</v>
      </c>
      <c r="J29" s="13">
        <f t="shared" si="13"/>
        <v>107</v>
      </c>
      <c r="K29" s="13">
        <f t="shared" si="13"/>
        <v>111</v>
      </c>
      <c r="L29" s="13">
        <f t="shared" si="13"/>
        <v>129</v>
      </c>
      <c r="M29" s="13">
        <f t="shared" si="13"/>
        <v>105</v>
      </c>
      <c r="N29" s="13">
        <f t="shared" si="13"/>
        <v>117</v>
      </c>
      <c r="O29" s="13">
        <f t="shared" si="13"/>
        <v>135</v>
      </c>
      <c r="P29" s="13">
        <f t="shared" si="13"/>
        <v>111</v>
      </c>
      <c r="Q29" s="13">
        <f t="shared" si="13"/>
        <v>124</v>
      </c>
      <c r="R29" s="13">
        <f t="shared" si="13"/>
        <v>127</v>
      </c>
      <c r="S29" s="13">
        <f t="shared" si="13"/>
        <v>126</v>
      </c>
      <c r="T29" s="13">
        <f t="shared" si="13"/>
        <v>135</v>
      </c>
      <c r="U29" s="13">
        <f t="shared" si="13"/>
        <v>111</v>
      </c>
      <c r="V29" s="13">
        <f t="shared" si="13"/>
        <v>127</v>
      </c>
      <c r="W29" s="13">
        <f t="shared" si="13"/>
        <v>125</v>
      </c>
      <c r="X29" s="13">
        <f t="shared" si="13"/>
        <v>133</v>
      </c>
      <c r="Y29" s="13">
        <f t="shared" si="13"/>
        <v>103</v>
      </c>
      <c r="Z29" s="13">
        <f t="shared" si="13"/>
        <v>111</v>
      </c>
      <c r="AA29" s="13">
        <f t="shared" si="13"/>
        <v>122</v>
      </c>
      <c r="AB29" s="13">
        <f t="shared" si="13"/>
        <v>125</v>
      </c>
      <c r="AC29" s="13">
        <f t="shared" si="13"/>
        <v>129</v>
      </c>
      <c r="AD29" s="13">
        <f t="shared" si="13"/>
        <v>133</v>
      </c>
      <c r="AE29" s="13">
        <f t="shared" si="13"/>
        <v>123</v>
      </c>
      <c r="AF29" s="13">
        <f t="shared" si="13"/>
        <v>135</v>
      </c>
      <c r="AG29" s="13">
        <f t="shared" si="13"/>
        <v>117</v>
      </c>
      <c r="AH29" s="13">
        <f t="shared" si="13"/>
        <v>106</v>
      </c>
      <c r="AI29" s="13">
        <f t="shared" si="13"/>
        <v>128</v>
      </c>
      <c r="AJ29" s="13">
        <f t="shared" si="13"/>
        <v>129</v>
      </c>
      <c r="AK29" s="13">
        <f t="shared" si="13"/>
        <v>117</v>
      </c>
      <c r="AL29" s="13">
        <f t="shared" si="13"/>
        <v>128</v>
      </c>
      <c r="AM29" s="13">
        <f t="shared" si="13"/>
        <v>113</v>
      </c>
      <c r="AN29" s="13">
        <f t="shared" si="13"/>
        <v>131</v>
      </c>
      <c r="AO29" s="13">
        <f t="shared" si="13"/>
        <v>100</v>
      </c>
      <c r="AP29" s="13">
        <f t="shared" si="13"/>
        <v>122</v>
      </c>
      <c r="AQ29" s="13">
        <f t="shared" si="13"/>
        <v>100</v>
      </c>
      <c r="AR29" s="13">
        <f t="shared" si="6"/>
        <v>4643</v>
      </c>
    </row>
    <row r="30" ht="12.75" customHeight="1">
      <c r="A30" s="36"/>
      <c r="B30" s="28"/>
      <c r="C30" s="37"/>
      <c r="D30" s="13" t="s">
        <v>13</v>
      </c>
      <c r="E30" s="13">
        <f t="shared" ref="E30:AQ30" si="14">SUM(E28:E29)</f>
        <v>236</v>
      </c>
      <c r="F30" s="13">
        <f t="shared" si="14"/>
        <v>231</v>
      </c>
      <c r="G30" s="13">
        <f t="shared" si="14"/>
        <v>167</v>
      </c>
      <c r="H30" s="13">
        <f t="shared" si="14"/>
        <v>193</v>
      </c>
      <c r="I30" s="13">
        <f t="shared" si="14"/>
        <v>210</v>
      </c>
      <c r="J30" s="13">
        <f t="shared" si="14"/>
        <v>197</v>
      </c>
      <c r="K30" s="13">
        <f t="shared" si="14"/>
        <v>219</v>
      </c>
      <c r="L30" s="13">
        <f t="shared" si="14"/>
        <v>241</v>
      </c>
      <c r="M30" s="13">
        <f t="shared" si="14"/>
        <v>213</v>
      </c>
      <c r="N30" s="13">
        <f t="shared" si="14"/>
        <v>220</v>
      </c>
      <c r="O30" s="13">
        <f t="shared" si="14"/>
        <v>241</v>
      </c>
      <c r="P30" s="13">
        <f t="shared" si="14"/>
        <v>216</v>
      </c>
      <c r="Q30" s="13">
        <f t="shared" si="14"/>
        <v>240</v>
      </c>
      <c r="R30" s="13">
        <f t="shared" si="14"/>
        <v>237</v>
      </c>
      <c r="S30" s="13">
        <f t="shared" si="14"/>
        <v>231</v>
      </c>
      <c r="T30" s="13">
        <f t="shared" si="14"/>
        <v>261</v>
      </c>
      <c r="U30" s="13">
        <f t="shared" si="14"/>
        <v>201</v>
      </c>
      <c r="V30" s="13">
        <f t="shared" si="14"/>
        <v>258</v>
      </c>
      <c r="W30" s="13">
        <f t="shared" si="14"/>
        <v>222</v>
      </c>
      <c r="X30" s="13">
        <f t="shared" si="14"/>
        <v>236</v>
      </c>
      <c r="Y30" s="13">
        <f t="shared" si="14"/>
        <v>202</v>
      </c>
      <c r="Z30" s="13">
        <f t="shared" si="14"/>
        <v>217</v>
      </c>
      <c r="AA30" s="13">
        <f t="shared" si="14"/>
        <v>216</v>
      </c>
      <c r="AB30" s="13">
        <f t="shared" si="14"/>
        <v>260</v>
      </c>
      <c r="AC30" s="13">
        <f t="shared" si="14"/>
        <v>239</v>
      </c>
      <c r="AD30" s="13">
        <f t="shared" si="14"/>
        <v>274</v>
      </c>
      <c r="AE30" s="13">
        <f t="shared" si="14"/>
        <v>242</v>
      </c>
      <c r="AF30" s="13">
        <f t="shared" si="14"/>
        <v>266</v>
      </c>
      <c r="AG30" s="13">
        <f t="shared" si="14"/>
        <v>228</v>
      </c>
      <c r="AH30" s="13">
        <f t="shared" si="14"/>
        <v>219</v>
      </c>
      <c r="AI30" s="13">
        <f t="shared" si="14"/>
        <v>246</v>
      </c>
      <c r="AJ30" s="13">
        <f t="shared" si="14"/>
        <v>244</v>
      </c>
      <c r="AK30" s="13">
        <f t="shared" si="14"/>
        <v>234</v>
      </c>
      <c r="AL30" s="13">
        <f t="shared" si="14"/>
        <v>257</v>
      </c>
      <c r="AM30" s="13">
        <f t="shared" si="14"/>
        <v>226</v>
      </c>
      <c r="AN30" s="13">
        <f t="shared" si="14"/>
        <v>269</v>
      </c>
      <c r="AO30" s="13">
        <f t="shared" si="14"/>
        <v>205</v>
      </c>
      <c r="AP30" s="13">
        <f t="shared" si="14"/>
        <v>253</v>
      </c>
      <c r="AQ30" s="13">
        <f t="shared" si="14"/>
        <v>202</v>
      </c>
      <c r="AR30" s="13">
        <f t="shared" si="6"/>
        <v>8969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19"/>
      <c r="X31" s="61"/>
      <c r="Y31" s="19"/>
      <c r="Z31" s="19"/>
      <c r="AA31" s="19"/>
      <c r="AB31" s="19"/>
      <c r="AC31" s="61"/>
      <c r="AD31" s="19"/>
      <c r="AE31" s="19"/>
      <c r="AF31" s="19"/>
      <c r="AG31" s="19"/>
      <c r="AH31" s="61"/>
      <c r="AI31" s="19"/>
      <c r="AJ31" s="19"/>
      <c r="AK31" s="19"/>
      <c r="AL31" s="19"/>
      <c r="AM31" s="61"/>
      <c r="AN31" s="19"/>
      <c r="AO31" s="19"/>
      <c r="AP31" s="19"/>
      <c r="AQ31" s="19"/>
      <c r="AR31" s="62"/>
    </row>
    <row r="32" ht="12.75" customHeight="1">
      <c r="A32" s="43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3"/>
      <c r="O32" s="13"/>
      <c r="P32" s="13"/>
      <c r="Q32" s="13"/>
      <c r="R32" s="13"/>
      <c r="S32" s="63"/>
      <c r="T32" s="13"/>
      <c r="U32" s="13"/>
      <c r="V32" s="13"/>
      <c r="W32" s="13"/>
      <c r="X32" s="63"/>
      <c r="Y32" s="13"/>
      <c r="Z32" s="13"/>
      <c r="AA32" s="13"/>
      <c r="AB32" s="13"/>
      <c r="AC32" s="63"/>
      <c r="AD32" s="13"/>
      <c r="AE32" s="13"/>
      <c r="AF32" s="13"/>
      <c r="AG32" s="13"/>
      <c r="AH32" s="63"/>
      <c r="AI32" s="13"/>
      <c r="AJ32" s="13"/>
      <c r="AK32" s="13"/>
      <c r="AL32" s="13"/>
      <c r="AM32" s="63"/>
      <c r="AN32" s="13"/>
      <c r="AO32" s="13"/>
      <c r="AP32" s="13"/>
      <c r="AQ32" s="13"/>
      <c r="AR32" s="62"/>
    </row>
    <row r="33" ht="12.75" customHeight="1">
      <c r="A33" s="19">
        <v>1.0</v>
      </c>
      <c r="B33" s="20" t="s">
        <v>26</v>
      </c>
      <c r="C33" s="15"/>
      <c r="D33" s="16"/>
      <c r="E33" s="19">
        <v>293.0</v>
      </c>
      <c r="F33" s="19">
        <v>286.0</v>
      </c>
      <c r="G33" s="19">
        <v>266.0</v>
      </c>
      <c r="H33" s="19">
        <v>288.0</v>
      </c>
      <c r="I33" s="19">
        <v>295.0</v>
      </c>
      <c r="J33" s="19">
        <v>293.0</v>
      </c>
      <c r="K33" s="19">
        <v>292.0</v>
      </c>
      <c r="L33" s="19">
        <v>297.0</v>
      </c>
      <c r="M33" s="19">
        <v>281.0</v>
      </c>
      <c r="N33" s="19">
        <v>300.0</v>
      </c>
      <c r="O33" s="19">
        <v>298.0</v>
      </c>
      <c r="P33" s="19">
        <v>256.0</v>
      </c>
      <c r="Q33" s="19">
        <v>297.0</v>
      </c>
      <c r="R33" s="19">
        <v>294.0</v>
      </c>
      <c r="S33" s="19">
        <v>294.0</v>
      </c>
      <c r="T33" s="19">
        <v>297.0</v>
      </c>
      <c r="U33" s="19">
        <v>296.0</v>
      </c>
      <c r="V33" s="19">
        <v>295.0</v>
      </c>
      <c r="W33" s="19">
        <v>280.0</v>
      </c>
      <c r="X33" s="19">
        <v>297.0</v>
      </c>
      <c r="Y33" s="19">
        <v>263.0</v>
      </c>
      <c r="Z33" s="19">
        <v>287.0</v>
      </c>
      <c r="AA33" s="19">
        <v>282.0</v>
      </c>
      <c r="AB33" s="19">
        <v>299.0</v>
      </c>
      <c r="AC33" s="19">
        <v>300.0</v>
      </c>
      <c r="AD33" s="19">
        <v>298.0</v>
      </c>
      <c r="AE33" s="19">
        <v>299.0</v>
      </c>
      <c r="AF33" s="19">
        <v>291.0</v>
      </c>
      <c r="AG33" s="19">
        <v>285.0</v>
      </c>
      <c r="AH33" s="19">
        <v>278.0</v>
      </c>
      <c r="AI33" s="19">
        <v>292.0</v>
      </c>
      <c r="AJ33" s="19">
        <v>280.0</v>
      </c>
      <c r="AK33" s="19">
        <v>280.0</v>
      </c>
      <c r="AL33" s="19">
        <v>293.0</v>
      </c>
      <c r="AM33" s="19">
        <v>244.0</v>
      </c>
      <c r="AN33" s="19">
        <v>294.0</v>
      </c>
      <c r="AO33" s="19">
        <v>278.0</v>
      </c>
      <c r="AP33" s="19">
        <v>303.0</v>
      </c>
      <c r="AQ33" s="19">
        <v>283.0</v>
      </c>
      <c r="AR33" s="13">
        <f t="shared" ref="AR33:AR36" si="15">SUM(E33:AQ33)</f>
        <v>11224</v>
      </c>
    </row>
    <row r="34" ht="12.75" customHeight="1">
      <c r="A34" s="19">
        <v>2.0</v>
      </c>
      <c r="B34" s="20" t="s">
        <v>27</v>
      </c>
      <c r="C34" s="15"/>
      <c r="D34" s="16"/>
      <c r="E34" s="13">
        <v>236.0</v>
      </c>
      <c r="F34" s="13">
        <v>231.0</v>
      </c>
      <c r="G34" s="13">
        <v>167.0</v>
      </c>
      <c r="H34" s="13">
        <v>193.0</v>
      </c>
      <c r="I34" s="13">
        <v>210.0</v>
      </c>
      <c r="J34" s="13">
        <v>197.0</v>
      </c>
      <c r="K34" s="13">
        <v>219.0</v>
      </c>
      <c r="L34" s="13">
        <v>241.0</v>
      </c>
      <c r="M34" s="13">
        <v>213.0</v>
      </c>
      <c r="N34" s="13">
        <v>220.0</v>
      </c>
      <c r="O34" s="13">
        <v>241.0</v>
      </c>
      <c r="P34" s="13">
        <v>216.0</v>
      </c>
      <c r="Q34" s="13">
        <v>240.0</v>
      </c>
      <c r="R34" s="13">
        <v>237.0</v>
      </c>
      <c r="S34" s="13">
        <v>231.0</v>
      </c>
      <c r="T34" s="13">
        <v>261.0</v>
      </c>
      <c r="U34" s="13">
        <v>201.0</v>
      </c>
      <c r="V34" s="13">
        <v>258.0</v>
      </c>
      <c r="W34" s="13">
        <v>222.0</v>
      </c>
      <c r="X34" s="13">
        <v>236.0</v>
      </c>
      <c r="Y34" s="13">
        <v>202.0</v>
      </c>
      <c r="Z34" s="13">
        <v>217.0</v>
      </c>
      <c r="AA34" s="13">
        <v>216.0</v>
      </c>
      <c r="AB34" s="13">
        <v>260.0</v>
      </c>
      <c r="AC34" s="13">
        <v>239.0</v>
      </c>
      <c r="AD34" s="13">
        <v>274.0</v>
      </c>
      <c r="AE34" s="13">
        <v>242.0</v>
      </c>
      <c r="AF34" s="13">
        <v>266.0</v>
      </c>
      <c r="AG34" s="13">
        <v>228.0</v>
      </c>
      <c r="AH34" s="13">
        <v>219.0</v>
      </c>
      <c r="AI34" s="13">
        <v>246.0</v>
      </c>
      <c r="AJ34" s="13">
        <v>244.0</v>
      </c>
      <c r="AK34" s="13">
        <v>234.0</v>
      </c>
      <c r="AL34" s="13">
        <v>257.0</v>
      </c>
      <c r="AM34" s="13">
        <v>226.0</v>
      </c>
      <c r="AN34" s="13">
        <v>269.0</v>
      </c>
      <c r="AO34" s="13">
        <v>205.0</v>
      </c>
      <c r="AP34" s="13">
        <v>253.0</v>
      </c>
      <c r="AQ34" s="13">
        <v>202.0</v>
      </c>
      <c r="AR34" s="13">
        <f t="shared" si="15"/>
        <v>8969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2.0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9">
        <v>0.0</v>
      </c>
      <c r="Z35" s="19">
        <v>2.0</v>
      </c>
      <c r="AA35" s="19">
        <v>0.0</v>
      </c>
      <c r="AB35" s="19">
        <v>1.0</v>
      </c>
      <c r="AC35" s="19">
        <v>0.0</v>
      </c>
      <c r="AD35" s="19">
        <v>1.0</v>
      </c>
      <c r="AE35" s="19">
        <v>0.0</v>
      </c>
      <c r="AF35" s="19">
        <v>0.0</v>
      </c>
      <c r="AG35" s="19">
        <v>0.0</v>
      </c>
      <c r="AH35" s="19">
        <v>1.0</v>
      </c>
      <c r="AI35" s="19">
        <v>0.0</v>
      </c>
      <c r="AJ35" s="19">
        <v>0.0</v>
      </c>
      <c r="AK35" s="19">
        <v>0.0</v>
      </c>
      <c r="AL35" s="19">
        <v>3.0</v>
      </c>
      <c r="AM35" s="19">
        <v>0.0</v>
      </c>
      <c r="AN35" s="19">
        <v>0.0</v>
      </c>
      <c r="AO35" s="19">
        <v>0.0</v>
      </c>
      <c r="AP35" s="19">
        <v>0.0</v>
      </c>
      <c r="AQ35" s="19"/>
      <c r="AR35" s="13">
        <f t="shared" si="15"/>
        <v>12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Q36" si="16">E33-(E34+E35)</f>
        <v>57</v>
      </c>
      <c r="F36" s="13">
        <f t="shared" si="16"/>
        <v>55</v>
      </c>
      <c r="G36" s="13">
        <f t="shared" si="16"/>
        <v>99</v>
      </c>
      <c r="H36" s="13">
        <f t="shared" si="16"/>
        <v>95</v>
      </c>
      <c r="I36" s="13">
        <f t="shared" si="16"/>
        <v>83</v>
      </c>
      <c r="J36" s="13">
        <f t="shared" si="16"/>
        <v>96</v>
      </c>
      <c r="K36" s="13">
        <f t="shared" si="16"/>
        <v>73</v>
      </c>
      <c r="L36" s="13">
        <f t="shared" si="16"/>
        <v>56</v>
      </c>
      <c r="M36" s="13">
        <f t="shared" si="16"/>
        <v>68</v>
      </c>
      <c r="N36" s="13">
        <f t="shared" si="16"/>
        <v>80</v>
      </c>
      <c r="O36" s="13">
        <f t="shared" si="16"/>
        <v>56</v>
      </c>
      <c r="P36" s="13">
        <f t="shared" si="16"/>
        <v>40</v>
      </c>
      <c r="Q36" s="13">
        <f t="shared" si="16"/>
        <v>57</v>
      </c>
      <c r="R36" s="13">
        <f t="shared" si="16"/>
        <v>57</v>
      </c>
      <c r="S36" s="13">
        <f t="shared" si="16"/>
        <v>63</v>
      </c>
      <c r="T36" s="13">
        <f t="shared" si="16"/>
        <v>36</v>
      </c>
      <c r="U36" s="13">
        <f t="shared" si="16"/>
        <v>94</v>
      </c>
      <c r="V36" s="13">
        <f t="shared" si="16"/>
        <v>37</v>
      </c>
      <c r="W36" s="13">
        <f t="shared" si="16"/>
        <v>58</v>
      </c>
      <c r="X36" s="13">
        <f t="shared" si="16"/>
        <v>61</v>
      </c>
      <c r="Y36" s="13">
        <f t="shared" si="16"/>
        <v>61</v>
      </c>
      <c r="Z36" s="13">
        <f t="shared" si="16"/>
        <v>68</v>
      </c>
      <c r="AA36" s="13">
        <f t="shared" si="16"/>
        <v>66</v>
      </c>
      <c r="AB36" s="13">
        <f t="shared" si="16"/>
        <v>38</v>
      </c>
      <c r="AC36" s="13">
        <f t="shared" si="16"/>
        <v>61</v>
      </c>
      <c r="AD36" s="13">
        <f t="shared" si="16"/>
        <v>23</v>
      </c>
      <c r="AE36" s="13">
        <f t="shared" si="16"/>
        <v>57</v>
      </c>
      <c r="AF36" s="13">
        <f t="shared" si="16"/>
        <v>25</v>
      </c>
      <c r="AG36" s="13">
        <f t="shared" si="16"/>
        <v>57</v>
      </c>
      <c r="AH36" s="13">
        <f t="shared" si="16"/>
        <v>58</v>
      </c>
      <c r="AI36" s="13">
        <f t="shared" si="16"/>
        <v>46</v>
      </c>
      <c r="AJ36" s="13">
        <f t="shared" si="16"/>
        <v>36</v>
      </c>
      <c r="AK36" s="13">
        <f t="shared" si="16"/>
        <v>46</v>
      </c>
      <c r="AL36" s="13">
        <f t="shared" si="16"/>
        <v>33</v>
      </c>
      <c r="AM36" s="13">
        <f t="shared" si="16"/>
        <v>18</v>
      </c>
      <c r="AN36" s="13">
        <f t="shared" si="16"/>
        <v>25</v>
      </c>
      <c r="AO36" s="13">
        <f t="shared" si="16"/>
        <v>73</v>
      </c>
      <c r="AP36" s="13">
        <f t="shared" si="16"/>
        <v>50</v>
      </c>
      <c r="AQ36" s="13">
        <f t="shared" si="16"/>
        <v>81</v>
      </c>
      <c r="AR36" s="13">
        <f t="shared" si="15"/>
        <v>2243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19"/>
      <c r="X37" s="61"/>
      <c r="Y37" s="19"/>
      <c r="Z37" s="19"/>
      <c r="AA37" s="19"/>
      <c r="AB37" s="19"/>
      <c r="AC37" s="61"/>
      <c r="AD37" s="19"/>
      <c r="AE37" s="19"/>
      <c r="AF37" s="19"/>
      <c r="AG37" s="19"/>
      <c r="AH37" s="61"/>
      <c r="AI37" s="19"/>
      <c r="AJ37" s="19"/>
      <c r="AK37" s="19"/>
      <c r="AL37" s="19"/>
      <c r="AM37" s="61"/>
      <c r="AN37" s="19"/>
      <c r="AO37" s="19"/>
      <c r="AP37" s="19"/>
      <c r="AQ37" s="19"/>
      <c r="AR37" s="62"/>
    </row>
    <row r="38" ht="12.75" customHeight="1">
      <c r="A38" s="44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3"/>
      <c r="O38" s="13"/>
      <c r="P38" s="13"/>
      <c r="Q38" s="13"/>
      <c r="R38" s="13"/>
      <c r="S38" s="63"/>
      <c r="T38" s="13"/>
      <c r="U38" s="13"/>
      <c r="V38" s="13"/>
      <c r="W38" s="13"/>
      <c r="X38" s="63"/>
      <c r="Y38" s="13"/>
      <c r="Z38" s="13"/>
      <c r="AA38" s="13"/>
      <c r="AB38" s="13"/>
      <c r="AC38" s="63"/>
      <c r="AD38" s="13"/>
      <c r="AE38" s="13"/>
      <c r="AF38" s="13"/>
      <c r="AG38" s="13"/>
      <c r="AH38" s="63"/>
      <c r="AI38" s="13"/>
      <c r="AJ38" s="13"/>
      <c r="AK38" s="13"/>
      <c r="AL38" s="13"/>
      <c r="AM38" s="63"/>
      <c r="AN38" s="13"/>
      <c r="AO38" s="13"/>
      <c r="AP38" s="13"/>
      <c r="AQ38" s="13"/>
      <c r="AR38" s="62"/>
    </row>
    <row r="39" ht="12.75" customHeight="1">
      <c r="A39" s="31"/>
      <c r="B39" s="45" t="s">
        <v>32</v>
      </c>
      <c r="C39" s="23"/>
      <c r="D39" s="19" t="s">
        <v>11</v>
      </c>
      <c r="E39" s="19">
        <v>1.0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2.0</v>
      </c>
      <c r="T39" s="19">
        <v>1.0</v>
      </c>
      <c r="U39" s="19">
        <v>0.0</v>
      </c>
      <c r="V39" s="19">
        <v>0.0</v>
      </c>
      <c r="W39" s="19">
        <v>2.0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3.0</v>
      </c>
      <c r="AD39" s="19">
        <v>3.0</v>
      </c>
      <c r="AE39" s="19">
        <v>0.0</v>
      </c>
      <c r="AF39" s="19">
        <v>0.0</v>
      </c>
      <c r="AG39" s="19">
        <v>0.0</v>
      </c>
      <c r="AH39" s="19">
        <v>1.0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3">
        <f t="shared" ref="AR39:AR41" si="17">SUM(E39:AQ39)</f>
        <v>15</v>
      </c>
    </row>
    <row r="40" ht="12.75" customHeight="1">
      <c r="A40" s="34"/>
      <c r="C40" s="27"/>
      <c r="D40" s="19" t="s">
        <v>12</v>
      </c>
      <c r="E40" s="19">
        <v>2.0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3.0</v>
      </c>
      <c r="T40" s="19">
        <v>0.0</v>
      </c>
      <c r="U40" s="19">
        <v>2.0</v>
      </c>
      <c r="V40" s="19">
        <v>0.0</v>
      </c>
      <c r="W40" s="19">
        <v>1.0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4.0</v>
      </c>
      <c r="AD40" s="19">
        <v>1.0</v>
      </c>
      <c r="AE40" s="19">
        <v>0.0</v>
      </c>
      <c r="AF40" s="19">
        <v>0.0</v>
      </c>
      <c r="AG40" s="19">
        <v>1.0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3">
        <f t="shared" si="17"/>
        <v>14</v>
      </c>
    </row>
    <row r="41" ht="12.75" customHeight="1">
      <c r="A41" s="43"/>
      <c r="B41" s="46"/>
      <c r="C41" s="28"/>
      <c r="D41" s="13" t="s">
        <v>13</v>
      </c>
      <c r="E41" s="13">
        <f t="shared" ref="E41:AQ41" si="18">SUM(E39:E40)</f>
        <v>3</v>
      </c>
      <c r="F41" s="13">
        <f t="shared" si="18"/>
        <v>1</v>
      </c>
      <c r="G41" s="13">
        <f t="shared" si="18"/>
        <v>0</v>
      </c>
      <c r="H41" s="13">
        <f t="shared" si="18"/>
        <v>0</v>
      </c>
      <c r="I41" s="13">
        <f t="shared" si="18"/>
        <v>0</v>
      </c>
      <c r="J41" s="13">
        <f t="shared" si="18"/>
        <v>0</v>
      </c>
      <c r="K41" s="13">
        <f t="shared" si="18"/>
        <v>0</v>
      </c>
      <c r="L41" s="13">
        <f t="shared" si="18"/>
        <v>0</v>
      </c>
      <c r="M41" s="13">
        <f t="shared" si="18"/>
        <v>1</v>
      </c>
      <c r="N41" s="13">
        <f t="shared" si="18"/>
        <v>0</v>
      </c>
      <c r="O41" s="13">
        <f t="shared" si="18"/>
        <v>0</v>
      </c>
      <c r="P41" s="13">
        <f t="shared" si="18"/>
        <v>0</v>
      </c>
      <c r="Q41" s="13">
        <f t="shared" si="18"/>
        <v>0</v>
      </c>
      <c r="R41" s="13">
        <f t="shared" si="18"/>
        <v>0</v>
      </c>
      <c r="S41" s="13">
        <f t="shared" si="18"/>
        <v>5</v>
      </c>
      <c r="T41" s="13">
        <f t="shared" si="18"/>
        <v>1</v>
      </c>
      <c r="U41" s="13">
        <f t="shared" si="18"/>
        <v>2</v>
      </c>
      <c r="V41" s="13">
        <f t="shared" si="18"/>
        <v>0</v>
      </c>
      <c r="W41" s="13">
        <f t="shared" si="18"/>
        <v>3</v>
      </c>
      <c r="X41" s="13">
        <f t="shared" si="18"/>
        <v>0</v>
      </c>
      <c r="Y41" s="13">
        <f t="shared" si="18"/>
        <v>0</v>
      </c>
      <c r="Z41" s="13">
        <f t="shared" si="18"/>
        <v>0</v>
      </c>
      <c r="AA41" s="13">
        <f t="shared" si="18"/>
        <v>0</v>
      </c>
      <c r="AB41" s="13">
        <f t="shared" si="18"/>
        <v>0</v>
      </c>
      <c r="AC41" s="13">
        <f t="shared" si="18"/>
        <v>7</v>
      </c>
      <c r="AD41" s="13">
        <f t="shared" si="18"/>
        <v>4</v>
      </c>
      <c r="AE41" s="13">
        <f t="shared" si="18"/>
        <v>0</v>
      </c>
      <c r="AF41" s="13">
        <f t="shared" si="18"/>
        <v>0</v>
      </c>
      <c r="AG41" s="13">
        <f t="shared" si="18"/>
        <v>1</v>
      </c>
      <c r="AH41" s="13">
        <f t="shared" si="18"/>
        <v>1</v>
      </c>
      <c r="AI41" s="13">
        <f t="shared" si="18"/>
        <v>0</v>
      </c>
      <c r="AJ41" s="13">
        <f t="shared" si="18"/>
        <v>0</v>
      </c>
      <c r="AK41" s="13">
        <f t="shared" si="18"/>
        <v>0</v>
      </c>
      <c r="AL41" s="13">
        <f t="shared" si="18"/>
        <v>0</v>
      </c>
      <c r="AM41" s="13">
        <f t="shared" si="18"/>
        <v>0</v>
      </c>
      <c r="AN41" s="13">
        <f t="shared" si="18"/>
        <v>0</v>
      </c>
      <c r="AO41" s="13">
        <f t="shared" si="18"/>
        <v>0</v>
      </c>
      <c r="AP41" s="13">
        <f t="shared" si="18"/>
        <v>0</v>
      </c>
      <c r="AQ41" s="13">
        <f t="shared" si="18"/>
        <v>0</v>
      </c>
      <c r="AR41" s="13">
        <f t="shared" si="17"/>
        <v>29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9"/>
      <c r="X42" s="61"/>
      <c r="Y42" s="19"/>
      <c r="Z42" s="19"/>
      <c r="AA42" s="19"/>
      <c r="AB42" s="19"/>
      <c r="AC42" s="61"/>
      <c r="AD42" s="19"/>
      <c r="AE42" s="19"/>
      <c r="AF42" s="19"/>
      <c r="AG42" s="19"/>
      <c r="AH42" s="61"/>
      <c r="AI42" s="19"/>
      <c r="AJ42" s="19"/>
      <c r="AK42" s="19"/>
      <c r="AL42" s="19"/>
      <c r="AM42" s="61"/>
      <c r="AN42" s="19"/>
      <c r="AO42" s="19"/>
      <c r="AP42" s="19"/>
      <c r="AQ42" s="19"/>
      <c r="AR42" s="13"/>
    </row>
    <row r="43" ht="12.75" customHeight="1">
      <c r="A43" s="44" t="s">
        <v>33</v>
      </c>
      <c r="B43" s="14" t="s">
        <v>34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3"/>
      <c r="O43" s="13"/>
      <c r="P43" s="13"/>
      <c r="Q43" s="13"/>
      <c r="R43" s="13"/>
      <c r="S43" s="63"/>
      <c r="T43" s="13"/>
      <c r="U43" s="13"/>
      <c r="V43" s="13"/>
      <c r="W43" s="13"/>
      <c r="X43" s="63"/>
      <c r="Y43" s="13"/>
      <c r="Z43" s="13"/>
      <c r="AA43" s="13"/>
      <c r="AB43" s="13"/>
      <c r="AC43" s="63"/>
      <c r="AD43" s="13"/>
      <c r="AE43" s="13"/>
      <c r="AF43" s="13"/>
      <c r="AG43" s="13"/>
      <c r="AH43" s="63"/>
      <c r="AI43" s="13"/>
      <c r="AJ43" s="13"/>
      <c r="AK43" s="13"/>
      <c r="AL43" s="13"/>
      <c r="AM43" s="63"/>
      <c r="AN43" s="13"/>
      <c r="AO43" s="13"/>
      <c r="AP43" s="13"/>
      <c r="AQ43" s="13"/>
      <c r="AR43" s="13"/>
    </row>
    <row r="44" ht="12.75" customHeight="1">
      <c r="A44" s="45" t="s">
        <v>35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9"/>
      <c r="X44" s="61"/>
      <c r="Y44" s="19"/>
      <c r="Z44" s="19"/>
      <c r="AA44" s="19"/>
      <c r="AB44" s="19"/>
      <c r="AC44" s="61"/>
      <c r="AD44" s="19"/>
      <c r="AE44" s="19"/>
      <c r="AF44" s="19"/>
      <c r="AG44" s="19"/>
      <c r="AH44" s="61"/>
      <c r="AI44" s="19"/>
      <c r="AJ44" s="19"/>
      <c r="AK44" s="19"/>
      <c r="AL44" s="19"/>
      <c r="AM44" s="61"/>
      <c r="AN44" s="19"/>
      <c r="AO44" s="19"/>
      <c r="AP44" s="19"/>
      <c r="AQ44" s="19"/>
      <c r="AR44" s="13"/>
    </row>
    <row r="45" ht="12.75" customHeight="1">
      <c r="A45" s="64"/>
      <c r="B45" s="49">
        <v>1.0</v>
      </c>
      <c r="C45" s="50" t="s">
        <v>36</v>
      </c>
      <c r="D45" s="16"/>
      <c r="E45" s="19">
        <v>31.0</v>
      </c>
      <c r="F45" s="19">
        <v>26.0</v>
      </c>
      <c r="G45" s="19">
        <v>23.0</v>
      </c>
      <c r="H45" s="19">
        <v>36.0</v>
      </c>
      <c r="I45" s="19">
        <v>30.0</v>
      </c>
      <c r="J45" s="19">
        <v>30.0</v>
      </c>
      <c r="K45" s="19">
        <v>55.0</v>
      </c>
      <c r="L45" s="19">
        <v>54.0</v>
      </c>
      <c r="M45" s="19">
        <v>22.0</v>
      </c>
      <c r="N45" s="19">
        <v>27.0</v>
      </c>
      <c r="O45" s="19">
        <v>69.0</v>
      </c>
      <c r="P45" s="19">
        <v>60.0</v>
      </c>
      <c r="Q45" s="19">
        <v>44.0</v>
      </c>
      <c r="R45" s="19">
        <v>41.0</v>
      </c>
      <c r="S45" s="19">
        <v>18.0</v>
      </c>
      <c r="T45" s="19">
        <v>35.0</v>
      </c>
      <c r="U45" s="19">
        <v>19.0</v>
      </c>
      <c r="V45" s="19">
        <v>86.0</v>
      </c>
      <c r="W45" s="19">
        <v>30.0</v>
      </c>
      <c r="X45" s="19">
        <v>30.0</v>
      </c>
      <c r="Y45" s="19">
        <v>71.0</v>
      </c>
      <c r="Z45" s="19">
        <v>93.0</v>
      </c>
      <c r="AA45" s="19">
        <v>60.0</v>
      </c>
      <c r="AB45" s="19">
        <v>110.0</v>
      </c>
      <c r="AC45" s="19">
        <v>101.0</v>
      </c>
      <c r="AD45" s="19">
        <v>75.0</v>
      </c>
      <c r="AE45" s="19">
        <v>62.0</v>
      </c>
      <c r="AF45" s="19">
        <v>85.0</v>
      </c>
      <c r="AG45" s="19">
        <v>106.0</v>
      </c>
      <c r="AH45" s="19">
        <v>64.0</v>
      </c>
      <c r="AI45" s="19">
        <v>110.0</v>
      </c>
      <c r="AJ45" s="19">
        <v>99.0</v>
      </c>
      <c r="AK45" s="19">
        <v>38.0</v>
      </c>
      <c r="AL45" s="19">
        <v>98.0</v>
      </c>
      <c r="AM45" s="19">
        <v>68.0</v>
      </c>
      <c r="AN45" s="19">
        <v>123.0</v>
      </c>
      <c r="AO45" s="19">
        <v>93.0</v>
      </c>
      <c r="AP45" s="19">
        <v>76.0</v>
      </c>
      <c r="AQ45" s="19">
        <v>13.0</v>
      </c>
      <c r="AR45" s="13">
        <f t="shared" ref="AR45:AR47" si="19">SUM(E45:AQ45)</f>
        <v>2311</v>
      </c>
    </row>
    <row r="46" ht="12.75" customHeight="1">
      <c r="A46" s="18"/>
      <c r="B46" s="49">
        <v>2.0</v>
      </c>
      <c r="C46" s="50" t="s">
        <v>37</v>
      </c>
      <c r="D46" s="16"/>
      <c r="E46" s="19">
        <v>160.0</v>
      </c>
      <c r="F46" s="19">
        <v>161.0</v>
      </c>
      <c r="G46" s="19">
        <v>123.0</v>
      </c>
      <c r="H46" s="19">
        <v>115.0</v>
      </c>
      <c r="I46" s="19">
        <v>140.0</v>
      </c>
      <c r="J46" s="19">
        <v>142.0</v>
      </c>
      <c r="K46" s="19">
        <v>140.0</v>
      </c>
      <c r="L46" s="19">
        <v>166.0</v>
      </c>
      <c r="M46" s="19">
        <v>161.0</v>
      </c>
      <c r="N46" s="19">
        <v>156.0</v>
      </c>
      <c r="O46" s="19">
        <v>126.0</v>
      </c>
      <c r="P46" s="19">
        <v>131.0</v>
      </c>
      <c r="Q46" s="19">
        <v>173.0</v>
      </c>
      <c r="R46" s="19">
        <v>162.0</v>
      </c>
      <c r="S46" s="19">
        <v>188.0</v>
      </c>
      <c r="T46" s="19">
        <v>185.0</v>
      </c>
      <c r="U46" s="19">
        <v>153.0</v>
      </c>
      <c r="V46" s="19">
        <v>140.0</v>
      </c>
      <c r="W46" s="19">
        <v>171.0</v>
      </c>
      <c r="X46" s="19">
        <v>169.0</v>
      </c>
      <c r="Y46" s="19">
        <v>96.0</v>
      </c>
      <c r="Z46" s="19">
        <v>85.0</v>
      </c>
      <c r="AA46" s="19">
        <v>113.0</v>
      </c>
      <c r="AB46" s="19">
        <v>117.0</v>
      </c>
      <c r="AC46" s="19">
        <v>110.0</v>
      </c>
      <c r="AD46" s="19">
        <v>152.0</v>
      </c>
      <c r="AE46" s="19">
        <v>153.0</v>
      </c>
      <c r="AF46" s="19">
        <v>133.0</v>
      </c>
      <c r="AG46" s="19">
        <v>80.0</v>
      </c>
      <c r="AH46" s="19">
        <v>104.0</v>
      </c>
      <c r="AI46" s="19">
        <v>108.0</v>
      </c>
      <c r="AJ46" s="19">
        <v>93.0</v>
      </c>
      <c r="AK46" s="19">
        <v>164.0</v>
      </c>
      <c r="AL46" s="19">
        <v>117.0</v>
      </c>
      <c r="AM46" s="19">
        <v>115.0</v>
      </c>
      <c r="AN46" s="19">
        <v>86.0</v>
      </c>
      <c r="AO46" s="19">
        <v>85.0</v>
      </c>
      <c r="AP46" s="19">
        <v>133.0</v>
      </c>
      <c r="AQ46" s="19">
        <v>173.0</v>
      </c>
      <c r="AR46" s="13">
        <f t="shared" si="19"/>
        <v>5279</v>
      </c>
    </row>
    <row r="47" ht="12.75" customHeight="1">
      <c r="A47" s="47"/>
      <c r="B47" s="49">
        <v>3.0</v>
      </c>
      <c r="C47" s="50" t="s">
        <v>38</v>
      </c>
      <c r="D47" s="16"/>
      <c r="E47" s="19">
        <v>42.0</v>
      </c>
      <c r="F47" s="19">
        <v>41.0</v>
      </c>
      <c r="G47" s="19">
        <v>16.0</v>
      </c>
      <c r="H47" s="19">
        <v>38.0</v>
      </c>
      <c r="I47" s="19">
        <v>39.0</v>
      </c>
      <c r="J47" s="19">
        <v>17.0</v>
      </c>
      <c r="K47" s="19">
        <v>19.0</v>
      </c>
      <c r="L47" s="19">
        <v>21.0</v>
      </c>
      <c r="M47" s="19">
        <v>27.0</v>
      </c>
      <c r="N47" s="19">
        <v>26.0</v>
      </c>
      <c r="O47" s="19">
        <v>42.0</v>
      </c>
      <c r="P47" s="19">
        <v>23.0</v>
      </c>
      <c r="Q47" s="19">
        <v>21.0</v>
      </c>
      <c r="R47" s="19">
        <v>32.0</v>
      </c>
      <c r="S47" s="19">
        <v>17.0</v>
      </c>
      <c r="T47" s="19">
        <v>35.0</v>
      </c>
      <c r="U47" s="19">
        <v>25.0</v>
      </c>
      <c r="V47" s="19">
        <v>22.0</v>
      </c>
      <c r="W47" s="19">
        <v>16.0</v>
      </c>
      <c r="X47" s="19">
        <v>29.0</v>
      </c>
      <c r="Y47" s="19">
        <v>31.0</v>
      </c>
      <c r="Z47" s="19">
        <v>39.0</v>
      </c>
      <c r="AA47" s="19">
        <v>31.0</v>
      </c>
      <c r="AB47" s="19">
        <v>30.0</v>
      </c>
      <c r="AC47" s="19">
        <v>22.0</v>
      </c>
      <c r="AD47" s="19">
        <v>26.0</v>
      </c>
      <c r="AE47" s="19">
        <v>25.0</v>
      </c>
      <c r="AF47" s="19">
        <v>40.0</v>
      </c>
      <c r="AG47" s="19">
        <v>30.0</v>
      </c>
      <c r="AH47" s="19">
        <v>38.0</v>
      </c>
      <c r="AI47" s="19">
        <v>21.0</v>
      </c>
      <c r="AJ47" s="19">
        <v>46.0</v>
      </c>
      <c r="AK47" s="19">
        <v>30.0</v>
      </c>
      <c r="AL47" s="19">
        <v>32.0</v>
      </c>
      <c r="AM47" s="19">
        <v>31.0</v>
      </c>
      <c r="AN47" s="19">
        <v>40.0</v>
      </c>
      <c r="AO47" s="19">
        <v>23.0</v>
      </c>
      <c r="AP47" s="19">
        <v>30.0</v>
      </c>
      <c r="AQ47" s="19">
        <v>12.0</v>
      </c>
      <c r="AR47" s="13">
        <f t="shared" si="19"/>
        <v>1125</v>
      </c>
    </row>
    <row r="48" ht="12.75" customHeight="1"/>
    <row r="49" ht="12.75" customHeight="1">
      <c r="A49" s="44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3"/>
      <c r="O49" s="13"/>
      <c r="P49" s="13"/>
      <c r="Q49" s="13"/>
      <c r="R49" s="13"/>
      <c r="S49" s="63"/>
      <c r="T49" s="13"/>
      <c r="U49" s="13"/>
      <c r="V49" s="13"/>
      <c r="W49" s="13"/>
      <c r="X49" s="63"/>
      <c r="Y49" s="13"/>
      <c r="Z49" s="13"/>
      <c r="AA49" s="13"/>
      <c r="AB49" s="13"/>
      <c r="AC49" s="63"/>
      <c r="AD49" s="13"/>
      <c r="AE49" s="13"/>
      <c r="AF49" s="13"/>
      <c r="AG49" s="13"/>
      <c r="AH49" s="63"/>
      <c r="AI49" s="13"/>
      <c r="AJ49" s="13"/>
      <c r="AK49" s="13"/>
      <c r="AL49" s="13"/>
      <c r="AM49" s="63"/>
      <c r="AN49" s="13"/>
      <c r="AO49" s="13"/>
      <c r="AP49" s="13"/>
      <c r="AQ49" s="13"/>
      <c r="AR49" s="13"/>
    </row>
    <row r="50" ht="12.75" customHeight="1">
      <c r="A50" s="44"/>
      <c r="B50" s="56" t="s">
        <v>41</v>
      </c>
      <c r="C50" s="57" t="s">
        <v>42</v>
      </c>
      <c r="D50" s="16"/>
      <c r="E50" s="19">
        <f t="shared" ref="E50:S50" si="20">SUM(E45:E47)</f>
        <v>233</v>
      </c>
      <c r="F50" s="19">
        <f t="shared" si="20"/>
        <v>228</v>
      </c>
      <c r="G50" s="19">
        <f t="shared" si="20"/>
        <v>162</v>
      </c>
      <c r="H50" s="19">
        <f t="shared" si="20"/>
        <v>189</v>
      </c>
      <c r="I50" s="19">
        <f t="shared" si="20"/>
        <v>209</v>
      </c>
      <c r="J50" s="19">
        <f t="shared" si="20"/>
        <v>189</v>
      </c>
      <c r="K50" s="19">
        <f t="shared" si="20"/>
        <v>214</v>
      </c>
      <c r="L50" s="19">
        <f t="shared" si="20"/>
        <v>241</v>
      </c>
      <c r="M50" s="19">
        <f t="shared" si="20"/>
        <v>210</v>
      </c>
      <c r="N50" s="19">
        <f t="shared" si="20"/>
        <v>209</v>
      </c>
      <c r="O50" s="19">
        <f t="shared" si="20"/>
        <v>237</v>
      </c>
      <c r="P50" s="19">
        <f t="shared" si="20"/>
        <v>214</v>
      </c>
      <c r="Q50" s="19">
        <f t="shared" si="20"/>
        <v>238</v>
      </c>
      <c r="R50" s="19">
        <f t="shared" si="20"/>
        <v>235</v>
      </c>
      <c r="S50" s="19">
        <f t="shared" si="20"/>
        <v>223</v>
      </c>
      <c r="T50" s="19">
        <v>255.0</v>
      </c>
      <c r="U50" s="19">
        <f t="shared" ref="U50:AQ50" si="21">SUM(U45:U47)</f>
        <v>197</v>
      </c>
      <c r="V50" s="19">
        <f t="shared" si="21"/>
        <v>248</v>
      </c>
      <c r="W50" s="19">
        <f t="shared" si="21"/>
        <v>217</v>
      </c>
      <c r="X50" s="19">
        <f t="shared" si="21"/>
        <v>228</v>
      </c>
      <c r="Y50" s="19">
        <f t="shared" si="21"/>
        <v>198</v>
      </c>
      <c r="Z50" s="19">
        <f t="shared" si="21"/>
        <v>217</v>
      </c>
      <c r="AA50" s="19">
        <f t="shared" si="21"/>
        <v>204</v>
      </c>
      <c r="AB50" s="19">
        <f t="shared" si="21"/>
        <v>257</v>
      </c>
      <c r="AC50" s="19">
        <f t="shared" si="21"/>
        <v>233</v>
      </c>
      <c r="AD50" s="19">
        <f t="shared" si="21"/>
        <v>253</v>
      </c>
      <c r="AE50" s="19">
        <f t="shared" si="21"/>
        <v>240</v>
      </c>
      <c r="AF50" s="19">
        <f t="shared" si="21"/>
        <v>258</v>
      </c>
      <c r="AG50" s="19">
        <f t="shared" si="21"/>
        <v>216</v>
      </c>
      <c r="AH50" s="19">
        <f t="shared" si="21"/>
        <v>206</v>
      </c>
      <c r="AI50" s="19">
        <f t="shared" si="21"/>
        <v>239</v>
      </c>
      <c r="AJ50" s="19">
        <f t="shared" si="21"/>
        <v>238</v>
      </c>
      <c r="AK50" s="19">
        <f t="shared" si="21"/>
        <v>232</v>
      </c>
      <c r="AL50" s="19">
        <f t="shared" si="21"/>
        <v>247</v>
      </c>
      <c r="AM50" s="19">
        <f t="shared" si="21"/>
        <v>214</v>
      </c>
      <c r="AN50" s="19">
        <f t="shared" si="21"/>
        <v>249</v>
      </c>
      <c r="AO50" s="19">
        <f t="shared" si="21"/>
        <v>201</v>
      </c>
      <c r="AP50" s="19">
        <f t="shared" si="21"/>
        <v>239</v>
      </c>
      <c r="AQ50" s="19">
        <f t="shared" si="21"/>
        <v>198</v>
      </c>
      <c r="AR50" s="13">
        <f t="shared" ref="AR50:AR52" si="22">SUM(E50:AQ50)</f>
        <v>8715</v>
      </c>
    </row>
    <row r="51" ht="12.75" customHeight="1">
      <c r="A51" s="36"/>
      <c r="B51" s="56" t="s">
        <v>43</v>
      </c>
      <c r="C51" s="57" t="s">
        <v>44</v>
      </c>
      <c r="D51" s="16"/>
      <c r="E51" s="19">
        <v>3.0</v>
      </c>
      <c r="F51" s="19">
        <v>3.0</v>
      </c>
      <c r="G51" s="19">
        <v>5.0</v>
      </c>
      <c r="H51" s="19">
        <v>4.0</v>
      </c>
      <c r="I51" s="19">
        <v>1.0</v>
      </c>
      <c r="J51" s="19">
        <v>8.0</v>
      </c>
      <c r="K51" s="19">
        <v>5.0</v>
      </c>
      <c r="L51" s="19">
        <v>0.0</v>
      </c>
      <c r="M51" s="19">
        <v>3.0</v>
      </c>
      <c r="N51" s="19">
        <v>11.0</v>
      </c>
      <c r="O51" s="19">
        <v>4.0</v>
      </c>
      <c r="P51" s="19">
        <v>2.0</v>
      </c>
      <c r="Q51" s="19">
        <v>2.0</v>
      </c>
      <c r="R51" s="19">
        <v>2.0</v>
      </c>
      <c r="S51" s="19">
        <v>8.0</v>
      </c>
      <c r="T51" s="19">
        <v>6.0</v>
      </c>
      <c r="U51" s="19">
        <v>4.0</v>
      </c>
      <c r="V51" s="19">
        <v>10.0</v>
      </c>
      <c r="W51" s="19">
        <v>5.0</v>
      </c>
      <c r="X51" s="19">
        <v>8.0</v>
      </c>
      <c r="Y51" s="19">
        <v>4.0</v>
      </c>
      <c r="Z51" s="19">
        <v>0.0</v>
      </c>
      <c r="AA51" s="19">
        <v>12.0</v>
      </c>
      <c r="AB51" s="19">
        <v>3.0</v>
      </c>
      <c r="AC51" s="19">
        <v>6.0</v>
      </c>
      <c r="AD51" s="19">
        <v>21.0</v>
      </c>
      <c r="AE51" s="19">
        <v>2.0</v>
      </c>
      <c r="AF51" s="19">
        <v>8.0</v>
      </c>
      <c r="AG51" s="19">
        <v>12.0</v>
      </c>
      <c r="AH51" s="19">
        <v>13.0</v>
      </c>
      <c r="AI51" s="19">
        <v>7.0</v>
      </c>
      <c r="AJ51" s="19">
        <v>6.0</v>
      </c>
      <c r="AK51" s="19">
        <v>2.0</v>
      </c>
      <c r="AL51" s="19">
        <v>10.0</v>
      </c>
      <c r="AM51" s="19">
        <v>12.0</v>
      </c>
      <c r="AN51" s="19">
        <v>20.0</v>
      </c>
      <c r="AO51" s="19">
        <v>4.0</v>
      </c>
      <c r="AP51" s="19">
        <v>14.0</v>
      </c>
      <c r="AQ51" s="19">
        <v>4.0</v>
      </c>
      <c r="AR51" s="13">
        <f t="shared" si="22"/>
        <v>254</v>
      </c>
    </row>
    <row r="52" ht="12.75" customHeight="1">
      <c r="A52" s="43"/>
      <c r="B52" s="56" t="s">
        <v>45</v>
      </c>
      <c r="C52" s="57" t="s">
        <v>46</v>
      </c>
      <c r="D52" s="16"/>
      <c r="E52" s="13">
        <f t="shared" ref="E52:AQ52" si="23">SUM(E50:E51)</f>
        <v>236</v>
      </c>
      <c r="F52" s="13">
        <f t="shared" si="23"/>
        <v>231</v>
      </c>
      <c r="G52" s="13">
        <f t="shared" si="23"/>
        <v>167</v>
      </c>
      <c r="H52" s="13">
        <f t="shared" si="23"/>
        <v>193</v>
      </c>
      <c r="I52" s="13">
        <f t="shared" si="23"/>
        <v>210</v>
      </c>
      <c r="J52" s="13">
        <f t="shared" si="23"/>
        <v>197</v>
      </c>
      <c r="K52" s="13">
        <f t="shared" si="23"/>
        <v>219</v>
      </c>
      <c r="L52" s="13">
        <f t="shared" si="23"/>
        <v>241</v>
      </c>
      <c r="M52" s="13">
        <f t="shared" si="23"/>
        <v>213</v>
      </c>
      <c r="N52" s="13">
        <f t="shared" si="23"/>
        <v>220</v>
      </c>
      <c r="O52" s="13">
        <f t="shared" si="23"/>
        <v>241</v>
      </c>
      <c r="P52" s="13">
        <f t="shared" si="23"/>
        <v>216</v>
      </c>
      <c r="Q52" s="13">
        <f t="shared" si="23"/>
        <v>240</v>
      </c>
      <c r="R52" s="13">
        <f t="shared" si="23"/>
        <v>237</v>
      </c>
      <c r="S52" s="13">
        <f t="shared" si="23"/>
        <v>231</v>
      </c>
      <c r="T52" s="13">
        <f t="shared" si="23"/>
        <v>261</v>
      </c>
      <c r="U52" s="13">
        <f t="shared" si="23"/>
        <v>201</v>
      </c>
      <c r="V52" s="13">
        <f t="shared" si="23"/>
        <v>258</v>
      </c>
      <c r="W52" s="13">
        <f t="shared" si="23"/>
        <v>222</v>
      </c>
      <c r="X52" s="13">
        <f t="shared" si="23"/>
        <v>236</v>
      </c>
      <c r="Y52" s="13">
        <f t="shared" si="23"/>
        <v>202</v>
      </c>
      <c r="Z52" s="13">
        <f t="shared" si="23"/>
        <v>217</v>
      </c>
      <c r="AA52" s="13">
        <f t="shared" si="23"/>
        <v>216</v>
      </c>
      <c r="AB52" s="13">
        <f t="shared" si="23"/>
        <v>260</v>
      </c>
      <c r="AC52" s="13">
        <f t="shared" si="23"/>
        <v>239</v>
      </c>
      <c r="AD52" s="13">
        <f t="shared" si="23"/>
        <v>274</v>
      </c>
      <c r="AE52" s="13">
        <f t="shared" si="23"/>
        <v>242</v>
      </c>
      <c r="AF52" s="13">
        <f t="shared" si="23"/>
        <v>266</v>
      </c>
      <c r="AG52" s="13">
        <f t="shared" si="23"/>
        <v>228</v>
      </c>
      <c r="AH52" s="13">
        <f t="shared" si="23"/>
        <v>219</v>
      </c>
      <c r="AI52" s="13">
        <f t="shared" si="23"/>
        <v>246</v>
      </c>
      <c r="AJ52" s="13">
        <f t="shared" si="23"/>
        <v>244</v>
      </c>
      <c r="AK52" s="13">
        <f t="shared" si="23"/>
        <v>234</v>
      </c>
      <c r="AL52" s="13">
        <f t="shared" si="23"/>
        <v>257</v>
      </c>
      <c r="AM52" s="13">
        <f t="shared" si="23"/>
        <v>226</v>
      </c>
      <c r="AN52" s="13">
        <f t="shared" si="23"/>
        <v>269</v>
      </c>
      <c r="AO52" s="13">
        <f t="shared" si="23"/>
        <v>205</v>
      </c>
      <c r="AP52" s="13">
        <f t="shared" si="23"/>
        <v>253</v>
      </c>
      <c r="AQ52" s="13">
        <f t="shared" si="23"/>
        <v>202</v>
      </c>
      <c r="AR52" s="13">
        <f t="shared" si="22"/>
        <v>8969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AR12:AR13"/>
    <mergeCell ref="B13:D13"/>
    <mergeCell ref="B14:C16"/>
    <mergeCell ref="A17:D17"/>
    <mergeCell ref="B18:D18"/>
    <mergeCell ref="E12:AQ12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AQ34">
    <cfRule type="expression" dxfId="0" priority="1">
      <formula>E34&lt;&gt;#REF!</formula>
    </cfRule>
  </conditionalFormatting>
  <conditionalFormatting sqref="E14:AQ15 E45:AQ47">
    <cfRule type="containsBlanks" dxfId="1" priority="2">
      <formula>LEN(TRIM(E14))=0</formula>
    </cfRule>
  </conditionalFormatting>
  <conditionalFormatting sqref="E19:AQ20">
    <cfRule type="containsBlanks" dxfId="1" priority="3">
      <formula>LEN(TRIM(E19))=0</formula>
    </cfRule>
  </conditionalFormatting>
  <conditionalFormatting sqref="E22:AQ23 E25:AQ26 E33:AQ33 E35:AQ35 E39:AQ40">
    <cfRule type="containsBlanks" dxfId="1" priority="4">
      <formula>LEN(TRIM(E22))=0</formula>
    </cfRule>
  </conditionalFormatting>
  <conditionalFormatting sqref="E30:AQ30">
    <cfRule type="expression" dxfId="0" priority="5">
      <formula>E30&lt;&gt;E46</formula>
    </cfRule>
  </conditionalFormatting>
  <conditionalFormatting sqref="E30:AQ30">
    <cfRule type="expression" dxfId="0" priority="6">
      <formula>E30&lt;&gt;E34</formula>
    </cfRule>
  </conditionalFormatting>
  <conditionalFormatting sqref="E34:AQ34">
    <cfRule type="expression" dxfId="2" priority="7">
      <formula>E30&lt;&gt;E34</formula>
    </cfRule>
  </conditionalFormatting>
  <conditionalFormatting sqref="E34:AQ34">
    <cfRule type="expression" dxfId="3" priority="8">
      <formula>E30=E34</formula>
    </cfRule>
  </conditionalFormatting>
  <conditionalFormatting sqref="E34:AQ34">
    <cfRule type="expression" dxfId="0" priority="9">
      <formula>E34&lt;&gt;E30</formula>
    </cfRule>
  </conditionalFormatting>
  <conditionalFormatting sqref="E50:AQ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7" width="8.71"/>
    <col customWidth="1" min="48" max="48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</row>
    <row r="12" ht="12.75" customHeight="1">
      <c r="A12" s="13" t="s">
        <v>5</v>
      </c>
      <c r="B12" s="14" t="s">
        <v>6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60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13" t="s">
        <v>61</v>
      </c>
      <c r="S13" s="13" t="s">
        <v>62</v>
      </c>
      <c r="T13" s="13" t="s">
        <v>63</v>
      </c>
      <c r="U13" s="13" t="s">
        <v>64</v>
      </c>
      <c r="V13" s="13" t="s">
        <v>65</v>
      </c>
      <c r="W13" s="13" t="s">
        <v>66</v>
      </c>
      <c r="X13" s="13" t="s">
        <v>67</v>
      </c>
      <c r="Y13" s="13" t="s">
        <v>68</v>
      </c>
      <c r="Z13" s="13" t="s">
        <v>69</v>
      </c>
      <c r="AA13" s="13" t="s">
        <v>70</v>
      </c>
      <c r="AB13" s="13" t="s">
        <v>71</v>
      </c>
      <c r="AC13" s="13" t="s">
        <v>72</v>
      </c>
      <c r="AD13" s="13" t="s">
        <v>73</v>
      </c>
      <c r="AE13" s="13" t="s">
        <v>74</v>
      </c>
      <c r="AF13" s="13" t="s">
        <v>75</v>
      </c>
      <c r="AG13" s="13" t="s">
        <v>76</v>
      </c>
      <c r="AH13" s="13" t="s">
        <v>77</v>
      </c>
      <c r="AI13" s="13" t="s">
        <v>78</v>
      </c>
      <c r="AJ13" s="13" t="s">
        <v>79</v>
      </c>
      <c r="AK13" s="13" t="s">
        <v>80</v>
      </c>
      <c r="AL13" s="13" t="s">
        <v>81</v>
      </c>
      <c r="AM13" s="13" t="s">
        <v>82</v>
      </c>
      <c r="AN13" s="13" t="s">
        <v>83</v>
      </c>
      <c r="AO13" s="13" t="s">
        <v>84</v>
      </c>
      <c r="AP13" s="13" t="s">
        <v>85</v>
      </c>
      <c r="AQ13" s="13" t="s">
        <v>86</v>
      </c>
      <c r="AR13" s="13" t="s">
        <v>87</v>
      </c>
      <c r="AS13" s="13" t="s">
        <v>88</v>
      </c>
      <c r="AT13" s="13" t="s">
        <v>89</v>
      </c>
      <c r="AU13" s="13" t="s">
        <v>90</v>
      </c>
      <c r="AV13" s="37"/>
    </row>
    <row r="14" ht="12.75" customHeight="1">
      <c r="A14" s="18"/>
      <c r="B14" s="22" t="s">
        <v>10</v>
      </c>
      <c r="C14" s="23"/>
      <c r="D14" s="19" t="s">
        <v>11</v>
      </c>
      <c r="E14" s="19">
        <v>142.0</v>
      </c>
      <c r="F14" s="19">
        <v>137.0</v>
      </c>
      <c r="G14" s="19">
        <v>103.0</v>
      </c>
      <c r="H14" s="19">
        <v>135.0</v>
      </c>
      <c r="I14" s="19">
        <v>134.0</v>
      </c>
      <c r="J14" s="19">
        <v>137.0</v>
      </c>
      <c r="K14" s="19">
        <v>139.0</v>
      </c>
      <c r="L14" s="19">
        <v>142.0</v>
      </c>
      <c r="M14" s="19">
        <v>126.0</v>
      </c>
      <c r="N14" s="19">
        <v>153.0</v>
      </c>
      <c r="O14" s="19">
        <v>140.0</v>
      </c>
      <c r="P14" s="19">
        <v>133.0</v>
      </c>
      <c r="Q14" s="19">
        <v>133.0</v>
      </c>
      <c r="R14" s="19">
        <v>144.0</v>
      </c>
      <c r="S14" s="19">
        <v>133.0</v>
      </c>
      <c r="T14" s="19">
        <v>140.0</v>
      </c>
      <c r="U14" s="19">
        <v>147.0</v>
      </c>
      <c r="V14" s="19">
        <v>140.0</v>
      </c>
      <c r="W14" s="19">
        <v>152.0</v>
      </c>
      <c r="X14" s="19">
        <v>143.0</v>
      </c>
      <c r="Y14" s="19">
        <v>141.0</v>
      </c>
      <c r="Z14" s="19">
        <v>133.0</v>
      </c>
      <c r="AA14" s="19">
        <v>139.0</v>
      </c>
      <c r="AB14" s="19">
        <v>134.0</v>
      </c>
      <c r="AC14" s="19">
        <v>144.0</v>
      </c>
      <c r="AD14" s="19">
        <v>131.0</v>
      </c>
      <c r="AE14" s="19">
        <v>150.0</v>
      </c>
      <c r="AF14" s="19">
        <v>155.0</v>
      </c>
      <c r="AG14" s="19">
        <v>132.0</v>
      </c>
      <c r="AH14" s="19">
        <v>148.0</v>
      </c>
      <c r="AI14" s="19">
        <v>139.0</v>
      </c>
      <c r="AJ14" s="19">
        <v>148.0</v>
      </c>
      <c r="AK14" s="19">
        <v>137.0</v>
      </c>
      <c r="AL14" s="19">
        <v>106.0</v>
      </c>
      <c r="AM14" s="19">
        <v>131.0</v>
      </c>
      <c r="AN14" s="19">
        <v>128.0</v>
      </c>
      <c r="AO14" s="19">
        <v>123.0</v>
      </c>
      <c r="AP14" s="19">
        <v>134.0</v>
      </c>
      <c r="AQ14" s="19">
        <v>152.0</v>
      </c>
      <c r="AR14" s="19">
        <v>119.0</v>
      </c>
      <c r="AS14" s="19">
        <v>145.0</v>
      </c>
      <c r="AT14" s="19">
        <v>137.0</v>
      </c>
      <c r="AU14" s="19">
        <v>145.0</v>
      </c>
      <c r="AV14" s="13">
        <f t="shared" ref="AV14:AV16" si="1">SUM(E14:AU14)</f>
        <v>5904</v>
      </c>
    </row>
    <row r="15" ht="12.75" customHeight="1">
      <c r="A15" s="18"/>
      <c r="B15" s="26"/>
      <c r="C15" s="27"/>
      <c r="D15" s="19" t="s">
        <v>12</v>
      </c>
      <c r="E15" s="19">
        <v>141.0</v>
      </c>
      <c r="F15" s="19">
        <v>151.0</v>
      </c>
      <c r="G15" s="19">
        <v>117.0</v>
      </c>
      <c r="H15" s="19">
        <v>138.0</v>
      </c>
      <c r="I15" s="19">
        <v>161.0</v>
      </c>
      <c r="J15" s="19">
        <v>148.0</v>
      </c>
      <c r="K15" s="19">
        <v>154.0</v>
      </c>
      <c r="L15" s="19">
        <v>143.0</v>
      </c>
      <c r="M15" s="19">
        <v>163.0</v>
      </c>
      <c r="N15" s="19">
        <v>142.0</v>
      </c>
      <c r="O15" s="19">
        <v>152.0</v>
      </c>
      <c r="P15" s="19">
        <v>158.0</v>
      </c>
      <c r="Q15" s="19">
        <v>150.0</v>
      </c>
      <c r="R15" s="19">
        <v>138.0</v>
      </c>
      <c r="S15" s="19">
        <v>148.0</v>
      </c>
      <c r="T15" s="19">
        <v>147.0</v>
      </c>
      <c r="U15" s="19">
        <v>147.0</v>
      </c>
      <c r="V15" s="19">
        <v>148.0</v>
      </c>
      <c r="W15" s="19">
        <v>141.0</v>
      </c>
      <c r="X15" s="19">
        <v>146.0</v>
      </c>
      <c r="Y15" s="19">
        <v>141.0</v>
      </c>
      <c r="Z15" s="19">
        <v>148.0</v>
      </c>
      <c r="AA15" s="19">
        <v>151.0</v>
      </c>
      <c r="AB15" s="19">
        <v>148.0</v>
      </c>
      <c r="AC15" s="19">
        <v>146.0</v>
      </c>
      <c r="AD15" s="19">
        <v>135.0</v>
      </c>
      <c r="AE15" s="19">
        <v>142.0</v>
      </c>
      <c r="AF15" s="19">
        <v>140.0</v>
      </c>
      <c r="AG15" s="19">
        <v>146.0</v>
      </c>
      <c r="AH15" s="19">
        <v>150.0</v>
      </c>
      <c r="AI15" s="19">
        <v>151.0</v>
      </c>
      <c r="AJ15" s="19">
        <v>145.0</v>
      </c>
      <c r="AK15" s="19">
        <v>150.0</v>
      </c>
      <c r="AL15" s="19">
        <v>112.0</v>
      </c>
      <c r="AM15" s="19">
        <v>136.0</v>
      </c>
      <c r="AN15" s="19">
        <v>143.0</v>
      </c>
      <c r="AO15" s="19">
        <v>140.0</v>
      </c>
      <c r="AP15" s="19">
        <v>155.0</v>
      </c>
      <c r="AQ15" s="19">
        <v>143.0</v>
      </c>
      <c r="AR15" s="19">
        <v>123.0</v>
      </c>
      <c r="AS15" s="19">
        <v>144.0</v>
      </c>
      <c r="AT15" s="19">
        <v>158.0</v>
      </c>
      <c r="AU15" s="19">
        <v>146.0</v>
      </c>
      <c r="AV15" s="13">
        <f t="shared" si="1"/>
        <v>6226</v>
      </c>
    </row>
    <row r="16" ht="12.75" customHeight="1">
      <c r="A16" s="25"/>
      <c r="B16" s="21"/>
      <c r="C16" s="28"/>
      <c r="D16" s="13" t="s">
        <v>13</v>
      </c>
      <c r="E16" s="13">
        <f t="shared" ref="E16:AU16" si="2">SUM(E14:E15)</f>
        <v>283</v>
      </c>
      <c r="F16" s="13">
        <f t="shared" si="2"/>
        <v>288</v>
      </c>
      <c r="G16" s="13">
        <f t="shared" si="2"/>
        <v>220</v>
      </c>
      <c r="H16" s="13">
        <f t="shared" si="2"/>
        <v>273</v>
      </c>
      <c r="I16" s="13">
        <f t="shared" si="2"/>
        <v>295</v>
      </c>
      <c r="J16" s="13">
        <f t="shared" si="2"/>
        <v>285</v>
      </c>
      <c r="K16" s="13">
        <f t="shared" si="2"/>
        <v>293</v>
      </c>
      <c r="L16" s="13">
        <f t="shared" si="2"/>
        <v>285</v>
      </c>
      <c r="M16" s="13">
        <f t="shared" si="2"/>
        <v>289</v>
      </c>
      <c r="N16" s="13">
        <f t="shared" si="2"/>
        <v>295</v>
      </c>
      <c r="O16" s="13">
        <f t="shared" si="2"/>
        <v>292</v>
      </c>
      <c r="P16" s="13">
        <f t="shared" si="2"/>
        <v>291</v>
      </c>
      <c r="Q16" s="13">
        <f t="shared" si="2"/>
        <v>283</v>
      </c>
      <c r="R16" s="13">
        <f t="shared" si="2"/>
        <v>282</v>
      </c>
      <c r="S16" s="13">
        <f t="shared" si="2"/>
        <v>281</v>
      </c>
      <c r="T16" s="13">
        <f t="shared" si="2"/>
        <v>287</v>
      </c>
      <c r="U16" s="13">
        <f t="shared" si="2"/>
        <v>294</v>
      </c>
      <c r="V16" s="13">
        <f t="shared" si="2"/>
        <v>288</v>
      </c>
      <c r="W16" s="13">
        <f t="shared" si="2"/>
        <v>293</v>
      </c>
      <c r="X16" s="13">
        <f t="shared" si="2"/>
        <v>289</v>
      </c>
      <c r="Y16" s="13">
        <f t="shared" si="2"/>
        <v>282</v>
      </c>
      <c r="Z16" s="13">
        <f t="shared" si="2"/>
        <v>281</v>
      </c>
      <c r="AA16" s="13">
        <f t="shared" si="2"/>
        <v>290</v>
      </c>
      <c r="AB16" s="13">
        <f t="shared" si="2"/>
        <v>282</v>
      </c>
      <c r="AC16" s="13">
        <f t="shared" si="2"/>
        <v>290</v>
      </c>
      <c r="AD16" s="13">
        <f t="shared" si="2"/>
        <v>266</v>
      </c>
      <c r="AE16" s="13">
        <f t="shared" si="2"/>
        <v>292</v>
      </c>
      <c r="AF16" s="13">
        <f t="shared" si="2"/>
        <v>295</v>
      </c>
      <c r="AG16" s="13">
        <f t="shared" si="2"/>
        <v>278</v>
      </c>
      <c r="AH16" s="13">
        <f t="shared" si="2"/>
        <v>298</v>
      </c>
      <c r="AI16" s="13">
        <f t="shared" si="2"/>
        <v>290</v>
      </c>
      <c r="AJ16" s="13">
        <f t="shared" si="2"/>
        <v>293</v>
      </c>
      <c r="AK16" s="13">
        <f t="shared" si="2"/>
        <v>287</v>
      </c>
      <c r="AL16" s="13">
        <f t="shared" si="2"/>
        <v>218</v>
      </c>
      <c r="AM16" s="13">
        <f t="shared" si="2"/>
        <v>267</v>
      </c>
      <c r="AN16" s="13">
        <f t="shared" si="2"/>
        <v>271</v>
      </c>
      <c r="AO16" s="13">
        <f t="shared" si="2"/>
        <v>263</v>
      </c>
      <c r="AP16" s="13">
        <f t="shared" si="2"/>
        <v>289</v>
      </c>
      <c r="AQ16" s="13">
        <f t="shared" si="2"/>
        <v>295</v>
      </c>
      <c r="AR16" s="13">
        <f t="shared" si="2"/>
        <v>242</v>
      </c>
      <c r="AS16" s="13">
        <f t="shared" si="2"/>
        <v>289</v>
      </c>
      <c r="AT16" s="13">
        <f t="shared" si="2"/>
        <v>295</v>
      </c>
      <c r="AU16" s="13">
        <f t="shared" si="2"/>
        <v>291</v>
      </c>
      <c r="AV16" s="13">
        <f t="shared" si="1"/>
        <v>12130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19"/>
      <c r="X17" s="61"/>
      <c r="Y17" s="19"/>
      <c r="Z17" s="19"/>
      <c r="AA17" s="19"/>
      <c r="AB17" s="19"/>
      <c r="AC17" s="61"/>
      <c r="AD17" s="19"/>
      <c r="AE17" s="19"/>
      <c r="AF17" s="19"/>
      <c r="AG17" s="19"/>
      <c r="AH17" s="61"/>
      <c r="AI17" s="19"/>
      <c r="AJ17" s="19"/>
      <c r="AK17" s="19"/>
      <c r="AL17" s="19"/>
      <c r="AM17" s="61"/>
      <c r="AN17" s="19"/>
      <c r="AO17" s="19"/>
      <c r="AP17" s="19"/>
      <c r="AQ17" s="19"/>
      <c r="AR17" s="61"/>
      <c r="AS17" s="19"/>
      <c r="AT17" s="19"/>
      <c r="AU17" s="19"/>
      <c r="AV17" s="62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19"/>
      <c r="X18" s="61"/>
      <c r="Y18" s="19"/>
      <c r="Z18" s="19"/>
      <c r="AA18" s="19"/>
      <c r="AB18" s="19"/>
      <c r="AC18" s="61"/>
      <c r="AD18" s="19"/>
      <c r="AE18" s="19"/>
      <c r="AF18" s="19"/>
      <c r="AG18" s="19"/>
      <c r="AH18" s="61"/>
      <c r="AI18" s="19"/>
      <c r="AJ18" s="19"/>
      <c r="AK18" s="19"/>
      <c r="AL18" s="19"/>
      <c r="AM18" s="61"/>
      <c r="AN18" s="19"/>
      <c r="AO18" s="19"/>
      <c r="AP18" s="19"/>
      <c r="AQ18" s="19"/>
      <c r="AR18" s="61"/>
      <c r="AS18" s="19"/>
      <c r="AT18" s="19"/>
      <c r="AU18" s="19"/>
      <c r="AV18" s="62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19">
        <v>114.0</v>
      </c>
      <c r="F19" s="19">
        <v>77.0</v>
      </c>
      <c r="G19" s="19">
        <v>75.0</v>
      </c>
      <c r="H19" s="19">
        <v>104.0</v>
      </c>
      <c r="I19" s="19">
        <v>97.0</v>
      </c>
      <c r="J19" s="19">
        <v>101.0</v>
      </c>
      <c r="K19" s="19">
        <v>98.0</v>
      </c>
      <c r="L19" s="19">
        <v>98.0</v>
      </c>
      <c r="M19" s="19">
        <v>85.0</v>
      </c>
      <c r="N19" s="19">
        <v>108.0</v>
      </c>
      <c r="O19" s="19">
        <v>87.0</v>
      </c>
      <c r="P19" s="19">
        <v>92.0</v>
      </c>
      <c r="Q19" s="19">
        <v>89.0</v>
      </c>
      <c r="R19" s="19">
        <v>106.0</v>
      </c>
      <c r="S19" s="19">
        <v>83.0</v>
      </c>
      <c r="T19" s="19">
        <v>102.0</v>
      </c>
      <c r="U19" s="19">
        <v>97.0</v>
      </c>
      <c r="V19" s="19">
        <v>87.0</v>
      </c>
      <c r="W19" s="19">
        <v>112.0</v>
      </c>
      <c r="X19" s="19">
        <v>98.0</v>
      </c>
      <c r="Y19" s="19">
        <v>102.0</v>
      </c>
      <c r="Z19" s="19">
        <v>99.0</v>
      </c>
      <c r="AA19" s="19">
        <v>106.0</v>
      </c>
      <c r="AB19" s="19">
        <v>100.0</v>
      </c>
      <c r="AC19" s="19">
        <v>98.0</v>
      </c>
      <c r="AD19" s="19">
        <v>92.0</v>
      </c>
      <c r="AE19" s="19">
        <v>106.0</v>
      </c>
      <c r="AF19" s="19">
        <v>113.0</v>
      </c>
      <c r="AG19" s="19">
        <v>95.0</v>
      </c>
      <c r="AH19" s="19">
        <v>88.0</v>
      </c>
      <c r="AI19" s="19">
        <v>89.0</v>
      </c>
      <c r="AJ19" s="19">
        <v>110.0</v>
      </c>
      <c r="AK19" s="19">
        <v>105.0</v>
      </c>
      <c r="AL19" s="19">
        <v>68.0</v>
      </c>
      <c r="AM19" s="19">
        <v>85.0</v>
      </c>
      <c r="AN19" s="19">
        <v>93.0</v>
      </c>
      <c r="AO19" s="19">
        <v>83.0</v>
      </c>
      <c r="AP19" s="19">
        <v>89.0</v>
      </c>
      <c r="AQ19" s="19">
        <v>95.0</v>
      </c>
      <c r="AR19" s="19">
        <v>77.0</v>
      </c>
      <c r="AS19" s="19">
        <v>92.0</v>
      </c>
      <c r="AT19" s="19">
        <v>121.0</v>
      </c>
      <c r="AU19" s="19">
        <v>79.0</v>
      </c>
      <c r="AV19" s="13">
        <f t="shared" ref="AV19:AV30" si="3">SUM(E19:AU19)</f>
        <v>4095</v>
      </c>
    </row>
    <row r="20" ht="12.75" customHeight="1">
      <c r="A20" s="34"/>
      <c r="B20" s="27"/>
      <c r="C20" s="35"/>
      <c r="D20" s="19" t="s">
        <v>12</v>
      </c>
      <c r="E20" s="19">
        <v>126.0</v>
      </c>
      <c r="F20" s="19">
        <v>107.0</v>
      </c>
      <c r="G20" s="19">
        <v>93.0</v>
      </c>
      <c r="H20" s="19">
        <v>108.0</v>
      </c>
      <c r="I20" s="19">
        <v>124.0</v>
      </c>
      <c r="J20" s="19">
        <v>109.0</v>
      </c>
      <c r="K20" s="19">
        <v>124.0</v>
      </c>
      <c r="L20" s="19">
        <v>116.0</v>
      </c>
      <c r="M20" s="19">
        <v>122.0</v>
      </c>
      <c r="N20" s="19">
        <v>116.0</v>
      </c>
      <c r="O20" s="19">
        <v>117.0</v>
      </c>
      <c r="P20" s="19">
        <v>120.0</v>
      </c>
      <c r="Q20" s="19">
        <v>118.0</v>
      </c>
      <c r="R20" s="19">
        <v>99.0</v>
      </c>
      <c r="S20" s="19">
        <v>119.0</v>
      </c>
      <c r="T20" s="19">
        <v>112.0</v>
      </c>
      <c r="U20" s="19">
        <v>110.0</v>
      </c>
      <c r="V20" s="19">
        <v>108.0</v>
      </c>
      <c r="W20" s="19">
        <v>109.0</v>
      </c>
      <c r="X20" s="19">
        <v>125.0</v>
      </c>
      <c r="Y20" s="19">
        <v>113.0</v>
      </c>
      <c r="Z20" s="19">
        <v>123.0</v>
      </c>
      <c r="AA20" s="19">
        <v>119.0</v>
      </c>
      <c r="AB20" s="19">
        <v>127.0</v>
      </c>
      <c r="AC20" s="19">
        <v>120.0</v>
      </c>
      <c r="AD20" s="19">
        <v>111.0</v>
      </c>
      <c r="AE20" s="19">
        <v>113.0</v>
      </c>
      <c r="AF20" s="19">
        <v>108.0</v>
      </c>
      <c r="AG20" s="19">
        <v>109.0</v>
      </c>
      <c r="AH20" s="19">
        <v>109.0</v>
      </c>
      <c r="AI20" s="19">
        <v>126.0</v>
      </c>
      <c r="AJ20" s="19">
        <v>109.0</v>
      </c>
      <c r="AK20" s="19">
        <v>126.0</v>
      </c>
      <c r="AL20" s="19">
        <v>74.0</v>
      </c>
      <c r="AM20" s="19">
        <v>101.0</v>
      </c>
      <c r="AN20" s="19">
        <v>111.0</v>
      </c>
      <c r="AO20" s="19">
        <v>105.0</v>
      </c>
      <c r="AP20" s="19">
        <v>113.0</v>
      </c>
      <c r="AQ20" s="19">
        <v>109.0</v>
      </c>
      <c r="AR20" s="19">
        <v>94.0</v>
      </c>
      <c r="AS20" s="19">
        <v>110.0</v>
      </c>
      <c r="AT20" s="19">
        <v>87.0</v>
      </c>
      <c r="AU20" s="19">
        <v>100.0</v>
      </c>
      <c r="AV20" s="13">
        <f t="shared" si="3"/>
        <v>4799</v>
      </c>
    </row>
    <row r="21" ht="12.75" customHeight="1">
      <c r="A21" s="36"/>
      <c r="B21" s="28"/>
      <c r="C21" s="37"/>
      <c r="D21" s="13" t="s">
        <v>13</v>
      </c>
      <c r="E21" s="13">
        <f t="shared" ref="E21:AU21" si="4">SUM(E19:E20)</f>
        <v>240</v>
      </c>
      <c r="F21" s="13">
        <f t="shared" si="4"/>
        <v>184</v>
      </c>
      <c r="G21" s="13">
        <f t="shared" si="4"/>
        <v>168</v>
      </c>
      <c r="H21" s="13">
        <f t="shared" si="4"/>
        <v>212</v>
      </c>
      <c r="I21" s="13">
        <f t="shared" si="4"/>
        <v>221</v>
      </c>
      <c r="J21" s="13">
        <f t="shared" si="4"/>
        <v>210</v>
      </c>
      <c r="K21" s="13">
        <f t="shared" si="4"/>
        <v>222</v>
      </c>
      <c r="L21" s="13">
        <f t="shared" si="4"/>
        <v>214</v>
      </c>
      <c r="M21" s="13">
        <f t="shared" si="4"/>
        <v>207</v>
      </c>
      <c r="N21" s="13">
        <f t="shared" si="4"/>
        <v>224</v>
      </c>
      <c r="O21" s="13">
        <f t="shared" si="4"/>
        <v>204</v>
      </c>
      <c r="P21" s="13">
        <f t="shared" si="4"/>
        <v>212</v>
      </c>
      <c r="Q21" s="13">
        <f t="shared" si="4"/>
        <v>207</v>
      </c>
      <c r="R21" s="13">
        <f t="shared" si="4"/>
        <v>205</v>
      </c>
      <c r="S21" s="13">
        <f t="shared" si="4"/>
        <v>202</v>
      </c>
      <c r="T21" s="13">
        <f t="shared" si="4"/>
        <v>214</v>
      </c>
      <c r="U21" s="13">
        <f t="shared" si="4"/>
        <v>207</v>
      </c>
      <c r="V21" s="13">
        <f t="shared" si="4"/>
        <v>195</v>
      </c>
      <c r="W21" s="13">
        <f t="shared" si="4"/>
        <v>221</v>
      </c>
      <c r="X21" s="13">
        <f t="shared" si="4"/>
        <v>223</v>
      </c>
      <c r="Y21" s="13">
        <f t="shared" si="4"/>
        <v>215</v>
      </c>
      <c r="Z21" s="13">
        <f t="shared" si="4"/>
        <v>222</v>
      </c>
      <c r="AA21" s="13">
        <f t="shared" si="4"/>
        <v>225</v>
      </c>
      <c r="AB21" s="13">
        <f t="shared" si="4"/>
        <v>227</v>
      </c>
      <c r="AC21" s="13">
        <f t="shared" si="4"/>
        <v>218</v>
      </c>
      <c r="AD21" s="13">
        <f t="shared" si="4"/>
        <v>203</v>
      </c>
      <c r="AE21" s="13">
        <f t="shared" si="4"/>
        <v>219</v>
      </c>
      <c r="AF21" s="13">
        <f t="shared" si="4"/>
        <v>221</v>
      </c>
      <c r="AG21" s="13">
        <f t="shared" si="4"/>
        <v>204</v>
      </c>
      <c r="AH21" s="13">
        <f t="shared" si="4"/>
        <v>197</v>
      </c>
      <c r="AI21" s="13">
        <f t="shared" si="4"/>
        <v>215</v>
      </c>
      <c r="AJ21" s="13">
        <f t="shared" si="4"/>
        <v>219</v>
      </c>
      <c r="AK21" s="13">
        <f t="shared" si="4"/>
        <v>231</v>
      </c>
      <c r="AL21" s="13">
        <f t="shared" si="4"/>
        <v>142</v>
      </c>
      <c r="AM21" s="13">
        <f t="shared" si="4"/>
        <v>186</v>
      </c>
      <c r="AN21" s="13">
        <f t="shared" si="4"/>
        <v>204</v>
      </c>
      <c r="AO21" s="13">
        <f t="shared" si="4"/>
        <v>188</v>
      </c>
      <c r="AP21" s="13">
        <f t="shared" si="4"/>
        <v>202</v>
      </c>
      <c r="AQ21" s="13">
        <f t="shared" si="4"/>
        <v>204</v>
      </c>
      <c r="AR21" s="13">
        <f t="shared" si="4"/>
        <v>171</v>
      </c>
      <c r="AS21" s="13">
        <f t="shared" si="4"/>
        <v>202</v>
      </c>
      <c r="AT21" s="13">
        <f t="shared" si="4"/>
        <v>208</v>
      </c>
      <c r="AU21" s="13">
        <f t="shared" si="4"/>
        <v>179</v>
      </c>
      <c r="AV21" s="13">
        <f t="shared" si="3"/>
        <v>8894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19">
        <v>1.0</v>
      </c>
      <c r="F22" s="19">
        <v>4.0</v>
      </c>
      <c r="G22" s="19">
        <v>8.0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1.0</v>
      </c>
      <c r="O22" s="19">
        <v>6.0</v>
      </c>
      <c r="P22" s="19">
        <v>0.0</v>
      </c>
      <c r="Q22" s="19">
        <v>1.0</v>
      </c>
      <c r="R22" s="19">
        <v>1.0</v>
      </c>
      <c r="S22" s="19">
        <v>1.0</v>
      </c>
      <c r="T22" s="19">
        <v>1.0</v>
      </c>
      <c r="U22" s="19">
        <v>2.0</v>
      </c>
      <c r="V22" s="19">
        <v>1.0</v>
      </c>
      <c r="W22" s="19">
        <v>2.0</v>
      </c>
      <c r="X22" s="19">
        <v>1.0</v>
      </c>
      <c r="Y22" s="19">
        <v>0.0</v>
      </c>
      <c r="Z22" s="19">
        <v>0.0</v>
      </c>
      <c r="AA22" s="19">
        <v>1.0</v>
      </c>
      <c r="AB22" s="19">
        <v>0.0</v>
      </c>
      <c r="AC22" s="19">
        <v>0.0</v>
      </c>
      <c r="AD22" s="19">
        <v>1.0</v>
      </c>
      <c r="AE22" s="19">
        <v>1.0</v>
      </c>
      <c r="AF22" s="19">
        <v>2.0</v>
      </c>
      <c r="AG22" s="19">
        <v>1.0</v>
      </c>
      <c r="AH22" s="19">
        <v>0.0</v>
      </c>
      <c r="AI22" s="19">
        <v>0.0</v>
      </c>
      <c r="AJ22" s="19">
        <v>0.0</v>
      </c>
      <c r="AK22" s="19">
        <v>0.0</v>
      </c>
      <c r="AL22" s="19">
        <v>1.0</v>
      </c>
      <c r="AM22" s="19">
        <v>1.0</v>
      </c>
      <c r="AN22" s="19">
        <v>0.0</v>
      </c>
      <c r="AO22" s="19">
        <v>0.0</v>
      </c>
      <c r="AP22" s="19">
        <v>2.0</v>
      </c>
      <c r="AQ22" s="19">
        <v>2.0</v>
      </c>
      <c r="AR22" s="19">
        <v>1.0</v>
      </c>
      <c r="AS22" s="19">
        <v>1.0</v>
      </c>
      <c r="AT22" s="19">
        <v>1.0</v>
      </c>
      <c r="AU22" s="19">
        <v>1.0</v>
      </c>
      <c r="AV22" s="13">
        <f t="shared" si="3"/>
        <v>48</v>
      </c>
    </row>
    <row r="23" ht="12.75" customHeight="1">
      <c r="A23" s="34"/>
      <c r="B23" s="27"/>
      <c r="C23" s="35"/>
      <c r="D23" s="19" t="s">
        <v>12</v>
      </c>
      <c r="E23" s="19">
        <v>1.0</v>
      </c>
      <c r="F23" s="19">
        <v>1.0</v>
      </c>
      <c r="G23" s="19">
        <v>2.0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2.0</v>
      </c>
      <c r="O23" s="19">
        <v>1.0</v>
      </c>
      <c r="P23" s="19">
        <v>1.0</v>
      </c>
      <c r="Q23" s="19">
        <v>1.0</v>
      </c>
      <c r="R23" s="19">
        <v>0.0</v>
      </c>
      <c r="S23" s="19">
        <v>0.0</v>
      </c>
      <c r="T23" s="19">
        <v>1.0</v>
      </c>
      <c r="U23" s="19">
        <v>1.0</v>
      </c>
      <c r="V23" s="19">
        <v>2.0</v>
      </c>
      <c r="W23" s="19">
        <v>1.0</v>
      </c>
      <c r="X23" s="19">
        <v>2.0</v>
      </c>
      <c r="Y23" s="19">
        <v>3.0</v>
      </c>
      <c r="Z23" s="19">
        <v>1.0</v>
      </c>
      <c r="AA23" s="19">
        <v>0.0</v>
      </c>
      <c r="AB23" s="19">
        <v>0.0</v>
      </c>
      <c r="AC23" s="19">
        <v>1.0</v>
      </c>
      <c r="AD23" s="19">
        <v>0.0</v>
      </c>
      <c r="AE23" s="19">
        <v>3.0</v>
      </c>
      <c r="AF23" s="19">
        <v>6.0</v>
      </c>
      <c r="AG23" s="19">
        <v>0.0</v>
      </c>
      <c r="AH23" s="19">
        <v>1.0</v>
      </c>
      <c r="AI23" s="19">
        <v>0.0</v>
      </c>
      <c r="AJ23" s="19">
        <v>0.0</v>
      </c>
      <c r="AK23" s="19">
        <v>1.0</v>
      </c>
      <c r="AL23" s="19">
        <v>0.0</v>
      </c>
      <c r="AM23" s="19">
        <v>0.0</v>
      </c>
      <c r="AN23" s="19">
        <v>1.0</v>
      </c>
      <c r="AO23" s="19">
        <v>1.0</v>
      </c>
      <c r="AP23" s="19">
        <v>3.0</v>
      </c>
      <c r="AQ23" s="19">
        <v>0.0</v>
      </c>
      <c r="AR23" s="19">
        <v>0.0</v>
      </c>
      <c r="AS23" s="19">
        <v>1.0</v>
      </c>
      <c r="AT23" s="19">
        <v>0.0</v>
      </c>
      <c r="AU23" s="19">
        <v>1.0</v>
      </c>
      <c r="AV23" s="13">
        <f t="shared" si="3"/>
        <v>40</v>
      </c>
    </row>
    <row r="24" ht="12.75" customHeight="1">
      <c r="A24" s="36"/>
      <c r="B24" s="28"/>
      <c r="C24" s="37"/>
      <c r="D24" s="13" t="s">
        <v>13</v>
      </c>
      <c r="E24" s="13">
        <f t="shared" ref="E24:AD24" si="5">SUM(E22:E23)</f>
        <v>2</v>
      </c>
      <c r="F24" s="13">
        <f t="shared" si="5"/>
        <v>5</v>
      </c>
      <c r="G24" s="13">
        <f t="shared" si="5"/>
        <v>10</v>
      </c>
      <c r="H24" s="13">
        <f t="shared" si="5"/>
        <v>2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3</v>
      </c>
      <c r="O24" s="13">
        <f t="shared" si="5"/>
        <v>7</v>
      </c>
      <c r="P24" s="13">
        <f t="shared" si="5"/>
        <v>1</v>
      </c>
      <c r="Q24" s="13">
        <f t="shared" si="5"/>
        <v>2</v>
      </c>
      <c r="R24" s="13">
        <f t="shared" si="5"/>
        <v>1</v>
      </c>
      <c r="S24" s="13">
        <f t="shared" si="5"/>
        <v>1</v>
      </c>
      <c r="T24" s="13">
        <f t="shared" si="5"/>
        <v>2</v>
      </c>
      <c r="U24" s="13">
        <f t="shared" si="5"/>
        <v>3</v>
      </c>
      <c r="V24" s="13">
        <f t="shared" si="5"/>
        <v>3</v>
      </c>
      <c r="W24" s="13">
        <f t="shared" si="5"/>
        <v>3</v>
      </c>
      <c r="X24" s="13">
        <f t="shared" si="5"/>
        <v>3</v>
      </c>
      <c r="Y24" s="13">
        <f t="shared" si="5"/>
        <v>3</v>
      </c>
      <c r="Z24" s="13">
        <f t="shared" si="5"/>
        <v>1</v>
      </c>
      <c r="AA24" s="13">
        <f t="shared" si="5"/>
        <v>1</v>
      </c>
      <c r="AB24" s="13">
        <f t="shared" si="5"/>
        <v>0</v>
      </c>
      <c r="AC24" s="13">
        <f t="shared" si="5"/>
        <v>1</v>
      </c>
      <c r="AD24" s="13">
        <f t="shared" si="5"/>
        <v>1</v>
      </c>
      <c r="AE24" s="13">
        <v>4.0</v>
      </c>
      <c r="AF24" s="13">
        <f t="shared" ref="AF24:AU24" si="6">SUM(AF22:AF23)</f>
        <v>8</v>
      </c>
      <c r="AG24" s="13">
        <f t="shared" si="6"/>
        <v>1</v>
      </c>
      <c r="AH24" s="13">
        <f t="shared" si="6"/>
        <v>1</v>
      </c>
      <c r="AI24" s="13">
        <f t="shared" si="6"/>
        <v>0</v>
      </c>
      <c r="AJ24" s="13">
        <f t="shared" si="6"/>
        <v>0</v>
      </c>
      <c r="AK24" s="13">
        <f t="shared" si="6"/>
        <v>1</v>
      </c>
      <c r="AL24" s="13">
        <f t="shared" si="6"/>
        <v>1</v>
      </c>
      <c r="AM24" s="13">
        <f t="shared" si="6"/>
        <v>1</v>
      </c>
      <c r="AN24" s="13">
        <f t="shared" si="6"/>
        <v>1</v>
      </c>
      <c r="AO24" s="13">
        <f t="shared" si="6"/>
        <v>1</v>
      </c>
      <c r="AP24" s="13">
        <f t="shared" si="6"/>
        <v>5</v>
      </c>
      <c r="AQ24" s="13">
        <f t="shared" si="6"/>
        <v>2</v>
      </c>
      <c r="AR24" s="13">
        <f t="shared" si="6"/>
        <v>1</v>
      </c>
      <c r="AS24" s="13">
        <f t="shared" si="6"/>
        <v>2</v>
      </c>
      <c r="AT24" s="13">
        <f t="shared" si="6"/>
        <v>1</v>
      </c>
      <c r="AU24" s="13">
        <f t="shared" si="6"/>
        <v>2</v>
      </c>
      <c r="AV24" s="13">
        <f t="shared" si="3"/>
        <v>88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19">
        <v>5.0</v>
      </c>
      <c r="F25" s="19">
        <v>1.0</v>
      </c>
      <c r="G25" s="19">
        <v>2.0</v>
      </c>
      <c r="H25" s="19">
        <v>8.0</v>
      </c>
      <c r="I25" s="19">
        <v>4.0</v>
      </c>
      <c r="J25" s="19">
        <v>2.0</v>
      </c>
      <c r="K25" s="19">
        <v>3.0</v>
      </c>
      <c r="L25" s="19">
        <v>0.0</v>
      </c>
      <c r="M25" s="19">
        <v>1.0</v>
      </c>
      <c r="N25" s="19">
        <v>0.0</v>
      </c>
      <c r="O25" s="19">
        <v>0.0</v>
      </c>
      <c r="P25" s="19">
        <v>2.0</v>
      </c>
      <c r="Q25" s="19">
        <v>1.0</v>
      </c>
      <c r="R25" s="19">
        <v>2.0</v>
      </c>
      <c r="S25" s="19">
        <v>2.0</v>
      </c>
      <c r="T25" s="19">
        <v>0.0</v>
      </c>
      <c r="U25" s="19">
        <v>1.0</v>
      </c>
      <c r="V25" s="19">
        <v>8.0</v>
      </c>
      <c r="W25" s="19">
        <v>2.0</v>
      </c>
      <c r="X25" s="19">
        <v>2.0</v>
      </c>
      <c r="Y25" s="19">
        <v>1.0</v>
      </c>
      <c r="Z25" s="19">
        <v>1.0</v>
      </c>
      <c r="AA25" s="19">
        <v>0.0</v>
      </c>
      <c r="AB25" s="19">
        <v>0.0</v>
      </c>
      <c r="AC25" s="19">
        <v>0.0</v>
      </c>
      <c r="AD25" s="19">
        <v>5.0</v>
      </c>
      <c r="AE25" s="19">
        <v>1.0</v>
      </c>
      <c r="AF25" s="19">
        <v>3.0</v>
      </c>
      <c r="AG25" s="19">
        <v>0.0</v>
      </c>
      <c r="AH25" s="19">
        <v>7.0</v>
      </c>
      <c r="AI25" s="19">
        <v>0.0</v>
      </c>
      <c r="AJ25" s="19">
        <v>5.0</v>
      </c>
      <c r="AK25" s="19">
        <v>2.0</v>
      </c>
      <c r="AL25" s="19">
        <v>1.0</v>
      </c>
      <c r="AM25" s="19">
        <v>1.0</v>
      </c>
      <c r="AN25" s="19">
        <v>2.0</v>
      </c>
      <c r="AO25" s="19">
        <v>1.0</v>
      </c>
      <c r="AP25" s="19">
        <v>5.0</v>
      </c>
      <c r="AQ25" s="19">
        <v>0.0</v>
      </c>
      <c r="AR25" s="19">
        <v>0.0</v>
      </c>
      <c r="AS25" s="19">
        <v>2.0</v>
      </c>
      <c r="AT25" s="19">
        <v>2.0</v>
      </c>
      <c r="AU25" s="19">
        <v>2.0</v>
      </c>
      <c r="AV25" s="13">
        <f t="shared" si="3"/>
        <v>87</v>
      </c>
    </row>
    <row r="26" ht="12.75" customHeight="1">
      <c r="A26" s="34"/>
      <c r="B26" s="27"/>
      <c r="C26" s="35"/>
      <c r="D26" s="19" t="s">
        <v>12</v>
      </c>
      <c r="E26" s="19">
        <v>6.0</v>
      </c>
      <c r="F26" s="19">
        <v>0.0</v>
      </c>
      <c r="G26" s="19">
        <v>3.0</v>
      </c>
      <c r="H26" s="19">
        <v>10.0</v>
      </c>
      <c r="I26" s="19">
        <v>1.0</v>
      </c>
      <c r="J26" s="19">
        <v>1.0</v>
      </c>
      <c r="K26" s="19">
        <v>3.0</v>
      </c>
      <c r="L26" s="19">
        <v>0.0</v>
      </c>
      <c r="M26" s="19">
        <v>2.0</v>
      </c>
      <c r="N26" s="19">
        <v>0.0</v>
      </c>
      <c r="O26" s="19">
        <v>1.0</v>
      </c>
      <c r="P26" s="19">
        <v>0.0</v>
      </c>
      <c r="Q26" s="19">
        <v>1.0</v>
      </c>
      <c r="R26" s="19">
        <v>1.0</v>
      </c>
      <c r="S26" s="19">
        <v>0.0</v>
      </c>
      <c r="T26" s="19">
        <v>0.0</v>
      </c>
      <c r="U26" s="19">
        <v>0.0</v>
      </c>
      <c r="V26" s="19">
        <v>9.0</v>
      </c>
      <c r="W26" s="19">
        <v>2.0</v>
      </c>
      <c r="X26" s="19">
        <v>0.0</v>
      </c>
      <c r="Y26" s="19">
        <v>1.0</v>
      </c>
      <c r="Z26" s="19">
        <v>2.0</v>
      </c>
      <c r="AA26" s="19">
        <v>0.0</v>
      </c>
      <c r="AB26" s="19">
        <v>0.0</v>
      </c>
      <c r="AC26" s="19">
        <v>0.0</v>
      </c>
      <c r="AD26" s="19">
        <v>5.0</v>
      </c>
      <c r="AE26" s="19">
        <v>0.0</v>
      </c>
      <c r="AF26" s="19">
        <v>3.0</v>
      </c>
      <c r="AG26" s="19">
        <v>1.0</v>
      </c>
      <c r="AH26" s="19">
        <v>3.0</v>
      </c>
      <c r="AI26" s="19">
        <v>0.0</v>
      </c>
      <c r="AJ26" s="19">
        <v>6.0</v>
      </c>
      <c r="AK26" s="19">
        <v>0.0</v>
      </c>
      <c r="AL26" s="19">
        <v>1.0</v>
      </c>
      <c r="AM26" s="19">
        <v>1.0</v>
      </c>
      <c r="AN26" s="19">
        <v>1.0</v>
      </c>
      <c r="AO26" s="19">
        <v>0.0</v>
      </c>
      <c r="AP26" s="19">
        <v>5.0</v>
      </c>
      <c r="AQ26" s="19">
        <v>1.0</v>
      </c>
      <c r="AR26" s="19">
        <v>0.0</v>
      </c>
      <c r="AS26" s="19">
        <v>4.0</v>
      </c>
      <c r="AT26" s="19">
        <v>2.0</v>
      </c>
      <c r="AU26" s="19">
        <v>2.0</v>
      </c>
      <c r="AV26" s="13">
        <f t="shared" si="3"/>
        <v>78</v>
      </c>
    </row>
    <row r="27" ht="12.75" customHeight="1">
      <c r="A27" s="36"/>
      <c r="B27" s="28"/>
      <c r="C27" s="37"/>
      <c r="D27" s="13" t="s">
        <v>13</v>
      </c>
      <c r="E27" s="13">
        <f t="shared" ref="E27:AU27" si="7">SUM(E25:E26)</f>
        <v>11</v>
      </c>
      <c r="F27" s="13">
        <f t="shared" si="7"/>
        <v>1</v>
      </c>
      <c r="G27" s="13">
        <f t="shared" si="7"/>
        <v>5</v>
      </c>
      <c r="H27" s="13">
        <f t="shared" si="7"/>
        <v>18</v>
      </c>
      <c r="I27" s="13">
        <f t="shared" si="7"/>
        <v>5</v>
      </c>
      <c r="J27" s="13">
        <f t="shared" si="7"/>
        <v>3</v>
      </c>
      <c r="K27" s="13">
        <f t="shared" si="7"/>
        <v>6</v>
      </c>
      <c r="L27" s="13">
        <f t="shared" si="7"/>
        <v>0</v>
      </c>
      <c r="M27" s="13">
        <f t="shared" si="7"/>
        <v>3</v>
      </c>
      <c r="N27" s="13">
        <f t="shared" si="7"/>
        <v>0</v>
      </c>
      <c r="O27" s="13">
        <f t="shared" si="7"/>
        <v>1</v>
      </c>
      <c r="P27" s="13">
        <f t="shared" si="7"/>
        <v>2</v>
      </c>
      <c r="Q27" s="13">
        <f t="shared" si="7"/>
        <v>2</v>
      </c>
      <c r="R27" s="13">
        <f t="shared" si="7"/>
        <v>3</v>
      </c>
      <c r="S27" s="13">
        <f t="shared" si="7"/>
        <v>2</v>
      </c>
      <c r="T27" s="13">
        <f t="shared" si="7"/>
        <v>0</v>
      </c>
      <c r="U27" s="13">
        <f t="shared" si="7"/>
        <v>1</v>
      </c>
      <c r="V27" s="13">
        <f t="shared" si="7"/>
        <v>17</v>
      </c>
      <c r="W27" s="13">
        <f t="shared" si="7"/>
        <v>4</v>
      </c>
      <c r="X27" s="13">
        <f t="shared" si="7"/>
        <v>2</v>
      </c>
      <c r="Y27" s="13">
        <f t="shared" si="7"/>
        <v>2</v>
      </c>
      <c r="Z27" s="13">
        <f t="shared" si="7"/>
        <v>3</v>
      </c>
      <c r="AA27" s="13">
        <f t="shared" si="7"/>
        <v>0</v>
      </c>
      <c r="AB27" s="13">
        <f t="shared" si="7"/>
        <v>0</v>
      </c>
      <c r="AC27" s="13">
        <f t="shared" si="7"/>
        <v>0</v>
      </c>
      <c r="AD27" s="13">
        <f t="shared" si="7"/>
        <v>10</v>
      </c>
      <c r="AE27" s="13">
        <f t="shared" si="7"/>
        <v>1</v>
      </c>
      <c r="AF27" s="13">
        <f t="shared" si="7"/>
        <v>6</v>
      </c>
      <c r="AG27" s="13">
        <f t="shared" si="7"/>
        <v>1</v>
      </c>
      <c r="AH27" s="13">
        <f t="shared" si="7"/>
        <v>10</v>
      </c>
      <c r="AI27" s="13">
        <f t="shared" si="7"/>
        <v>0</v>
      </c>
      <c r="AJ27" s="13">
        <f t="shared" si="7"/>
        <v>11</v>
      </c>
      <c r="AK27" s="13">
        <f t="shared" si="7"/>
        <v>2</v>
      </c>
      <c r="AL27" s="13">
        <f t="shared" si="7"/>
        <v>2</v>
      </c>
      <c r="AM27" s="13">
        <f t="shared" si="7"/>
        <v>2</v>
      </c>
      <c r="AN27" s="13">
        <f t="shared" si="7"/>
        <v>3</v>
      </c>
      <c r="AO27" s="13">
        <f t="shared" si="7"/>
        <v>1</v>
      </c>
      <c r="AP27" s="13">
        <f t="shared" si="7"/>
        <v>10</v>
      </c>
      <c r="AQ27" s="13">
        <f t="shared" si="7"/>
        <v>1</v>
      </c>
      <c r="AR27" s="13">
        <f t="shared" si="7"/>
        <v>0</v>
      </c>
      <c r="AS27" s="13">
        <f t="shared" si="7"/>
        <v>6</v>
      </c>
      <c r="AT27" s="13">
        <f t="shared" si="7"/>
        <v>4</v>
      </c>
      <c r="AU27" s="13">
        <f t="shared" si="7"/>
        <v>4</v>
      </c>
      <c r="AV27" s="13">
        <f t="shared" si="3"/>
        <v>165</v>
      </c>
    </row>
    <row r="28" ht="12.75" customHeight="1">
      <c r="A28" s="36"/>
      <c r="B28" s="39" t="s">
        <v>22</v>
      </c>
      <c r="C28" s="40" t="s">
        <v>23</v>
      </c>
      <c r="D28" s="13" t="s">
        <v>11</v>
      </c>
      <c r="E28" s="13">
        <f t="shared" ref="E28:R28" si="8">SUM(E19,E22,E25)</f>
        <v>120</v>
      </c>
      <c r="F28" s="13">
        <f t="shared" si="8"/>
        <v>82</v>
      </c>
      <c r="G28" s="13">
        <f t="shared" si="8"/>
        <v>85</v>
      </c>
      <c r="H28" s="13">
        <f t="shared" si="8"/>
        <v>113</v>
      </c>
      <c r="I28" s="13">
        <f t="shared" si="8"/>
        <v>101</v>
      </c>
      <c r="J28" s="13">
        <f t="shared" si="8"/>
        <v>103</v>
      </c>
      <c r="K28" s="13">
        <f t="shared" si="8"/>
        <v>101</v>
      </c>
      <c r="L28" s="13">
        <f t="shared" si="8"/>
        <v>98</v>
      </c>
      <c r="M28" s="13">
        <f t="shared" si="8"/>
        <v>87</v>
      </c>
      <c r="N28" s="13">
        <f t="shared" si="8"/>
        <v>109</v>
      </c>
      <c r="O28" s="13">
        <f t="shared" si="8"/>
        <v>93</v>
      </c>
      <c r="P28" s="13">
        <f t="shared" si="8"/>
        <v>94</v>
      </c>
      <c r="Q28" s="13">
        <f t="shared" si="8"/>
        <v>91</v>
      </c>
      <c r="R28" s="13">
        <f t="shared" si="8"/>
        <v>109</v>
      </c>
      <c r="S28" s="13">
        <v>86.0</v>
      </c>
      <c r="T28" s="13">
        <f t="shared" ref="T28:AU28" si="9">SUM(T19,T22,T25)</f>
        <v>103</v>
      </c>
      <c r="U28" s="13">
        <f t="shared" si="9"/>
        <v>100</v>
      </c>
      <c r="V28" s="13">
        <f t="shared" si="9"/>
        <v>96</v>
      </c>
      <c r="W28" s="13">
        <f t="shared" si="9"/>
        <v>116</v>
      </c>
      <c r="X28" s="13">
        <f t="shared" si="9"/>
        <v>101</v>
      </c>
      <c r="Y28" s="13">
        <f t="shared" si="9"/>
        <v>103</v>
      </c>
      <c r="Z28" s="13">
        <f t="shared" si="9"/>
        <v>100</v>
      </c>
      <c r="AA28" s="13">
        <f t="shared" si="9"/>
        <v>107</v>
      </c>
      <c r="AB28" s="13">
        <f t="shared" si="9"/>
        <v>100</v>
      </c>
      <c r="AC28" s="13">
        <f t="shared" si="9"/>
        <v>98</v>
      </c>
      <c r="AD28" s="13">
        <f t="shared" si="9"/>
        <v>98</v>
      </c>
      <c r="AE28" s="13">
        <f t="shared" si="9"/>
        <v>108</v>
      </c>
      <c r="AF28" s="13">
        <f t="shared" si="9"/>
        <v>118</v>
      </c>
      <c r="AG28" s="13">
        <f t="shared" si="9"/>
        <v>96</v>
      </c>
      <c r="AH28" s="13">
        <f t="shared" si="9"/>
        <v>95</v>
      </c>
      <c r="AI28" s="13">
        <f t="shared" si="9"/>
        <v>89</v>
      </c>
      <c r="AJ28" s="13">
        <f t="shared" si="9"/>
        <v>115</v>
      </c>
      <c r="AK28" s="13">
        <f t="shared" si="9"/>
        <v>107</v>
      </c>
      <c r="AL28" s="13">
        <f t="shared" si="9"/>
        <v>70</v>
      </c>
      <c r="AM28" s="13">
        <f t="shared" si="9"/>
        <v>87</v>
      </c>
      <c r="AN28" s="13">
        <f t="shared" si="9"/>
        <v>95</v>
      </c>
      <c r="AO28" s="13">
        <f t="shared" si="9"/>
        <v>84</v>
      </c>
      <c r="AP28" s="13">
        <f t="shared" si="9"/>
        <v>96</v>
      </c>
      <c r="AQ28" s="13">
        <f t="shared" si="9"/>
        <v>97</v>
      </c>
      <c r="AR28" s="13">
        <f t="shared" si="9"/>
        <v>78</v>
      </c>
      <c r="AS28" s="13">
        <f t="shared" si="9"/>
        <v>95</v>
      </c>
      <c r="AT28" s="13">
        <f t="shared" si="9"/>
        <v>124</v>
      </c>
      <c r="AU28" s="13">
        <f t="shared" si="9"/>
        <v>82</v>
      </c>
      <c r="AV28" s="13">
        <f t="shared" si="3"/>
        <v>4230</v>
      </c>
    </row>
    <row r="29" ht="12.75" customHeight="1">
      <c r="A29" s="36"/>
      <c r="B29" s="27"/>
      <c r="C29" s="35"/>
      <c r="D29" s="13" t="s">
        <v>12</v>
      </c>
      <c r="E29" s="13">
        <f t="shared" ref="E29:P29" si="10">SUM(E20,E23,E26)</f>
        <v>133</v>
      </c>
      <c r="F29" s="13">
        <f t="shared" si="10"/>
        <v>108</v>
      </c>
      <c r="G29" s="13">
        <f t="shared" si="10"/>
        <v>98</v>
      </c>
      <c r="H29" s="13">
        <f t="shared" si="10"/>
        <v>119</v>
      </c>
      <c r="I29" s="13">
        <f t="shared" si="10"/>
        <v>125</v>
      </c>
      <c r="J29" s="13">
        <f t="shared" si="10"/>
        <v>110</v>
      </c>
      <c r="K29" s="13">
        <f t="shared" si="10"/>
        <v>127</v>
      </c>
      <c r="L29" s="13">
        <f t="shared" si="10"/>
        <v>116</v>
      </c>
      <c r="M29" s="13">
        <f t="shared" si="10"/>
        <v>124</v>
      </c>
      <c r="N29" s="13">
        <f t="shared" si="10"/>
        <v>118</v>
      </c>
      <c r="O29" s="13">
        <f t="shared" si="10"/>
        <v>119</v>
      </c>
      <c r="P29" s="13">
        <f t="shared" si="10"/>
        <v>121</v>
      </c>
      <c r="Q29" s="13">
        <v>120.0</v>
      </c>
      <c r="R29" s="13">
        <f t="shared" ref="R29:AU29" si="11">SUM(R20,R23,R26)</f>
        <v>100</v>
      </c>
      <c r="S29" s="13">
        <f t="shared" si="11"/>
        <v>119</v>
      </c>
      <c r="T29" s="13">
        <f t="shared" si="11"/>
        <v>113</v>
      </c>
      <c r="U29" s="13">
        <f t="shared" si="11"/>
        <v>111</v>
      </c>
      <c r="V29" s="13">
        <f t="shared" si="11"/>
        <v>119</v>
      </c>
      <c r="W29" s="13">
        <f t="shared" si="11"/>
        <v>112</v>
      </c>
      <c r="X29" s="13">
        <f t="shared" si="11"/>
        <v>127</v>
      </c>
      <c r="Y29" s="13">
        <f t="shared" si="11"/>
        <v>117</v>
      </c>
      <c r="Z29" s="13">
        <f t="shared" si="11"/>
        <v>126</v>
      </c>
      <c r="AA29" s="13">
        <f t="shared" si="11"/>
        <v>119</v>
      </c>
      <c r="AB29" s="13">
        <f t="shared" si="11"/>
        <v>127</v>
      </c>
      <c r="AC29" s="13">
        <f t="shared" si="11"/>
        <v>121</v>
      </c>
      <c r="AD29" s="13">
        <f t="shared" si="11"/>
        <v>116</v>
      </c>
      <c r="AE29" s="13">
        <f t="shared" si="11"/>
        <v>116</v>
      </c>
      <c r="AF29" s="13">
        <f t="shared" si="11"/>
        <v>117</v>
      </c>
      <c r="AG29" s="13">
        <f t="shared" si="11"/>
        <v>110</v>
      </c>
      <c r="AH29" s="13">
        <f t="shared" si="11"/>
        <v>113</v>
      </c>
      <c r="AI29" s="13">
        <f t="shared" si="11"/>
        <v>126</v>
      </c>
      <c r="AJ29" s="13">
        <f t="shared" si="11"/>
        <v>115</v>
      </c>
      <c r="AK29" s="13">
        <f t="shared" si="11"/>
        <v>127</v>
      </c>
      <c r="AL29" s="13">
        <f t="shared" si="11"/>
        <v>75</v>
      </c>
      <c r="AM29" s="13">
        <f t="shared" si="11"/>
        <v>102</v>
      </c>
      <c r="AN29" s="13">
        <f t="shared" si="11"/>
        <v>113</v>
      </c>
      <c r="AO29" s="13">
        <f t="shared" si="11"/>
        <v>106</v>
      </c>
      <c r="AP29" s="13">
        <f t="shared" si="11"/>
        <v>121</v>
      </c>
      <c r="AQ29" s="13">
        <f t="shared" si="11"/>
        <v>110</v>
      </c>
      <c r="AR29" s="13">
        <f t="shared" si="11"/>
        <v>94</v>
      </c>
      <c r="AS29" s="13">
        <f t="shared" si="11"/>
        <v>115</v>
      </c>
      <c r="AT29" s="13">
        <f t="shared" si="11"/>
        <v>89</v>
      </c>
      <c r="AU29" s="13">
        <f t="shared" si="11"/>
        <v>103</v>
      </c>
      <c r="AV29" s="13">
        <f t="shared" si="3"/>
        <v>4917</v>
      </c>
    </row>
    <row r="30" ht="12.75" customHeight="1">
      <c r="A30" s="36"/>
      <c r="B30" s="28"/>
      <c r="C30" s="37"/>
      <c r="D30" s="13" t="s">
        <v>13</v>
      </c>
      <c r="E30" s="13">
        <f t="shared" ref="E30:AU30" si="12">SUM(E28:E29)</f>
        <v>253</v>
      </c>
      <c r="F30" s="13">
        <f t="shared" si="12"/>
        <v>190</v>
      </c>
      <c r="G30" s="13">
        <f t="shared" si="12"/>
        <v>183</v>
      </c>
      <c r="H30" s="13">
        <f t="shared" si="12"/>
        <v>232</v>
      </c>
      <c r="I30" s="13">
        <f t="shared" si="12"/>
        <v>226</v>
      </c>
      <c r="J30" s="13">
        <f t="shared" si="12"/>
        <v>213</v>
      </c>
      <c r="K30" s="13">
        <f t="shared" si="12"/>
        <v>228</v>
      </c>
      <c r="L30" s="13">
        <f t="shared" si="12"/>
        <v>214</v>
      </c>
      <c r="M30" s="13">
        <f t="shared" si="12"/>
        <v>211</v>
      </c>
      <c r="N30" s="13">
        <f t="shared" si="12"/>
        <v>227</v>
      </c>
      <c r="O30" s="13">
        <f t="shared" si="12"/>
        <v>212</v>
      </c>
      <c r="P30" s="13">
        <f t="shared" si="12"/>
        <v>215</v>
      </c>
      <c r="Q30" s="13">
        <f t="shared" si="12"/>
        <v>211</v>
      </c>
      <c r="R30" s="13">
        <f t="shared" si="12"/>
        <v>209</v>
      </c>
      <c r="S30" s="13">
        <f t="shared" si="12"/>
        <v>205</v>
      </c>
      <c r="T30" s="13">
        <f t="shared" si="12"/>
        <v>216</v>
      </c>
      <c r="U30" s="13">
        <f t="shared" si="12"/>
        <v>211</v>
      </c>
      <c r="V30" s="13">
        <f t="shared" si="12"/>
        <v>215</v>
      </c>
      <c r="W30" s="13">
        <f t="shared" si="12"/>
        <v>228</v>
      </c>
      <c r="X30" s="13">
        <f t="shared" si="12"/>
        <v>228</v>
      </c>
      <c r="Y30" s="13">
        <f t="shared" si="12"/>
        <v>220</v>
      </c>
      <c r="Z30" s="13">
        <f t="shared" si="12"/>
        <v>226</v>
      </c>
      <c r="AA30" s="13">
        <f t="shared" si="12"/>
        <v>226</v>
      </c>
      <c r="AB30" s="13">
        <f t="shared" si="12"/>
        <v>227</v>
      </c>
      <c r="AC30" s="13">
        <f t="shared" si="12"/>
        <v>219</v>
      </c>
      <c r="AD30" s="13">
        <f t="shared" si="12"/>
        <v>214</v>
      </c>
      <c r="AE30" s="13">
        <f t="shared" si="12"/>
        <v>224</v>
      </c>
      <c r="AF30" s="13">
        <f t="shared" si="12"/>
        <v>235</v>
      </c>
      <c r="AG30" s="13">
        <f t="shared" si="12"/>
        <v>206</v>
      </c>
      <c r="AH30" s="13">
        <f t="shared" si="12"/>
        <v>208</v>
      </c>
      <c r="AI30" s="13">
        <f t="shared" si="12"/>
        <v>215</v>
      </c>
      <c r="AJ30" s="13">
        <f t="shared" si="12"/>
        <v>230</v>
      </c>
      <c r="AK30" s="13">
        <f t="shared" si="12"/>
        <v>234</v>
      </c>
      <c r="AL30" s="13">
        <f t="shared" si="12"/>
        <v>145</v>
      </c>
      <c r="AM30" s="13">
        <f t="shared" si="12"/>
        <v>189</v>
      </c>
      <c r="AN30" s="13">
        <f t="shared" si="12"/>
        <v>208</v>
      </c>
      <c r="AO30" s="13">
        <f t="shared" si="12"/>
        <v>190</v>
      </c>
      <c r="AP30" s="13">
        <f t="shared" si="12"/>
        <v>217</v>
      </c>
      <c r="AQ30" s="13">
        <f t="shared" si="12"/>
        <v>207</v>
      </c>
      <c r="AR30" s="13">
        <f t="shared" si="12"/>
        <v>172</v>
      </c>
      <c r="AS30" s="13">
        <f t="shared" si="12"/>
        <v>210</v>
      </c>
      <c r="AT30" s="13">
        <f t="shared" si="12"/>
        <v>213</v>
      </c>
      <c r="AU30" s="13">
        <f t="shared" si="12"/>
        <v>185</v>
      </c>
      <c r="AV30" s="13">
        <f t="shared" si="3"/>
        <v>9147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19"/>
      <c r="X31" s="61"/>
      <c r="Y31" s="19"/>
      <c r="Z31" s="19"/>
      <c r="AA31" s="19"/>
      <c r="AB31" s="19"/>
      <c r="AC31" s="61"/>
      <c r="AD31" s="19"/>
      <c r="AE31" s="19"/>
      <c r="AF31" s="19"/>
      <c r="AG31" s="19"/>
      <c r="AH31" s="61"/>
      <c r="AI31" s="19"/>
      <c r="AJ31" s="19"/>
      <c r="AK31" s="19"/>
      <c r="AL31" s="19"/>
      <c r="AM31" s="61"/>
      <c r="AN31" s="19"/>
      <c r="AO31" s="19"/>
      <c r="AP31" s="19"/>
      <c r="AQ31" s="19"/>
      <c r="AR31" s="61"/>
      <c r="AS31" s="19"/>
      <c r="AT31" s="19"/>
      <c r="AU31" s="19"/>
      <c r="AV31" s="62"/>
    </row>
    <row r="32" ht="12.75" customHeight="1">
      <c r="A32" s="43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3"/>
      <c r="O32" s="13"/>
      <c r="P32" s="13"/>
      <c r="Q32" s="13"/>
      <c r="R32" s="13"/>
      <c r="S32" s="63"/>
      <c r="T32" s="13"/>
      <c r="U32" s="13"/>
      <c r="V32" s="13"/>
      <c r="W32" s="13"/>
      <c r="X32" s="63"/>
      <c r="Y32" s="13"/>
      <c r="Z32" s="13"/>
      <c r="AA32" s="13"/>
      <c r="AB32" s="13"/>
      <c r="AC32" s="63"/>
      <c r="AD32" s="13"/>
      <c r="AE32" s="13"/>
      <c r="AF32" s="13"/>
      <c r="AG32" s="13"/>
      <c r="AH32" s="63"/>
      <c r="AI32" s="13"/>
      <c r="AJ32" s="13"/>
      <c r="AK32" s="13"/>
      <c r="AL32" s="13"/>
      <c r="AM32" s="63"/>
      <c r="AN32" s="13"/>
      <c r="AO32" s="13"/>
      <c r="AP32" s="13"/>
      <c r="AQ32" s="13"/>
      <c r="AR32" s="63"/>
      <c r="AS32" s="13"/>
      <c r="AT32" s="13"/>
      <c r="AU32" s="13"/>
      <c r="AV32" s="62"/>
    </row>
    <row r="33" ht="12.75" customHeight="1">
      <c r="A33" s="19">
        <v>1.0</v>
      </c>
      <c r="B33" s="20" t="s">
        <v>26</v>
      </c>
      <c r="C33" s="15"/>
      <c r="D33" s="16"/>
      <c r="E33" s="19">
        <v>279.0</v>
      </c>
      <c r="F33" s="19">
        <v>285.0</v>
      </c>
      <c r="G33" s="19">
        <v>216.0</v>
      </c>
      <c r="H33" s="19">
        <v>262.0</v>
      </c>
      <c r="I33" s="19">
        <v>291.0</v>
      </c>
      <c r="J33" s="19">
        <v>282.0</v>
      </c>
      <c r="K33" s="19">
        <v>280.0</v>
      </c>
      <c r="L33" s="19">
        <v>281.0</v>
      </c>
      <c r="M33" s="19">
        <v>288.0</v>
      </c>
      <c r="N33" s="19">
        <v>293.0</v>
      </c>
      <c r="O33" s="19">
        <v>288.0</v>
      </c>
      <c r="P33" s="19">
        <v>287.0</v>
      </c>
      <c r="Q33" s="19">
        <v>280.0</v>
      </c>
      <c r="R33" s="19">
        <v>278.0</v>
      </c>
      <c r="S33" s="19">
        <v>277.0</v>
      </c>
      <c r="T33" s="19">
        <v>283.0</v>
      </c>
      <c r="U33" s="19">
        <v>291.0</v>
      </c>
      <c r="V33" s="19">
        <v>285.0</v>
      </c>
      <c r="W33" s="19">
        <v>289.0</v>
      </c>
      <c r="X33" s="19">
        <v>285.0</v>
      </c>
      <c r="Y33" s="19">
        <v>278.0</v>
      </c>
      <c r="Z33" s="19">
        <v>278.0</v>
      </c>
      <c r="AA33" s="19">
        <v>290.0</v>
      </c>
      <c r="AB33" s="19">
        <v>278.0</v>
      </c>
      <c r="AC33" s="19">
        <v>287.0</v>
      </c>
      <c r="AD33" s="19">
        <v>262.0</v>
      </c>
      <c r="AE33" s="19">
        <v>290.0</v>
      </c>
      <c r="AF33" s="19">
        <v>292.0</v>
      </c>
      <c r="AG33" s="19">
        <v>275.0</v>
      </c>
      <c r="AH33" s="19">
        <v>294.0</v>
      </c>
      <c r="AI33" s="19">
        <v>286.0</v>
      </c>
      <c r="AJ33" s="19">
        <v>288.0</v>
      </c>
      <c r="AK33" s="19">
        <v>287.0</v>
      </c>
      <c r="AL33" s="19">
        <v>213.0</v>
      </c>
      <c r="AM33" s="19">
        <v>262.0</v>
      </c>
      <c r="AN33" s="19">
        <v>267.0</v>
      </c>
      <c r="AO33" s="19">
        <v>258.0</v>
      </c>
      <c r="AP33" s="19">
        <v>285.0</v>
      </c>
      <c r="AQ33" s="19">
        <v>292.0</v>
      </c>
      <c r="AR33" s="19">
        <v>237.0</v>
      </c>
      <c r="AS33" s="19">
        <v>284.0</v>
      </c>
      <c r="AT33" s="19">
        <v>292.0</v>
      </c>
      <c r="AU33" s="19">
        <v>291.0</v>
      </c>
      <c r="AV33" s="13">
        <f t="shared" ref="AV33:AV36" si="13">SUM(E33:AU33)</f>
        <v>11966</v>
      </c>
    </row>
    <row r="34" ht="12.75" customHeight="1">
      <c r="A34" s="19">
        <v>2.0</v>
      </c>
      <c r="B34" s="20" t="s">
        <v>27</v>
      </c>
      <c r="C34" s="15"/>
      <c r="D34" s="16"/>
      <c r="E34" s="13">
        <v>253.0</v>
      </c>
      <c r="F34" s="13">
        <v>190.0</v>
      </c>
      <c r="G34" s="13">
        <v>183.0</v>
      </c>
      <c r="H34" s="13">
        <v>232.0</v>
      </c>
      <c r="I34" s="13">
        <v>226.0</v>
      </c>
      <c r="J34" s="13">
        <v>213.0</v>
      </c>
      <c r="K34" s="13">
        <v>228.0</v>
      </c>
      <c r="L34" s="13">
        <v>214.0</v>
      </c>
      <c r="M34" s="13">
        <v>211.0</v>
      </c>
      <c r="N34" s="13">
        <v>227.0</v>
      </c>
      <c r="O34" s="13">
        <v>212.0</v>
      </c>
      <c r="P34" s="13">
        <v>215.0</v>
      </c>
      <c r="Q34" s="13">
        <v>211.0</v>
      </c>
      <c r="R34" s="13">
        <v>209.0</v>
      </c>
      <c r="S34" s="13">
        <v>205.0</v>
      </c>
      <c r="T34" s="13">
        <v>216.0</v>
      </c>
      <c r="U34" s="13">
        <v>211.0</v>
      </c>
      <c r="V34" s="13">
        <v>215.0</v>
      </c>
      <c r="W34" s="13">
        <v>228.0</v>
      </c>
      <c r="X34" s="13">
        <v>228.0</v>
      </c>
      <c r="Y34" s="13">
        <v>220.0</v>
      </c>
      <c r="Z34" s="13">
        <v>226.0</v>
      </c>
      <c r="AA34" s="13">
        <v>226.0</v>
      </c>
      <c r="AB34" s="13">
        <v>227.0</v>
      </c>
      <c r="AC34" s="13">
        <v>219.0</v>
      </c>
      <c r="AD34" s="13">
        <v>214.0</v>
      </c>
      <c r="AE34" s="13">
        <v>224.0</v>
      </c>
      <c r="AF34" s="13">
        <v>235.0</v>
      </c>
      <c r="AG34" s="13">
        <v>206.0</v>
      </c>
      <c r="AH34" s="13">
        <v>208.0</v>
      </c>
      <c r="AI34" s="13">
        <v>215.0</v>
      </c>
      <c r="AJ34" s="13">
        <v>230.0</v>
      </c>
      <c r="AK34" s="13">
        <v>234.0</v>
      </c>
      <c r="AL34" s="13">
        <v>145.0</v>
      </c>
      <c r="AM34" s="13">
        <v>189.0</v>
      </c>
      <c r="AN34" s="13">
        <v>208.0</v>
      </c>
      <c r="AO34" s="13">
        <v>190.0</v>
      </c>
      <c r="AP34" s="13">
        <v>217.0</v>
      </c>
      <c r="AQ34" s="13">
        <v>207.0</v>
      </c>
      <c r="AR34" s="13">
        <v>172.0</v>
      </c>
      <c r="AS34" s="13">
        <v>210.0</v>
      </c>
      <c r="AT34" s="13">
        <v>213.0</v>
      </c>
      <c r="AU34" s="13">
        <v>185.0</v>
      </c>
      <c r="AV34" s="13">
        <f t="shared" si="13"/>
        <v>9147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9">
        <v>5.0</v>
      </c>
      <c r="AC35" s="19">
        <v>1.0</v>
      </c>
      <c r="AD35" s="19">
        <v>0.0</v>
      </c>
      <c r="AE35" s="19">
        <v>2.0</v>
      </c>
      <c r="AF35" s="19">
        <v>1.0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1.0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3">
        <f t="shared" si="13"/>
        <v>11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U36" si="14">E33-(E34+E35)</f>
        <v>26</v>
      </c>
      <c r="F36" s="13">
        <f t="shared" si="14"/>
        <v>95</v>
      </c>
      <c r="G36" s="13">
        <f t="shared" si="14"/>
        <v>33</v>
      </c>
      <c r="H36" s="13">
        <f t="shared" si="14"/>
        <v>30</v>
      </c>
      <c r="I36" s="13">
        <f t="shared" si="14"/>
        <v>65</v>
      </c>
      <c r="J36" s="13">
        <f t="shared" si="14"/>
        <v>69</v>
      </c>
      <c r="K36" s="13">
        <f t="shared" si="14"/>
        <v>52</v>
      </c>
      <c r="L36" s="13">
        <f t="shared" si="14"/>
        <v>67</v>
      </c>
      <c r="M36" s="13">
        <f t="shared" si="14"/>
        <v>77</v>
      </c>
      <c r="N36" s="13">
        <f t="shared" si="14"/>
        <v>66</v>
      </c>
      <c r="O36" s="13">
        <f t="shared" si="14"/>
        <v>76</v>
      </c>
      <c r="P36" s="13">
        <f t="shared" si="14"/>
        <v>72</v>
      </c>
      <c r="Q36" s="13">
        <f t="shared" si="14"/>
        <v>69</v>
      </c>
      <c r="R36" s="13">
        <f t="shared" si="14"/>
        <v>69</v>
      </c>
      <c r="S36" s="13">
        <f t="shared" si="14"/>
        <v>72</v>
      </c>
      <c r="T36" s="13">
        <f t="shared" si="14"/>
        <v>67</v>
      </c>
      <c r="U36" s="13">
        <f t="shared" si="14"/>
        <v>80</v>
      </c>
      <c r="V36" s="13">
        <f t="shared" si="14"/>
        <v>70</v>
      </c>
      <c r="W36" s="13">
        <f t="shared" si="14"/>
        <v>61</v>
      </c>
      <c r="X36" s="13">
        <f t="shared" si="14"/>
        <v>57</v>
      </c>
      <c r="Y36" s="13">
        <f t="shared" si="14"/>
        <v>58</v>
      </c>
      <c r="Z36" s="13">
        <f t="shared" si="14"/>
        <v>51</v>
      </c>
      <c r="AA36" s="13">
        <f t="shared" si="14"/>
        <v>64</v>
      </c>
      <c r="AB36" s="13">
        <f t="shared" si="14"/>
        <v>46</v>
      </c>
      <c r="AC36" s="13">
        <f t="shared" si="14"/>
        <v>67</v>
      </c>
      <c r="AD36" s="13">
        <f t="shared" si="14"/>
        <v>48</v>
      </c>
      <c r="AE36" s="13">
        <f t="shared" si="14"/>
        <v>64</v>
      </c>
      <c r="AF36" s="13">
        <f t="shared" si="14"/>
        <v>56</v>
      </c>
      <c r="AG36" s="13">
        <f t="shared" si="14"/>
        <v>69</v>
      </c>
      <c r="AH36" s="13">
        <f t="shared" si="14"/>
        <v>86</v>
      </c>
      <c r="AI36" s="13">
        <f t="shared" si="14"/>
        <v>71</v>
      </c>
      <c r="AJ36" s="13">
        <f t="shared" si="14"/>
        <v>58</v>
      </c>
      <c r="AK36" s="13">
        <f t="shared" si="14"/>
        <v>53</v>
      </c>
      <c r="AL36" s="13">
        <f t="shared" si="14"/>
        <v>68</v>
      </c>
      <c r="AM36" s="13">
        <f t="shared" si="14"/>
        <v>73</v>
      </c>
      <c r="AN36" s="13">
        <f t="shared" si="14"/>
        <v>59</v>
      </c>
      <c r="AO36" s="13">
        <f t="shared" si="14"/>
        <v>68</v>
      </c>
      <c r="AP36" s="13">
        <f t="shared" si="14"/>
        <v>67</v>
      </c>
      <c r="AQ36" s="13">
        <f t="shared" si="14"/>
        <v>85</v>
      </c>
      <c r="AR36" s="13">
        <f t="shared" si="14"/>
        <v>65</v>
      </c>
      <c r="AS36" s="13">
        <f t="shared" si="14"/>
        <v>74</v>
      </c>
      <c r="AT36" s="13">
        <f t="shared" si="14"/>
        <v>79</v>
      </c>
      <c r="AU36" s="13">
        <f t="shared" si="14"/>
        <v>106</v>
      </c>
      <c r="AV36" s="13">
        <f t="shared" si="13"/>
        <v>2808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19"/>
      <c r="X37" s="61"/>
      <c r="Y37" s="19"/>
      <c r="Z37" s="19"/>
      <c r="AA37" s="19"/>
      <c r="AB37" s="19"/>
      <c r="AC37" s="61"/>
      <c r="AD37" s="19"/>
      <c r="AE37" s="19"/>
      <c r="AF37" s="19"/>
      <c r="AG37" s="19"/>
      <c r="AH37" s="61"/>
      <c r="AI37" s="19"/>
      <c r="AJ37" s="19"/>
      <c r="AK37" s="19"/>
      <c r="AL37" s="19"/>
      <c r="AM37" s="61"/>
      <c r="AN37" s="19"/>
      <c r="AO37" s="19"/>
      <c r="AP37" s="19"/>
      <c r="AQ37" s="19"/>
      <c r="AR37" s="61"/>
      <c r="AS37" s="19"/>
      <c r="AT37" s="19"/>
      <c r="AU37" s="19"/>
      <c r="AV37" s="62"/>
    </row>
    <row r="38" ht="12.75" customHeight="1">
      <c r="A38" s="44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3"/>
      <c r="O38" s="13"/>
      <c r="P38" s="13"/>
      <c r="Q38" s="13"/>
      <c r="R38" s="13"/>
      <c r="S38" s="63"/>
      <c r="T38" s="13"/>
      <c r="U38" s="13"/>
      <c r="V38" s="13"/>
      <c r="W38" s="13"/>
      <c r="X38" s="63"/>
      <c r="Y38" s="13"/>
      <c r="Z38" s="13"/>
      <c r="AA38" s="13"/>
      <c r="AB38" s="13"/>
      <c r="AC38" s="63"/>
      <c r="AD38" s="13"/>
      <c r="AE38" s="13"/>
      <c r="AF38" s="13"/>
      <c r="AG38" s="13"/>
      <c r="AH38" s="63"/>
      <c r="AI38" s="13"/>
      <c r="AJ38" s="13"/>
      <c r="AK38" s="13"/>
      <c r="AL38" s="13"/>
      <c r="AM38" s="63"/>
      <c r="AN38" s="13"/>
      <c r="AO38" s="13"/>
      <c r="AP38" s="13"/>
      <c r="AQ38" s="13"/>
      <c r="AR38" s="63"/>
      <c r="AS38" s="13"/>
      <c r="AT38" s="13"/>
      <c r="AU38" s="13"/>
      <c r="AV38" s="62"/>
    </row>
    <row r="39" ht="12.75" customHeight="1">
      <c r="A39" s="31"/>
      <c r="B39" s="45" t="s">
        <v>32</v>
      </c>
      <c r="C39" s="23"/>
      <c r="D39" s="19" t="s">
        <v>11</v>
      </c>
      <c r="E39" s="19">
        <v>1.0</v>
      </c>
      <c r="F39" s="19">
        <v>0.0</v>
      </c>
      <c r="G39" s="19">
        <v>1.0</v>
      </c>
      <c r="H39" s="19">
        <v>0.0</v>
      </c>
      <c r="I39" s="19">
        <v>0.0</v>
      </c>
      <c r="J39" s="19">
        <v>2.0</v>
      </c>
      <c r="K39" s="19">
        <v>0.0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3.0</v>
      </c>
      <c r="Y39" s="19">
        <v>0.0</v>
      </c>
      <c r="Z39" s="19">
        <v>0.0</v>
      </c>
      <c r="AA39" s="19">
        <v>1.0</v>
      </c>
      <c r="AB39" s="19">
        <v>0.0</v>
      </c>
      <c r="AC39" s="19">
        <v>0.0</v>
      </c>
      <c r="AD39" s="19">
        <v>0.0</v>
      </c>
      <c r="AE39" s="19">
        <v>0.0</v>
      </c>
      <c r="AF39" s="19">
        <v>1.0</v>
      </c>
      <c r="AG39" s="19">
        <v>0.0</v>
      </c>
      <c r="AH39" s="19">
        <v>0.0</v>
      </c>
      <c r="AI39" s="19">
        <v>1.0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1.0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1.0</v>
      </c>
      <c r="AV39" s="13">
        <f t="shared" ref="AV39:AV41" si="15">SUM(E39:AU39)</f>
        <v>13</v>
      </c>
    </row>
    <row r="40" ht="12.75" customHeight="1">
      <c r="A40" s="34"/>
      <c r="C40" s="27"/>
      <c r="D40" s="19" t="s">
        <v>12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2.0</v>
      </c>
      <c r="Q40" s="19">
        <v>0.0</v>
      </c>
      <c r="R40" s="19">
        <v>0.0</v>
      </c>
      <c r="S40" s="19">
        <v>0.0</v>
      </c>
      <c r="T40" s="19">
        <v>0.0</v>
      </c>
      <c r="U40" s="19">
        <v>1.0</v>
      </c>
      <c r="V40" s="19">
        <v>0.0</v>
      </c>
      <c r="W40" s="19">
        <v>0.0</v>
      </c>
      <c r="X40" s="19">
        <v>2.0</v>
      </c>
      <c r="Y40" s="19">
        <v>0.0</v>
      </c>
      <c r="Z40" s="19">
        <v>0.0</v>
      </c>
      <c r="AA40" s="19">
        <v>2.0</v>
      </c>
      <c r="AB40" s="19">
        <v>0.0</v>
      </c>
      <c r="AC40" s="19">
        <v>0.0</v>
      </c>
      <c r="AD40" s="19">
        <v>0.0</v>
      </c>
      <c r="AE40" s="19">
        <v>0.0</v>
      </c>
      <c r="AF40" s="19">
        <v>1.0</v>
      </c>
      <c r="AG40" s="19">
        <v>0.0</v>
      </c>
      <c r="AH40" s="19">
        <v>1.0</v>
      </c>
      <c r="AI40" s="19">
        <v>1.0</v>
      </c>
      <c r="AJ40" s="19">
        <v>0.0</v>
      </c>
      <c r="AK40" s="19">
        <v>0.0</v>
      </c>
      <c r="AL40" s="19">
        <v>0.0</v>
      </c>
      <c r="AM40" s="19">
        <v>1.0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1.0</v>
      </c>
      <c r="AV40" s="13">
        <f t="shared" si="15"/>
        <v>13</v>
      </c>
    </row>
    <row r="41" ht="12.75" customHeight="1">
      <c r="A41" s="43"/>
      <c r="B41" s="46"/>
      <c r="C41" s="28"/>
      <c r="D41" s="13" t="s">
        <v>13</v>
      </c>
      <c r="E41" s="13">
        <f t="shared" ref="E41:AU41" si="16">SUM(E39:E40)</f>
        <v>2</v>
      </c>
      <c r="F41" s="13">
        <f t="shared" si="16"/>
        <v>0</v>
      </c>
      <c r="G41" s="13">
        <f t="shared" si="16"/>
        <v>1</v>
      </c>
      <c r="H41" s="13">
        <f t="shared" si="16"/>
        <v>0</v>
      </c>
      <c r="I41" s="13">
        <f t="shared" si="16"/>
        <v>0</v>
      </c>
      <c r="J41" s="13">
        <f t="shared" si="16"/>
        <v>2</v>
      </c>
      <c r="K41" s="13">
        <f t="shared" si="16"/>
        <v>0</v>
      </c>
      <c r="L41" s="13">
        <f t="shared" si="16"/>
        <v>0</v>
      </c>
      <c r="M41" s="13">
        <f t="shared" si="16"/>
        <v>1</v>
      </c>
      <c r="N41" s="13">
        <f t="shared" si="16"/>
        <v>0</v>
      </c>
      <c r="O41" s="13">
        <f t="shared" si="16"/>
        <v>0</v>
      </c>
      <c r="P41" s="13">
        <f t="shared" si="16"/>
        <v>2</v>
      </c>
      <c r="Q41" s="13">
        <f t="shared" si="16"/>
        <v>0</v>
      </c>
      <c r="R41" s="13">
        <f t="shared" si="16"/>
        <v>0</v>
      </c>
      <c r="S41" s="13">
        <f t="shared" si="16"/>
        <v>0</v>
      </c>
      <c r="T41" s="13">
        <f t="shared" si="16"/>
        <v>0</v>
      </c>
      <c r="U41" s="13">
        <f t="shared" si="16"/>
        <v>1</v>
      </c>
      <c r="V41" s="13">
        <f t="shared" si="16"/>
        <v>0</v>
      </c>
      <c r="W41" s="13">
        <f t="shared" si="16"/>
        <v>0</v>
      </c>
      <c r="X41" s="13">
        <f t="shared" si="16"/>
        <v>5</v>
      </c>
      <c r="Y41" s="13">
        <f t="shared" si="16"/>
        <v>0</v>
      </c>
      <c r="Z41" s="13">
        <f t="shared" si="16"/>
        <v>0</v>
      </c>
      <c r="AA41" s="13">
        <f t="shared" si="16"/>
        <v>3</v>
      </c>
      <c r="AB41" s="13">
        <f t="shared" si="16"/>
        <v>0</v>
      </c>
      <c r="AC41" s="13">
        <f t="shared" si="16"/>
        <v>0</v>
      </c>
      <c r="AD41" s="13">
        <f t="shared" si="16"/>
        <v>0</v>
      </c>
      <c r="AE41" s="13">
        <f t="shared" si="16"/>
        <v>0</v>
      </c>
      <c r="AF41" s="13">
        <f t="shared" si="16"/>
        <v>2</v>
      </c>
      <c r="AG41" s="13">
        <f t="shared" si="16"/>
        <v>0</v>
      </c>
      <c r="AH41" s="13">
        <f t="shared" si="16"/>
        <v>1</v>
      </c>
      <c r="AI41" s="13">
        <f t="shared" si="16"/>
        <v>2</v>
      </c>
      <c r="AJ41" s="13">
        <f t="shared" si="16"/>
        <v>0</v>
      </c>
      <c r="AK41" s="13">
        <f t="shared" si="16"/>
        <v>0</v>
      </c>
      <c r="AL41" s="13">
        <f t="shared" si="16"/>
        <v>0</v>
      </c>
      <c r="AM41" s="13">
        <f t="shared" si="16"/>
        <v>1</v>
      </c>
      <c r="AN41" s="13">
        <f t="shared" si="16"/>
        <v>0</v>
      </c>
      <c r="AO41" s="13">
        <f t="shared" si="16"/>
        <v>1</v>
      </c>
      <c r="AP41" s="13">
        <f t="shared" si="16"/>
        <v>0</v>
      </c>
      <c r="AQ41" s="13">
        <f t="shared" si="16"/>
        <v>0</v>
      </c>
      <c r="AR41" s="13">
        <f t="shared" si="16"/>
        <v>0</v>
      </c>
      <c r="AS41" s="13">
        <f t="shared" si="16"/>
        <v>0</v>
      </c>
      <c r="AT41" s="13">
        <f t="shared" si="16"/>
        <v>0</v>
      </c>
      <c r="AU41" s="13">
        <f t="shared" si="16"/>
        <v>2</v>
      </c>
      <c r="AV41" s="13">
        <f t="shared" si="15"/>
        <v>26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9"/>
      <c r="X42" s="61"/>
      <c r="Y42" s="19"/>
      <c r="Z42" s="19"/>
      <c r="AA42" s="19"/>
      <c r="AB42" s="19"/>
      <c r="AC42" s="61"/>
      <c r="AD42" s="19"/>
      <c r="AE42" s="19"/>
      <c r="AF42" s="19"/>
      <c r="AG42" s="19"/>
      <c r="AH42" s="61"/>
      <c r="AI42" s="19"/>
      <c r="AJ42" s="19"/>
      <c r="AK42" s="19"/>
      <c r="AL42" s="19"/>
      <c r="AM42" s="61"/>
      <c r="AN42" s="19"/>
      <c r="AO42" s="19"/>
      <c r="AP42" s="19"/>
      <c r="AQ42" s="19"/>
      <c r="AR42" s="61"/>
      <c r="AS42" s="19"/>
      <c r="AT42" s="19"/>
      <c r="AU42" s="19"/>
      <c r="AV42" s="13"/>
    </row>
    <row r="43" ht="12.75" customHeight="1">
      <c r="A43" s="44" t="s">
        <v>33</v>
      </c>
      <c r="B43" s="14" t="s">
        <v>34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3"/>
      <c r="O43" s="13"/>
      <c r="P43" s="13"/>
      <c r="Q43" s="13"/>
      <c r="R43" s="13"/>
      <c r="S43" s="63"/>
      <c r="T43" s="13"/>
      <c r="U43" s="13"/>
      <c r="V43" s="13"/>
      <c r="W43" s="13"/>
      <c r="X43" s="63"/>
      <c r="Y43" s="13"/>
      <c r="Z43" s="13"/>
      <c r="AA43" s="13"/>
      <c r="AB43" s="13"/>
      <c r="AC43" s="63"/>
      <c r="AD43" s="13"/>
      <c r="AE43" s="13"/>
      <c r="AF43" s="13"/>
      <c r="AG43" s="13"/>
      <c r="AH43" s="63"/>
      <c r="AI43" s="13"/>
      <c r="AJ43" s="13"/>
      <c r="AK43" s="13"/>
      <c r="AL43" s="13"/>
      <c r="AM43" s="63"/>
      <c r="AN43" s="13"/>
      <c r="AO43" s="13"/>
      <c r="AP43" s="13"/>
      <c r="AQ43" s="13"/>
      <c r="AR43" s="63"/>
      <c r="AS43" s="13"/>
      <c r="AT43" s="13"/>
      <c r="AU43" s="13"/>
      <c r="AV43" s="13"/>
    </row>
    <row r="44" ht="12.75" customHeight="1">
      <c r="A44" s="45" t="s">
        <v>35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9"/>
      <c r="X44" s="61"/>
      <c r="Y44" s="19"/>
      <c r="Z44" s="19"/>
      <c r="AA44" s="19"/>
      <c r="AB44" s="19"/>
      <c r="AC44" s="61"/>
      <c r="AD44" s="19"/>
      <c r="AE44" s="19"/>
      <c r="AF44" s="19"/>
      <c r="AG44" s="19"/>
      <c r="AH44" s="61"/>
      <c r="AI44" s="19"/>
      <c r="AJ44" s="19"/>
      <c r="AK44" s="19"/>
      <c r="AL44" s="19"/>
      <c r="AM44" s="61"/>
      <c r="AN44" s="19"/>
      <c r="AO44" s="19"/>
      <c r="AP44" s="19"/>
      <c r="AQ44" s="19"/>
      <c r="AR44" s="61"/>
      <c r="AS44" s="19"/>
      <c r="AT44" s="19"/>
      <c r="AU44" s="19"/>
      <c r="AV44" s="13"/>
    </row>
    <row r="45" ht="12.75" customHeight="1">
      <c r="A45" s="64"/>
      <c r="B45" s="49">
        <v>1.0</v>
      </c>
      <c r="C45" s="50" t="s">
        <v>36</v>
      </c>
      <c r="D45" s="16"/>
      <c r="E45" s="19">
        <v>16.0</v>
      </c>
      <c r="F45" s="19">
        <v>21.0</v>
      </c>
      <c r="G45" s="19">
        <v>19.0</v>
      </c>
      <c r="H45" s="19">
        <v>22.0</v>
      </c>
      <c r="I45" s="19">
        <v>19.0</v>
      </c>
      <c r="J45" s="19">
        <v>52.0</v>
      </c>
      <c r="K45" s="19">
        <v>37.0</v>
      </c>
      <c r="L45" s="19">
        <v>18.0</v>
      </c>
      <c r="M45" s="19">
        <v>20.0</v>
      </c>
      <c r="N45" s="19">
        <v>32.0</v>
      </c>
      <c r="O45" s="19">
        <v>36.0</v>
      </c>
      <c r="P45" s="19">
        <v>45.0</v>
      </c>
      <c r="Q45" s="19">
        <v>30.0</v>
      </c>
      <c r="R45" s="19">
        <v>15.0</v>
      </c>
      <c r="S45" s="19">
        <v>30.0</v>
      </c>
      <c r="T45" s="19">
        <v>40.0</v>
      </c>
      <c r="U45" s="19">
        <v>34.0</v>
      </c>
      <c r="V45" s="19">
        <v>26.0</v>
      </c>
      <c r="W45" s="19">
        <v>19.0</v>
      </c>
      <c r="X45" s="19">
        <v>29.0</v>
      </c>
      <c r="Y45" s="19">
        <v>24.0</v>
      </c>
      <c r="Z45" s="19">
        <v>43.0</v>
      </c>
      <c r="AA45" s="19">
        <v>33.0</v>
      </c>
      <c r="AB45" s="19">
        <v>20.0</v>
      </c>
      <c r="AC45" s="19">
        <v>32.0</v>
      </c>
      <c r="AD45" s="19">
        <v>37.0</v>
      </c>
      <c r="AE45" s="19">
        <v>64.0</v>
      </c>
      <c r="AF45" s="19">
        <v>52.0</v>
      </c>
      <c r="AG45" s="19">
        <v>31.0</v>
      </c>
      <c r="AH45" s="19">
        <v>50.0</v>
      </c>
      <c r="AI45" s="19">
        <v>40.0</v>
      </c>
      <c r="AJ45" s="19">
        <v>42.0</v>
      </c>
      <c r="AK45" s="19">
        <v>47.0</v>
      </c>
      <c r="AL45" s="19">
        <v>26.0</v>
      </c>
      <c r="AM45" s="19">
        <v>32.0</v>
      </c>
      <c r="AN45" s="19">
        <v>57.0</v>
      </c>
      <c r="AO45" s="19">
        <v>46.0</v>
      </c>
      <c r="AP45" s="19">
        <v>55.0</v>
      </c>
      <c r="AQ45" s="19">
        <v>27.0</v>
      </c>
      <c r="AR45" s="19">
        <v>29.0</v>
      </c>
      <c r="AS45" s="19">
        <v>44.0</v>
      </c>
      <c r="AT45" s="19">
        <v>29.0</v>
      </c>
      <c r="AU45" s="19">
        <v>22.0</v>
      </c>
      <c r="AV45" s="13">
        <f t="shared" ref="AV45:AV47" si="17">SUM(E45:AU45)</f>
        <v>1442</v>
      </c>
    </row>
    <row r="46" ht="12.75" customHeight="1">
      <c r="A46" s="18"/>
      <c r="B46" s="49">
        <v>2.0</v>
      </c>
      <c r="C46" s="50" t="s">
        <v>37</v>
      </c>
      <c r="D46" s="16"/>
      <c r="E46" s="19">
        <v>131.0</v>
      </c>
      <c r="F46" s="19">
        <v>132.0</v>
      </c>
      <c r="G46" s="19">
        <v>123.0</v>
      </c>
      <c r="H46" s="19">
        <v>119.0</v>
      </c>
      <c r="I46" s="19">
        <v>159.0</v>
      </c>
      <c r="J46" s="19">
        <v>129.0</v>
      </c>
      <c r="K46" s="19">
        <v>136.0</v>
      </c>
      <c r="L46" s="19">
        <v>144.0</v>
      </c>
      <c r="M46" s="19">
        <v>137.0</v>
      </c>
      <c r="N46" s="19">
        <v>154.0</v>
      </c>
      <c r="O46" s="19">
        <v>152.0</v>
      </c>
      <c r="P46" s="19">
        <v>130.0</v>
      </c>
      <c r="Q46" s="19">
        <v>141.0</v>
      </c>
      <c r="R46" s="19">
        <v>148.0</v>
      </c>
      <c r="S46" s="19">
        <v>153.0</v>
      </c>
      <c r="T46" s="19">
        <v>146.0</v>
      </c>
      <c r="U46" s="19">
        <v>148.0</v>
      </c>
      <c r="V46" s="19">
        <v>130.0</v>
      </c>
      <c r="W46" s="19">
        <v>171.0</v>
      </c>
      <c r="X46" s="19">
        <v>160.0</v>
      </c>
      <c r="Y46" s="19">
        <v>150.0</v>
      </c>
      <c r="Z46" s="19">
        <v>147.0</v>
      </c>
      <c r="AA46" s="19">
        <v>167.0</v>
      </c>
      <c r="AB46" s="19">
        <v>180.0</v>
      </c>
      <c r="AC46" s="19">
        <v>171.0</v>
      </c>
      <c r="AD46" s="19">
        <v>149.0</v>
      </c>
      <c r="AE46" s="19">
        <v>118.0</v>
      </c>
      <c r="AF46" s="19">
        <v>131.0</v>
      </c>
      <c r="AG46" s="19">
        <v>141.0</v>
      </c>
      <c r="AH46" s="19">
        <v>129.0</v>
      </c>
      <c r="AI46" s="19">
        <v>131.0</v>
      </c>
      <c r="AJ46" s="19">
        <v>133.0</v>
      </c>
      <c r="AK46" s="19">
        <v>145.0</v>
      </c>
      <c r="AL46" s="19">
        <v>103.0</v>
      </c>
      <c r="AM46" s="19">
        <v>133.0</v>
      </c>
      <c r="AN46" s="19">
        <v>122.0</v>
      </c>
      <c r="AO46" s="19">
        <v>122.0</v>
      </c>
      <c r="AP46" s="19">
        <v>123.0</v>
      </c>
      <c r="AQ46" s="19">
        <v>144.0</v>
      </c>
      <c r="AR46" s="19">
        <v>114.0</v>
      </c>
      <c r="AS46" s="19">
        <v>140.0</v>
      </c>
      <c r="AT46" s="19">
        <v>143.0</v>
      </c>
      <c r="AU46" s="19">
        <v>134.0</v>
      </c>
      <c r="AV46" s="13">
        <f t="shared" si="17"/>
        <v>6013</v>
      </c>
    </row>
    <row r="47" ht="12.75" customHeight="1">
      <c r="A47" s="47"/>
      <c r="B47" s="49">
        <v>3.0</v>
      </c>
      <c r="C47" s="50" t="s">
        <v>38</v>
      </c>
      <c r="D47" s="16"/>
      <c r="E47" s="19">
        <v>103.0</v>
      </c>
      <c r="F47" s="19">
        <v>34.0</v>
      </c>
      <c r="G47" s="19">
        <v>37.0</v>
      </c>
      <c r="H47" s="19">
        <v>90.0</v>
      </c>
      <c r="I47" s="19">
        <v>44.0</v>
      </c>
      <c r="J47" s="19">
        <v>31.0</v>
      </c>
      <c r="K47" s="19">
        <v>50.0</v>
      </c>
      <c r="L47" s="19">
        <v>46.0</v>
      </c>
      <c r="M47" s="19">
        <v>50.0</v>
      </c>
      <c r="N47" s="19">
        <v>39.0</v>
      </c>
      <c r="O47" s="19">
        <v>22.0</v>
      </c>
      <c r="P47" s="19">
        <v>39.0</v>
      </c>
      <c r="Q47" s="19">
        <v>38.0</v>
      </c>
      <c r="R47" s="19">
        <v>42.0</v>
      </c>
      <c r="S47" s="19">
        <v>18.0</v>
      </c>
      <c r="T47" s="19">
        <v>26.0</v>
      </c>
      <c r="U47" s="19">
        <v>21.0</v>
      </c>
      <c r="V47" s="19">
        <v>57.0</v>
      </c>
      <c r="W47" s="19">
        <v>31.0</v>
      </c>
      <c r="X47" s="19">
        <v>29.0</v>
      </c>
      <c r="Y47" s="19">
        <v>39.0</v>
      </c>
      <c r="Z47" s="19">
        <v>31.0</v>
      </c>
      <c r="AA47" s="19">
        <v>19.0</v>
      </c>
      <c r="AB47" s="19">
        <v>22.0</v>
      </c>
      <c r="AC47" s="19">
        <v>16.0</v>
      </c>
      <c r="AD47" s="19">
        <v>24.0</v>
      </c>
      <c r="AE47" s="19">
        <v>38.0</v>
      </c>
      <c r="AF47" s="19">
        <v>46.0</v>
      </c>
      <c r="AG47" s="19">
        <v>32.0</v>
      </c>
      <c r="AH47" s="19">
        <v>26.0</v>
      </c>
      <c r="AI47" s="19">
        <v>40.0</v>
      </c>
      <c r="AJ47" s="19">
        <v>49.0</v>
      </c>
      <c r="AK47" s="19">
        <v>38.0</v>
      </c>
      <c r="AL47" s="19">
        <v>15.0</v>
      </c>
      <c r="AM47" s="19">
        <v>24.0</v>
      </c>
      <c r="AN47" s="19">
        <v>27.0</v>
      </c>
      <c r="AO47" s="19">
        <v>20.0</v>
      </c>
      <c r="AP47" s="19">
        <v>36.0</v>
      </c>
      <c r="AQ47" s="19">
        <v>30.0</v>
      </c>
      <c r="AR47" s="19">
        <v>28.0</v>
      </c>
      <c r="AS47" s="19">
        <v>23.0</v>
      </c>
      <c r="AT47" s="19">
        <v>38.0</v>
      </c>
      <c r="AU47" s="19">
        <v>29.0</v>
      </c>
      <c r="AV47" s="13">
        <f t="shared" si="17"/>
        <v>1537</v>
      </c>
    </row>
    <row r="48" ht="12.75" customHeight="1"/>
    <row r="49" ht="12.75" customHeight="1">
      <c r="A49" s="44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3"/>
      <c r="O49" s="13"/>
      <c r="P49" s="13"/>
      <c r="Q49" s="13"/>
      <c r="R49" s="13"/>
      <c r="S49" s="63"/>
      <c r="T49" s="13"/>
      <c r="U49" s="13"/>
      <c r="V49" s="13"/>
      <c r="W49" s="13"/>
      <c r="X49" s="63"/>
      <c r="Y49" s="13"/>
      <c r="Z49" s="13"/>
      <c r="AA49" s="13"/>
      <c r="AB49" s="13"/>
      <c r="AC49" s="63"/>
      <c r="AD49" s="13"/>
      <c r="AE49" s="13"/>
      <c r="AF49" s="13"/>
      <c r="AG49" s="13"/>
      <c r="AH49" s="63"/>
      <c r="AI49" s="13"/>
      <c r="AJ49" s="13"/>
      <c r="AK49" s="13"/>
      <c r="AL49" s="13"/>
      <c r="AM49" s="63"/>
      <c r="AN49" s="13"/>
      <c r="AO49" s="13"/>
      <c r="AP49" s="13"/>
      <c r="AQ49" s="13"/>
      <c r="AR49" s="63"/>
      <c r="AS49" s="13"/>
      <c r="AT49" s="13"/>
      <c r="AU49" s="13"/>
      <c r="AV49" s="13"/>
    </row>
    <row r="50" ht="12.75" customHeight="1">
      <c r="A50" s="44"/>
      <c r="B50" s="56" t="s">
        <v>41</v>
      </c>
      <c r="C50" s="57" t="s">
        <v>42</v>
      </c>
      <c r="D50" s="16"/>
      <c r="E50" s="19">
        <f t="shared" ref="E50:AU50" si="18">SUM(E45:E47)</f>
        <v>250</v>
      </c>
      <c r="F50" s="19">
        <f t="shared" si="18"/>
        <v>187</v>
      </c>
      <c r="G50" s="19">
        <f t="shared" si="18"/>
        <v>179</v>
      </c>
      <c r="H50" s="19">
        <f t="shared" si="18"/>
        <v>231</v>
      </c>
      <c r="I50" s="19">
        <f t="shared" si="18"/>
        <v>222</v>
      </c>
      <c r="J50" s="19">
        <f t="shared" si="18"/>
        <v>212</v>
      </c>
      <c r="K50" s="19">
        <f t="shared" si="18"/>
        <v>223</v>
      </c>
      <c r="L50" s="19">
        <f t="shared" si="18"/>
        <v>208</v>
      </c>
      <c r="M50" s="19">
        <f t="shared" si="18"/>
        <v>207</v>
      </c>
      <c r="N50" s="19">
        <f t="shared" si="18"/>
        <v>225</v>
      </c>
      <c r="O50" s="19">
        <f t="shared" si="18"/>
        <v>210</v>
      </c>
      <c r="P50" s="19">
        <f t="shared" si="18"/>
        <v>214</v>
      </c>
      <c r="Q50" s="19">
        <f t="shared" si="18"/>
        <v>209</v>
      </c>
      <c r="R50" s="19">
        <f t="shared" si="18"/>
        <v>205</v>
      </c>
      <c r="S50" s="19">
        <f t="shared" si="18"/>
        <v>201</v>
      </c>
      <c r="T50" s="19">
        <f t="shared" si="18"/>
        <v>212</v>
      </c>
      <c r="U50" s="19">
        <f t="shared" si="18"/>
        <v>203</v>
      </c>
      <c r="V50" s="19">
        <f t="shared" si="18"/>
        <v>213</v>
      </c>
      <c r="W50" s="19">
        <f t="shared" si="18"/>
        <v>221</v>
      </c>
      <c r="X50" s="19">
        <f t="shared" si="18"/>
        <v>218</v>
      </c>
      <c r="Y50" s="19">
        <f t="shared" si="18"/>
        <v>213</v>
      </c>
      <c r="Z50" s="19">
        <f t="shared" si="18"/>
        <v>221</v>
      </c>
      <c r="AA50" s="19">
        <f t="shared" si="18"/>
        <v>219</v>
      </c>
      <c r="AB50" s="19">
        <f t="shared" si="18"/>
        <v>222</v>
      </c>
      <c r="AC50" s="19">
        <f t="shared" si="18"/>
        <v>219</v>
      </c>
      <c r="AD50" s="19">
        <f t="shared" si="18"/>
        <v>210</v>
      </c>
      <c r="AE50" s="19">
        <f t="shared" si="18"/>
        <v>220</v>
      </c>
      <c r="AF50" s="19">
        <f t="shared" si="18"/>
        <v>229</v>
      </c>
      <c r="AG50" s="19">
        <f t="shared" si="18"/>
        <v>204</v>
      </c>
      <c r="AH50" s="19">
        <f t="shared" si="18"/>
        <v>205</v>
      </c>
      <c r="AI50" s="19">
        <f t="shared" si="18"/>
        <v>211</v>
      </c>
      <c r="AJ50" s="19">
        <f t="shared" si="18"/>
        <v>224</v>
      </c>
      <c r="AK50" s="19">
        <f t="shared" si="18"/>
        <v>230</v>
      </c>
      <c r="AL50" s="19">
        <f t="shared" si="18"/>
        <v>144</v>
      </c>
      <c r="AM50" s="19">
        <f t="shared" si="18"/>
        <v>189</v>
      </c>
      <c r="AN50" s="19">
        <f t="shared" si="18"/>
        <v>206</v>
      </c>
      <c r="AO50" s="19">
        <f t="shared" si="18"/>
        <v>188</v>
      </c>
      <c r="AP50" s="19">
        <f t="shared" si="18"/>
        <v>214</v>
      </c>
      <c r="AQ50" s="19">
        <f t="shared" si="18"/>
        <v>201</v>
      </c>
      <c r="AR50" s="19">
        <f t="shared" si="18"/>
        <v>171</v>
      </c>
      <c r="AS50" s="19">
        <f t="shared" si="18"/>
        <v>207</v>
      </c>
      <c r="AT50" s="19">
        <f t="shared" si="18"/>
        <v>210</v>
      </c>
      <c r="AU50" s="19">
        <f t="shared" si="18"/>
        <v>185</v>
      </c>
      <c r="AV50" s="13">
        <f t="shared" ref="AV50:AV52" si="19">SUM(E50:AU50)</f>
        <v>8992</v>
      </c>
    </row>
    <row r="51" ht="12.75" customHeight="1">
      <c r="A51" s="36"/>
      <c r="B51" s="56" t="s">
        <v>43</v>
      </c>
      <c r="C51" s="57" t="s">
        <v>44</v>
      </c>
      <c r="D51" s="16"/>
      <c r="E51" s="19">
        <v>3.0</v>
      </c>
      <c r="F51" s="19">
        <v>3.0</v>
      </c>
      <c r="G51" s="19">
        <v>4.0</v>
      </c>
      <c r="H51" s="19">
        <v>1.0</v>
      </c>
      <c r="I51" s="19">
        <v>4.0</v>
      </c>
      <c r="J51" s="19">
        <v>1.0</v>
      </c>
      <c r="K51" s="19">
        <v>5.0</v>
      </c>
      <c r="L51" s="19">
        <v>6.0</v>
      </c>
      <c r="M51" s="19">
        <v>4.0</v>
      </c>
      <c r="N51" s="19">
        <v>2.0</v>
      </c>
      <c r="O51" s="19">
        <v>2.0</v>
      </c>
      <c r="P51" s="19">
        <v>1.0</v>
      </c>
      <c r="Q51" s="19">
        <v>2.0</v>
      </c>
      <c r="R51" s="19">
        <v>4.0</v>
      </c>
      <c r="S51" s="19">
        <v>4.0</v>
      </c>
      <c r="T51" s="19">
        <v>4.0</v>
      </c>
      <c r="U51" s="19">
        <v>8.0</v>
      </c>
      <c r="V51" s="19">
        <v>2.0</v>
      </c>
      <c r="W51" s="19">
        <v>7.0</v>
      </c>
      <c r="X51" s="19">
        <v>10.0</v>
      </c>
      <c r="Y51" s="19">
        <v>7.0</v>
      </c>
      <c r="Z51" s="19">
        <v>5.0</v>
      </c>
      <c r="AA51" s="19">
        <v>7.0</v>
      </c>
      <c r="AB51" s="19">
        <v>5.0</v>
      </c>
      <c r="AC51" s="19">
        <v>0.0</v>
      </c>
      <c r="AD51" s="19">
        <v>4.0</v>
      </c>
      <c r="AE51" s="19">
        <v>4.0</v>
      </c>
      <c r="AF51" s="19">
        <v>6.0</v>
      </c>
      <c r="AG51" s="19">
        <v>2.0</v>
      </c>
      <c r="AH51" s="19">
        <v>3.0</v>
      </c>
      <c r="AI51" s="19">
        <v>4.0</v>
      </c>
      <c r="AJ51" s="19">
        <v>6.0</v>
      </c>
      <c r="AK51" s="19">
        <v>4.0</v>
      </c>
      <c r="AL51" s="19">
        <v>1.0</v>
      </c>
      <c r="AM51" s="19">
        <v>0.0</v>
      </c>
      <c r="AN51" s="19">
        <v>2.0</v>
      </c>
      <c r="AO51" s="19">
        <v>2.0</v>
      </c>
      <c r="AP51" s="19">
        <v>3.0</v>
      </c>
      <c r="AQ51" s="19">
        <v>6.0</v>
      </c>
      <c r="AR51" s="19">
        <v>1.0</v>
      </c>
      <c r="AS51" s="19">
        <v>3.0</v>
      </c>
      <c r="AT51" s="19">
        <v>3.0</v>
      </c>
      <c r="AU51" s="19">
        <v>0.0</v>
      </c>
      <c r="AV51" s="13">
        <f t="shared" si="19"/>
        <v>155</v>
      </c>
    </row>
    <row r="52" ht="12.75" customHeight="1">
      <c r="A52" s="43"/>
      <c r="B52" s="56" t="s">
        <v>45</v>
      </c>
      <c r="C52" s="57" t="s">
        <v>46</v>
      </c>
      <c r="D52" s="16"/>
      <c r="E52" s="13">
        <f t="shared" ref="E52:AU52" si="20">SUM(E50:E51)</f>
        <v>253</v>
      </c>
      <c r="F52" s="13">
        <f t="shared" si="20"/>
        <v>190</v>
      </c>
      <c r="G52" s="13">
        <f t="shared" si="20"/>
        <v>183</v>
      </c>
      <c r="H52" s="13">
        <f t="shared" si="20"/>
        <v>232</v>
      </c>
      <c r="I52" s="13">
        <f t="shared" si="20"/>
        <v>226</v>
      </c>
      <c r="J52" s="13">
        <f t="shared" si="20"/>
        <v>213</v>
      </c>
      <c r="K52" s="13">
        <f t="shared" si="20"/>
        <v>228</v>
      </c>
      <c r="L52" s="13">
        <f t="shared" si="20"/>
        <v>214</v>
      </c>
      <c r="M52" s="13">
        <f t="shared" si="20"/>
        <v>211</v>
      </c>
      <c r="N52" s="13">
        <f t="shared" si="20"/>
        <v>227</v>
      </c>
      <c r="O52" s="13">
        <f t="shared" si="20"/>
        <v>212</v>
      </c>
      <c r="P52" s="13">
        <f t="shared" si="20"/>
        <v>215</v>
      </c>
      <c r="Q52" s="13">
        <f t="shared" si="20"/>
        <v>211</v>
      </c>
      <c r="R52" s="13">
        <f t="shared" si="20"/>
        <v>209</v>
      </c>
      <c r="S52" s="13">
        <f t="shared" si="20"/>
        <v>205</v>
      </c>
      <c r="T52" s="13">
        <f t="shared" si="20"/>
        <v>216</v>
      </c>
      <c r="U52" s="13">
        <f t="shared" si="20"/>
        <v>211</v>
      </c>
      <c r="V52" s="13">
        <f t="shared" si="20"/>
        <v>215</v>
      </c>
      <c r="W52" s="13">
        <f t="shared" si="20"/>
        <v>228</v>
      </c>
      <c r="X52" s="13">
        <f t="shared" si="20"/>
        <v>228</v>
      </c>
      <c r="Y52" s="13">
        <f t="shared" si="20"/>
        <v>220</v>
      </c>
      <c r="Z52" s="13">
        <f t="shared" si="20"/>
        <v>226</v>
      </c>
      <c r="AA52" s="13">
        <f t="shared" si="20"/>
        <v>226</v>
      </c>
      <c r="AB52" s="13">
        <f t="shared" si="20"/>
        <v>227</v>
      </c>
      <c r="AC52" s="13">
        <f t="shared" si="20"/>
        <v>219</v>
      </c>
      <c r="AD52" s="13">
        <f t="shared" si="20"/>
        <v>214</v>
      </c>
      <c r="AE52" s="13">
        <f t="shared" si="20"/>
        <v>224</v>
      </c>
      <c r="AF52" s="13">
        <f t="shared" si="20"/>
        <v>235</v>
      </c>
      <c r="AG52" s="13">
        <f t="shared" si="20"/>
        <v>206</v>
      </c>
      <c r="AH52" s="13">
        <f t="shared" si="20"/>
        <v>208</v>
      </c>
      <c r="AI52" s="13">
        <f t="shared" si="20"/>
        <v>215</v>
      </c>
      <c r="AJ52" s="13">
        <f t="shared" si="20"/>
        <v>230</v>
      </c>
      <c r="AK52" s="13">
        <f t="shared" si="20"/>
        <v>234</v>
      </c>
      <c r="AL52" s="13">
        <f t="shared" si="20"/>
        <v>145</v>
      </c>
      <c r="AM52" s="13">
        <f t="shared" si="20"/>
        <v>189</v>
      </c>
      <c r="AN52" s="13">
        <f t="shared" si="20"/>
        <v>208</v>
      </c>
      <c r="AO52" s="13">
        <f t="shared" si="20"/>
        <v>190</v>
      </c>
      <c r="AP52" s="13">
        <f t="shared" si="20"/>
        <v>217</v>
      </c>
      <c r="AQ52" s="13">
        <f t="shared" si="20"/>
        <v>207</v>
      </c>
      <c r="AR52" s="13">
        <f t="shared" si="20"/>
        <v>172</v>
      </c>
      <c r="AS52" s="13">
        <f t="shared" si="20"/>
        <v>210</v>
      </c>
      <c r="AT52" s="13">
        <f t="shared" si="20"/>
        <v>213</v>
      </c>
      <c r="AU52" s="13">
        <f t="shared" si="20"/>
        <v>185</v>
      </c>
      <c r="AV52" s="13">
        <f t="shared" si="19"/>
        <v>9147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AV12:AV13"/>
    <mergeCell ref="B13:D13"/>
    <mergeCell ref="B14:C16"/>
    <mergeCell ref="A17:D17"/>
    <mergeCell ref="B18:D18"/>
    <mergeCell ref="E12:AU12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U15 E45:AU47">
    <cfRule type="containsBlanks" dxfId="1" priority="1">
      <formula>LEN(TRIM(E14))=0</formula>
    </cfRule>
  </conditionalFormatting>
  <conditionalFormatting sqref="E19:AU20">
    <cfRule type="containsBlanks" dxfId="1" priority="2">
      <formula>LEN(TRIM(E19))=0</formula>
    </cfRule>
  </conditionalFormatting>
  <conditionalFormatting sqref="E22:AU23 E25:AU26 E33:AU33 E35:AU35 E39:AU40">
    <cfRule type="containsBlanks" dxfId="1" priority="3">
      <formula>LEN(TRIM(E22))=0</formula>
    </cfRule>
  </conditionalFormatting>
  <conditionalFormatting sqref="E30:AU30">
    <cfRule type="expression" dxfId="0" priority="4">
      <formula>E30&lt;&gt;E46</formula>
    </cfRule>
  </conditionalFormatting>
  <conditionalFormatting sqref="E30:AU30">
    <cfRule type="expression" dxfId="0" priority="5">
      <formula>E30&lt;&gt;E34</formula>
    </cfRule>
  </conditionalFormatting>
  <conditionalFormatting sqref="E34:AU34">
    <cfRule type="expression" dxfId="2" priority="6">
      <formula>E30&lt;&gt;E34</formula>
    </cfRule>
  </conditionalFormatting>
  <conditionalFormatting sqref="E34:AU34">
    <cfRule type="expression" dxfId="3" priority="7">
      <formula>E30=E34</formula>
    </cfRule>
  </conditionalFormatting>
  <conditionalFormatting sqref="E34:AU34">
    <cfRule type="expression" dxfId="0" priority="8">
      <formula>E34&lt;&gt;E30</formula>
    </cfRule>
  </conditionalFormatting>
  <conditionalFormatting sqref="E34:AU34">
    <cfRule type="expression" dxfId="0" priority="9">
      <formula>E34&lt;&gt;#REF!</formula>
    </cfRule>
  </conditionalFormatting>
  <conditionalFormatting sqref="E50:AU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</row>
    <row r="12" ht="12.75" customHeight="1">
      <c r="A12" s="13" t="s">
        <v>5</v>
      </c>
      <c r="B12" s="14" t="s">
        <v>6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60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13" t="s">
        <v>61</v>
      </c>
      <c r="S13" s="13" t="s">
        <v>62</v>
      </c>
      <c r="T13" s="13" t="s">
        <v>63</v>
      </c>
      <c r="U13" s="13" t="s">
        <v>64</v>
      </c>
      <c r="V13" s="13" t="s">
        <v>65</v>
      </c>
      <c r="W13" s="13" t="s">
        <v>66</v>
      </c>
      <c r="X13" s="13" t="s">
        <v>67</v>
      </c>
      <c r="Y13" s="13" t="s">
        <v>68</v>
      </c>
      <c r="Z13" s="13" t="s">
        <v>69</v>
      </c>
      <c r="AA13" s="13" t="s">
        <v>70</v>
      </c>
      <c r="AB13" s="13" t="s">
        <v>71</v>
      </c>
      <c r="AC13" s="37"/>
    </row>
    <row r="14" ht="12.75" customHeight="1">
      <c r="A14" s="18"/>
      <c r="B14" s="22" t="s">
        <v>10</v>
      </c>
      <c r="C14" s="23"/>
      <c r="D14" s="19" t="s">
        <v>11</v>
      </c>
      <c r="E14" s="19">
        <v>88.0</v>
      </c>
      <c r="F14" s="19">
        <v>112.0</v>
      </c>
      <c r="G14" s="19">
        <v>144.0</v>
      </c>
      <c r="H14" s="19">
        <v>112.0</v>
      </c>
      <c r="I14" s="19">
        <v>130.0</v>
      </c>
      <c r="J14" s="19">
        <v>147.0</v>
      </c>
      <c r="K14" s="19">
        <v>145.0</v>
      </c>
      <c r="L14" s="19">
        <v>148.0</v>
      </c>
      <c r="M14" s="19">
        <v>125.0</v>
      </c>
      <c r="N14" s="19">
        <v>122.0</v>
      </c>
      <c r="O14" s="19">
        <v>120.0</v>
      </c>
      <c r="P14" s="19">
        <v>148.0</v>
      </c>
      <c r="Q14" s="19">
        <v>148.0</v>
      </c>
      <c r="R14" s="19">
        <v>139.0</v>
      </c>
      <c r="S14" s="19">
        <v>100.0</v>
      </c>
      <c r="T14" s="19">
        <v>141.0</v>
      </c>
      <c r="U14" s="19">
        <v>139.0</v>
      </c>
      <c r="V14" s="19">
        <v>139.0</v>
      </c>
      <c r="W14" s="19">
        <v>139.0</v>
      </c>
      <c r="X14" s="19">
        <v>137.0</v>
      </c>
      <c r="Y14" s="19">
        <v>122.0</v>
      </c>
      <c r="Z14" s="19">
        <v>109.0</v>
      </c>
      <c r="AA14" s="19">
        <v>124.0</v>
      </c>
      <c r="AB14" s="19">
        <v>127.0</v>
      </c>
      <c r="AC14" s="13">
        <f t="shared" ref="AC14:AC16" si="1">SUM(E14:AB14)</f>
        <v>3105</v>
      </c>
    </row>
    <row r="15" ht="12.75" customHeight="1">
      <c r="A15" s="18"/>
      <c r="B15" s="26"/>
      <c r="C15" s="27"/>
      <c r="D15" s="19" t="s">
        <v>12</v>
      </c>
      <c r="E15" s="19">
        <v>84.0</v>
      </c>
      <c r="F15" s="19">
        <v>119.0</v>
      </c>
      <c r="G15" s="19">
        <v>147.0</v>
      </c>
      <c r="H15" s="19">
        <v>118.0</v>
      </c>
      <c r="I15" s="19">
        <v>144.0</v>
      </c>
      <c r="J15" s="19">
        <v>150.0</v>
      </c>
      <c r="K15" s="19">
        <v>150.0</v>
      </c>
      <c r="L15" s="19">
        <v>143.0</v>
      </c>
      <c r="M15" s="19">
        <v>136.0</v>
      </c>
      <c r="N15" s="19">
        <v>125.0</v>
      </c>
      <c r="O15" s="19">
        <v>132.0</v>
      </c>
      <c r="P15" s="19">
        <v>146.0</v>
      </c>
      <c r="Q15" s="19">
        <v>140.0</v>
      </c>
      <c r="R15" s="19">
        <v>146.0</v>
      </c>
      <c r="S15" s="19">
        <v>100.0</v>
      </c>
      <c r="T15" s="19">
        <v>143.0</v>
      </c>
      <c r="U15" s="19">
        <v>142.0</v>
      </c>
      <c r="V15" s="19">
        <v>139.0</v>
      </c>
      <c r="W15" s="19">
        <v>145.0</v>
      </c>
      <c r="X15" s="19">
        <v>130.0</v>
      </c>
      <c r="Y15" s="19">
        <v>130.0</v>
      </c>
      <c r="Z15" s="19">
        <v>108.0</v>
      </c>
      <c r="AA15" s="19">
        <v>132.0</v>
      </c>
      <c r="AB15" s="19">
        <v>123.0</v>
      </c>
      <c r="AC15" s="13">
        <f t="shared" si="1"/>
        <v>3172</v>
      </c>
    </row>
    <row r="16" ht="12.75" customHeight="1">
      <c r="A16" s="25"/>
      <c r="B16" s="21"/>
      <c r="C16" s="28"/>
      <c r="D16" s="13" t="s">
        <v>13</v>
      </c>
      <c r="E16" s="13">
        <f t="shared" ref="E16:AB16" si="2">SUM(E14:E15)</f>
        <v>172</v>
      </c>
      <c r="F16" s="13">
        <f t="shared" si="2"/>
        <v>231</v>
      </c>
      <c r="G16" s="13">
        <f t="shared" si="2"/>
        <v>291</v>
      </c>
      <c r="H16" s="13">
        <f t="shared" si="2"/>
        <v>230</v>
      </c>
      <c r="I16" s="13">
        <f t="shared" si="2"/>
        <v>274</v>
      </c>
      <c r="J16" s="13">
        <f t="shared" si="2"/>
        <v>297</v>
      </c>
      <c r="K16" s="13">
        <f t="shared" si="2"/>
        <v>295</v>
      </c>
      <c r="L16" s="13">
        <f t="shared" si="2"/>
        <v>291</v>
      </c>
      <c r="M16" s="13">
        <f t="shared" si="2"/>
        <v>261</v>
      </c>
      <c r="N16" s="13">
        <f t="shared" si="2"/>
        <v>247</v>
      </c>
      <c r="O16" s="13">
        <f t="shared" si="2"/>
        <v>252</v>
      </c>
      <c r="P16" s="13">
        <f t="shared" si="2"/>
        <v>294</v>
      </c>
      <c r="Q16" s="13">
        <f t="shared" si="2"/>
        <v>288</v>
      </c>
      <c r="R16" s="13">
        <f t="shared" si="2"/>
        <v>285</v>
      </c>
      <c r="S16" s="13">
        <f t="shared" si="2"/>
        <v>200</v>
      </c>
      <c r="T16" s="13">
        <f t="shared" si="2"/>
        <v>284</v>
      </c>
      <c r="U16" s="13">
        <f t="shared" si="2"/>
        <v>281</v>
      </c>
      <c r="V16" s="13">
        <f t="shared" si="2"/>
        <v>278</v>
      </c>
      <c r="W16" s="13">
        <f t="shared" si="2"/>
        <v>284</v>
      </c>
      <c r="X16" s="13">
        <f t="shared" si="2"/>
        <v>267</v>
      </c>
      <c r="Y16" s="13">
        <f t="shared" si="2"/>
        <v>252</v>
      </c>
      <c r="Z16" s="13">
        <f t="shared" si="2"/>
        <v>217</v>
      </c>
      <c r="AA16" s="13">
        <f t="shared" si="2"/>
        <v>256</v>
      </c>
      <c r="AB16" s="13">
        <f t="shared" si="2"/>
        <v>250</v>
      </c>
      <c r="AC16" s="13">
        <f t="shared" si="1"/>
        <v>6277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19"/>
      <c r="X17" s="61"/>
      <c r="Y17" s="19"/>
      <c r="Z17" s="19"/>
      <c r="AA17" s="19"/>
      <c r="AB17" s="19"/>
      <c r="AC17" s="62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19"/>
      <c r="X18" s="61"/>
      <c r="Y18" s="19"/>
      <c r="Z18" s="19"/>
      <c r="AA18" s="19"/>
      <c r="AB18" s="19"/>
      <c r="AC18" s="62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19">
        <v>63.0</v>
      </c>
      <c r="F19" s="19">
        <v>88.0</v>
      </c>
      <c r="G19" s="19">
        <v>101.0</v>
      </c>
      <c r="H19" s="19">
        <v>80.0</v>
      </c>
      <c r="I19" s="19">
        <v>104.0</v>
      </c>
      <c r="J19" s="19">
        <v>117.0</v>
      </c>
      <c r="K19" s="19">
        <v>117.0</v>
      </c>
      <c r="L19" s="19">
        <v>124.0</v>
      </c>
      <c r="M19" s="19">
        <v>96.0</v>
      </c>
      <c r="N19" s="19">
        <v>98.0</v>
      </c>
      <c r="O19" s="19">
        <v>106.0</v>
      </c>
      <c r="P19" s="19">
        <v>124.0</v>
      </c>
      <c r="Q19" s="19">
        <v>111.0</v>
      </c>
      <c r="R19" s="19">
        <v>115.0</v>
      </c>
      <c r="S19" s="19">
        <v>94.0</v>
      </c>
      <c r="T19" s="19">
        <v>121.0</v>
      </c>
      <c r="U19" s="19">
        <v>120.0</v>
      </c>
      <c r="V19" s="19">
        <v>123.0</v>
      </c>
      <c r="W19" s="19">
        <v>112.0</v>
      </c>
      <c r="X19" s="19">
        <v>114.0</v>
      </c>
      <c r="Y19" s="19">
        <v>105.0</v>
      </c>
      <c r="Z19" s="19">
        <v>87.0</v>
      </c>
      <c r="AA19" s="19">
        <v>99.0</v>
      </c>
      <c r="AB19" s="19">
        <v>97.0</v>
      </c>
      <c r="AC19" s="13">
        <f t="shared" ref="AC19:AC30" si="3">SUM(E19:AB19)</f>
        <v>2516</v>
      </c>
    </row>
    <row r="20" ht="12.75" customHeight="1">
      <c r="A20" s="34"/>
      <c r="B20" s="27"/>
      <c r="C20" s="35"/>
      <c r="D20" s="19" t="s">
        <v>12</v>
      </c>
      <c r="E20" s="19">
        <v>73.0</v>
      </c>
      <c r="F20" s="19">
        <v>104.0</v>
      </c>
      <c r="G20" s="19">
        <v>118.0</v>
      </c>
      <c r="H20" s="19">
        <v>97.0</v>
      </c>
      <c r="I20" s="19">
        <v>133.0</v>
      </c>
      <c r="J20" s="19">
        <v>129.0</v>
      </c>
      <c r="K20" s="19">
        <v>128.0</v>
      </c>
      <c r="L20" s="19">
        <v>127.0</v>
      </c>
      <c r="M20" s="19">
        <v>107.0</v>
      </c>
      <c r="N20" s="19">
        <v>106.0</v>
      </c>
      <c r="O20" s="19">
        <v>122.0</v>
      </c>
      <c r="P20" s="19">
        <v>125.0</v>
      </c>
      <c r="Q20" s="19">
        <v>116.0</v>
      </c>
      <c r="R20" s="19">
        <v>123.0</v>
      </c>
      <c r="S20" s="19">
        <v>94.0</v>
      </c>
      <c r="T20" s="19">
        <v>122.0</v>
      </c>
      <c r="U20" s="19">
        <v>121.0</v>
      </c>
      <c r="V20" s="19">
        <v>120.0</v>
      </c>
      <c r="W20" s="19">
        <v>122.0</v>
      </c>
      <c r="X20" s="19">
        <v>108.0</v>
      </c>
      <c r="Y20" s="19">
        <v>107.0</v>
      </c>
      <c r="Z20" s="19">
        <v>89.0</v>
      </c>
      <c r="AA20" s="19">
        <v>118.0</v>
      </c>
      <c r="AB20" s="19">
        <v>96.0</v>
      </c>
      <c r="AC20" s="13">
        <f t="shared" si="3"/>
        <v>2705</v>
      </c>
    </row>
    <row r="21" ht="12.75" customHeight="1">
      <c r="A21" s="36"/>
      <c r="B21" s="28"/>
      <c r="C21" s="37"/>
      <c r="D21" s="13" t="s">
        <v>13</v>
      </c>
      <c r="E21" s="13">
        <f t="shared" ref="E21:AB21" si="4">SUM(E19:E20)</f>
        <v>136</v>
      </c>
      <c r="F21" s="13">
        <f t="shared" si="4"/>
        <v>192</v>
      </c>
      <c r="G21" s="13">
        <f t="shared" si="4"/>
        <v>219</v>
      </c>
      <c r="H21" s="13">
        <f t="shared" si="4"/>
        <v>177</v>
      </c>
      <c r="I21" s="13">
        <f t="shared" si="4"/>
        <v>237</v>
      </c>
      <c r="J21" s="13">
        <f t="shared" si="4"/>
        <v>246</v>
      </c>
      <c r="K21" s="13">
        <f t="shared" si="4"/>
        <v>245</v>
      </c>
      <c r="L21" s="13">
        <f t="shared" si="4"/>
        <v>251</v>
      </c>
      <c r="M21" s="13">
        <f t="shared" si="4"/>
        <v>203</v>
      </c>
      <c r="N21" s="13">
        <f t="shared" si="4"/>
        <v>204</v>
      </c>
      <c r="O21" s="13">
        <f t="shared" si="4"/>
        <v>228</v>
      </c>
      <c r="P21" s="13">
        <f t="shared" si="4"/>
        <v>249</v>
      </c>
      <c r="Q21" s="13">
        <f t="shared" si="4"/>
        <v>227</v>
      </c>
      <c r="R21" s="13">
        <f t="shared" si="4"/>
        <v>238</v>
      </c>
      <c r="S21" s="13">
        <f t="shared" si="4"/>
        <v>188</v>
      </c>
      <c r="T21" s="13">
        <f t="shared" si="4"/>
        <v>243</v>
      </c>
      <c r="U21" s="13">
        <f t="shared" si="4"/>
        <v>241</v>
      </c>
      <c r="V21" s="13">
        <f t="shared" si="4"/>
        <v>243</v>
      </c>
      <c r="W21" s="13">
        <f t="shared" si="4"/>
        <v>234</v>
      </c>
      <c r="X21" s="13">
        <f t="shared" si="4"/>
        <v>222</v>
      </c>
      <c r="Y21" s="13">
        <f t="shared" si="4"/>
        <v>212</v>
      </c>
      <c r="Z21" s="13">
        <f t="shared" si="4"/>
        <v>176</v>
      </c>
      <c r="AA21" s="13">
        <f t="shared" si="4"/>
        <v>217</v>
      </c>
      <c r="AB21" s="13">
        <f t="shared" si="4"/>
        <v>193</v>
      </c>
      <c r="AC21" s="13">
        <f t="shared" si="3"/>
        <v>5221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1.0</v>
      </c>
      <c r="AB22" s="19">
        <v>0.0</v>
      </c>
      <c r="AC22" s="13">
        <f t="shared" si="3"/>
        <v>4</v>
      </c>
    </row>
    <row r="23" ht="12.75" customHeight="1">
      <c r="A23" s="34"/>
      <c r="B23" s="27"/>
      <c r="C23" s="35"/>
      <c r="D23" s="19" t="s">
        <v>12</v>
      </c>
      <c r="E23" s="19">
        <v>1.0</v>
      </c>
      <c r="F23" s="19">
        <v>0.0</v>
      </c>
      <c r="G23" s="19">
        <v>1.0</v>
      </c>
      <c r="H23" s="19">
        <v>0.0</v>
      </c>
      <c r="I23" s="19">
        <v>1.0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2.0</v>
      </c>
      <c r="R23" s="19">
        <v>0.0</v>
      </c>
      <c r="S23" s="19">
        <v>1.0</v>
      </c>
      <c r="T23" s="19">
        <v>0.0</v>
      </c>
      <c r="U23" s="19">
        <v>0.0</v>
      </c>
      <c r="V23" s="19">
        <v>0.0</v>
      </c>
      <c r="W23" s="19">
        <v>1.0</v>
      </c>
      <c r="X23" s="19">
        <v>0.0</v>
      </c>
      <c r="Y23" s="19">
        <v>0.0</v>
      </c>
      <c r="Z23" s="19">
        <v>0.0</v>
      </c>
      <c r="AA23" s="19">
        <v>1.0</v>
      </c>
      <c r="AB23" s="19">
        <v>1.0</v>
      </c>
      <c r="AC23" s="13">
        <f t="shared" si="3"/>
        <v>10</v>
      </c>
    </row>
    <row r="24" ht="12.75" customHeight="1">
      <c r="A24" s="36"/>
      <c r="B24" s="28"/>
      <c r="C24" s="37"/>
      <c r="D24" s="13" t="s">
        <v>13</v>
      </c>
      <c r="E24" s="13">
        <f t="shared" ref="E24:AB24" si="5">SUM(E22:E23)</f>
        <v>1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3</v>
      </c>
      <c r="R24" s="13">
        <f t="shared" si="5"/>
        <v>0</v>
      </c>
      <c r="S24" s="13">
        <f t="shared" si="5"/>
        <v>1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2</v>
      </c>
      <c r="AB24" s="13">
        <f t="shared" si="5"/>
        <v>1</v>
      </c>
      <c r="AC24" s="13">
        <f t="shared" si="3"/>
        <v>14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19">
        <v>0.0</v>
      </c>
      <c r="F25" s="19">
        <v>1.0</v>
      </c>
      <c r="G25" s="19">
        <v>0.0</v>
      </c>
      <c r="H25" s="19">
        <v>0.0</v>
      </c>
      <c r="I25" s="19">
        <v>1.0</v>
      </c>
      <c r="J25" s="19">
        <v>0.0</v>
      </c>
      <c r="K25" s="19">
        <v>1.0</v>
      </c>
      <c r="L25" s="19">
        <v>1.0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3.0</v>
      </c>
      <c r="W25" s="19">
        <v>1.0</v>
      </c>
      <c r="X25" s="19">
        <v>3.0</v>
      </c>
      <c r="Y25" s="19">
        <v>3.0</v>
      </c>
      <c r="Z25" s="19">
        <v>0.0</v>
      </c>
      <c r="AA25" s="19">
        <v>0.0</v>
      </c>
      <c r="AB25" s="19">
        <v>1.0</v>
      </c>
      <c r="AC25" s="13">
        <f t="shared" si="3"/>
        <v>15</v>
      </c>
    </row>
    <row r="26" ht="12.75" customHeight="1">
      <c r="A26" s="34"/>
      <c r="B26" s="27"/>
      <c r="C26" s="35"/>
      <c r="D26" s="19" t="s">
        <v>12</v>
      </c>
      <c r="E26" s="19">
        <v>1.0</v>
      </c>
      <c r="F26" s="19">
        <v>3.0</v>
      </c>
      <c r="G26" s="19">
        <v>1.0</v>
      </c>
      <c r="H26" s="19">
        <v>1.0</v>
      </c>
      <c r="I26" s="19">
        <v>0.0</v>
      </c>
      <c r="J26" s="19">
        <v>0.0</v>
      </c>
      <c r="K26" s="19">
        <v>2.0</v>
      </c>
      <c r="L26" s="19">
        <v>1.0</v>
      </c>
      <c r="M26" s="19">
        <v>1.0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1.0</v>
      </c>
      <c r="V26" s="19">
        <v>0.0</v>
      </c>
      <c r="W26" s="19">
        <v>1.0</v>
      </c>
      <c r="X26" s="19">
        <v>2.0</v>
      </c>
      <c r="Y26" s="19">
        <v>2.0</v>
      </c>
      <c r="Z26" s="19">
        <v>0.0</v>
      </c>
      <c r="AA26" s="19">
        <v>0.0</v>
      </c>
      <c r="AB26" s="19">
        <v>1.0</v>
      </c>
      <c r="AC26" s="13">
        <f t="shared" si="3"/>
        <v>17</v>
      </c>
    </row>
    <row r="27" ht="12.75" customHeight="1">
      <c r="A27" s="36"/>
      <c r="B27" s="28"/>
      <c r="C27" s="37"/>
      <c r="D27" s="13" t="s">
        <v>13</v>
      </c>
      <c r="E27" s="13">
        <f t="shared" ref="E27:AB27" si="6">SUM(E25:E26)</f>
        <v>1</v>
      </c>
      <c r="F27" s="13">
        <f t="shared" si="6"/>
        <v>4</v>
      </c>
      <c r="G27" s="13">
        <f t="shared" si="6"/>
        <v>1</v>
      </c>
      <c r="H27" s="13">
        <f t="shared" si="6"/>
        <v>1</v>
      </c>
      <c r="I27" s="13">
        <f t="shared" si="6"/>
        <v>1</v>
      </c>
      <c r="J27" s="13">
        <f t="shared" si="6"/>
        <v>0</v>
      </c>
      <c r="K27" s="13">
        <f t="shared" si="6"/>
        <v>3</v>
      </c>
      <c r="L27" s="13">
        <f t="shared" si="6"/>
        <v>2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1</v>
      </c>
      <c r="V27" s="13">
        <f t="shared" si="6"/>
        <v>3</v>
      </c>
      <c r="W27" s="13">
        <f t="shared" si="6"/>
        <v>2</v>
      </c>
      <c r="X27" s="13">
        <f t="shared" si="6"/>
        <v>5</v>
      </c>
      <c r="Y27" s="13">
        <f t="shared" si="6"/>
        <v>5</v>
      </c>
      <c r="Z27" s="13">
        <f t="shared" si="6"/>
        <v>0</v>
      </c>
      <c r="AA27" s="13">
        <f t="shared" si="6"/>
        <v>0</v>
      </c>
      <c r="AB27" s="13">
        <f t="shared" si="6"/>
        <v>2</v>
      </c>
      <c r="AC27" s="13">
        <f t="shared" si="3"/>
        <v>32</v>
      </c>
    </row>
    <row r="28" ht="12.75" customHeight="1">
      <c r="A28" s="36"/>
      <c r="B28" s="39" t="s">
        <v>22</v>
      </c>
      <c r="C28" s="40" t="s">
        <v>23</v>
      </c>
      <c r="D28" s="13" t="s">
        <v>11</v>
      </c>
      <c r="E28" s="13">
        <f t="shared" ref="E28:AB28" si="7">SUM(E19,E22,E25)</f>
        <v>63</v>
      </c>
      <c r="F28" s="13">
        <f t="shared" si="7"/>
        <v>89</v>
      </c>
      <c r="G28" s="13">
        <f t="shared" si="7"/>
        <v>101</v>
      </c>
      <c r="H28" s="13">
        <f t="shared" si="7"/>
        <v>80</v>
      </c>
      <c r="I28" s="13">
        <f t="shared" si="7"/>
        <v>105</v>
      </c>
      <c r="J28" s="13">
        <f t="shared" si="7"/>
        <v>117</v>
      </c>
      <c r="K28" s="13">
        <f t="shared" si="7"/>
        <v>118</v>
      </c>
      <c r="L28" s="13">
        <f t="shared" si="7"/>
        <v>125</v>
      </c>
      <c r="M28" s="13">
        <f t="shared" si="7"/>
        <v>97</v>
      </c>
      <c r="N28" s="13">
        <f t="shared" si="7"/>
        <v>98</v>
      </c>
      <c r="O28" s="13">
        <f t="shared" si="7"/>
        <v>106</v>
      </c>
      <c r="P28" s="13">
        <f t="shared" si="7"/>
        <v>124</v>
      </c>
      <c r="Q28" s="13">
        <f t="shared" si="7"/>
        <v>112</v>
      </c>
      <c r="R28" s="13">
        <f t="shared" si="7"/>
        <v>115</v>
      </c>
      <c r="S28" s="13">
        <f t="shared" si="7"/>
        <v>94</v>
      </c>
      <c r="T28" s="13">
        <f t="shared" si="7"/>
        <v>122</v>
      </c>
      <c r="U28" s="13">
        <f t="shared" si="7"/>
        <v>120</v>
      </c>
      <c r="V28" s="13">
        <f t="shared" si="7"/>
        <v>126</v>
      </c>
      <c r="W28" s="13">
        <f t="shared" si="7"/>
        <v>113</v>
      </c>
      <c r="X28" s="13">
        <f t="shared" si="7"/>
        <v>117</v>
      </c>
      <c r="Y28" s="13">
        <f t="shared" si="7"/>
        <v>108</v>
      </c>
      <c r="Z28" s="13">
        <f t="shared" si="7"/>
        <v>87</v>
      </c>
      <c r="AA28" s="13">
        <f t="shared" si="7"/>
        <v>100</v>
      </c>
      <c r="AB28" s="13">
        <f t="shared" si="7"/>
        <v>98</v>
      </c>
      <c r="AC28" s="13">
        <f t="shared" si="3"/>
        <v>2535</v>
      </c>
    </row>
    <row r="29" ht="12.75" customHeight="1">
      <c r="A29" s="36"/>
      <c r="B29" s="27"/>
      <c r="C29" s="35"/>
      <c r="D29" s="13" t="s">
        <v>12</v>
      </c>
      <c r="E29" s="13">
        <f t="shared" ref="E29:AB29" si="8">SUM(E20,E23,E26)</f>
        <v>75</v>
      </c>
      <c r="F29" s="13">
        <f t="shared" si="8"/>
        <v>107</v>
      </c>
      <c r="G29" s="13">
        <f t="shared" si="8"/>
        <v>120</v>
      </c>
      <c r="H29" s="13">
        <f t="shared" si="8"/>
        <v>98</v>
      </c>
      <c r="I29" s="13">
        <f t="shared" si="8"/>
        <v>134</v>
      </c>
      <c r="J29" s="13">
        <f t="shared" si="8"/>
        <v>129</v>
      </c>
      <c r="K29" s="13">
        <f t="shared" si="8"/>
        <v>131</v>
      </c>
      <c r="L29" s="13">
        <f t="shared" si="8"/>
        <v>128</v>
      </c>
      <c r="M29" s="13">
        <f t="shared" si="8"/>
        <v>108</v>
      </c>
      <c r="N29" s="13">
        <f t="shared" si="8"/>
        <v>106</v>
      </c>
      <c r="O29" s="13">
        <f t="shared" si="8"/>
        <v>122</v>
      </c>
      <c r="P29" s="13">
        <f t="shared" si="8"/>
        <v>125</v>
      </c>
      <c r="Q29" s="13">
        <f t="shared" si="8"/>
        <v>118</v>
      </c>
      <c r="R29" s="13">
        <f t="shared" si="8"/>
        <v>123</v>
      </c>
      <c r="S29" s="13">
        <f t="shared" si="8"/>
        <v>95</v>
      </c>
      <c r="T29" s="13">
        <f t="shared" si="8"/>
        <v>122</v>
      </c>
      <c r="U29" s="13">
        <f t="shared" si="8"/>
        <v>122</v>
      </c>
      <c r="V29" s="13">
        <f t="shared" si="8"/>
        <v>120</v>
      </c>
      <c r="W29" s="13">
        <f t="shared" si="8"/>
        <v>124</v>
      </c>
      <c r="X29" s="13">
        <f t="shared" si="8"/>
        <v>110</v>
      </c>
      <c r="Y29" s="13">
        <f t="shared" si="8"/>
        <v>109</v>
      </c>
      <c r="Z29" s="13">
        <f t="shared" si="8"/>
        <v>89</v>
      </c>
      <c r="AA29" s="13">
        <f t="shared" si="8"/>
        <v>119</v>
      </c>
      <c r="AB29" s="13">
        <f t="shared" si="8"/>
        <v>98</v>
      </c>
      <c r="AC29" s="13">
        <f t="shared" si="3"/>
        <v>2732</v>
      </c>
    </row>
    <row r="30" ht="12.75" customHeight="1">
      <c r="A30" s="36"/>
      <c r="B30" s="28"/>
      <c r="C30" s="37"/>
      <c r="D30" s="13" t="s">
        <v>13</v>
      </c>
      <c r="E30" s="13">
        <f t="shared" ref="E30:AB30" si="9">SUM(E28:E29)</f>
        <v>138</v>
      </c>
      <c r="F30" s="13">
        <f t="shared" si="9"/>
        <v>196</v>
      </c>
      <c r="G30" s="13">
        <f t="shared" si="9"/>
        <v>221</v>
      </c>
      <c r="H30" s="13">
        <f t="shared" si="9"/>
        <v>178</v>
      </c>
      <c r="I30" s="13">
        <f t="shared" si="9"/>
        <v>239</v>
      </c>
      <c r="J30" s="13">
        <f t="shared" si="9"/>
        <v>246</v>
      </c>
      <c r="K30" s="13">
        <f t="shared" si="9"/>
        <v>249</v>
      </c>
      <c r="L30" s="13">
        <f t="shared" si="9"/>
        <v>253</v>
      </c>
      <c r="M30" s="13">
        <f t="shared" si="9"/>
        <v>205</v>
      </c>
      <c r="N30" s="13">
        <f t="shared" si="9"/>
        <v>204</v>
      </c>
      <c r="O30" s="13">
        <f t="shared" si="9"/>
        <v>228</v>
      </c>
      <c r="P30" s="13">
        <f t="shared" si="9"/>
        <v>249</v>
      </c>
      <c r="Q30" s="13">
        <f t="shared" si="9"/>
        <v>230</v>
      </c>
      <c r="R30" s="13">
        <f t="shared" si="9"/>
        <v>238</v>
      </c>
      <c r="S30" s="13">
        <f t="shared" si="9"/>
        <v>189</v>
      </c>
      <c r="T30" s="13">
        <f t="shared" si="9"/>
        <v>244</v>
      </c>
      <c r="U30" s="13">
        <f t="shared" si="9"/>
        <v>242</v>
      </c>
      <c r="V30" s="13">
        <f t="shared" si="9"/>
        <v>246</v>
      </c>
      <c r="W30" s="13">
        <f t="shared" si="9"/>
        <v>237</v>
      </c>
      <c r="X30" s="13">
        <f t="shared" si="9"/>
        <v>227</v>
      </c>
      <c r="Y30" s="13">
        <f t="shared" si="9"/>
        <v>217</v>
      </c>
      <c r="Z30" s="13">
        <f t="shared" si="9"/>
        <v>176</v>
      </c>
      <c r="AA30" s="13">
        <f t="shared" si="9"/>
        <v>219</v>
      </c>
      <c r="AB30" s="13">
        <f t="shared" si="9"/>
        <v>196</v>
      </c>
      <c r="AC30" s="13">
        <f t="shared" si="3"/>
        <v>5267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19"/>
      <c r="X31" s="61"/>
      <c r="Y31" s="19"/>
      <c r="Z31" s="19"/>
      <c r="AA31" s="19"/>
      <c r="AB31" s="19"/>
      <c r="AC31" s="62"/>
    </row>
    <row r="32" ht="12.75" customHeight="1">
      <c r="A32" s="43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3"/>
      <c r="O32" s="13"/>
      <c r="P32" s="13"/>
      <c r="Q32" s="13"/>
      <c r="R32" s="13"/>
      <c r="S32" s="63"/>
      <c r="T32" s="13"/>
      <c r="U32" s="13"/>
      <c r="V32" s="13"/>
      <c r="W32" s="13"/>
      <c r="X32" s="63"/>
      <c r="Y32" s="13"/>
      <c r="Z32" s="13"/>
      <c r="AA32" s="13"/>
      <c r="AB32" s="13"/>
      <c r="AC32" s="62"/>
    </row>
    <row r="33" ht="12.75" customHeight="1">
      <c r="A33" s="19">
        <v>1.0</v>
      </c>
      <c r="B33" s="20" t="s">
        <v>26</v>
      </c>
      <c r="C33" s="15"/>
      <c r="D33" s="16"/>
      <c r="E33" s="19">
        <v>166.0</v>
      </c>
      <c r="F33" s="19">
        <v>227.0</v>
      </c>
      <c r="G33" s="19">
        <v>285.0</v>
      </c>
      <c r="H33" s="19">
        <v>226.0</v>
      </c>
      <c r="I33" s="19">
        <v>271.0</v>
      </c>
      <c r="J33" s="19">
        <v>294.0</v>
      </c>
      <c r="K33" s="19">
        <v>293.0</v>
      </c>
      <c r="L33" s="19">
        <v>288.0</v>
      </c>
      <c r="M33" s="19">
        <v>255.0</v>
      </c>
      <c r="N33" s="19">
        <v>248.0</v>
      </c>
      <c r="O33" s="19">
        <v>247.0</v>
      </c>
      <c r="P33" s="19">
        <v>291.0</v>
      </c>
      <c r="Q33" s="19">
        <v>286.0</v>
      </c>
      <c r="R33" s="19">
        <v>276.0</v>
      </c>
      <c r="S33" s="19">
        <v>194.0</v>
      </c>
      <c r="T33" s="19">
        <v>282.0</v>
      </c>
      <c r="U33" s="19">
        <v>279.0</v>
      </c>
      <c r="V33" s="19">
        <v>274.0</v>
      </c>
      <c r="W33" s="19">
        <v>282.0</v>
      </c>
      <c r="X33" s="19">
        <v>263.0</v>
      </c>
      <c r="Y33" s="19">
        <v>257.0</v>
      </c>
      <c r="Z33" s="19">
        <v>215.0</v>
      </c>
      <c r="AA33" s="19">
        <v>242.0</v>
      </c>
      <c r="AB33" s="19">
        <v>248.0</v>
      </c>
      <c r="AC33" s="13">
        <f t="shared" ref="AC33:AC36" si="10">SUM(E33:AB33)</f>
        <v>6189</v>
      </c>
    </row>
    <row r="34" ht="12.75" customHeight="1">
      <c r="A34" s="19">
        <v>2.0</v>
      </c>
      <c r="B34" s="20" t="s">
        <v>27</v>
      </c>
      <c r="C34" s="15"/>
      <c r="D34" s="16"/>
      <c r="E34" s="13">
        <v>138.0</v>
      </c>
      <c r="F34" s="13">
        <v>196.0</v>
      </c>
      <c r="G34" s="13">
        <v>221.0</v>
      </c>
      <c r="H34" s="13">
        <v>178.0</v>
      </c>
      <c r="I34" s="13">
        <v>239.0</v>
      </c>
      <c r="J34" s="13">
        <v>246.0</v>
      </c>
      <c r="K34" s="13">
        <v>249.0</v>
      </c>
      <c r="L34" s="13">
        <v>253.0</v>
      </c>
      <c r="M34" s="13">
        <v>205.0</v>
      </c>
      <c r="N34" s="13">
        <v>204.0</v>
      </c>
      <c r="O34" s="13">
        <v>228.0</v>
      </c>
      <c r="P34" s="13">
        <v>249.0</v>
      </c>
      <c r="Q34" s="13">
        <v>230.0</v>
      </c>
      <c r="R34" s="13">
        <v>238.0</v>
      </c>
      <c r="S34" s="13">
        <v>189.0</v>
      </c>
      <c r="T34" s="13">
        <v>244.0</v>
      </c>
      <c r="U34" s="13">
        <v>242.0</v>
      </c>
      <c r="V34" s="13">
        <v>246.0</v>
      </c>
      <c r="W34" s="13">
        <v>237.0</v>
      </c>
      <c r="X34" s="13">
        <v>227.0</v>
      </c>
      <c r="Y34" s="13">
        <v>217.0</v>
      </c>
      <c r="Z34" s="13">
        <v>176.0</v>
      </c>
      <c r="AA34" s="13">
        <v>219.0</v>
      </c>
      <c r="AB34" s="13">
        <v>196.0</v>
      </c>
      <c r="AC34" s="13">
        <f t="shared" si="10"/>
        <v>5267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2.0</v>
      </c>
      <c r="J35" s="19">
        <v>0.0</v>
      </c>
      <c r="K35" s="19">
        <v>0.0</v>
      </c>
      <c r="L35" s="19">
        <v>0.0</v>
      </c>
      <c r="M35" s="19">
        <v>0.0</v>
      </c>
      <c r="N35" s="19">
        <v>34.0</v>
      </c>
      <c r="O35" s="19">
        <v>0.0</v>
      </c>
      <c r="P35" s="19">
        <v>0.0</v>
      </c>
      <c r="Q35" s="19">
        <v>0.0</v>
      </c>
      <c r="R35" s="19">
        <v>2.0</v>
      </c>
      <c r="S35" s="19">
        <v>0.0</v>
      </c>
      <c r="T35" s="19">
        <v>6.0</v>
      </c>
      <c r="U35" s="19">
        <v>0.0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9">
        <v>0.0</v>
      </c>
      <c r="AB35" s="19">
        <v>0.0</v>
      </c>
      <c r="AC35" s="13">
        <f t="shared" si="10"/>
        <v>45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B36" si="11">E33-(E34+E35)</f>
        <v>28</v>
      </c>
      <c r="F36" s="13">
        <f t="shared" si="11"/>
        <v>31</v>
      </c>
      <c r="G36" s="13">
        <f t="shared" si="11"/>
        <v>64</v>
      </c>
      <c r="H36" s="13">
        <f t="shared" si="11"/>
        <v>48</v>
      </c>
      <c r="I36" s="13">
        <f t="shared" si="11"/>
        <v>30</v>
      </c>
      <c r="J36" s="13">
        <f t="shared" si="11"/>
        <v>48</v>
      </c>
      <c r="K36" s="13">
        <f t="shared" si="11"/>
        <v>44</v>
      </c>
      <c r="L36" s="13">
        <f t="shared" si="11"/>
        <v>35</v>
      </c>
      <c r="M36" s="13">
        <f t="shared" si="11"/>
        <v>50</v>
      </c>
      <c r="N36" s="13">
        <f t="shared" si="11"/>
        <v>10</v>
      </c>
      <c r="O36" s="13">
        <f t="shared" si="11"/>
        <v>19</v>
      </c>
      <c r="P36" s="13">
        <f t="shared" si="11"/>
        <v>42</v>
      </c>
      <c r="Q36" s="13">
        <f t="shared" si="11"/>
        <v>56</v>
      </c>
      <c r="R36" s="13">
        <f t="shared" si="11"/>
        <v>36</v>
      </c>
      <c r="S36" s="13">
        <f t="shared" si="11"/>
        <v>5</v>
      </c>
      <c r="T36" s="13">
        <f t="shared" si="11"/>
        <v>32</v>
      </c>
      <c r="U36" s="13">
        <f t="shared" si="11"/>
        <v>37</v>
      </c>
      <c r="V36" s="13">
        <f t="shared" si="11"/>
        <v>28</v>
      </c>
      <c r="W36" s="13">
        <f t="shared" si="11"/>
        <v>45</v>
      </c>
      <c r="X36" s="13">
        <f t="shared" si="11"/>
        <v>36</v>
      </c>
      <c r="Y36" s="13">
        <f t="shared" si="11"/>
        <v>39</v>
      </c>
      <c r="Z36" s="13">
        <f t="shared" si="11"/>
        <v>39</v>
      </c>
      <c r="AA36" s="13">
        <f t="shared" si="11"/>
        <v>23</v>
      </c>
      <c r="AB36" s="13">
        <f t="shared" si="11"/>
        <v>52</v>
      </c>
      <c r="AC36" s="13">
        <f t="shared" si="10"/>
        <v>877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19"/>
      <c r="X37" s="61"/>
      <c r="Y37" s="19"/>
      <c r="Z37" s="19"/>
      <c r="AA37" s="19"/>
      <c r="AB37" s="19"/>
      <c r="AC37" s="62"/>
    </row>
    <row r="38" ht="12.75" customHeight="1">
      <c r="A38" s="44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3"/>
      <c r="O38" s="13"/>
      <c r="P38" s="13"/>
      <c r="Q38" s="13"/>
      <c r="R38" s="13"/>
      <c r="S38" s="63"/>
      <c r="T38" s="13"/>
      <c r="U38" s="13"/>
      <c r="V38" s="13"/>
      <c r="W38" s="13"/>
      <c r="X38" s="63"/>
      <c r="Y38" s="13"/>
      <c r="Z38" s="13"/>
      <c r="AA38" s="13"/>
      <c r="AB38" s="13"/>
      <c r="AC38" s="62"/>
    </row>
    <row r="39" ht="12.75" customHeight="1">
      <c r="A39" s="31"/>
      <c r="B39" s="45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9">
        <v>2.0</v>
      </c>
      <c r="AB39" s="19">
        <v>1.0</v>
      </c>
      <c r="AC39" s="13">
        <f t="shared" ref="AC39:AC41" si="12">SUM(E39:AB39)</f>
        <v>5</v>
      </c>
    </row>
    <row r="40" ht="12.75" customHeight="1">
      <c r="A40" s="34"/>
      <c r="C40" s="27"/>
      <c r="D40" s="19" t="s">
        <v>12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2.0</v>
      </c>
      <c r="AB40" s="19">
        <v>0.0</v>
      </c>
      <c r="AC40" s="13">
        <f t="shared" si="12"/>
        <v>4</v>
      </c>
    </row>
    <row r="41" ht="12.75" customHeight="1">
      <c r="A41" s="43"/>
      <c r="B41" s="46"/>
      <c r="C41" s="28"/>
      <c r="D41" s="13" t="s">
        <v>13</v>
      </c>
      <c r="E41" s="13">
        <f t="shared" ref="E41:AB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4</v>
      </c>
      <c r="AB41" s="13">
        <f t="shared" si="13"/>
        <v>1</v>
      </c>
      <c r="AC41" s="13">
        <f t="shared" si="12"/>
        <v>9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9"/>
      <c r="X42" s="61"/>
      <c r="Y42" s="19"/>
      <c r="Z42" s="19"/>
      <c r="AA42" s="19"/>
      <c r="AB42" s="19"/>
      <c r="AC42" s="13"/>
    </row>
    <row r="43" ht="12.75" customHeight="1">
      <c r="A43" s="44" t="s">
        <v>33</v>
      </c>
      <c r="B43" s="14" t="s">
        <v>34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3"/>
      <c r="O43" s="13"/>
      <c r="P43" s="13"/>
      <c r="Q43" s="13"/>
      <c r="R43" s="13"/>
      <c r="S43" s="63"/>
      <c r="T43" s="13"/>
      <c r="U43" s="13"/>
      <c r="V43" s="13"/>
      <c r="W43" s="13"/>
      <c r="X43" s="63"/>
      <c r="Y43" s="13"/>
      <c r="Z43" s="13"/>
      <c r="AA43" s="13"/>
      <c r="AB43" s="13"/>
      <c r="AC43" s="13"/>
    </row>
    <row r="44" ht="12.75" customHeight="1">
      <c r="A44" s="45" t="s">
        <v>35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9"/>
      <c r="X44" s="61"/>
      <c r="Y44" s="19"/>
      <c r="Z44" s="19"/>
      <c r="AA44" s="19"/>
      <c r="AB44" s="19"/>
      <c r="AC44" s="13"/>
    </row>
    <row r="45" ht="12.75" customHeight="1">
      <c r="A45" s="64"/>
      <c r="B45" s="49">
        <v>1.0</v>
      </c>
      <c r="C45" s="50" t="s">
        <v>36</v>
      </c>
      <c r="D45" s="16"/>
      <c r="E45" s="19">
        <v>16.0</v>
      </c>
      <c r="F45" s="19">
        <v>17.0</v>
      </c>
      <c r="G45" s="19">
        <v>19.0</v>
      </c>
      <c r="H45" s="19">
        <v>16.0</v>
      </c>
      <c r="I45" s="19">
        <v>32.0</v>
      </c>
      <c r="J45" s="19">
        <v>42.0</v>
      </c>
      <c r="K45" s="19">
        <v>37.0</v>
      </c>
      <c r="L45" s="19">
        <v>71.0</v>
      </c>
      <c r="M45" s="19">
        <v>43.0</v>
      </c>
      <c r="N45" s="19">
        <v>47.0</v>
      </c>
      <c r="O45" s="19">
        <v>47.0</v>
      </c>
      <c r="P45" s="19">
        <v>17.0</v>
      </c>
      <c r="Q45" s="19">
        <v>28.0</v>
      </c>
      <c r="R45" s="19">
        <v>25.0</v>
      </c>
      <c r="S45" s="19">
        <v>6.0</v>
      </c>
      <c r="T45" s="19">
        <v>41.0</v>
      </c>
      <c r="U45" s="19">
        <v>62.0</v>
      </c>
      <c r="V45" s="19">
        <v>66.0</v>
      </c>
      <c r="W45" s="19">
        <v>82.0</v>
      </c>
      <c r="X45" s="19">
        <v>107.0</v>
      </c>
      <c r="Y45" s="19">
        <v>68.0</v>
      </c>
      <c r="Z45" s="19">
        <v>23.0</v>
      </c>
      <c r="AA45" s="19">
        <v>57.0</v>
      </c>
      <c r="AB45" s="19">
        <v>19.0</v>
      </c>
      <c r="AC45" s="13">
        <f t="shared" ref="AC45:AC47" si="14">SUM(E45:AB45)</f>
        <v>988</v>
      </c>
    </row>
    <row r="46" ht="12.75" customHeight="1">
      <c r="A46" s="18"/>
      <c r="B46" s="49">
        <v>2.0</v>
      </c>
      <c r="C46" s="50" t="s">
        <v>37</v>
      </c>
      <c r="D46" s="16"/>
      <c r="E46" s="19">
        <v>99.0</v>
      </c>
      <c r="F46" s="19">
        <v>146.0</v>
      </c>
      <c r="G46" s="19">
        <v>162.0</v>
      </c>
      <c r="H46" s="19">
        <v>119.0</v>
      </c>
      <c r="I46" s="19">
        <v>174.0</v>
      </c>
      <c r="J46" s="19">
        <v>164.0</v>
      </c>
      <c r="K46" s="19">
        <v>191.0</v>
      </c>
      <c r="L46" s="19">
        <v>149.0</v>
      </c>
      <c r="M46" s="19">
        <v>131.0</v>
      </c>
      <c r="N46" s="19">
        <v>134.0</v>
      </c>
      <c r="O46" s="19">
        <v>143.0</v>
      </c>
      <c r="P46" s="19">
        <v>88.0</v>
      </c>
      <c r="Q46" s="19">
        <v>122.0</v>
      </c>
      <c r="R46" s="19">
        <v>165.0</v>
      </c>
      <c r="S46" s="19">
        <v>169.0</v>
      </c>
      <c r="T46" s="19">
        <v>173.0</v>
      </c>
      <c r="U46" s="19">
        <v>155.0</v>
      </c>
      <c r="V46" s="19">
        <v>151.0</v>
      </c>
      <c r="W46" s="19">
        <v>130.0</v>
      </c>
      <c r="X46" s="19">
        <v>112.0</v>
      </c>
      <c r="Y46" s="19">
        <v>126.0</v>
      </c>
      <c r="Z46" s="19">
        <v>119.0</v>
      </c>
      <c r="AA46" s="19">
        <v>129.0</v>
      </c>
      <c r="AB46" s="19">
        <v>145.0</v>
      </c>
      <c r="AC46" s="13">
        <f t="shared" si="14"/>
        <v>3396</v>
      </c>
    </row>
    <row r="47" ht="12.75" customHeight="1">
      <c r="A47" s="47"/>
      <c r="B47" s="49">
        <v>3.0</v>
      </c>
      <c r="C47" s="50" t="s">
        <v>38</v>
      </c>
      <c r="D47" s="16"/>
      <c r="E47" s="19">
        <v>15.0</v>
      </c>
      <c r="F47" s="19">
        <v>28.0</v>
      </c>
      <c r="G47" s="19">
        <v>28.0</v>
      </c>
      <c r="H47" s="19">
        <v>34.0</v>
      </c>
      <c r="I47" s="19">
        <v>27.0</v>
      </c>
      <c r="J47" s="19">
        <v>24.0</v>
      </c>
      <c r="K47" s="19">
        <v>14.0</v>
      </c>
      <c r="L47" s="19">
        <v>25.0</v>
      </c>
      <c r="M47" s="19">
        <v>24.0</v>
      </c>
      <c r="N47" s="19">
        <v>19.0</v>
      </c>
      <c r="O47" s="19">
        <v>36.0</v>
      </c>
      <c r="P47" s="19">
        <v>133.0</v>
      </c>
      <c r="Q47" s="19">
        <v>68.0</v>
      </c>
      <c r="R47" s="19">
        <v>42.0</v>
      </c>
      <c r="S47" s="19">
        <v>5.0</v>
      </c>
      <c r="T47" s="19">
        <v>19.0</v>
      </c>
      <c r="U47" s="19">
        <v>22.0</v>
      </c>
      <c r="V47" s="19">
        <v>27.0</v>
      </c>
      <c r="W47" s="19">
        <v>21.0</v>
      </c>
      <c r="X47" s="19">
        <v>7.0</v>
      </c>
      <c r="Y47" s="19">
        <v>16.0</v>
      </c>
      <c r="Z47" s="19">
        <v>29.0</v>
      </c>
      <c r="AA47" s="19">
        <v>27.0</v>
      </c>
      <c r="AB47" s="19">
        <v>28.0</v>
      </c>
      <c r="AC47" s="13">
        <f t="shared" si="14"/>
        <v>718</v>
      </c>
    </row>
    <row r="48" ht="12.75" customHeight="1"/>
    <row r="49" ht="12.75" customHeight="1">
      <c r="A49" s="44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3"/>
      <c r="O49" s="13"/>
      <c r="P49" s="13"/>
      <c r="Q49" s="13"/>
      <c r="R49" s="13"/>
      <c r="S49" s="63"/>
      <c r="T49" s="13"/>
      <c r="U49" s="13"/>
      <c r="V49" s="13"/>
      <c r="W49" s="13"/>
      <c r="X49" s="63"/>
      <c r="Y49" s="13"/>
      <c r="Z49" s="13"/>
      <c r="AA49" s="13"/>
      <c r="AB49" s="13"/>
      <c r="AC49" s="13"/>
    </row>
    <row r="50" ht="12.75" customHeight="1">
      <c r="A50" s="44"/>
      <c r="B50" s="56" t="s">
        <v>41</v>
      </c>
      <c r="C50" s="57" t="s">
        <v>42</v>
      </c>
      <c r="D50" s="16"/>
      <c r="E50" s="19">
        <f t="shared" ref="E50:AB50" si="15">SUM(E45:E47)</f>
        <v>130</v>
      </c>
      <c r="F50" s="19">
        <f t="shared" si="15"/>
        <v>191</v>
      </c>
      <c r="G50" s="19">
        <f t="shared" si="15"/>
        <v>209</v>
      </c>
      <c r="H50" s="19">
        <f t="shared" si="15"/>
        <v>169</v>
      </c>
      <c r="I50" s="19">
        <f t="shared" si="15"/>
        <v>233</v>
      </c>
      <c r="J50" s="19">
        <f t="shared" si="15"/>
        <v>230</v>
      </c>
      <c r="K50" s="19">
        <f t="shared" si="15"/>
        <v>242</v>
      </c>
      <c r="L50" s="19">
        <f t="shared" si="15"/>
        <v>245</v>
      </c>
      <c r="M50" s="19">
        <f t="shared" si="15"/>
        <v>198</v>
      </c>
      <c r="N50" s="19">
        <f t="shared" si="15"/>
        <v>200</v>
      </c>
      <c r="O50" s="19">
        <f t="shared" si="15"/>
        <v>226</v>
      </c>
      <c r="P50" s="19">
        <f t="shared" si="15"/>
        <v>238</v>
      </c>
      <c r="Q50" s="19">
        <f t="shared" si="15"/>
        <v>218</v>
      </c>
      <c r="R50" s="19">
        <f t="shared" si="15"/>
        <v>232</v>
      </c>
      <c r="S50" s="19">
        <f t="shared" si="15"/>
        <v>180</v>
      </c>
      <c r="T50" s="19">
        <f t="shared" si="15"/>
        <v>233</v>
      </c>
      <c r="U50" s="19">
        <f t="shared" si="15"/>
        <v>239</v>
      </c>
      <c r="V50" s="19">
        <f t="shared" si="15"/>
        <v>244</v>
      </c>
      <c r="W50" s="19">
        <f t="shared" si="15"/>
        <v>233</v>
      </c>
      <c r="X50" s="19">
        <f t="shared" si="15"/>
        <v>226</v>
      </c>
      <c r="Y50" s="19">
        <f t="shared" si="15"/>
        <v>210</v>
      </c>
      <c r="Z50" s="19">
        <f t="shared" si="15"/>
        <v>171</v>
      </c>
      <c r="AA50" s="19">
        <f t="shared" si="15"/>
        <v>213</v>
      </c>
      <c r="AB50" s="19">
        <f t="shared" si="15"/>
        <v>192</v>
      </c>
      <c r="AC50" s="13">
        <f t="shared" ref="AC50:AC52" si="16">SUM(E50:AB50)</f>
        <v>5102</v>
      </c>
    </row>
    <row r="51" ht="12.75" customHeight="1">
      <c r="A51" s="36"/>
      <c r="B51" s="56" t="s">
        <v>43</v>
      </c>
      <c r="C51" s="57" t="s">
        <v>44</v>
      </c>
      <c r="D51" s="16"/>
      <c r="E51" s="19">
        <v>8.0</v>
      </c>
      <c r="F51" s="19">
        <v>5.0</v>
      </c>
      <c r="G51" s="19">
        <v>12.0</v>
      </c>
      <c r="H51" s="19">
        <v>9.0</v>
      </c>
      <c r="I51" s="19">
        <v>6.0</v>
      </c>
      <c r="J51" s="19">
        <v>16.0</v>
      </c>
      <c r="K51" s="19">
        <v>7.0</v>
      </c>
      <c r="L51" s="19">
        <v>8.0</v>
      </c>
      <c r="M51" s="19">
        <v>7.0</v>
      </c>
      <c r="N51" s="19">
        <v>4.0</v>
      </c>
      <c r="O51" s="19">
        <v>2.0</v>
      </c>
      <c r="P51" s="19">
        <v>11.0</v>
      </c>
      <c r="Q51" s="19">
        <v>12.0</v>
      </c>
      <c r="R51" s="19">
        <v>6.0</v>
      </c>
      <c r="S51" s="19">
        <v>9.0</v>
      </c>
      <c r="T51" s="19">
        <v>11.0</v>
      </c>
      <c r="U51" s="19">
        <v>3.0</v>
      </c>
      <c r="V51" s="19">
        <v>2.0</v>
      </c>
      <c r="W51" s="19">
        <v>4.0</v>
      </c>
      <c r="X51" s="19">
        <v>1.0</v>
      </c>
      <c r="Y51" s="19">
        <v>7.0</v>
      </c>
      <c r="Z51" s="19">
        <v>5.0</v>
      </c>
      <c r="AA51" s="19">
        <v>6.0</v>
      </c>
      <c r="AB51" s="19">
        <v>4.0</v>
      </c>
      <c r="AC51" s="13">
        <f t="shared" si="16"/>
        <v>165</v>
      </c>
    </row>
    <row r="52" ht="12.75" customHeight="1">
      <c r="A52" s="43"/>
      <c r="B52" s="56" t="s">
        <v>45</v>
      </c>
      <c r="C52" s="57" t="s">
        <v>46</v>
      </c>
      <c r="D52" s="16"/>
      <c r="E52" s="13">
        <f t="shared" ref="E52:AB52" si="17">SUM(E50:E51)</f>
        <v>138</v>
      </c>
      <c r="F52" s="13">
        <f t="shared" si="17"/>
        <v>196</v>
      </c>
      <c r="G52" s="13">
        <f t="shared" si="17"/>
        <v>221</v>
      </c>
      <c r="H52" s="13">
        <f t="shared" si="17"/>
        <v>178</v>
      </c>
      <c r="I52" s="13">
        <f t="shared" si="17"/>
        <v>239</v>
      </c>
      <c r="J52" s="13">
        <f t="shared" si="17"/>
        <v>246</v>
      </c>
      <c r="K52" s="13">
        <f t="shared" si="17"/>
        <v>249</v>
      </c>
      <c r="L52" s="13">
        <f t="shared" si="17"/>
        <v>253</v>
      </c>
      <c r="M52" s="13">
        <f t="shared" si="17"/>
        <v>205</v>
      </c>
      <c r="N52" s="13">
        <f t="shared" si="17"/>
        <v>204</v>
      </c>
      <c r="O52" s="13">
        <f t="shared" si="17"/>
        <v>228</v>
      </c>
      <c r="P52" s="13">
        <f t="shared" si="17"/>
        <v>249</v>
      </c>
      <c r="Q52" s="13">
        <f t="shared" si="17"/>
        <v>230</v>
      </c>
      <c r="R52" s="13">
        <f t="shared" si="17"/>
        <v>238</v>
      </c>
      <c r="S52" s="13">
        <f t="shared" si="17"/>
        <v>189</v>
      </c>
      <c r="T52" s="13">
        <f t="shared" si="17"/>
        <v>244</v>
      </c>
      <c r="U52" s="13">
        <f t="shared" si="17"/>
        <v>242</v>
      </c>
      <c r="V52" s="13">
        <f t="shared" si="17"/>
        <v>246</v>
      </c>
      <c r="W52" s="13">
        <f t="shared" si="17"/>
        <v>237</v>
      </c>
      <c r="X52" s="13">
        <f t="shared" si="17"/>
        <v>227</v>
      </c>
      <c r="Y52" s="13">
        <f t="shared" si="17"/>
        <v>217</v>
      </c>
      <c r="Z52" s="13">
        <f t="shared" si="17"/>
        <v>176</v>
      </c>
      <c r="AA52" s="13">
        <f t="shared" si="17"/>
        <v>219</v>
      </c>
      <c r="AB52" s="13">
        <f t="shared" si="17"/>
        <v>196</v>
      </c>
      <c r="AC52" s="13">
        <f t="shared" si="16"/>
        <v>5267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AC12:AC13"/>
    <mergeCell ref="B13:D13"/>
    <mergeCell ref="B14:C16"/>
    <mergeCell ref="A17:D17"/>
    <mergeCell ref="B18:D18"/>
    <mergeCell ref="E12:AB12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AB34">
    <cfRule type="expression" dxfId="0" priority="1">
      <formula>E34&lt;&gt;#REF!</formula>
    </cfRule>
  </conditionalFormatting>
  <conditionalFormatting sqref="E14:AB15 E45:AB47">
    <cfRule type="containsBlanks" dxfId="1" priority="2">
      <formula>LEN(TRIM(E14))=0</formula>
    </cfRule>
  </conditionalFormatting>
  <conditionalFormatting sqref="E19:AB20">
    <cfRule type="containsBlanks" dxfId="1" priority="3">
      <formula>LEN(TRIM(E19))=0</formula>
    </cfRule>
  </conditionalFormatting>
  <conditionalFormatting sqref="E22:AB23 E25:AB26 E33:AB33 E35:AB35 E39:AB40">
    <cfRule type="containsBlanks" dxfId="1" priority="4">
      <formula>LEN(TRIM(E22))=0</formula>
    </cfRule>
  </conditionalFormatting>
  <conditionalFormatting sqref="E30:AB30">
    <cfRule type="expression" dxfId="0" priority="5">
      <formula>E30&lt;&gt;E46</formula>
    </cfRule>
  </conditionalFormatting>
  <conditionalFormatting sqref="E30:AB30">
    <cfRule type="expression" dxfId="0" priority="6">
      <formula>E30&lt;&gt;E34</formula>
    </cfRule>
  </conditionalFormatting>
  <conditionalFormatting sqref="E34:AB34">
    <cfRule type="expression" dxfId="2" priority="7">
      <formula>E30&lt;&gt;E34</formula>
    </cfRule>
  </conditionalFormatting>
  <conditionalFormatting sqref="E34:AB34">
    <cfRule type="expression" dxfId="3" priority="8">
      <formula>E30=E34</formula>
    </cfRule>
  </conditionalFormatting>
  <conditionalFormatting sqref="E34:AB34">
    <cfRule type="expression" dxfId="0" priority="9">
      <formula>E34&lt;&gt;E30</formula>
    </cfRule>
  </conditionalFormatting>
  <conditionalFormatting sqref="E50:AB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</row>
    <row r="12" ht="12.75" customHeight="1">
      <c r="A12" s="13" t="s">
        <v>5</v>
      </c>
      <c r="B12" s="14" t="s">
        <v>6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60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13" t="s">
        <v>61</v>
      </c>
      <c r="S13" s="13" t="s">
        <v>62</v>
      </c>
      <c r="T13" s="13" t="s">
        <v>63</v>
      </c>
      <c r="U13" s="13" t="s">
        <v>64</v>
      </c>
      <c r="V13" s="13" t="s">
        <v>65</v>
      </c>
      <c r="W13" s="13" t="s">
        <v>66</v>
      </c>
      <c r="X13" s="13" t="s">
        <v>67</v>
      </c>
      <c r="Y13" s="13" t="s">
        <v>68</v>
      </c>
      <c r="Z13" s="13" t="s">
        <v>69</v>
      </c>
      <c r="AA13" s="13" t="s">
        <v>70</v>
      </c>
      <c r="AB13" s="13" t="s">
        <v>71</v>
      </c>
      <c r="AC13" s="37"/>
    </row>
    <row r="14" ht="12.75" customHeight="1">
      <c r="A14" s="18"/>
      <c r="B14" s="22" t="s">
        <v>10</v>
      </c>
      <c r="C14" s="23"/>
      <c r="D14" s="19" t="s">
        <v>11</v>
      </c>
      <c r="E14" s="19">
        <v>148.0</v>
      </c>
      <c r="F14" s="19">
        <v>140.0</v>
      </c>
      <c r="G14" s="19">
        <v>133.0</v>
      </c>
      <c r="H14" s="19">
        <v>145.0</v>
      </c>
      <c r="I14" s="19">
        <v>130.0</v>
      </c>
      <c r="J14" s="19">
        <v>136.0</v>
      </c>
      <c r="K14" s="19">
        <v>147.0</v>
      </c>
      <c r="L14" s="19">
        <v>130.0</v>
      </c>
      <c r="M14" s="19">
        <v>139.0</v>
      </c>
      <c r="N14" s="19">
        <v>140.0</v>
      </c>
      <c r="O14" s="19">
        <v>129.0</v>
      </c>
      <c r="P14" s="19">
        <v>109.0</v>
      </c>
      <c r="Q14" s="19">
        <v>148.0</v>
      </c>
      <c r="R14" s="19">
        <v>138.0</v>
      </c>
      <c r="S14" s="19">
        <v>139.0</v>
      </c>
      <c r="T14" s="19">
        <v>143.0</v>
      </c>
      <c r="U14" s="19">
        <v>140.0</v>
      </c>
      <c r="V14" s="19">
        <v>131.0</v>
      </c>
      <c r="W14" s="19">
        <v>132.0</v>
      </c>
      <c r="X14" s="19">
        <v>144.0</v>
      </c>
      <c r="Y14" s="19">
        <v>104.0</v>
      </c>
      <c r="Z14" s="19">
        <v>86.0</v>
      </c>
      <c r="AA14" s="19">
        <v>146.0</v>
      </c>
      <c r="AB14" s="19">
        <v>116.0</v>
      </c>
      <c r="AC14" s="13">
        <f t="shared" ref="AC14:AC16" si="1">SUM(E14:AB14)</f>
        <v>3193</v>
      </c>
    </row>
    <row r="15" ht="12.75" customHeight="1">
      <c r="A15" s="18"/>
      <c r="B15" s="26"/>
      <c r="C15" s="27"/>
      <c r="D15" s="19" t="s">
        <v>12</v>
      </c>
      <c r="E15" s="19">
        <v>146.0</v>
      </c>
      <c r="F15" s="19">
        <v>139.0</v>
      </c>
      <c r="G15" s="19">
        <v>139.0</v>
      </c>
      <c r="H15" s="19">
        <v>150.0</v>
      </c>
      <c r="I15" s="19">
        <v>136.0</v>
      </c>
      <c r="J15" s="19">
        <v>144.0</v>
      </c>
      <c r="K15" s="19">
        <v>133.0</v>
      </c>
      <c r="L15" s="19">
        <v>153.0</v>
      </c>
      <c r="M15" s="19">
        <v>145.0</v>
      </c>
      <c r="N15" s="19">
        <v>134.0</v>
      </c>
      <c r="O15" s="19">
        <v>144.0</v>
      </c>
      <c r="P15" s="19">
        <v>118.0</v>
      </c>
      <c r="Q15" s="19">
        <v>140.0</v>
      </c>
      <c r="R15" s="19">
        <v>146.0</v>
      </c>
      <c r="S15" s="19">
        <v>139.0</v>
      </c>
      <c r="T15" s="19">
        <v>142.0</v>
      </c>
      <c r="U15" s="19">
        <v>137.0</v>
      </c>
      <c r="V15" s="19">
        <v>134.0</v>
      </c>
      <c r="W15" s="19">
        <v>149.0</v>
      </c>
      <c r="X15" s="19">
        <v>148.0</v>
      </c>
      <c r="Y15" s="19">
        <v>122.0</v>
      </c>
      <c r="Z15" s="19">
        <v>110.0</v>
      </c>
      <c r="AA15" s="19">
        <v>142.0</v>
      </c>
      <c r="AB15" s="19">
        <v>124.0</v>
      </c>
      <c r="AC15" s="13">
        <f t="shared" si="1"/>
        <v>3314</v>
      </c>
    </row>
    <row r="16" ht="12.75" customHeight="1">
      <c r="A16" s="25"/>
      <c r="B16" s="21"/>
      <c r="C16" s="28"/>
      <c r="D16" s="13" t="s">
        <v>13</v>
      </c>
      <c r="E16" s="13">
        <f t="shared" ref="E16:AB16" si="2">SUM(E14:E15)</f>
        <v>294</v>
      </c>
      <c r="F16" s="13">
        <f t="shared" si="2"/>
        <v>279</v>
      </c>
      <c r="G16" s="13">
        <f t="shared" si="2"/>
        <v>272</v>
      </c>
      <c r="H16" s="13">
        <f t="shared" si="2"/>
        <v>295</v>
      </c>
      <c r="I16" s="13">
        <f t="shared" si="2"/>
        <v>266</v>
      </c>
      <c r="J16" s="13">
        <f t="shared" si="2"/>
        <v>280</v>
      </c>
      <c r="K16" s="13">
        <f t="shared" si="2"/>
        <v>280</v>
      </c>
      <c r="L16" s="13">
        <f t="shared" si="2"/>
        <v>283</v>
      </c>
      <c r="M16" s="13">
        <f t="shared" si="2"/>
        <v>284</v>
      </c>
      <c r="N16" s="13">
        <f t="shared" si="2"/>
        <v>274</v>
      </c>
      <c r="O16" s="13">
        <f t="shared" si="2"/>
        <v>273</v>
      </c>
      <c r="P16" s="13">
        <f t="shared" si="2"/>
        <v>227</v>
      </c>
      <c r="Q16" s="13">
        <f t="shared" si="2"/>
        <v>288</v>
      </c>
      <c r="R16" s="13">
        <f t="shared" si="2"/>
        <v>284</v>
      </c>
      <c r="S16" s="13">
        <f t="shared" si="2"/>
        <v>278</v>
      </c>
      <c r="T16" s="13">
        <f t="shared" si="2"/>
        <v>285</v>
      </c>
      <c r="U16" s="13">
        <f t="shared" si="2"/>
        <v>277</v>
      </c>
      <c r="V16" s="13">
        <f t="shared" si="2"/>
        <v>265</v>
      </c>
      <c r="W16" s="13">
        <f t="shared" si="2"/>
        <v>281</v>
      </c>
      <c r="X16" s="13">
        <f t="shared" si="2"/>
        <v>292</v>
      </c>
      <c r="Y16" s="13">
        <f t="shared" si="2"/>
        <v>226</v>
      </c>
      <c r="Z16" s="13">
        <f t="shared" si="2"/>
        <v>196</v>
      </c>
      <c r="AA16" s="13">
        <f t="shared" si="2"/>
        <v>288</v>
      </c>
      <c r="AB16" s="13">
        <f t="shared" si="2"/>
        <v>240</v>
      </c>
      <c r="AC16" s="13">
        <f t="shared" si="1"/>
        <v>6507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19"/>
      <c r="X17" s="61"/>
      <c r="Y17" s="19"/>
      <c r="Z17" s="19"/>
      <c r="AA17" s="19"/>
      <c r="AB17" s="19"/>
      <c r="AC17" s="62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19"/>
      <c r="X18" s="61"/>
      <c r="Y18" s="19"/>
      <c r="Z18" s="19"/>
      <c r="AA18" s="19"/>
      <c r="AB18" s="19"/>
      <c r="AC18" s="62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19">
        <v>101.0</v>
      </c>
      <c r="F19" s="19">
        <v>102.0</v>
      </c>
      <c r="G19" s="19">
        <v>101.0</v>
      </c>
      <c r="H19" s="19">
        <v>122.0</v>
      </c>
      <c r="I19" s="19">
        <v>82.0</v>
      </c>
      <c r="J19" s="19">
        <v>102.0</v>
      </c>
      <c r="K19" s="19">
        <v>111.0</v>
      </c>
      <c r="L19" s="19">
        <v>98.0</v>
      </c>
      <c r="M19" s="19">
        <v>95.0</v>
      </c>
      <c r="N19" s="19">
        <v>102.0</v>
      </c>
      <c r="O19" s="19">
        <v>88.0</v>
      </c>
      <c r="P19" s="19">
        <v>68.0</v>
      </c>
      <c r="Q19" s="19">
        <v>92.0</v>
      </c>
      <c r="R19" s="19">
        <v>92.0</v>
      </c>
      <c r="S19" s="19">
        <v>86.0</v>
      </c>
      <c r="T19" s="19">
        <v>117.0</v>
      </c>
      <c r="U19" s="19">
        <v>122.0</v>
      </c>
      <c r="V19" s="19">
        <v>108.0</v>
      </c>
      <c r="W19" s="19">
        <v>106.0</v>
      </c>
      <c r="X19" s="19">
        <v>104.0</v>
      </c>
      <c r="Y19" s="19">
        <v>89.0</v>
      </c>
      <c r="Z19" s="19">
        <v>65.0</v>
      </c>
      <c r="AA19" s="19">
        <v>92.0</v>
      </c>
      <c r="AB19" s="19">
        <v>94.0</v>
      </c>
      <c r="AC19" s="13">
        <f t="shared" ref="AC19:AC30" si="3">SUM(E19:AB19)</f>
        <v>2339</v>
      </c>
    </row>
    <row r="20" ht="12.75" customHeight="1">
      <c r="A20" s="34"/>
      <c r="B20" s="27"/>
      <c r="C20" s="35"/>
      <c r="D20" s="19" t="s">
        <v>12</v>
      </c>
      <c r="E20" s="19">
        <v>117.0</v>
      </c>
      <c r="F20" s="19">
        <v>115.0</v>
      </c>
      <c r="G20" s="19">
        <v>119.0</v>
      </c>
      <c r="H20" s="19">
        <v>125.0</v>
      </c>
      <c r="I20" s="19">
        <v>107.0</v>
      </c>
      <c r="J20" s="19">
        <v>119.0</v>
      </c>
      <c r="K20" s="19">
        <v>107.0</v>
      </c>
      <c r="L20" s="19">
        <v>121.0</v>
      </c>
      <c r="M20" s="19">
        <v>119.0</v>
      </c>
      <c r="N20" s="19">
        <v>111.0</v>
      </c>
      <c r="O20" s="19">
        <v>116.0</v>
      </c>
      <c r="P20" s="19">
        <v>100.0</v>
      </c>
      <c r="Q20" s="19">
        <v>97.0</v>
      </c>
      <c r="R20" s="19">
        <v>109.0</v>
      </c>
      <c r="S20" s="19">
        <v>111.0</v>
      </c>
      <c r="T20" s="19">
        <v>121.0</v>
      </c>
      <c r="U20" s="19">
        <v>121.0</v>
      </c>
      <c r="V20" s="19">
        <v>121.0</v>
      </c>
      <c r="W20" s="19">
        <v>118.0</v>
      </c>
      <c r="X20" s="19">
        <v>116.0</v>
      </c>
      <c r="Y20" s="19">
        <v>101.0</v>
      </c>
      <c r="Z20" s="19">
        <v>91.0</v>
      </c>
      <c r="AA20" s="19">
        <v>110.0</v>
      </c>
      <c r="AB20" s="19">
        <v>108.0</v>
      </c>
      <c r="AC20" s="13">
        <f t="shared" si="3"/>
        <v>2700</v>
      </c>
    </row>
    <row r="21" ht="12.75" customHeight="1">
      <c r="A21" s="36"/>
      <c r="B21" s="28"/>
      <c r="C21" s="37"/>
      <c r="D21" s="13" t="s">
        <v>13</v>
      </c>
      <c r="E21" s="13">
        <f t="shared" ref="E21:AB21" si="4">SUM(E19:E20)</f>
        <v>218</v>
      </c>
      <c r="F21" s="13">
        <f t="shared" si="4"/>
        <v>217</v>
      </c>
      <c r="G21" s="13">
        <f t="shared" si="4"/>
        <v>220</v>
      </c>
      <c r="H21" s="13">
        <f t="shared" si="4"/>
        <v>247</v>
      </c>
      <c r="I21" s="13">
        <f t="shared" si="4"/>
        <v>189</v>
      </c>
      <c r="J21" s="13">
        <f t="shared" si="4"/>
        <v>221</v>
      </c>
      <c r="K21" s="13">
        <f t="shared" si="4"/>
        <v>218</v>
      </c>
      <c r="L21" s="13">
        <f t="shared" si="4"/>
        <v>219</v>
      </c>
      <c r="M21" s="13">
        <f t="shared" si="4"/>
        <v>214</v>
      </c>
      <c r="N21" s="13">
        <f t="shared" si="4"/>
        <v>213</v>
      </c>
      <c r="O21" s="13">
        <f t="shared" si="4"/>
        <v>204</v>
      </c>
      <c r="P21" s="13">
        <f t="shared" si="4"/>
        <v>168</v>
      </c>
      <c r="Q21" s="13">
        <f t="shared" si="4"/>
        <v>189</v>
      </c>
      <c r="R21" s="13">
        <f t="shared" si="4"/>
        <v>201</v>
      </c>
      <c r="S21" s="13">
        <f t="shared" si="4"/>
        <v>197</v>
      </c>
      <c r="T21" s="13">
        <f t="shared" si="4"/>
        <v>238</v>
      </c>
      <c r="U21" s="13">
        <f t="shared" si="4"/>
        <v>243</v>
      </c>
      <c r="V21" s="13">
        <f t="shared" si="4"/>
        <v>229</v>
      </c>
      <c r="W21" s="13">
        <f t="shared" si="4"/>
        <v>224</v>
      </c>
      <c r="X21" s="13">
        <f t="shared" si="4"/>
        <v>220</v>
      </c>
      <c r="Y21" s="13">
        <f t="shared" si="4"/>
        <v>190</v>
      </c>
      <c r="Z21" s="13">
        <f t="shared" si="4"/>
        <v>156</v>
      </c>
      <c r="AA21" s="13">
        <f t="shared" si="4"/>
        <v>202</v>
      </c>
      <c r="AB21" s="13">
        <f t="shared" si="4"/>
        <v>202</v>
      </c>
      <c r="AC21" s="13">
        <f t="shared" si="3"/>
        <v>5039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19">
        <v>1.0</v>
      </c>
      <c r="F22" s="19">
        <v>0.0</v>
      </c>
      <c r="G22" s="19">
        <v>1.0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1.0</v>
      </c>
      <c r="O22" s="19">
        <v>0.0</v>
      </c>
      <c r="P22" s="19">
        <v>0.0</v>
      </c>
      <c r="Q22" s="19">
        <v>1.0</v>
      </c>
      <c r="R22" s="19">
        <v>1.0</v>
      </c>
      <c r="S22" s="19">
        <v>0.0</v>
      </c>
      <c r="T22" s="19">
        <v>0.0</v>
      </c>
      <c r="U22" s="19">
        <v>1.0</v>
      </c>
      <c r="V22" s="19">
        <v>0.0</v>
      </c>
      <c r="W22" s="19">
        <v>2.0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3">
        <f t="shared" si="3"/>
        <v>10</v>
      </c>
    </row>
    <row r="23" ht="12.75" customHeight="1">
      <c r="A23" s="34"/>
      <c r="B23" s="27"/>
      <c r="C23" s="35"/>
      <c r="D23" s="19" t="s">
        <v>12</v>
      </c>
      <c r="E23" s="19">
        <v>1.0</v>
      </c>
      <c r="F23" s="19">
        <v>1.0</v>
      </c>
      <c r="G23" s="19">
        <v>0.0</v>
      </c>
      <c r="H23" s="19">
        <v>0.0</v>
      </c>
      <c r="I23" s="19">
        <v>0.0</v>
      </c>
      <c r="J23" s="19">
        <v>1.0</v>
      </c>
      <c r="K23" s="19">
        <v>1.0</v>
      </c>
      <c r="L23" s="19">
        <v>1.0</v>
      </c>
      <c r="M23" s="19">
        <v>0.0</v>
      </c>
      <c r="N23" s="19">
        <v>1.0</v>
      </c>
      <c r="O23" s="19">
        <v>0.0</v>
      </c>
      <c r="P23" s="19">
        <v>1.0</v>
      </c>
      <c r="Q23" s="19">
        <v>0.0</v>
      </c>
      <c r="R23" s="19">
        <v>0.0</v>
      </c>
      <c r="S23" s="19">
        <v>1.0</v>
      </c>
      <c r="T23" s="19">
        <v>2.0</v>
      </c>
      <c r="U23" s="19">
        <v>1.0</v>
      </c>
      <c r="V23" s="19">
        <v>1.0</v>
      </c>
      <c r="W23" s="19">
        <v>1.0</v>
      </c>
      <c r="X23" s="19">
        <v>1.0</v>
      </c>
      <c r="Y23" s="19">
        <v>1.0</v>
      </c>
      <c r="Z23" s="19">
        <v>1.0</v>
      </c>
      <c r="AA23" s="19">
        <v>1.0</v>
      </c>
      <c r="AB23" s="19">
        <v>1.0</v>
      </c>
      <c r="AC23" s="13">
        <f t="shared" si="3"/>
        <v>18</v>
      </c>
    </row>
    <row r="24" ht="12.75" customHeight="1">
      <c r="A24" s="36"/>
      <c r="B24" s="28"/>
      <c r="C24" s="37"/>
      <c r="D24" s="13" t="s">
        <v>13</v>
      </c>
      <c r="E24" s="13">
        <f t="shared" ref="E24:AB24" si="5">SUM(E22:E23)</f>
        <v>2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2</v>
      </c>
      <c r="O24" s="13">
        <f t="shared" si="5"/>
        <v>0</v>
      </c>
      <c r="P24" s="13">
        <f t="shared" si="5"/>
        <v>1</v>
      </c>
      <c r="Q24" s="13">
        <f t="shared" si="5"/>
        <v>1</v>
      </c>
      <c r="R24" s="13">
        <f t="shared" si="5"/>
        <v>1</v>
      </c>
      <c r="S24" s="13">
        <f t="shared" si="5"/>
        <v>1</v>
      </c>
      <c r="T24" s="13">
        <f t="shared" si="5"/>
        <v>2</v>
      </c>
      <c r="U24" s="13">
        <f t="shared" si="5"/>
        <v>2</v>
      </c>
      <c r="V24" s="13">
        <f t="shared" si="5"/>
        <v>1</v>
      </c>
      <c r="W24" s="13">
        <f t="shared" si="5"/>
        <v>3</v>
      </c>
      <c r="X24" s="13">
        <f t="shared" si="5"/>
        <v>1</v>
      </c>
      <c r="Y24" s="13">
        <f t="shared" si="5"/>
        <v>1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3"/>
        <v>28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19">
        <v>2.0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2.0</v>
      </c>
      <c r="L25" s="19">
        <v>4.0</v>
      </c>
      <c r="M25" s="19">
        <v>0.0</v>
      </c>
      <c r="N25" s="19">
        <v>0.0</v>
      </c>
      <c r="O25" s="19">
        <v>0.0</v>
      </c>
      <c r="P25" s="19">
        <v>3.0</v>
      </c>
      <c r="Q25" s="19">
        <v>1.0</v>
      </c>
      <c r="R25" s="19">
        <v>0.0</v>
      </c>
      <c r="S25" s="19">
        <v>1.0</v>
      </c>
      <c r="T25" s="19">
        <v>0.0</v>
      </c>
      <c r="U25" s="19">
        <v>3.0</v>
      </c>
      <c r="V25" s="19">
        <v>1.0</v>
      </c>
      <c r="W25" s="19">
        <v>0.0</v>
      </c>
      <c r="X25" s="19">
        <v>1.0</v>
      </c>
      <c r="Y25" s="19">
        <v>0.0</v>
      </c>
      <c r="Z25" s="19">
        <v>5.0</v>
      </c>
      <c r="AA25" s="19">
        <v>1.0</v>
      </c>
      <c r="AB25" s="19">
        <v>3.0</v>
      </c>
      <c r="AC25" s="13">
        <f t="shared" si="3"/>
        <v>28</v>
      </c>
    </row>
    <row r="26" ht="12.75" customHeight="1">
      <c r="A26" s="34"/>
      <c r="B26" s="27"/>
      <c r="C26" s="35"/>
      <c r="D26" s="19" t="s">
        <v>12</v>
      </c>
      <c r="E26" s="19">
        <v>4.0</v>
      </c>
      <c r="F26" s="19">
        <v>3.0</v>
      </c>
      <c r="G26" s="19">
        <v>0.0</v>
      </c>
      <c r="H26" s="19">
        <v>0.0</v>
      </c>
      <c r="I26" s="19">
        <v>1.0</v>
      </c>
      <c r="J26" s="19">
        <v>1.0</v>
      </c>
      <c r="K26" s="19">
        <v>0.0</v>
      </c>
      <c r="L26" s="19">
        <v>4.0</v>
      </c>
      <c r="M26" s="19">
        <v>0.0</v>
      </c>
      <c r="N26" s="19">
        <v>1.0</v>
      </c>
      <c r="O26" s="19">
        <v>1.0</v>
      </c>
      <c r="P26" s="19">
        <v>4.0</v>
      </c>
      <c r="Q26" s="19">
        <v>1.0</v>
      </c>
      <c r="R26" s="19">
        <v>0.0</v>
      </c>
      <c r="S26" s="19">
        <v>2.0</v>
      </c>
      <c r="T26" s="19">
        <v>0.0</v>
      </c>
      <c r="U26" s="19">
        <v>1.0</v>
      </c>
      <c r="V26" s="19">
        <v>1.0</v>
      </c>
      <c r="W26" s="19">
        <v>0.0</v>
      </c>
      <c r="X26" s="19">
        <v>3.0</v>
      </c>
      <c r="Y26" s="19">
        <v>0.0</v>
      </c>
      <c r="Z26" s="19">
        <v>1.0</v>
      </c>
      <c r="AA26" s="19">
        <v>5.0</v>
      </c>
      <c r="AB26" s="19">
        <v>4.0</v>
      </c>
      <c r="AC26" s="13">
        <f t="shared" si="3"/>
        <v>37</v>
      </c>
    </row>
    <row r="27" ht="12.75" customHeight="1">
      <c r="A27" s="36"/>
      <c r="B27" s="28"/>
      <c r="C27" s="37"/>
      <c r="D27" s="13" t="s">
        <v>13</v>
      </c>
      <c r="E27" s="13">
        <f t="shared" ref="E27:AB27" si="6">SUM(E25:E26)</f>
        <v>6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1</v>
      </c>
      <c r="K27" s="13">
        <f t="shared" si="6"/>
        <v>2</v>
      </c>
      <c r="L27" s="13">
        <f t="shared" si="6"/>
        <v>8</v>
      </c>
      <c r="M27" s="13">
        <f t="shared" si="6"/>
        <v>0</v>
      </c>
      <c r="N27" s="13">
        <f t="shared" si="6"/>
        <v>1</v>
      </c>
      <c r="O27" s="13">
        <f t="shared" si="6"/>
        <v>1</v>
      </c>
      <c r="P27" s="13">
        <f t="shared" si="6"/>
        <v>7</v>
      </c>
      <c r="Q27" s="13">
        <f t="shared" si="6"/>
        <v>2</v>
      </c>
      <c r="R27" s="13">
        <f t="shared" si="6"/>
        <v>0</v>
      </c>
      <c r="S27" s="13">
        <f t="shared" si="6"/>
        <v>3</v>
      </c>
      <c r="T27" s="13">
        <f t="shared" si="6"/>
        <v>0</v>
      </c>
      <c r="U27" s="13">
        <f t="shared" si="6"/>
        <v>4</v>
      </c>
      <c r="V27" s="13">
        <f t="shared" si="6"/>
        <v>2</v>
      </c>
      <c r="W27" s="13">
        <f t="shared" si="6"/>
        <v>0</v>
      </c>
      <c r="X27" s="13">
        <f t="shared" si="6"/>
        <v>4</v>
      </c>
      <c r="Y27" s="13">
        <f t="shared" si="6"/>
        <v>0</v>
      </c>
      <c r="Z27" s="13">
        <f t="shared" si="6"/>
        <v>6</v>
      </c>
      <c r="AA27" s="13">
        <f t="shared" si="6"/>
        <v>6</v>
      </c>
      <c r="AB27" s="13">
        <f t="shared" si="6"/>
        <v>7</v>
      </c>
      <c r="AC27" s="13">
        <f t="shared" si="3"/>
        <v>65</v>
      </c>
    </row>
    <row r="28" ht="12.75" customHeight="1">
      <c r="A28" s="36"/>
      <c r="B28" s="39" t="s">
        <v>22</v>
      </c>
      <c r="C28" s="40" t="s">
        <v>23</v>
      </c>
      <c r="D28" s="13" t="s">
        <v>11</v>
      </c>
      <c r="E28" s="13">
        <f t="shared" ref="E28:AB28" si="7">SUM(E19,E22,E25)</f>
        <v>104</v>
      </c>
      <c r="F28" s="13">
        <f t="shared" si="7"/>
        <v>103</v>
      </c>
      <c r="G28" s="13">
        <f t="shared" si="7"/>
        <v>102</v>
      </c>
      <c r="H28" s="13">
        <f t="shared" si="7"/>
        <v>123</v>
      </c>
      <c r="I28" s="13">
        <f t="shared" si="7"/>
        <v>82</v>
      </c>
      <c r="J28" s="13">
        <f t="shared" si="7"/>
        <v>102</v>
      </c>
      <c r="K28" s="13">
        <f t="shared" si="7"/>
        <v>113</v>
      </c>
      <c r="L28" s="13">
        <f t="shared" si="7"/>
        <v>102</v>
      </c>
      <c r="M28" s="13">
        <f t="shared" si="7"/>
        <v>96</v>
      </c>
      <c r="N28" s="13">
        <f t="shared" si="7"/>
        <v>103</v>
      </c>
      <c r="O28" s="13">
        <f t="shared" si="7"/>
        <v>88</v>
      </c>
      <c r="P28" s="13">
        <f t="shared" si="7"/>
        <v>71</v>
      </c>
      <c r="Q28" s="13">
        <f t="shared" si="7"/>
        <v>94</v>
      </c>
      <c r="R28" s="13">
        <f t="shared" si="7"/>
        <v>93</v>
      </c>
      <c r="S28" s="13">
        <f t="shared" si="7"/>
        <v>87</v>
      </c>
      <c r="T28" s="13">
        <f t="shared" si="7"/>
        <v>117</v>
      </c>
      <c r="U28" s="13">
        <f t="shared" si="7"/>
        <v>126</v>
      </c>
      <c r="V28" s="13">
        <f t="shared" si="7"/>
        <v>109</v>
      </c>
      <c r="W28" s="13">
        <f t="shared" si="7"/>
        <v>108</v>
      </c>
      <c r="X28" s="13">
        <f t="shared" si="7"/>
        <v>105</v>
      </c>
      <c r="Y28" s="13">
        <f t="shared" si="7"/>
        <v>89</v>
      </c>
      <c r="Z28" s="13">
        <f t="shared" si="7"/>
        <v>70</v>
      </c>
      <c r="AA28" s="13">
        <f t="shared" si="7"/>
        <v>93</v>
      </c>
      <c r="AB28" s="13">
        <f t="shared" si="7"/>
        <v>97</v>
      </c>
      <c r="AC28" s="13">
        <f t="shared" si="3"/>
        <v>2377</v>
      </c>
    </row>
    <row r="29" ht="12.75" customHeight="1">
      <c r="A29" s="36"/>
      <c r="B29" s="27"/>
      <c r="C29" s="35"/>
      <c r="D29" s="13" t="s">
        <v>12</v>
      </c>
      <c r="E29" s="13">
        <f t="shared" ref="E29:AB29" si="8">SUM(E20,E23,E26)</f>
        <v>122</v>
      </c>
      <c r="F29" s="13">
        <f t="shared" si="8"/>
        <v>119</v>
      </c>
      <c r="G29" s="13">
        <f t="shared" si="8"/>
        <v>119</v>
      </c>
      <c r="H29" s="13">
        <f t="shared" si="8"/>
        <v>125</v>
      </c>
      <c r="I29" s="13">
        <f t="shared" si="8"/>
        <v>108</v>
      </c>
      <c r="J29" s="13">
        <f t="shared" si="8"/>
        <v>121</v>
      </c>
      <c r="K29" s="13">
        <f t="shared" si="8"/>
        <v>108</v>
      </c>
      <c r="L29" s="13">
        <f t="shared" si="8"/>
        <v>126</v>
      </c>
      <c r="M29" s="13">
        <f t="shared" si="8"/>
        <v>119</v>
      </c>
      <c r="N29" s="13">
        <f t="shared" si="8"/>
        <v>113</v>
      </c>
      <c r="O29" s="13">
        <f t="shared" si="8"/>
        <v>117</v>
      </c>
      <c r="P29" s="13">
        <f t="shared" si="8"/>
        <v>105</v>
      </c>
      <c r="Q29" s="13">
        <f t="shared" si="8"/>
        <v>98</v>
      </c>
      <c r="R29" s="13">
        <f t="shared" si="8"/>
        <v>109</v>
      </c>
      <c r="S29" s="13">
        <f t="shared" si="8"/>
        <v>114</v>
      </c>
      <c r="T29" s="13">
        <f t="shared" si="8"/>
        <v>123</v>
      </c>
      <c r="U29" s="13">
        <f t="shared" si="8"/>
        <v>123</v>
      </c>
      <c r="V29" s="13">
        <f t="shared" si="8"/>
        <v>123</v>
      </c>
      <c r="W29" s="13">
        <f t="shared" si="8"/>
        <v>119</v>
      </c>
      <c r="X29" s="13">
        <f t="shared" si="8"/>
        <v>120</v>
      </c>
      <c r="Y29" s="13">
        <f t="shared" si="8"/>
        <v>102</v>
      </c>
      <c r="Z29" s="13">
        <f t="shared" si="8"/>
        <v>93</v>
      </c>
      <c r="AA29" s="13">
        <f t="shared" si="8"/>
        <v>116</v>
      </c>
      <c r="AB29" s="13">
        <f t="shared" si="8"/>
        <v>113</v>
      </c>
      <c r="AC29" s="13">
        <f t="shared" si="3"/>
        <v>2755</v>
      </c>
    </row>
    <row r="30" ht="12.75" customHeight="1">
      <c r="A30" s="36"/>
      <c r="B30" s="28"/>
      <c r="C30" s="37"/>
      <c r="D30" s="13" t="s">
        <v>13</v>
      </c>
      <c r="E30" s="13">
        <f t="shared" ref="E30:AB30" si="9">SUM(E28:E29)</f>
        <v>226</v>
      </c>
      <c r="F30" s="13">
        <f t="shared" si="9"/>
        <v>222</v>
      </c>
      <c r="G30" s="13">
        <f t="shared" si="9"/>
        <v>221</v>
      </c>
      <c r="H30" s="13">
        <f t="shared" si="9"/>
        <v>248</v>
      </c>
      <c r="I30" s="13">
        <f t="shared" si="9"/>
        <v>190</v>
      </c>
      <c r="J30" s="13">
        <f t="shared" si="9"/>
        <v>223</v>
      </c>
      <c r="K30" s="13">
        <f t="shared" si="9"/>
        <v>221</v>
      </c>
      <c r="L30" s="13">
        <f t="shared" si="9"/>
        <v>228</v>
      </c>
      <c r="M30" s="13">
        <f t="shared" si="9"/>
        <v>215</v>
      </c>
      <c r="N30" s="13">
        <f t="shared" si="9"/>
        <v>216</v>
      </c>
      <c r="O30" s="13">
        <f t="shared" si="9"/>
        <v>205</v>
      </c>
      <c r="P30" s="13">
        <f t="shared" si="9"/>
        <v>176</v>
      </c>
      <c r="Q30" s="13">
        <f t="shared" si="9"/>
        <v>192</v>
      </c>
      <c r="R30" s="13">
        <f t="shared" si="9"/>
        <v>202</v>
      </c>
      <c r="S30" s="13">
        <f t="shared" si="9"/>
        <v>201</v>
      </c>
      <c r="T30" s="13">
        <f t="shared" si="9"/>
        <v>240</v>
      </c>
      <c r="U30" s="13">
        <f t="shared" si="9"/>
        <v>249</v>
      </c>
      <c r="V30" s="13">
        <f t="shared" si="9"/>
        <v>232</v>
      </c>
      <c r="W30" s="13">
        <f t="shared" si="9"/>
        <v>227</v>
      </c>
      <c r="X30" s="13">
        <f t="shared" si="9"/>
        <v>225</v>
      </c>
      <c r="Y30" s="13">
        <f t="shared" si="9"/>
        <v>191</v>
      </c>
      <c r="Z30" s="13">
        <f t="shared" si="9"/>
        <v>163</v>
      </c>
      <c r="AA30" s="13">
        <f t="shared" si="9"/>
        <v>209</v>
      </c>
      <c r="AB30" s="13">
        <f t="shared" si="9"/>
        <v>210</v>
      </c>
      <c r="AC30" s="13">
        <f t="shared" si="3"/>
        <v>5132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19"/>
      <c r="X31" s="61"/>
      <c r="Y31" s="19"/>
      <c r="Z31" s="19"/>
      <c r="AA31" s="19"/>
      <c r="AB31" s="19"/>
      <c r="AC31" s="62"/>
    </row>
    <row r="32" ht="12.75" customHeight="1">
      <c r="A32" s="43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3"/>
      <c r="O32" s="13"/>
      <c r="P32" s="13"/>
      <c r="Q32" s="13"/>
      <c r="R32" s="13"/>
      <c r="S32" s="63"/>
      <c r="T32" s="13"/>
      <c r="U32" s="13"/>
      <c r="V32" s="13"/>
      <c r="W32" s="13"/>
      <c r="X32" s="63"/>
      <c r="Y32" s="13"/>
      <c r="Z32" s="13"/>
      <c r="AA32" s="13"/>
      <c r="AB32" s="13"/>
      <c r="AC32" s="62"/>
    </row>
    <row r="33" ht="12.75" customHeight="1">
      <c r="A33" s="19">
        <v>1.0</v>
      </c>
      <c r="B33" s="20" t="s">
        <v>26</v>
      </c>
      <c r="C33" s="15"/>
      <c r="D33" s="16"/>
      <c r="E33" s="19">
        <v>302.0</v>
      </c>
      <c r="F33" s="19">
        <v>286.0</v>
      </c>
      <c r="G33" s="19">
        <v>278.0</v>
      </c>
      <c r="H33" s="19">
        <v>301.0</v>
      </c>
      <c r="I33" s="19">
        <v>272.0</v>
      </c>
      <c r="J33" s="19">
        <v>286.0</v>
      </c>
      <c r="K33" s="19">
        <v>286.0</v>
      </c>
      <c r="L33" s="19">
        <v>291.0</v>
      </c>
      <c r="M33" s="19">
        <v>290.0</v>
      </c>
      <c r="N33" s="19">
        <v>280.0</v>
      </c>
      <c r="O33" s="19">
        <v>280.0</v>
      </c>
      <c r="P33" s="19">
        <v>232.0</v>
      </c>
      <c r="Q33" s="19">
        <v>295.0</v>
      </c>
      <c r="R33" s="19">
        <v>290.0</v>
      </c>
      <c r="S33" s="19">
        <v>284.0</v>
      </c>
      <c r="T33" s="19">
        <v>291.0</v>
      </c>
      <c r="U33" s="19">
        <v>283.0</v>
      </c>
      <c r="V33" s="19">
        <v>270.0</v>
      </c>
      <c r="W33" s="19">
        <v>285.0</v>
      </c>
      <c r="X33" s="19">
        <v>302.0</v>
      </c>
      <c r="Y33" s="19">
        <v>229.0</v>
      </c>
      <c r="Z33" s="19">
        <v>201.0</v>
      </c>
      <c r="AA33" s="19">
        <v>296.0</v>
      </c>
      <c r="AB33" s="19">
        <v>245.0</v>
      </c>
      <c r="AC33" s="13">
        <f t="shared" ref="AC33:AC36" si="10">SUM(E33:AB33)</f>
        <v>6655</v>
      </c>
    </row>
    <row r="34" ht="12.75" customHeight="1">
      <c r="A34" s="19">
        <v>2.0</v>
      </c>
      <c r="B34" s="20" t="s">
        <v>27</v>
      </c>
      <c r="C34" s="15"/>
      <c r="D34" s="16"/>
      <c r="E34" s="13">
        <v>226.0</v>
      </c>
      <c r="F34" s="13">
        <v>222.0</v>
      </c>
      <c r="G34" s="13">
        <v>221.0</v>
      </c>
      <c r="H34" s="13">
        <v>248.0</v>
      </c>
      <c r="I34" s="13">
        <v>190.0</v>
      </c>
      <c r="J34" s="13">
        <v>223.0</v>
      </c>
      <c r="K34" s="13">
        <v>221.0</v>
      </c>
      <c r="L34" s="13">
        <v>228.0</v>
      </c>
      <c r="M34" s="13">
        <v>215.0</v>
      </c>
      <c r="N34" s="13">
        <v>216.0</v>
      </c>
      <c r="O34" s="13">
        <v>205.0</v>
      </c>
      <c r="P34" s="13">
        <v>176.0</v>
      </c>
      <c r="Q34" s="13">
        <v>192.0</v>
      </c>
      <c r="R34" s="13">
        <v>202.0</v>
      </c>
      <c r="S34" s="13">
        <v>201.0</v>
      </c>
      <c r="T34" s="13">
        <v>240.0</v>
      </c>
      <c r="U34" s="13">
        <v>249.0</v>
      </c>
      <c r="V34" s="13">
        <v>232.0</v>
      </c>
      <c r="W34" s="13">
        <v>227.0</v>
      </c>
      <c r="X34" s="13">
        <v>225.0</v>
      </c>
      <c r="Y34" s="13">
        <v>191.0</v>
      </c>
      <c r="Z34" s="13">
        <v>163.0</v>
      </c>
      <c r="AA34" s="13">
        <v>209.0</v>
      </c>
      <c r="AB34" s="13">
        <v>210.0</v>
      </c>
      <c r="AC34" s="13">
        <f t="shared" si="10"/>
        <v>5132</v>
      </c>
    </row>
    <row r="35" ht="12.75" customHeight="1">
      <c r="A35" s="19">
        <v>3.0</v>
      </c>
      <c r="B35" s="20" t="s">
        <v>28</v>
      </c>
      <c r="C35" s="15"/>
      <c r="D35" s="16"/>
      <c r="E35" s="19">
        <v>1.0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1.0</v>
      </c>
      <c r="L35" s="19">
        <v>1.0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6.0</v>
      </c>
      <c r="Y35" s="19">
        <v>0.0</v>
      </c>
      <c r="Z35" s="19">
        <v>3.0</v>
      </c>
      <c r="AA35" s="19">
        <v>2.0</v>
      </c>
      <c r="AB35" s="19">
        <v>0.0</v>
      </c>
      <c r="AC35" s="13">
        <f t="shared" si="10"/>
        <v>16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B36" si="11">E33-(E34+E35)</f>
        <v>75</v>
      </c>
      <c r="F36" s="13">
        <f t="shared" si="11"/>
        <v>64</v>
      </c>
      <c r="G36" s="13">
        <f t="shared" si="11"/>
        <v>56</v>
      </c>
      <c r="H36" s="13">
        <f t="shared" si="11"/>
        <v>53</v>
      </c>
      <c r="I36" s="13">
        <f t="shared" si="11"/>
        <v>82</v>
      </c>
      <c r="J36" s="13">
        <f t="shared" si="11"/>
        <v>63</v>
      </c>
      <c r="K36" s="13">
        <f t="shared" si="11"/>
        <v>64</v>
      </c>
      <c r="L36" s="13">
        <f t="shared" si="11"/>
        <v>62</v>
      </c>
      <c r="M36" s="13">
        <f t="shared" si="11"/>
        <v>75</v>
      </c>
      <c r="N36" s="13">
        <f t="shared" si="11"/>
        <v>63</v>
      </c>
      <c r="O36" s="13">
        <f t="shared" si="11"/>
        <v>75</v>
      </c>
      <c r="P36" s="13">
        <f t="shared" si="11"/>
        <v>56</v>
      </c>
      <c r="Q36" s="13">
        <f t="shared" si="11"/>
        <v>103</v>
      </c>
      <c r="R36" s="13">
        <f t="shared" si="11"/>
        <v>88</v>
      </c>
      <c r="S36" s="13">
        <f t="shared" si="11"/>
        <v>83</v>
      </c>
      <c r="T36" s="13">
        <f t="shared" si="11"/>
        <v>51</v>
      </c>
      <c r="U36" s="13">
        <f t="shared" si="11"/>
        <v>34</v>
      </c>
      <c r="V36" s="13">
        <f t="shared" si="11"/>
        <v>38</v>
      </c>
      <c r="W36" s="13">
        <f t="shared" si="11"/>
        <v>58</v>
      </c>
      <c r="X36" s="13">
        <f t="shared" si="11"/>
        <v>71</v>
      </c>
      <c r="Y36" s="13">
        <f t="shared" si="11"/>
        <v>38</v>
      </c>
      <c r="Z36" s="13">
        <f t="shared" si="11"/>
        <v>35</v>
      </c>
      <c r="AA36" s="13">
        <f t="shared" si="11"/>
        <v>85</v>
      </c>
      <c r="AB36" s="13">
        <f t="shared" si="11"/>
        <v>35</v>
      </c>
      <c r="AC36" s="13">
        <f t="shared" si="10"/>
        <v>1507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19"/>
      <c r="X37" s="61"/>
      <c r="Y37" s="19"/>
      <c r="Z37" s="19"/>
      <c r="AA37" s="19"/>
      <c r="AB37" s="19"/>
      <c r="AC37" s="62"/>
    </row>
    <row r="38" ht="12.75" customHeight="1">
      <c r="A38" s="44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3"/>
      <c r="O38" s="13"/>
      <c r="P38" s="13"/>
      <c r="Q38" s="13"/>
      <c r="R38" s="13"/>
      <c r="S38" s="63"/>
      <c r="T38" s="13"/>
      <c r="U38" s="13"/>
      <c r="V38" s="13"/>
      <c r="W38" s="13"/>
      <c r="X38" s="63"/>
      <c r="Y38" s="13"/>
      <c r="Z38" s="13"/>
      <c r="AA38" s="13"/>
      <c r="AB38" s="13"/>
      <c r="AC38" s="62"/>
    </row>
    <row r="39" ht="12.75" customHeight="1">
      <c r="A39" s="31"/>
      <c r="B39" s="45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3.0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3">
        <f t="shared" ref="AC39:AC41" si="12">SUM(E39:AB39)</f>
        <v>4</v>
      </c>
    </row>
    <row r="40" ht="12.75" customHeight="1">
      <c r="A40" s="34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6.0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3">
        <f t="shared" si="12"/>
        <v>6</v>
      </c>
    </row>
    <row r="41" ht="12.75" customHeight="1">
      <c r="A41" s="43"/>
      <c r="B41" s="46"/>
      <c r="C41" s="28"/>
      <c r="D41" s="13" t="s">
        <v>13</v>
      </c>
      <c r="E41" s="13">
        <f t="shared" ref="E41:AB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9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2"/>
        <v>10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9"/>
      <c r="X42" s="61"/>
      <c r="Y42" s="19"/>
      <c r="Z42" s="19"/>
      <c r="AA42" s="19"/>
      <c r="AB42" s="19"/>
      <c r="AC42" s="13"/>
    </row>
    <row r="43" ht="12.75" customHeight="1">
      <c r="A43" s="44" t="s">
        <v>33</v>
      </c>
      <c r="B43" s="14" t="s">
        <v>34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3"/>
      <c r="O43" s="13"/>
      <c r="P43" s="13"/>
      <c r="Q43" s="13"/>
      <c r="R43" s="13"/>
      <c r="S43" s="63"/>
      <c r="T43" s="13"/>
      <c r="U43" s="13"/>
      <c r="V43" s="13"/>
      <c r="W43" s="13"/>
      <c r="X43" s="63"/>
      <c r="Y43" s="13"/>
      <c r="Z43" s="13"/>
      <c r="AA43" s="13"/>
      <c r="AB43" s="13"/>
      <c r="AC43" s="13"/>
    </row>
    <row r="44" ht="12.75" customHeight="1">
      <c r="A44" s="45" t="s">
        <v>35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9"/>
      <c r="X44" s="61"/>
      <c r="Y44" s="19"/>
      <c r="Z44" s="19"/>
      <c r="AA44" s="19"/>
      <c r="AB44" s="19"/>
      <c r="AC44" s="13"/>
    </row>
    <row r="45" ht="12.75" customHeight="1">
      <c r="A45" s="64"/>
      <c r="B45" s="49">
        <v>1.0</v>
      </c>
      <c r="C45" s="50" t="s">
        <v>36</v>
      </c>
      <c r="D45" s="16"/>
      <c r="E45" s="19">
        <v>46.0</v>
      </c>
      <c r="F45" s="19">
        <v>47.0</v>
      </c>
      <c r="G45" s="19">
        <v>63.0</v>
      </c>
      <c r="H45" s="19">
        <v>22.0</v>
      </c>
      <c r="I45" s="19">
        <v>25.0</v>
      </c>
      <c r="J45" s="19">
        <v>56.0</v>
      </c>
      <c r="K45" s="19">
        <v>70.0</v>
      </c>
      <c r="L45" s="19">
        <v>75.0</v>
      </c>
      <c r="M45" s="19">
        <v>48.0</v>
      </c>
      <c r="N45" s="19">
        <v>29.0</v>
      </c>
      <c r="O45" s="19">
        <v>39.0</v>
      </c>
      <c r="P45" s="19">
        <v>20.0</v>
      </c>
      <c r="Q45" s="19">
        <v>55.0</v>
      </c>
      <c r="R45" s="19">
        <v>44.0</v>
      </c>
      <c r="S45" s="19">
        <v>13.0</v>
      </c>
      <c r="T45" s="19">
        <v>130.0</v>
      </c>
      <c r="U45" s="19">
        <v>106.0</v>
      </c>
      <c r="V45" s="19">
        <v>71.0</v>
      </c>
      <c r="W45" s="19">
        <v>82.0</v>
      </c>
      <c r="X45" s="19">
        <v>82.0</v>
      </c>
      <c r="Y45" s="19">
        <v>51.0</v>
      </c>
      <c r="Z45" s="19">
        <v>50.0</v>
      </c>
      <c r="AA45" s="19">
        <v>59.0</v>
      </c>
      <c r="AB45" s="19">
        <v>89.0</v>
      </c>
      <c r="AC45" s="13">
        <f t="shared" ref="AC45:AC47" si="14">SUM(E45:AB45)</f>
        <v>1372</v>
      </c>
    </row>
    <row r="46" ht="12.75" customHeight="1">
      <c r="A46" s="18"/>
      <c r="B46" s="49">
        <v>2.0</v>
      </c>
      <c r="C46" s="50" t="s">
        <v>37</v>
      </c>
      <c r="D46" s="16"/>
      <c r="E46" s="19">
        <v>157.0</v>
      </c>
      <c r="F46" s="19">
        <v>153.0</v>
      </c>
      <c r="G46" s="19">
        <v>126.0</v>
      </c>
      <c r="H46" s="19">
        <v>198.0</v>
      </c>
      <c r="I46" s="19">
        <v>139.0</v>
      </c>
      <c r="J46" s="19">
        <v>132.0</v>
      </c>
      <c r="K46" s="19">
        <v>121.0</v>
      </c>
      <c r="L46" s="19">
        <v>113.0</v>
      </c>
      <c r="M46" s="19">
        <v>108.0</v>
      </c>
      <c r="N46" s="19">
        <v>140.0</v>
      </c>
      <c r="O46" s="19">
        <v>130.0</v>
      </c>
      <c r="P46" s="19">
        <v>111.0</v>
      </c>
      <c r="Q46" s="19">
        <v>109.0</v>
      </c>
      <c r="R46" s="19">
        <v>111.0</v>
      </c>
      <c r="S46" s="19">
        <v>128.0</v>
      </c>
      <c r="T46" s="19">
        <v>88.0</v>
      </c>
      <c r="U46" s="19">
        <v>97.0</v>
      </c>
      <c r="V46" s="19">
        <v>130.0</v>
      </c>
      <c r="W46" s="19">
        <v>124.0</v>
      </c>
      <c r="X46" s="19">
        <v>108.0</v>
      </c>
      <c r="Y46" s="19">
        <v>102.0</v>
      </c>
      <c r="Z46" s="19">
        <v>81.0</v>
      </c>
      <c r="AA46" s="19">
        <v>115.0</v>
      </c>
      <c r="AB46" s="19">
        <v>86.0</v>
      </c>
      <c r="AC46" s="13">
        <f t="shared" si="14"/>
        <v>2907</v>
      </c>
    </row>
    <row r="47" ht="12.75" customHeight="1">
      <c r="A47" s="47"/>
      <c r="B47" s="49">
        <v>3.0</v>
      </c>
      <c r="C47" s="50" t="s">
        <v>38</v>
      </c>
      <c r="D47" s="16"/>
      <c r="E47" s="19">
        <v>23.0</v>
      </c>
      <c r="F47" s="19">
        <v>16.0</v>
      </c>
      <c r="G47" s="19">
        <v>30.0</v>
      </c>
      <c r="H47" s="19">
        <v>21.0</v>
      </c>
      <c r="I47" s="19">
        <v>22.0</v>
      </c>
      <c r="J47" s="19">
        <v>34.0</v>
      </c>
      <c r="K47" s="19">
        <v>28.0</v>
      </c>
      <c r="L47" s="19">
        <v>35.0</v>
      </c>
      <c r="M47" s="19">
        <v>55.0</v>
      </c>
      <c r="N47" s="19">
        <v>45.0</v>
      </c>
      <c r="O47" s="19">
        <v>32.0</v>
      </c>
      <c r="P47" s="19">
        <v>43.0</v>
      </c>
      <c r="Q47" s="19">
        <v>25.0</v>
      </c>
      <c r="R47" s="19">
        <v>42.0</v>
      </c>
      <c r="S47" s="19">
        <v>52.0</v>
      </c>
      <c r="T47" s="19">
        <v>19.0</v>
      </c>
      <c r="U47" s="19">
        <v>44.0</v>
      </c>
      <c r="V47" s="19">
        <v>29.0</v>
      </c>
      <c r="W47" s="19">
        <v>19.0</v>
      </c>
      <c r="X47" s="19">
        <v>29.0</v>
      </c>
      <c r="Y47" s="19">
        <v>28.0</v>
      </c>
      <c r="Z47" s="19">
        <v>29.0</v>
      </c>
      <c r="AA47" s="19">
        <v>31.0</v>
      </c>
      <c r="AB47" s="19">
        <v>35.0</v>
      </c>
      <c r="AC47" s="13">
        <f t="shared" si="14"/>
        <v>766</v>
      </c>
    </row>
    <row r="48" ht="12.75" customHeight="1"/>
    <row r="49" ht="12.75" customHeight="1">
      <c r="A49" s="44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3"/>
      <c r="O49" s="13"/>
      <c r="P49" s="13"/>
      <c r="Q49" s="13"/>
      <c r="R49" s="13"/>
      <c r="S49" s="63"/>
      <c r="T49" s="13"/>
      <c r="U49" s="13"/>
      <c r="V49" s="13"/>
      <c r="W49" s="13"/>
      <c r="X49" s="63"/>
      <c r="Y49" s="13"/>
      <c r="Z49" s="13"/>
      <c r="AA49" s="13"/>
      <c r="AB49" s="13"/>
      <c r="AC49" s="13"/>
    </row>
    <row r="50" ht="12.75" customHeight="1">
      <c r="A50" s="44"/>
      <c r="B50" s="56" t="s">
        <v>41</v>
      </c>
      <c r="C50" s="57" t="s">
        <v>42</v>
      </c>
      <c r="D50" s="16"/>
      <c r="E50" s="19">
        <f t="shared" ref="E50:AB50" si="15">SUM(E45:E47)</f>
        <v>226</v>
      </c>
      <c r="F50" s="19">
        <f t="shared" si="15"/>
        <v>216</v>
      </c>
      <c r="G50" s="19">
        <f t="shared" si="15"/>
        <v>219</v>
      </c>
      <c r="H50" s="19">
        <f t="shared" si="15"/>
        <v>241</v>
      </c>
      <c r="I50" s="19">
        <f t="shared" si="15"/>
        <v>186</v>
      </c>
      <c r="J50" s="19">
        <f t="shared" si="15"/>
        <v>222</v>
      </c>
      <c r="K50" s="19">
        <f t="shared" si="15"/>
        <v>219</v>
      </c>
      <c r="L50" s="19">
        <f t="shared" si="15"/>
        <v>223</v>
      </c>
      <c r="M50" s="19">
        <f t="shared" si="15"/>
        <v>211</v>
      </c>
      <c r="N50" s="19">
        <f t="shared" si="15"/>
        <v>214</v>
      </c>
      <c r="O50" s="19">
        <f t="shared" si="15"/>
        <v>201</v>
      </c>
      <c r="P50" s="19">
        <f t="shared" si="15"/>
        <v>174</v>
      </c>
      <c r="Q50" s="19">
        <f t="shared" si="15"/>
        <v>189</v>
      </c>
      <c r="R50" s="19">
        <f t="shared" si="15"/>
        <v>197</v>
      </c>
      <c r="S50" s="19">
        <f t="shared" si="15"/>
        <v>193</v>
      </c>
      <c r="T50" s="19">
        <f t="shared" si="15"/>
        <v>237</v>
      </c>
      <c r="U50" s="19">
        <f t="shared" si="15"/>
        <v>247</v>
      </c>
      <c r="V50" s="19">
        <f t="shared" si="15"/>
        <v>230</v>
      </c>
      <c r="W50" s="19">
        <f t="shared" si="15"/>
        <v>225</v>
      </c>
      <c r="X50" s="19">
        <f t="shared" si="15"/>
        <v>219</v>
      </c>
      <c r="Y50" s="19">
        <f t="shared" si="15"/>
        <v>181</v>
      </c>
      <c r="Z50" s="19">
        <f t="shared" si="15"/>
        <v>160</v>
      </c>
      <c r="AA50" s="19">
        <f t="shared" si="15"/>
        <v>205</v>
      </c>
      <c r="AB50" s="19">
        <f t="shared" si="15"/>
        <v>210</v>
      </c>
      <c r="AC50" s="13">
        <f t="shared" ref="AC50:AC52" si="16">SUM(E50:AB50)</f>
        <v>5045</v>
      </c>
    </row>
    <row r="51" ht="12.75" customHeight="1">
      <c r="A51" s="36"/>
      <c r="B51" s="56" t="s">
        <v>43</v>
      </c>
      <c r="C51" s="57" t="s">
        <v>44</v>
      </c>
      <c r="D51" s="16"/>
      <c r="E51" s="19">
        <v>0.0</v>
      </c>
      <c r="F51" s="19">
        <v>6.0</v>
      </c>
      <c r="G51" s="19">
        <v>2.0</v>
      </c>
      <c r="H51" s="19">
        <v>7.0</v>
      </c>
      <c r="I51" s="19">
        <v>4.0</v>
      </c>
      <c r="J51" s="19">
        <v>1.0</v>
      </c>
      <c r="K51" s="19">
        <v>2.0</v>
      </c>
      <c r="L51" s="19">
        <v>5.0</v>
      </c>
      <c r="M51" s="19">
        <v>4.0</v>
      </c>
      <c r="N51" s="19">
        <v>2.0</v>
      </c>
      <c r="O51" s="19">
        <v>4.0</v>
      </c>
      <c r="P51" s="19">
        <v>2.0</v>
      </c>
      <c r="Q51" s="19">
        <v>3.0</v>
      </c>
      <c r="R51" s="19">
        <v>5.0</v>
      </c>
      <c r="S51" s="19">
        <v>8.0</v>
      </c>
      <c r="T51" s="19">
        <v>3.0</v>
      </c>
      <c r="U51" s="19">
        <v>2.0</v>
      </c>
      <c r="V51" s="19">
        <v>2.0</v>
      </c>
      <c r="W51" s="19">
        <v>2.0</v>
      </c>
      <c r="X51" s="19">
        <v>6.0</v>
      </c>
      <c r="Y51" s="19">
        <v>10.0</v>
      </c>
      <c r="Z51" s="19">
        <v>3.0</v>
      </c>
      <c r="AA51" s="19">
        <v>4.0</v>
      </c>
      <c r="AB51" s="19">
        <v>0.0</v>
      </c>
      <c r="AC51" s="13">
        <f t="shared" si="16"/>
        <v>87</v>
      </c>
    </row>
    <row r="52" ht="12.75" customHeight="1">
      <c r="A52" s="43"/>
      <c r="B52" s="56" t="s">
        <v>45</v>
      </c>
      <c r="C52" s="57" t="s">
        <v>46</v>
      </c>
      <c r="D52" s="16"/>
      <c r="E52" s="13">
        <f t="shared" ref="E52:AB52" si="17">SUM(E50:E51)</f>
        <v>226</v>
      </c>
      <c r="F52" s="13">
        <f t="shared" si="17"/>
        <v>222</v>
      </c>
      <c r="G52" s="13">
        <f t="shared" si="17"/>
        <v>221</v>
      </c>
      <c r="H52" s="13">
        <f t="shared" si="17"/>
        <v>248</v>
      </c>
      <c r="I52" s="13">
        <f t="shared" si="17"/>
        <v>190</v>
      </c>
      <c r="J52" s="13">
        <f t="shared" si="17"/>
        <v>223</v>
      </c>
      <c r="K52" s="13">
        <f t="shared" si="17"/>
        <v>221</v>
      </c>
      <c r="L52" s="13">
        <f t="shared" si="17"/>
        <v>228</v>
      </c>
      <c r="M52" s="13">
        <f t="shared" si="17"/>
        <v>215</v>
      </c>
      <c r="N52" s="13">
        <f t="shared" si="17"/>
        <v>216</v>
      </c>
      <c r="O52" s="13">
        <f t="shared" si="17"/>
        <v>205</v>
      </c>
      <c r="P52" s="13">
        <f t="shared" si="17"/>
        <v>176</v>
      </c>
      <c r="Q52" s="13">
        <f t="shared" si="17"/>
        <v>192</v>
      </c>
      <c r="R52" s="13">
        <f t="shared" si="17"/>
        <v>202</v>
      </c>
      <c r="S52" s="13">
        <f t="shared" si="17"/>
        <v>201</v>
      </c>
      <c r="T52" s="13">
        <f t="shared" si="17"/>
        <v>240</v>
      </c>
      <c r="U52" s="13">
        <f t="shared" si="17"/>
        <v>249</v>
      </c>
      <c r="V52" s="13">
        <f t="shared" si="17"/>
        <v>232</v>
      </c>
      <c r="W52" s="13">
        <f t="shared" si="17"/>
        <v>227</v>
      </c>
      <c r="X52" s="13">
        <f t="shared" si="17"/>
        <v>225</v>
      </c>
      <c r="Y52" s="13">
        <f t="shared" si="17"/>
        <v>191</v>
      </c>
      <c r="Z52" s="13">
        <f t="shared" si="17"/>
        <v>163</v>
      </c>
      <c r="AA52" s="13">
        <f t="shared" si="17"/>
        <v>209</v>
      </c>
      <c r="AB52" s="13">
        <f t="shared" si="17"/>
        <v>210</v>
      </c>
      <c r="AC52" s="13">
        <f t="shared" si="16"/>
        <v>5132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AC12:AC13"/>
    <mergeCell ref="B13:D13"/>
    <mergeCell ref="B14:C16"/>
    <mergeCell ref="A17:D17"/>
    <mergeCell ref="B18:D18"/>
    <mergeCell ref="E12:AB12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AB34">
    <cfRule type="expression" dxfId="0" priority="1">
      <formula>E34&lt;&gt;#REF!</formula>
    </cfRule>
  </conditionalFormatting>
  <conditionalFormatting sqref="E14:AB15 E45:AB47">
    <cfRule type="containsBlanks" dxfId="1" priority="2">
      <formula>LEN(TRIM(E14))=0</formula>
    </cfRule>
  </conditionalFormatting>
  <conditionalFormatting sqref="E19:AB20">
    <cfRule type="containsBlanks" dxfId="1" priority="3">
      <formula>LEN(TRIM(E19))=0</formula>
    </cfRule>
  </conditionalFormatting>
  <conditionalFormatting sqref="E22:AB23 E25:AB26 E33:AB33 E35:AB35 E39:AB40">
    <cfRule type="containsBlanks" dxfId="1" priority="4">
      <formula>LEN(TRIM(E22))=0</formula>
    </cfRule>
  </conditionalFormatting>
  <conditionalFormatting sqref="E30:AB30">
    <cfRule type="expression" dxfId="0" priority="5">
      <formula>E30&lt;&gt;E46</formula>
    </cfRule>
  </conditionalFormatting>
  <conditionalFormatting sqref="E30:AB30">
    <cfRule type="expression" dxfId="0" priority="6">
      <formula>E30&lt;&gt;E34</formula>
    </cfRule>
  </conditionalFormatting>
  <conditionalFormatting sqref="E34:AB34">
    <cfRule type="expression" dxfId="2" priority="7">
      <formula>E30&lt;&gt;E34</formula>
    </cfRule>
  </conditionalFormatting>
  <conditionalFormatting sqref="E34:AB34">
    <cfRule type="expression" dxfId="3" priority="8">
      <formula>E30=E34</formula>
    </cfRule>
  </conditionalFormatting>
  <conditionalFormatting sqref="E34:AB34">
    <cfRule type="expression" dxfId="0" priority="9">
      <formula>E34&lt;&gt;E30</formula>
    </cfRule>
  </conditionalFormatting>
  <conditionalFormatting sqref="E50:AB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6" width="8.71"/>
    <col customWidth="1" min="57" max="57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</row>
    <row r="12" ht="12.75" customHeight="1">
      <c r="A12" s="13" t="s">
        <v>5</v>
      </c>
      <c r="B12" s="14" t="s">
        <v>6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60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13" t="s">
        <v>61</v>
      </c>
      <c r="S13" s="13" t="s">
        <v>62</v>
      </c>
      <c r="T13" s="13" t="s">
        <v>63</v>
      </c>
      <c r="U13" s="13" t="s">
        <v>64</v>
      </c>
      <c r="V13" s="13" t="s">
        <v>65</v>
      </c>
      <c r="W13" s="13" t="s">
        <v>66</v>
      </c>
      <c r="X13" s="13" t="s">
        <v>67</v>
      </c>
      <c r="Y13" s="13" t="s">
        <v>68</v>
      </c>
      <c r="Z13" s="13" t="s">
        <v>69</v>
      </c>
      <c r="AA13" s="13" t="s">
        <v>70</v>
      </c>
      <c r="AB13" s="13" t="s">
        <v>71</v>
      </c>
      <c r="AC13" s="13" t="s">
        <v>72</v>
      </c>
      <c r="AD13" s="13" t="s">
        <v>73</v>
      </c>
      <c r="AE13" s="13" t="s">
        <v>74</v>
      </c>
      <c r="AF13" s="13" t="s">
        <v>75</v>
      </c>
      <c r="AG13" s="13" t="s">
        <v>76</v>
      </c>
      <c r="AH13" s="13" t="s">
        <v>77</v>
      </c>
      <c r="AI13" s="13" t="s">
        <v>78</v>
      </c>
      <c r="AJ13" s="13" t="s">
        <v>79</v>
      </c>
      <c r="AK13" s="13" t="s">
        <v>80</v>
      </c>
      <c r="AL13" s="13" t="s">
        <v>81</v>
      </c>
      <c r="AM13" s="13" t="s">
        <v>82</v>
      </c>
      <c r="AN13" s="13" t="s">
        <v>83</v>
      </c>
      <c r="AO13" s="13" t="s">
        <v>84</v>
      </c>
      <c r="AP13" s="13" t="s">
        <v>85</v>
      </c>
      <c r="AQ13" s="13" t="s">
        <v>86</v>
      </c>
      <c r="AR13" s="13" t="s">
        <v>87</v>
      </c>
      <c r="AS13" s="13" t="s">
        <v>88</v>
      </c>
      <c r="AT13" s="13" t="s">
        <v>89</v>
      </c>
      <c r="AU13" s="13" t="s">
        <v>90</v>
      </c>
      <c r="AV13" s="13" t="s">
        <v>91</v>
      </c>
      <c r="AW13" s="13" t="s">
        <v>92</v>
      </c>
      <c r="AX13" s="13" t="s">
        <v>93</v>
      </c>
      <c r="AY13" s="13" t="s">
        <v>94</v>
      </c>
      <c r="AZ13" s="13" t="s">
        <v>95</v>
      </c>
      <c r="BA13" s="13" t="s">
        <v>96</v>
      </c>
      <c r="BB13" s="13" t="s">
        <v>97</v>
      </c>
      <c r="BC13" s="13" t="s">
        <v>98</v>
      </c>
      <c r="BD13" s="13" t="s">
        <v>99</v>
      </c>
      <c r="BE13" s="37"/>
    </row>
    <row r="14" ht="12.75" customHeight="1">
      <c r="A14" s="18"/>
      <c r="B14" s="22" t="s">
        <v>10</v>
      </c>
      <c r="C14" s="23"/>
      <c r="D14" s="19" t="s">
        <v>11</v>
      </c>
      <c r="E14" s="19">
        <v>138.0</v>
      </c>
      <c r="F14" s="19">
        <v>139.0</v>
      </c>
      <c r="G14" s="19">
        <v>141.0</v>
      </c>
      <c r="H14" s="19">
        <v>142.0</v>
      </c>
      <c r="I14" s="19">
        <v>141.0</v>
      </c>
      <c r="J14" s="19">
        <v>101.0</v>
      </c>
      <c r="K14" s="19">
        <v>124.0</v>
      </c>
      <c r="L14" s="19">
        <v>133.0</v>
      </c>
      <c r="M14" s="19">
        <v>108.0</v>
      </c>
      <c r="N14" s="19">
        <v>93.0</v>
      </c>
      <c r="O14" s="19">
        <v>138.0</v>
      </c>
      <c r="P14" s="19">
        <v>122.0</v>
      </c>
      <c r="Q14" s="19">
        <v>138.0</v>
      </c>
      <c r="R14" s="19">
        <v>144.0</v>
      </c>
      <c r="S14" s="19">
        <v>140.0</v>
      </c>
      <c r="T14" s="19">
        <v>125.0</v>
      </c>
      <c r="U14" s="19">
        <v>124.0</v>
      </c>
      <c r="V14" s="19">
        <v>128.0</v>
      </c>
      <c r="W14" s="19">
        <v>112.0</v>
      </c>
      <c r="X14" s="19">
        <v>95.0</v>
      </c>
      <c r="Y14" s="19">
        <v>140.0</v>
      </c>
      <c r="Z14" s="19">
        <v>128.0</v>
      </c>
      <c r="AA14" s="19">
        <v>139.0</v>
      </c>
      <c r="AB14" s="19">
        <v>146.0</v>
      </c>
      <c r="AC14" s="19">
        <v>149.0</v>
      </c>
      <c r="AD14" s="19">
        <v>140.0</v>
      </c>
      <c r="AE14" s="19">
        <v>107.0</v>
      </c>
      <c r="AF14" s="19">
        <v>142.0</v>
      </c>
      <c r="AG14" s="19">
        <v>142.0</v>
      </c>
      <c r="AH14" s="19">
        <v>141.0</v>
      </c>
      <c r="AI14" s="19">
        <v>133.0</v>
      </c>
      <c r="AJ14" s="19">
        <v>135.0</v>
      </c>
      <c r="AK14" s="19">
        <v>132.0</v>
      </c>
      <c r="AL14" s="19">
        <v>146.0</v>
      </c>
      <c r="AM14" s="19">
        <v>127.0</v>
      </c>
      <c r="AN14" s="19">
        <v>148.0</v>
      </c>
      <c r="AO14" s="19">
        <v>143.0</v>
      </c>
      <c r="AP14" s="19">
        <v>131.0</v>
      </c>
      <c r="AQ14" s="19">
        <v>98.0</v>
      </c>
      <c r="AR14" s="19">
        <v>143.0</v>
      </c>
      <c r="AS14" s="19">
        <v>135.0</v>
      </c>
      <c r="AT14" s="19">
        <v>136.0</v>
      </c>
      <c r="AU14" s="19">
        <v>137.0</v>
      </c>
      <c r="AV14" s="19">
        <v>139.0</v>
      </c>
      <c r="AW14" s="19">
        <v>123.0</v>
      </c>
      <c r="AX14" s="19">
        <v>125.0</v>
      </c>
      <c r="AY14" s="19">
        <v>91.0</v>
      </c>
      <c r="AZ14" s="19">
        <v>137.0</v>
      </c>
      <c r="BA14" s="19">
        <v>121.0</v>
      </c>
      <c r="BB14" s="19">
        <v>125.0</v>
      </c>
      <c r="BC14" s="19">
        <v>121.0</v>
      </c>
      <c r="BD14" s="19">
        <v>116.0</v>
      </c>
      <c r="BE14" s="13">
        <f t="shared" ref="BE14:BE16" si="1">SUM(E14:BD14)</f>
        <v>6742</v>
      </c>
    </row>
    <row r="15" ht="12.75" customHeight="1">
      <c r="A15" s="18"/>
      <c r="B15" s="26"/>
      <c r="C15" s="27"/>
      <c r="D15" s="19" t="s">
        <v>12</v>
      </c>
      <c r="E15" s="19">
        <v>128.0</v>
      </c>
      <c r="F15" s="19">
        <v>132.0</v>
      </c>
      <c r="G15" s="19">
        <v>148.0</v>
      </c>
      <c r="H15" s="19">
        <v>139.0</v>
      </c>
      <c r="I15" s="19">
        <v>142.0</v>
      </c>
      <c r="J15" s="19">
        <v>125.0</v>
      </c>
      <c r="K15" s="19">
        <v>155.0</v>
      </c>
      <c r="L15" s="19">
        <v>131.0</v>
      </c>
      <c r="M15" s="19">
        <v>107.0</v>
      </c>
      <c r="N15" s="19">
        <v>94.0</v>
      </c>
      <c r="O15" s="19">
        <v>156.0</v>
      </c>
      <c r="P15" s="19">
        <v>129.0</v>
      </c>
      <c r="Q15" s="19">
        <v>148.0</v>
      </c>
      <c r="R15" s="19">
        <v>139.0</v>
      </c>
      <c r="S15" s="19">
        <v>136.0</v>
      </c>
      <c r="T15" s="19">
        <v>132.0</v>
      </c>
      <c r="U15" s="19">
        <v>139.0</v>
      </c>
      <c r="V15" s="19">
        <v>141.0</v>
      </c>
      <c r="W15" s="19">
        <v>123.0</v>
      </c>
      <c r="X15" s="19">
        <v>100.0</v>
      </c>
      <c r="Y15" s="19">
        <v>142.0</v>
      </c>
      <c r="Z15" s="19">
        <v>146.0</v>
      </c>
      <c r="AA15" s="19">
        <v>146.0</v>
      </c>
      <c r="AB15" s="19">
        <v>154.0</v>
      </c>
      <c r="AC15" s="19">
        <v>150.0</v>
      </c>
      <c r="AD15" s="19">
        <v>157.0</v>
      </c>
      <c r="AE15" s="19">
        <v>105.0</v>
      </c>
      <c r="AF15" s="19">
        <v>153.0</v>
      </c>
      <c r="AG15" s="19">
        <v>145.0</v>
      </c>
      <c r="AH15" s="19">
        <v>147.0</v>
      </c>
      <c r="AI15" s="19">
        <v>140.0</v>
      </c>
      <c r="AJ15" s="19">
        <v>155.0</v>
      </c>
      <c r="AK15" s="19">
        <v>124.0</v>
      </c>
      <c r="AL15" s="19">
        <v>150.0</v>
      </c>
      <c r="AM15" s="19">
        <v>142.0</v>
      </c>
      <c r="AN15" s="19">
        <v>148.0</v>
      </c>
      <c r="AO15" s="19">
        <v>154.0</v>
      </c>
      <c r="AP15" s="19">
        <v>135.0</v>
      </c>
      <c r="AQ15" s="19">
        <v>120.0</v>
      </c>
      <c r="AR15" s="19">
        <v>147.0</v>
      </c>
      <c r="AS15" s="19">
        <v>149.0</v>
      </c>
      <c r="AT15" s="19">
        <v>134.0</v>
      </c>
      <c r="AU15" s="19">
        <v>133.0</v>
      </c>
      <c r="AV15" s="19">
        <v>133.0</v>
      </c>
      <c r="AW15" s="19">
        <v>129.0</v>
      </c>
      <c r="AX15" s="19">
        <v>137.0</v>
      </c>
      <c r="AY15" s="19">
        <v>102.0</v>
      </c>
      <c r="AZ15" s="19">
        <v>147.0</v>
      </c>
      <c r="BA15" s="19">
        <v>126.0</v>
      </c>
      <c r="BB15" s="19">
        <v>126.0</v>
      </c>
      <c r="BC15" s="19">
        <v>134.0</v>
      </c>
      <c r="BD15" s="19">
        <v>104.0</v>
      </c>
      <c r="BE15" s="13">
        <f t="shared" si="1"/>
        <v>7058</v>
      </c>
    </row>
    <row r="16" ht="12.75" customHeight="1">
      <c r="A16" s="25"/>
      <c r="B16" s="21"/>
      <c r="C16" s="28"/>
      <c r="D16" s="13" t="s">
        <v>13</v>
      </c>
      <c r="E16" s="13">
        <f t="shared" ref="E16:BD16" si="2">SUM(E14:E15)</f>
        <v>266</v>
      </c>
      <c r="F16" s="13">
        <f t="shared" si="2"/>
        <v>271</v>
      </c>
      <c r="G16" s="13">
        <f t="shared" si="2"/>
        <v>289</v>
      </c>
      <c r="H16" s="13">
        <f t="shared" si="2"/>
        <v>281</v>
      </c>
      <c r="I16" s="13">
        <f t="shared" si="2"/>
        <v>283</v>
      </c>
      <c r="J16" s="13">
        <f t="shared" si="2"/>
        <v>226</v>
      </c>
      <c r="K16" s="13">
        <f t="shared" si="2"/>
        <v>279</v>
      </c>
      <c r="L16" s="13">
        <f t="shared" si="2"/>
        <v>264</v>
      </c>
      <c r="M16" s="13">
        <f t="shared" si="2"/>
        <v>215</v>
      </c>
      <c r="N16" s="13">
        <f t="shared" si="2"/>
        <v>187</v>
      </c>
      <c r="O16" s="13">
        <f t="shared" si="2"/>
        <v>294</v>
      </c>
      <c r="P16" s="13">
        <f t="shared" si="2"/>
        <v>251</v>
      </c>
      <c r="Q16" s="13">
        <f t="shared" si="2"/>
        <v>286</v>
      </c>
      <c r="R16" s="13">
        <f t="shared" si="2"/>
        <v>283</v>
      </c>
      <c r="S16" s="13">
        <f t="shared" si="2"/>
        <v>276</v>
      </c>
      <c r="T16" s="13">
        <f t="shared" si="2"/>
        <v>257</v>
      </c>
      <c r="U16" s="13">
        <f t="shared" si="2"/>
        <v>263</v>
      </c>
      <c r="V16" s="13">
        <f t="shared" si="2"/>
        <v>269</v>
      </c>
      <c r="W16" s="13">
        <f t="shared" si="2"/>
        <v>235</v>
      </c>
      <c r="X16" s="13">
        <f t="shared" si="2"/>
        <v>195</v>
      </c>
      <c r="Y16" s="13">
        <f t="shared" si="2"/>
        <v>282</v>
      </c>
      <c r="Z16" s="13">
        <f t="shared" si="2"/>
        <v>274</v>
      </c>
      <c r="AA16" s="13">
        <f t="shared" si="2"/>
        <v>285</v>
      </c>
      <c r="AB16" s="13">
        <f t="shared" si="2"/>
        <v>300</v>
      </c>
      <c r="AC16" s="13">
        <f t="shared" si="2"/>
        <v>299</v>
      </c>
      <c r="AD16" s="13">
        <f t="shared" si="2"/>
        <v>297</v>
      </c>
      <c r="AE16" s="13">
        <f t="shared" si="2"/>
        <v>212</v>
      </c>
      <c r="AF16" s="13">
        <f t="shared" si="2"/>
        <v>295</v>
      </c>
      <c r="AG16" s="13">
        <f t="shared" si="2"/>
        <v>287</v>
      </c>
      <c r="AH16" s="13">
        <f t="shared" si="2"/>
        <v>288</v>
      </c>
      <c r="AI16" s="13">
        <f t="shared" si="2"/>
        <v>273</v>
      </c>
      <c r="AJ16" s="13">
        <f t="shared" si="2"/>
        <v>290</v>
      </c>
      <c r="AK16" s="13">
        <f t="shared" si="2"/>
        <v>256</v>
      </c>
      <c r="AL16" s="13">
        <f t="shared" si="2"/>
        <v>296</v>
      </c>
      <c r="AM16" s="13">
        <f t="shared" si="2"/>
        <v>269</v>
      </c>
      <c r="AN16" s="13">
        <f t="shared" si="2"/>
        <v>296</v>
      </c>
      <c r="AO16" s="13">
        <f t="shared" si="2"/>
        <v>297</v>
      </c>
      <c r="AP16" s="13">
        <f t="shared" si="2"/>
        <v>266</v>
      </c>
      <c r="AQ16" s="13">
        <f t="shared" si="2"/>
        <v>218</v>
      </c>
      <c r="AR16" s="13">
        <f t="shared" si="2"/>
        <v>290</v>
      </c>
      <c r="AS16" s="13">
        <f t="shared" si="2"/>
        <v>284</v>
      </c>
      <c r="AT16" s="13">
        <f t="shared" si="2"/>
        <v>270</v>
      </c>
      <c r="AU16" s="13">
        <f t="shared" si="2"/>
        <v>270</v>
      </c>
      <c r="AV16" s="13">
        <f t="shared" si="2"/>
        <v>272</v>
      </c>
      <c r="AW16" s="13">
        <f t="shared" si="2"/>
        <v>252</v>
      </c>
      <c r="AX16" s="13">
        <f t="shared" si="2"/>
        <v>262</v>
      </c>
      <c r="AY16" s="13">
        <f t="shared" si="2"/>
        <v>193</v>
      </c>
      <c r="AZ16" s="13">
        <f t="shared" si="2"/>
        <v>284</v>
      </c>
      <c r="BA16" s="13">
        <f t="shared" si="2"/>
        <v>247</v>
      </c>
      <c r="BB16" s="13">
        <f t="shared" si="2"/>
        <v>251</v>
      </c>
      <c r="BC16" s="13">
        <f t="shared" si="2"/>
        <v>255</v>
      </c>
      <c r="BD16" s="13">
        <f t="shared" si="2"/>
        <v>220</v>
      </c>
      <c r="BE16" s="13">
        <f t="shared" si="1"/>
        <v>13800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19"/>
      <c r="X17" s="61"/>
      <c r="Y17" s="19"/>
      <c r="Z17" s="19"/>
      <c r="AA17" s="19"/>
      <c r="AB17" s="19"/>
      <c r="AC17" s="61"/>
      <c r="AD17" s="19"/>
      <c r="AE17" s="19"/>
      <c r="AF17" s="19"/>
      <c r="AG17" s="19"/>
      <c r="AH17" s="61"/>
      <c r="AI17" s="19"/>
      <c r="AJ17" s="19"/>
      <c r="AK17" s="19"/>
      <c r="AL17" s="19"/>
      <c r="AM17" s="61"/>
      <c r="AN17" s="19"/>
      <c r="AO17" s="19"/>
      <c r="AP17" s="19"/>
      <c r="AQ17" s="19"/>
      <c r="AR17" s="61"/>
      <c r="AS17" s="19"/>
      <c r="AT17" s="19"/>
      <c r="AU17" s="19"/>
      <c r="AV17" s="19"/>
      <c r="AW17" s="61"/>
      <c r="AX17" s="19"/>
      <c r="AY17" s="19"/>
      <c r="AZ17" s="19"/>
      <c r="BA17" s="19"/>
      <c r="BB17" s="61"/>
      <c r="BC17" s="19"/>
      <c r="BD17" s="19"/>
      <c r="BE17" s="62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19"/>
      <c r="X18" s="61"/>
      <c r="Y18" s="19"/>
      <c r="Z18" s="19"/>
      <c r="AA18" s="19"/>
      <c r="AB18" s="19"/>
      <c r="AC18" s="61"/>
      <c r="AD18" s="19"/>
      <c r="AE18" s="19"/>
      <c r="AF18" s="19"/>
      <c r="AG18" s="19"/>
      <c r="AH18" s="61"/>
      <c r="AI18" s="19"/>
      <c r="AJ18" s="19"/>
      <c r="AK18" s="19"/>
      <c r="AL18" s="19"/>
      <c r="AM18" s="61"/>
      <c r="AN18" s="19"/>
      <c r="AO18" s="19"/>
      <c r="AP18" s="19"/>
      <c r="AQ18" s="19"/>
      <c r="AR18" s="61"/>
      <c r="AS18" s="19"/>
      <c r="AT18" s="19"/>
      <c r="AU18" s="19"/>
      <c r="AV18" s="19"/>
      <c r="AW18" s="61"/>
      <c r="AX18" s="19"/>
      <c r="AY18" s="19"/>
      <c r="AZ18" s="19"/>
      <c r="BA18" s="19"/>
      <c r="BB18" s="61"/>
      <c r="BC18" s="19"/>
      <c r="BD18" s="19"/>
      <c r="BE18" s="62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19">
        <v>98.0</v>
      </c>
      <c r="F19" s="19">
        <v>98.0</v>
      </c>
      <c r="G19" s="19">
        <v>96.0</v>
      </c>
      <c r="H19" s="19">
        <v>100.0</v>
      </c>
      <c r="I19" s="19">
        <v>100.0</v>
      </c>
      <c r="J19" s="19">
        <v>70.0</v>
      </c>
      <c r="K19" s="19">
        <v>81.0</v>
      </c>
      <c r="L19" s="19">
        <v>85.0</v>
      </c>
      <c r="M19" s="19">
        <v>75.0</v>
      </c>
      <c r="N19" s="19">
        <v>71.0</v>
      </c>
      <c r="O19" s="19">
        <v>77.0</v>
      </c>
      <c r="P19" s="19">
        <v>74.0</v>
      </c>
      <c r="Q19" s="19">
        <v>94.0</v>
      </c>
      <c r="R19" s="19">
        <v>97.0</v>
      </c>
      <c r="S19" s="19">
        <v>83.0</v>
      </c>
      <c r="T19" s="19">
        <v>91.0</v>
      </c>
      <c r="U19" s="19">
        <v>72.0</v>
      </c>
      <c r="V19" s="19">
        <v>92.0</v>
      </c>
      <c r="W19" s="19">
        <v>68.0</v>
      </c>
      <c r="X19" s="19">
        <v>78.0</v>
      </c>
      <c r="Y19" s="19">
        <v>104.0</v>
      </c>
      <c r="Z19" s="19">
        <v>99.0</v>
      </c>
      <c r="AA19" s="19">
        <v>129.0</v>
      </c>
      <c r="AB19" s="19">
        <v>116.0</v>
      </c>
      <c r="AC19" s="19">
        <v>114.0</v>
      </c>
      <c r="AD19" s="19">
        <v>110.0</v>
      </c>
      <c r="AE19" s="19">
        <v>90.0</v>
      </c>
      <c r="AF19" s="19">
        <v>118.0</v>
      </c>
      <c r="AG19" s="19">
        <v>102.0</v>
      </c>
      <c r="AH19" s="19">
        <v>120.0</v>
      </c>
      <c r="AI19" s="19">
        <v>105.0</v>
      </c>
      <c r="AJ19" s="19">
        <v>100.0</v>
      </c>
      <c r="AK19" s="19">
        <v>97.0</v>
      </c>
      <c r="AL19" s="19">
        <v>96.0</v>
      </c>
      <c r="AM19" s="19">
        <v>90.0</v>
      </c>
      <c r="AN19" s="19">
        <v>101.0</v>
      </c>
      <c r="AO19" s="19">
        <v>97.0</v>
      </c>
      <c r="AP19" s="19">
        <v>96.0</v>
      </c>
      <c r="AQ19" s="19">
        <v>67.0</v>
      </c>
      <c r="AR19" s="19">
        <v>97.0</v>
      </c>
      <c r="AS19" s="19">
        <v>95.0</v>
      </c>
      <c r="AT19" s="19">
        <v>100.0</v>
      </c>
      <c r="AU19" s="19">
        <v>103.0</v>
      </c>
      <c r="AV19" s="19">
        <v>110.0</v>
      </c>
      <c r="AW19" s="19">
        <v>104.0</v>
      </c>
      <c r="AX19" s="19">
        <v>83.0</v>
      </c>
      <c r="AY19" s="19">
        <v>65.0</v>
      </c>
      <c r="AZ19" s="19">
        <v>103.0</v>
      </c>
      <c r="BA19" s="19">
        <v>94.0</v>
      </c>
      <c r="BB19" s="19">
        <v>92.0</v>
      </c>
      <c r="BC19" s="19">
        <v>94.0</v>
      </c>
      <c r="BD19" s="19">
        <v>77.0</v>
      </c>
      <c r="BE19" s="13">
        <f t="shared" ref="BE19:BE30" si="3">SUM(E19:BD19)</f>
        <v>4868</v>
      </c>
    </row>
    <row r="20" ht="12.75" customHeight="1">
      <c r="A20" s="34"/>
      <c r="B20" s="27"/>
      <c r="C20" s="35"/>
      <c r="D20" s="19" t="s">
        <v>12</v>
      </c>
      <c r="E20" s="19">
        <v>100.0</v>
      </c>
      <c r="F20" s="19">
        <v>97.0</v>
      </c>
      <c r="G20" s="19">
        <v>117.0</v>
      </c>
      <c r="H20" s="19">
        <v>112.0</v>
      </c>
      <c r="I20" s="19">
        <v>118.0</v>
      </c>
      <c r="J20" s="19">
        <v>97.0</v>
      </c>
      <c r="K20" s="19">
        <v>115.0</v>
      </c>
      <c r="L20" s="19">
        <v>106.0</v>
      </c>
      <c r="M20" s="19">
        <v>84.0</v>
      </c>
      <c r="N20" s="19">
        <v>76.0</v>
      </c>
      <c r="O20" s="19">
        <v>98.0</v>
      </c>
      <c r="P20" s="19">
        <v>92.0</v>
      </c>
      <c r="Q20" s="19">
        <v>117.0</v>
      </c>
      <c r="R20" s="19">
        <v>108.0</v>
      </c>
      <c r="S20" s="19">
        <v>107.0</v>
      </c>
      <c r="T20" s="19">
        <v>106.0</v>
      </c>
      <c r="U20" s="19">
        <v>100.0</v>
      </c>
      <c r="V20" s="19">
        <v>110.0</v>
      </c>
      <c r="W20" s="19">
        <v>90.0</v>
      </c>
      <c r="X20" s="19">
        <v>88.0</v>
      </c>
      <c r="Y20" s="19">
        <v>113.0</v>
      </c>
      <c r="Z20" s="19">
        <v>119.0</v>
      </c>
      <c r="AA20" s="19">
        <v>137.0</v>
      </c>
      <c r="AB20" s="19">
        <v>127.0</v>
      </c>
      <c r="AC20" s="19">
        <v>151.0</v>
      </c>
      <c r="AD20" s="19">
        <v>152.0</v>
      </c>
      <c r="AE20" s="19">
        <v>97.0</v>
      </c>
      <c r="AF20" s="19">
        <v>118.0</v>
      </c>
      <c r="AG20" s="19">
        <v>121.0</v>
      </c>
      <c r="AH20" s="19">
        <v>127.0</v>
      </c>
      <c r="AI20" s="19">
        <v>114.0</v>
      </c>
      <c r="AJ20" s="19">
        <v>120.0</v>
      </c>
      <c r="AK20" s="19">
        <v>104.0</v>
      </c>
      <c r="AL20" s="19">
        <v>117.0</v>
      </c>
      <c r="AM20" s="19">
        <v>105.0</v>
      </c>
      <c r="AN20" s="19">
        <v>118.0</v>
      </c>
      <c r="AO20" s="19">
        <v>118.0</v>
      </c>
      <c r="AP20" s="19">
        <v>104.0</v>
      </c>
      <c r="AQ20" s="19">
        <v>94.0</v>
      </c>
      <c r="AR20" s="19">
        <v>114.0</v>
      </c>
      <c r="AS20" s="19">
        <v>122.0</v>
      </c>
      <c r="AT20" s="19">
        <v>104.0</v>
      </c>
      <c r="AU20" s="19">
        <v>101.0</v>
      </c>
      <c r="AV20" s="19">
        <v>110.0</v>
      </c>
      <c r="AW20" s="19">
        <v>106.0</v>
      </c>
      <c r="AX20" s="19">
        <v>116.0</v>
      </c>
      <c r="AY20" s="19">
        <v>84.0</v>
      </c>
      <c r="AZ20" s="19">
        <v>114.0</v>
      </c>
      <c r="BA20" s="19">
        <v>97.0</v>
      </c>
      <c r="BB20" s="19">
        <v>83.0</v>
      </c>
      <c r="BC20" s="19">
        <v>102.0</v>
      </c>
      <c r="BD20" s="19">
        <v>83.0</v>
      </c>
      <c r="BE20" s="13">
        <f t="shared" si="3"/>
        <v>5630</v>
      </c>
    </row>
    <row r="21" ht="12.75" customHeight="1">
      <c r="A21" s="36"/>
      <c r="B21" s="28"/>
      <c r="C21" s="37"/>
      <c r="D21" s="13" t="s">
        <v>13</v>
      </c>
      <c r="E21" s="13">
        <f t="shared" ref="E21:BD21" si="4">SUM(E19:E20)</f>
        <v>198</v>
      </c>
      <c r="F21" s="13">
        <f t="shared" si="4"/>
        <v>195</v>
      </c>
      <c r="G21" s="13">
        <f t="shared" si="4"/>
        <v>213</v>
      </c>
      <c r="H21" s="13">
        <f t="shared" si="4"/>
        <v>212</v>
      </c>
      <c r="I21" s="13">
        <f t="shared" si="4"/>
        <v>218</v>
      </c>
      <c r="J21" s="13">
        <f t="shared" si="4"/>
        <v>167</v>
      </c>
      <c r="K21" s="13">
        <f t="shared" si="4"/>
        <v>196</v>
      </c>
      <c r="L21" s="13">
        <f t="shared" si="4"/>
        <v>191</v>
      </c>
      <c r="M21" s="13">
        <f t="shared" si="4"/>
        <v>159</v>
      </c>
      <c r="N21" s="13">
        <f t="shared" si="4"/>
        <v>147</v>
      </c>
      <c r="O21" s="13">
        <f t="shared" si="4"/>
        <v>175</v>
      </c>
      <c r="P21" s="13">
        <f t="shared" si="4"/>
        <v>166</v>
      </c>
      <c r="Q21" s="13">
        <f t="shared" si="4"/>
        <v>211</v>
      </c>
      <c r="R21" s="13">
        <f t="shared" si="4"/>
        <v>205</v>
      </c>
      <c r="S21" s="13">
        <f t="shared" si="4"/>
        <v>190</v>
      </c>
      <c r="T21" s="13">
        <f t="shared" si="4"/>
        <v>197</v>
      </c>
      <c r="U21" s="13">
        <f t="shared" si="4"/>
        <v>172</v>
      </c>
      <c r="V21" s="13">
        <f t="shared" si="4"/>
        <v>202</v>
      </c>
      <c r="W21" s="13">
        <f t="shared" si="4"/>
        <v>158</v>
      </c>
      <c r="X21" s="13">
        <f t="shared" si="4"/>
        <v>166</v>
      </c>
      <c r="Y21" s="13">
        <f t="shared" si="4"/>
        <v>217</v>
      </c>
      <c r="Z21" s="13">
        <f t="shared" si="4"/>
        <v>218</v>
      </c>
      <c r="AA21" s="13">
        <f t="shared" si="4"/>
        <v>266</v>
      </c>
      <c r="AB21" s="13">
        <f t="shared" si="4"/>
        <v>243</v>
      </c>
      <c r="AC21" s="13">
        <f t="shared" si="4"/>
        <v>265</v>
      </c>
      <c r="AD21" s="13">
        <f t="shared" si="4"/>
        <v>262</v>
      </c>
      <c r="AE21" s="13">
        <f t="shared" si="4"/>
        <v>187</v>
      </c>
      <c r="AF21" s="13">
        <f t="shared" si="4"/>
        <v>236</v>
      </c>
      <c r="AG21" s="13">
        <f t="shared" si="4"/>
        <v>223</v>
      </c>
      <c r="AH21" s="13">
        <f t="shared" si="4"/>
        <v>247</v>
      </c>
      <c r="AI21" s="13">
        <f t="shared" si="4"/>
        <v>219</v>
      </c>
      <c r="AJ21" s="13">
        <f t="shared" si="4"/>
        <v>220</v>
      </c>
      <c r="AK21" s="13">
        <f t="shared" si="4"/>
        <v>201</v>
      </c>
      <c r="AL21" s="13">
        <f t="shared" si="4"/>
        <v>213</v>
      </c>
      <c r="AM21" s="13">
        <f t="shared" si="4"/>
        <v>195</v>
      </c>
      <c r="AN21" s="13">
        <f t="shared" si="4"/>
        <v>219</v>
      </c>
      <c r="AO21" s="13">
        <f t="shared" si="4"/>
        <v>215</v>
      </c>
      <c r="AP21" s="13">
        <f t="shared" si="4"/>
        <v>200</v>
      </c>
      <c r="AQ21" s="13">
        <f t="shared" si="4"/>
        <v>161</v>
      </c>
      <c r="AR21" s="13">
        <f t="shared" si="4"/>
        <v>211</v>
      </c>
      <c r="AS21" s="13">
        <f t="shared" si="4"/>
        <v>217</v>
      </c>
      <c r="AT21" s="13">
        <f t="shared" si="4"/>
        <v>204</v>
      </c>
      <c r="AU21" s="13">
        <f t="shared" si="4"/>
        <v>204</v>
      </c>
      <c r="AV21" s="13">
        <f t="shared" si="4"/>
        <v>220</v>
      </c>
      <c r="AW21" s="13">
        <f t="shared" si="4"/>
        <v>210</v>
      </c>
      <c r="AX21" s="13">
        <f t="shared" si="4"/>
        <v>199</v>
      </c>
      <c r="AY21" s="13">
        <f t="shared" si="4"/>
        <v>149</v>
      </c>
      <c r="AZ21" s="13">
        <f t="shared" si="4"/>
        <v>217</v>
      </c>
      <c r="BA21" s="13">
        <f t="shared" si="4"/>
        <v>191</v>
      </c>
      <c r="BB21" s="13">
        <f t="shared" si="4"/>
        <v>175</v>
      </c>
      <c r="BC21" s="13">
        <f t="shared" si="4"/>
        <v>196</v>
      </c>
      <c r="BD21" s="13">
        <f t="shared" si="4"/>
        <v>160</v>
      </c>
      <c r="BE21" s="13">
        <f t="shared" si="3"/>
        <v>10498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19">
        <v>4.0</v>
      </c>
      <c r="F22" s="19">
        <v>2.0</v>
      </c>
      <c r="G22" s="19">
        <v>1.0</v>
      </c>
      <c r="H22" s="19">
        <v>0.0</v>
      </c>
      <c r="I22" s="19">
        <v>0.0</v>
      </c>
      <c r="J22" s="19">
        <v>0.0</v>
      </c>
      <c r="K22" s="19">
        <v>1.0</v>
      </c>
      <c r="L22" s="19">
        <v>2.0</v>
      </c>
      <c r="M22" s="19">
        <v>0.0</v>
      </c>
      <c r="N22" s="19">
        <v>2.0</v>
      </c>
      <c r="O22" s="19">
        <v>6.0</v>
      </c>
      <c r="P22" s="19">
        <v>0.0</v>
      </c>
      <c r="Q22" s="19">
        <v>3.0</v>
      </c>
      <c r="R22" s="19">
        <v>0.0</v>
      </c>
      <c r="S22" s="19">
        <v>1.0</v>
      </c>
      <c r="T22" s="19">
        <v>1.0</v>
      </c>
      <c r="U22" s="19">
        <v>1.0</v>
      </c>
      <c r="V22" s="19">
        <v>0.0</v>
      </c>
      <c r="W22" s="19">
        <v>2.0</v>
      </c>
      <c r="X22" s="19">
        <v>1.0</v>
      </c>
      <c r="Y22" s="19">
        <v>0.0</v>
      </c>
      <c r="Z22" s="19">
        <v>0.0</v>
      </c>
      <c r="AA22" s="19">
        <v>1.0</v>
      </c>
      <c r="AB22" s="19">
        <v>2.0</v>
      </c>
      <c r="AC22" s="19">
        <v>1.0</v>
      </c>
      <c r="AD22" s="19">
        <v>1.0</v>
      </c>
      <c r="AE22" s="19">
        <v>0.0</v>
      </c>
      <c r="AF22" s="19">
        <v>0.0</v>
      </c>
      <c r="AG22" s="19">
        <v>0.0</v>
      </c>
      <c r="AH22" s="19">
        <v>0.0</v>
      </c>
      <c r="AI22" s="19">
        <v>1.0</v>
      </c>
      <c r="AJ22" s="19">
        <v>0.0</v>
      </c>
      <c r="AK22" s="19">
        <v>0.0</v>
      </c>
      <c r="AL22" s="19">
        <v>1.0</v>
      </c>
      <c r="AM22" s="19">
        <v>1.0</v>
      </c>
      <c r="AN22" s="19">
        <v>0.0</v>
      </c>
      <c r="AO22" s="19">
        <v>0.0</v>
      </c>
      <c r="AP22" s="19">
        <v>1.0</v>
      </c>
      <c r="AQ22" s="19">
        <v>0.0</v>
      </c>
      <c r="AR22" s="19">
        <v>1.0</v>
      </c>
      <c r="AS22" s="19">
        <v>1.0</v>
      </c>
      <c r="AT22" s="19">
        <v>1.0</v>
      </c>
      <c r="AU22" s="19">
        <v>1.0</v>
      </c>
      <c r="AV22" s="19">
        <v>2.0</v>
      </c>
      <c r="AW22" s="19">
        <v>1.0</v>
      </c>
      <c r="AX22" s="19">
        <v>0.0</v>
      </c>
      <c r="AY22" s="19">
        <v>1.0</v>
      </c>
      <c r="AZ22" s="19">
        <v>3.0</v>
      </c>
      <c r="BA22" s="19">
        <v>3.0</v>
      </c>
      <c r="BB22" s="19">
        <v>0.0</v>
      </c>
      <c r="BC22" s="19">
        <v>1.0</v>
      </c>
      <c r="BD22" s="19">
        <v>5.0</v>
      </c>
      <c r="BE22" s="13">
        <f t="shared" si="3"/>
        <v>56</v>
      </c>
    </row>
    <row r="23" ht="12.75" customHeight="1">
      <c r="A23" s="34"/>
      <c r="B23" s="27"/>
      <c r="C23" s="35"/>
      <c r="D23" s="19" t="s">
        <v>12</v>
      </c>
      <c r="E23" s="19">
        <v>2.0</v>
      </c>
      <c r="F23" s="19">
        <v>1.0</v>
      </c>
      <c r="G23" s="19">
        <v>0.0</v>
      </c>
      <c r="H23" s="19">
        <v>1.0</v>
      </c>
      <c r="I23" s="19">
        <v>1.0</v>
      </c>
      <c r="J23" s="19">
        <v>1.0</v>
      </c>
      <c r="K23" s="19">
        <v>0.0</v>
      </c>
      <c r="L23" s="19">
        <v>0.0</v>
      </c>
      <c r="M23" s="19">
        <v>1.0</v>
      </c>
      <c r="N23" s="19">
        <v>1.0</v>
      </c>
      <c r="O23" s="19">
        <v>2.0</v>
      </c>
      <c r="P23" s="19">
        <v>0.0</v>
      </c>
      <c r="Q23" s="19">
        <v>3.0</v>
      </c>
      <c r="R23" s="19">
        <v>1.0</v>
      </c>
      <c r="S23" s="19">
        <v>1.0</v>
      </c>
      <c r="T23" s="19">
        <v>0.0</v>
      </c>
      <c r="U23" s="19">
        <v>0.0</v>
      </c>
      <c r="V23" s="19">
        <v>1.0</v>
      </c>
      <c r="W23" s="19">
        <v>2.0</v>
      </c>
      <c r="X23" s="19">
        <v>0.0</v>
      </c>
      <c r="Y23" s="19">
        <v>1.0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1.0</v>
      </c>
      <c r="AF23" s="19">
        <v>0.0</v>
      </c>
      <c r="AG23" s="19">
        <v>0.0</v>
      </c>
      <c r="AH23" s="19">
        <v>1.0</v>
      </c>
      <c r="AI23" s="19">
        <v>0.0</v>
      </c>
      <c r="AJ23" s="19">
        <v>1.0</v>
      </c>
      <c r="AK23" s="19">
        <v>2.0</v>
      </c>
      <c r="AL23" s="19">
        <v>1.0</v>
      </c>
      <c r="AM23" s="19">
        <v>0.0</v>
      </c>
      <c r="AN23" s="19">
        <v>0.0</v>
      </c>
      <c r="AO23" s="19">
        <v>1.0</v>
      </c>
      <c r="AP23" s="19">
        <v>0.0</v>
      </c>
      <c r="AQ23" s="19">
        <v>0.0</v>
      </c>
      <c r="AR23" s="19">
        <v>2.0</v>
      </c>
      <c r="AS23" s="19">
        <v>0.0</v>
      </c>
      <c r="AT23" s="19">
        <v>0.0</v>
      </c>
      <c r="AU23" s="19">
        <v>0.0</v>
      </c>
      <c r="AV23" s="19">
        <v>2.0</v>
      </c>
      <c r="AW23" s="19">
        <v>0.0</v>
      </c>
      <c r="AX23" s="19">
        <v>0.0</v>
      </c>
      <c r="AY23" s="19">
        <v>0.0</v>
      </c>
      <c r="AZ23" s="19">
        <v>2.0</v>
      </c>
      <c r="BA23" s="19">
        <v>0.0</v>
      </c>
      <c r="BB23" s="19">
        <v>0.0</v>
      </c>
      <c r="BC23" s="19">
        <v>0.0</v>
      </c>
      <c r="BD23" s="19">
        <v>2.0</v>
      </c>
      <c r="BE23" s="13">
        <f t="shared" si="3"/>
        <v>34</v>
      </c>
    </row>
    <row r="24" ht="12.75" customHeight="1">
      <c r="A24" s="36"/>
      <c r="B24" s="28"/>
      <c r="C24" s="37"/>
      <c r="D24" s="13" t="s">
        <v>13</v>
      </c>
      <c r="E24" s="13">
        <f t="shared" ref="E24:AD24" si="5">SUM(E22:E23)</f>
        <v>6</v>
      </c>
      <c r="F24" s="13">
        <f t="shared" si="5"/>
        <v>3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2</v>
      </c>
      <c r="M24" s="13">
        <f t="shared" si="5"/>
        <v>1</v>
      </c>
      <c r="N24" s="13">
        <f t="shared" si="5"/>
        <v>3</v>
      </c>
      <c r="O24" s="13">
        <f t="shared" si="5"/>
        <v>8</v>
      </c>
      <c r="P24" s="13">
        <f t="shared" si="5"/>
        <v>0</v>
      </c>
      <c r="Q24" s="13">
        <f t="shared" si="5"/>
        <v>6</v>
      </c>
      <c r="R24" s="13">
        <f t="shared" si="5"/>
        <v>1</v>
      </c>
      <c r="S24" s="13">
        <f t="shared" si="5"/>
        <v>2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4</v>
      </c>
      <c r="X24" s="13">
        <f t="shared" si="5"/>
        <v>1</v>
      </c>
      <c r="Y24" s="13">
        <f t="shared" si="5"/>
        <v>1</v>
      </c>
      <c r="Z24" s="13">
        <f t="shared" si="5"/>
        <v>0</v>
      </c>
      <c r="AA24" s="13">
        <f t="shared" si="5"/>
        <v>1</v>
      </c>
      <c r="AB24" s="13">
        <f t="shared" si="5"/>
        <v>2</v>
      </c>
      <c r="AC24" s="13">
        <f t="shared" si="5"/>
        <v>1</v>
      </c>
      <c r="AD24" s="13">
        <f t="shared" si="5"/>
        <v>1</v>
      </c>
      <c r="AE24" s="13">
        <v>1.0</v>
      </c>
      <c r="AF24" s="13">
        <f t="shared" ref="AF24:BD24" si="6">SUM(AF22:AF23)</f>
        <v>0</v>
      </c>
      <c r="AG24" s="13">
        <f t="shared" si="6"/>
        <v>0</v>
      </c>
      <c r="AH24" s="13">
        <f t="shared" si="6"/>
        <v>1</v>
      </c>
      <c r="AI24" s="13">
        <f t="shared" si="6"/>
        <v>1</v>
      </c>
      <c r="AJ24" s="13">
        <f t="shared" si="6"/>
        <v>1</v>
      </c>
      <c r="AK24" s="13">
        <f t="shared" si="6"/>
        <v>2</v>
      </c>
      <c r="AL24" s="13">
        <f t="shared" si="6"/>
        <v>2</v>
      </c>
      <c r="AM24" s="13">
        <f t="shared" si="6"/>
        <v>1</v>
      </c>
      <c r="AN24" s="13">
        <f t="shared" si="6"/>
        <v>0</v>
      </c>
      <c r="AO24" s="13">
        <f t="shared" si="6"/>
        <v>1</v>
      </c>
      <c r="AP24" s="13">
        <f t="shared" si="6"/>
        <v>1</v>
      </c>
      <c r="AQ24" s="13">
        <f t="shared" si="6"/>
        <v>0</v>
      </c>
      <c r="AR24" s="13">
        <f t="shared" si="6"/>
        <v>3</v>
      </c>
      <c r="AS24" s="13">
        <f t="shared" si="6"/>
        <v>1</v>
      </c>
      <c r="AT24" s="13">
        <f t="shared" si="6"/>
        <v>1</v>
      </c>
      <c r="AU24" s="13">
        <f t="shared" si="6"/>
        <v>1</v>
      </c>
      <c r="AV24" s="13">
        <f t="shared" si="6"/>
        <v>4</v>
      </c>
      <c r="AW24" s="13">
        <f t="shared" si="6"/>
        <v>1</v>
      </c>
      <c r="AX24" s="13">
        <f t="shared" si="6"/>
        <v>0</v>
      </c>
      <c r="AY24" s="13">
        <f t="shared" si="6"/>
        <v>1</v>
      </c>
      <c r="AZ24" s="13">
        <f t="shared" si="6"/>
        <v>5</v>
      </c>
      <c r="BA24" s="13">
        <f t="shared" si="6"/>
        <v>3</v>
      </c>
      <c r="BB24" s="13">
        <f t="shared" si="6"/>
        <v>0</v>
      </c>
      <c r="BC24" s="13">
        <f t="shared" si="6"/>
        <v>1</v>
      </c>
      <c r="BD24" s="13">
        <f t="shared" si="6"/>
        <v>7</v>
      </c>
      <c r="BE24" s="13">
        <f t="shared" si="3"/>
        <v>90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19">
        <v>1.0</v>
      </c>
      <c r="F25" s="19">
        <v>0.0</v>
      </c>
      <c r="G25" s="19">
        <v>0.0</v>
      </c>
      <c r="H25" s="19">
        <v>0.0</v>
      </c>
      <c r="I25" s="19">
        <v>0.0</v>
      </c>
      <c r="J25" s="19">
        <v>1.0</v>
      </c>
      <c r="K25" s="19">
        <v>1.0</v>
      </c>
      <c r="L25" s="19">
        <v>0.0</v>
      </c>
      <c r="M25" s="19">
        <v>0.0</v>
      </c>
      <c r="N25" s="19">
        <v>0.0</v>
      </c>
      <c r="O25" s="19">
        <v>0.0</v>
      </c>
      <c r="P25" s="19">
        <v>4.0</v>
      </c>
      <c r="Q25" s="19">
        <v>7.0</v>
      </c>
      <c r="R25" s="19">
        <v>2.0</v>
      </c>
      <c r="S25" s="19">
        <v>1.0</v>
      </c>
      <c r="T25" s="19">
        <v>0.0</v>
      </c>
      <c r="U25" s="19">
        <v>2.0</v>
      </c>
      <c r="V25" s="19">
        <v>1.0</v>
      </c>
      <c r="W25" s="19">
        <v>3.0</v>
      </c>
      <c r="X25" s="19">
        <v>2.0</v>
      </c>
      <c r="Y25" s="19">
        <v>1.0</v>
      </c>
      <c r="Z25" s="19">
        <v>2.0</v>
      </c>
      <c r="AA25" s="19">
        <v>0.0</v>
      </c>
      <c r="AB25" s="19">
        <v>3.0</v>
      </c>
      <c r="AC25" s="19">
        <v>1.0</v>
      </c>
      <c r="AD25" s="19">
        <v>7.0</v>
      </c>
      <c r="AE25" s="19">
        <v>2.0</v>
      </c>
      <c r="AF25" s="19">
        <v>0.0</v>
      </c>
      <c r="AG25" s="19">
        <v>0.0</v>
      </c>
      <c r="AH25" s="19">
        <v>1.0</v>
      </c>
      <c r="AI25" s="19">
        <v>1.0</v>
      </c>
      <c r="AJ25" s="19">
        <v>3.0</v>
      </c>
      <c r="AK25" s="19">
        <v>0.0</v>
      </c>
      <c r="AL25" s="19">
        <v>2.0</v>
      </c>
      <c r="AM25" s="19">
        <v>0.0</v>
      </c>
      <c r="AN25" s="19">
        <v>0.0</v>
      </c>
      <c r="AO25" s="19">
        <v>2.0</v>
      </c>
      <c r="AP25" s="19">
        <v>1.0</v>
      </c>
      <c r="AQ25" s="19">
        <v>1.0</v>
      </c>
      <c r="AR25" s="19">
        <v>2.0</v>
      </c>
      <c r="AS25" s="19">
        <v>0.0</v>
      </c>
      <c r="AT25" s="19">
        <v>0.0</v>
      </c>
      <c r="AU25" s="19">
        <v>0.0</v>
      </c>
      <c r="AV25" s="19">
        <v>1.0</v>
      </c>
      <c r="AW25" s="19">
        <v>0.0</v>
      </c>
      <c r="AX25" s="19">
        <v>1.0</v>
      </c>
      <c r="AY25" s="19">
        <v>1.0</v>
      </c>
      <c r="AZ25" s="19">
        <v>0.0</v>
      </c>
      <c r="BA25" s="19">
        <v>1.0</v>
      </c>
      <c r="BB25" s="19">
        <v>0.0</v>
      </c>
      <c r="BC25" s="19">
        <v>1.0</v>
      </c>
      <c r="BD25" s="19">
        <v>1.0</v>
      </c>
      <c r="BE25" s="13">
        <f t="shared" si="3"/>
        <v>60</v>
      </c>
    </row>
    <row r="26" ht="12.75" customHeight="1">
      <c r="A26" s="34"/>
      <c r="B26" s="27"/>
      <c r="C26" s="35"/>
      <c r="D26" s="19" t="s">
        <v>12</v>
      </c>
      <c r="E26" s="19">
        <v>2.0</v>
      </c>
      <c r="F26" s="19">
        <v>0.0</v>
      </c>
      <c r="G26" s="19">
        <v>2.0</v>
      </c>
      <c r="H26" s="19">
        <v>0.0</v>
      </c>
      <c r="I26" s="19">
        <v>0.0</v>
      </c>
      <c r="J26" s="19">
        <v>2.0</v>
      </c>
      <c r="K26" s="19">
        <v>2.0</v>
      </c>
      <c r="L26" s="19">
        <v>0.0</v>
      </c>
      <c r="M26" s="19">
        <v>0.0</v>
      </c>
      <c r="N26" s="19">
        <v>2.0</v>
      </c>
      <c r="O26" s="19">
        <v>2.0</v>
      </c>
      <c r="P26" s="19">
        <v>3.0</v>
      </c>
      <c r="Q26" s="19">
        <v>3.0</v>
      </c>
      <c r="R26" s="19">
        <v>2.0</v>
      </c>
      <c r="S26" s="19">
        <v>1.0</v>
      </c>
      <c r="T26" s="19">
        <v>0.0</v>
      </c>
      <c r="U26" s="19">
        <v>0.0</v>
      </c>
      <c r="V26" s="19">
        <v>2.0</v>
      </c>
      <c r="W26" s="19">
        <v>1.0</v>
      </c>
      <c r="X26" s="19">
        <v>4.0</v>
      </c>
      <c r="Y26" s="19">
        <v>2.0</v>
      </c>
      <c r="Z26" s="19">
        <v>0.0</v>
      </c>
      <c r="AA26" s="19">
        <v>1.0</v>
      </c>
      <c r="AB26" s="19">
        <v>2.0</v>
      </c>
      <c r="AC26" s="19">
        <v>2.0</v>
      </c>
      <c r="AD26" s="19">
        <v>6.0</v>
      </c>
      <c r="AE26" s="19">
        <v>0.0</v>
      </c>
      <c r="AF26" s="19">
        <v>0.0</v>
      </c>
      <c r="AG26" s="19">
        <v>0.0</v>
      </c>
      <c r="AH26" s="19">
        <v>4.0</v>
      </c>
      <c r="AI26" s="19">
        <v>7.0</v>
      </c>
      <c r="AJ26" s="19">
        <v>1.0</v>
      </c>
      <c r="AK26" s="19">
        <v>1.0</v>
      </c>
      <c r="AL26" s="19">
        <v>3.0</v>
      </c>
      <c r="AM26" s="19">
        <v>0.0</v>
      </c>
      <c r="AN26" s="19">
        <v>0.0</v>
      </c>
      <c r="AO26" s="19">
        <v>4.0</v>
      </c>
      <c r="AP26" s="19">
        <v>0.0</v>
      </c>
      <c r="AQ26" s="19">
        <v>1.0</v>
      </c>
      <c r="AR26" s="19">
        <v>5.0</v>
      </c>
      <c r="AS26" s="19">
        <v>1.0</v>
      </c>
      <c r="AT26" s="19">
        <v>0.0</v>
      </c>
      <c r="AU26" s="19">
        <v>0.0</v>
      </c>
      <c r="AV26" s="19">
        <v>4.0</v>
      </c>
      <c r="AW26" s="19">
        <v>0.0</v>
      </c>
      <c r="AX26" s="19">
        <v>1.0</v>
      </c>
      <c r="AY26" s="19">
        <v>0.0</v>
      </c>
      <c r="AZ26" s="19">
        <v>0.0</v>
      </c>
      <c r="BA26" s="19">
        <v>1.0</v>
      </c>
      <c r="BB26" s="19">
        <v>0.0</v>
      </c>
      <c r="BC26" s="19">
        <v>2.0</v>
      </c>
      <c r="BD26" s="19">
        <v>1.0</v>
      </c>
      <c r="BE26" s="13">
        <f t="shared" si="3"/>
        <v>77</v>
      </c>
    </row>
    <row r="27" ht="12.75" customHeight="1">
      <c r="A27" s="36"/>
      <c r="B27" s="28"/>
      <c r="C27" s="37"/>
      <c r="D27" s="13" t="s">
        <v>13</v>
      </c>
      <c r="E27" s="13">
        <f t="shared" ref="E27:AB27" si="7">SUM(E25:E26)</f>
        <v>3</v>
      </c>
      <c r="F27" s="13">
        <f t="shared" si="7"/>
        <v>0</v>
      </c>
      <c r="G27" s="13">
        <f t="shared" si="7"/>
        <v>2</v>
      </c>
      <c r="H27" s="13">
        <f t="shared" si="7"/>
        <v>0</v>
      </c>
      <c r="I27" s="13">
        <f t="shared" si="7"/>
        <v>0</v>
      </c>
      <c r="J27" s="13">
        <f t="shared" si="7"/>
        <v>3</v>
      </c>
      <c r="K27" s="13">
        <f t="shared" si="7"/>
        <v>3</v>
      </c>
      <c r="L27" s="13">
        <f t="shared" si="7"/>
        <v>0</v>
      </c>
      <c r="M27" s="13">
        <f t="shared" si="7"/>
        <v>0</v>
      </c>
      <c r="N27" s="13">
        <f t="shared" si="7"/>
        <v>2</v>
      </c>
      <c r="O27" s="13">
        <f t="shared" si="7"/>
        <v>2</v>
      </c>
      <c r="P27" s="13">
        <f t="shared" si="7"/>
        <v>7</v>
      </c>
      <c r="Q27" s="13">
        <f t="shared" si="7"/>
        <v>10</v>
      </c>
      <c r="R27" s="13">
        <f t="shared" si="7"/>
        <v>4</v>
      </c>
      <c r="S27" s="13">
        <f t="shared" si="7"/>
        <v>2</v>
      </c>
      <c r="T27" s="13">
        <f t="shared" si="7"/>
        <v>0</v>
      </c>
      <c r="U27" s="13">
        <f t="shared" si="7"/>
        <v>2</v>
      </c>
      <c r="V27" s="13">
        <f t="shared" si="7"/>
        <v>3</v>
      </c>
      <c r="W27" s="13">
        <f t="shared" si="7"/>
        <v>4</v>
      </c>
      <c r="X27" s="13">
        <f t="shared" si="7"/>
        <v>6</v>
      </c>
      <c r="Y27" s="13">
        <f t="shared" si="7"/>
        <v>3</v>
      </c>
      <c r="Z27" s="13">
        <f t="shared" si="7"/>
        <v>2</v>
      </c>
      <c r="AA27" s="13">
        <f t="shared" si="7"/>
        <v>1</v>
      </c>
      <c r="AB27" s="13">
        <f t="shared" si="7"/>
        <v>5</v>
      </c>
      <c r="AC27" s="13">
        <v>3.0</v>
      </c>
      <c r="AD27" s="13">
        <f t="shared" ref="AD27:BD27" si="8">SUM(AD25:AD26)</f>
        <v>13</v>
      </c>
      <c r="AE27" s="13">
        <f t="shared" si="8"/>
        <v>2</v>
      </c>
      <c r="AF27" s="13">
        <f t="shared" si="8"/>
        <v>0</v>
      </c>
      <c r="AG27" s="13">
        <f t="shared" si="8"/>
        <v>0</v>
      </c>
      <c r="AH27" s="13">
        <f t="shared" si="8"/>
        <v>5</v>
      </c>
      <c r="AI27" s="13">
        <f t="shared" si="8"/>
        <v>8</v>
      </c>
      <c r="AJ27" s="13">
        <f t="shared" si="8"/>
        <v>4</v>
      </c>
      <c r="AK27" s="13">
        <f t="shared" si="8"/>
        <v>1</v>
      </c>
      <c r="AL27" s="13">
        <f t="shared" si="8"/>
        <v>5</v>
      </c>
      <c r="AM27" s="13">
        <f t="shared" si="8"/>
        <v>0</v>
      </c>
      <c r="AN27" s="13">
        <f t="shared" si="8"/>
        <v>0</v>
      </c>
      <c r="AO27" s="13">
        <f t="shared" si="8"/>
        <v>6</v>
      </c>
      <c r="AP27" s="13">
        <f t="shared" si="8"/>
        <v>1</v>
      </c>
      <c r="AQ27" s="13">
        <f t="shared" si="8"/>
        <v>2</v>
      </c>
      <c r="AR27" s="13">
        <f t="shared" si="8"/>
        <v>7</v>
      </c>
      <c r="AS27" s="13">
        <f t="shared" si="8"/>
        <v>1</v>
      </c>
      <c r="AT27" s="13">
        <f t="shared" si="8"/>
        <v>0</v>
      </c>
      <c r="AU27" s="13">
        <f t="shared" si="8"/>
        <v>0</v>
      </c>
      <c r="AV27" s="13">
        <f t="shared" si="8"/>
        <v>5</v>
      </c>
      <c r="AW27" s="13">
        <f t="shared" si="8"/>
        <v>0</v>
      </c>
      <c r="AX27" s="13">
        <f t="shared" si="8"/>
        <v>2</v>
      </c>
      <c r="AY27" s="13">
        <f t="shared" si="8"/>
        <v>1</v>
      </c>
      <c r="AZ27" s="13">
        <f t="shared" si="8"/>
        <v>0</v>
      </c>
      <c r="BA27" s="13">
        <f t="shared" si="8"/>
        <v>2</v>
      </c>
      <c r="BB27" s="13">
        <f t="shared" si="8"/>
        <v>0</v>
      </c>
      <c r="BC27" s="13">
        <f t="shared" si="8"/>
        <v>3</v>
      </c>
      <c r="BD27" s="13">
        <f t="shared" si="8"/>
        <v>2</v>
      </c>
      <c r="BE27" s="13">
        <f t="shared" si="3"/>
        <v>137</v>
      </c>
    </row>
    <row r="28" ht="12.75" customHeight="1">
      <c r="A28" s="36"/>
      <c r="B28" s="39" t="s">
        <v>22</v>
      </c>
      <c r="C28" s="40" t="s">
        <v>23</v>
      </c>
      <c r="D28" s="13" t="s">
        <v>11</v>
      </c>
      <c r="E28" s="13">
        <f t="shared" ref="E28:BD28" si="9">SUM(E19,E22,E25)</f>
        <v>103</v>
      </c>
      <c r="F28" s="13">
        <f t="shared" si="9"/>
        <v>100</v>
      </c>
      <c r="G28" s="13">
        <f t="shared" si="9"/>
        <v>97</v>
      </c>
      <c r="H28" s="13">
        <f t="shared" si="9"/>
        <v>100</v>
      </c>
      <c r="I28" s="13">
        <f t="shared" si="9"/>
        <v>100</v>
      </c>
      <c r="J28" s="13">
        <f t="shared" si="9"/>
        <v>71</v>
      </c>
      <c r="K28" s="13">
        <f t="shared" si="9"/>
        <v>83</v>
      </c>
      <c r="L28" s="13">
        <f t="shared" si="9"/>
        <v>87</v>
      </c>
      <c r="M28" s="13">
        <f t="shared" si="9"/>
        <v>75</v>
      </c>
      <c r="N28" s="13">
        <f t="shared" si="9"/>
        <v>73</v>
      </c>
      <c r="O28" s="13">
        <f t="shared" si="9"/>
        <v>83</v>
      </c>
      <c r="P28" s="13">
        <f t="shared" si="9"/>
        <v>78</v>
      </c>
      <c r="Q28" s="13">
        <f t="shared" si="9"/>
        <v>104</v>
      </c>
      <c r="R28" s="13">
        <f t="shared" si="9"/>
        <v>99</v>
      </c>
      <c r="S28" s="13">
        <f t="shared" si="9"/>
        <v>85</v>
      </c>
      <c r="T28" s="13">
        <f t="shared" si="9"/>
        <v>92</v>
      </c>
      <c r="U28" s="13">
        <f t="shared" si="9"/>
        <v>75</v>
      </c>
      <c r="V28" s="13">
        <f t="shared" si="9"/>
        <v>93</v>
      </c>
      <c r="W28" s="13">
        <f t="shared" si="9"/>
        <v>73</v>
      </c>
      <c r="X28" s="13">
        <f t="shared" si="9"/>
        <v>81</v>
      </c>
      <c r="Y28" s="13">
        <f t="shared" si="9"/>
        <v>105</v>
      </c>
      <c r="Z28" s="13">
        <f t="shared" si="9"/>
        <v>101</v>
      </c>
      <c r="AA28" s="13">
        <f t="shared" si="9"/>
        <v>130</v>
      </c>
      <c r="AB28" s="13">
        <f t="shared" si="9"/>
        <v>121</v>
      </c>
      <c r="AC28" s="13">
        <f t="shared" si="9"/>
        <v>116</v>
      </c>
      <c r="AD28" s="13">
        <f t="shared" si="9"/>
        <v>118</v>
      </c>
      <c r="AE28" s="13">
        <f t="shared" si="9"/>
        <v>92</v>
      </c>
      <c r="AF28" s="13">
        <f t="shared" si="9"/>
        <v>118</v>
      </c>
      <c r="AG28" s="13">
        <f t="shared" si="9"/>
        <v>102</v>
      </c>
      <c r="AH28" s="13">
        <f t="shared" si="9"/>
        <v>121</v>
      </c>
      <c r="AI28" s="13">
        <f t="shared" si="9"/>
        <v>107</v>
      </c>
      <c r="AJ28" s="13">
        <f t="shared" si="9"/>
        <v>103</v>
      </c>
      <c r="AK28" s="13">
        <f t="shared" si="9"/>
        <v>97</v>
      </c>
      <c r="AL28" s="13">
        <f t="shared" si="9"/>
        <v>99</v>
      </c>
      <c r="AM28" s="13">
        <f t="shared" si="9"/>
        <v>91</v>
      </c>
      <c r="AN28" s="13">
        <f t="shared" si="9"/>
        <v>101</v>
      </c>
      <c r="AO28" s="13">
        <f t="shared" si="9"/>
        <v>99</v>
      </c>
      <c r="AP28" s="13">
        <f t="shared" si="9"/>
        <v>98</v>
      </c>
      <c r="AQ28" s="13">
        <f t="shared" si="9"/>
        <v>68</v>
      </c>
      <c r="AR28" s="13">
        <f t="shared" si="9"/>
        <v>100</v>
      </c>
      <c r="AS28" s="13">
        <f t="shared" si="9"/>
        <v>96</v>
      </c>
      <c r="AT28" s="13">
        <f t="shared" si="9"/>
        <v>101</v>
      </c>
      <c r="AU28" s="13">
        <f t="shared" si="9"/>
        <v>104</v>
      </c>
      <c r="AV28" s="13">
        <f t="shared" si="9"/>
        <v>113</v>
      </c>
      <c r="AW28" s="13">
        <f t="shared" si="9"/>
        <v>105</v>
      </c>
      <c r="AX28" s="13">
        <f t="shared" si="9"/>
        <v>84</v>
      </c>
      <c r="AY28" s="13">
        <f t="shared" si="9"/>
        <v>67</v>
      </c>
      <c r="AZ28" s="13">
        <f t="shared" si="9"/>
        <v>106</v>
      </c>
      <c r="BA28" s="13">
        <f t="shared" si="9"/>
        <v>98</v>
      </c>
      <c r="BB28" s="13">
        <f t="shared" si="9"/>
        <v>92</v>
      </c>
      <c r="BC28" s="13">
        <f t="shared" si="9"/>
        <v>96</v>
      </c>
      <c r="BD28" s="13">
        <f t="shared" si="9"/>
        <v>83</v>
      </c>
      <c r="BE28" s="13">
        <f t="shared" si="3"/>
        <v>4984</v>
      </c>
    </row>
    <row r="29" ht="12.75" customHeight="1">
      <c r="A29" s="36"/>
      <c r="B29" s="27"/>
      <c r="C29" s="35"/>
      <c r="D29" s="13" t="s">
        <v>12</v>
      </c>
      <c r="E29" s="13">
        <f t="shared" ref="E29:BD29" si="10">SUM(E20,E23,E26)</f>
        <v>104</v>
      </c>
      <c r="F29" s="13">
        <f t="shared" si="10"/>
        <v>98</v>
      </c>
      <c r="G29" s="13">
        <f t="shared" si="10"/>
        <v>119</v>
      </c>
      <c r="H29" s="13">
        <f t="shared" si="10"/>
        <v>113</v>
      </c>
      <c r="I29" s="13">
        <f t="shared" si="10"/>
        <v>119</v>
      </c>
      <c r="J29" s="13">
        <f t="shared" si="10"/>
        <v>100</v>
      </c>
      <c r="K29" s="13">
        <f t="shared" si="10"/>
        <v>117</v>
      </c>
      <c r="L29" s="13">
        <f t="shared" si="10"/>
        <v>106</v>
      </c>
      <c r="M29" s="13">
        <f t="shared" si="10"/>
        <v>85</v>
      </c>
      <c r="N29" s="13">
        <f t="shared" si="10"/>
        <v>79</v>
      </c>
      <c r="O29" s="13">
        <f t="shared" si="10"/>
        <v>102</v>
      </c>
      <c r="P29" s="13">
        <f t="shared" si="10"/>
        <v>95</v>
      </c>
      <c r="Q29" s="13">
        <f t="shared" si="10"/>
        <v>123</v>
      </c>
      <c r="R29" s="13">
        <f t="shared" si="10"/>
        <v>111</v>
      </c>
      <c r="S29" s="13">
        <f t="shared" si="10"/>
        <v>109</v>
      </c>
      <c r="T29" s="13">
        <f t="shared" si="10"/>
        <v>106</v>
      </c>
      <c r="U29" s="13">
        <f t="shared" si="10"/>
        <v>100</v>
      </c>
      <c r="V29" s="13">
        <f t="shared" si="10"/>
        <v>113</v>
      </c>
      <c r="W29" s="13">
        <f t="shared" si="10"/>
        <v>93</v>
      </c>
      <c r="X29" s="13">
        <f t="shared" si="10"/>
        <v>92</v>
      </c>
      <c r="Y29" s="13">
        <f t="shared" si="10"/>
        <v>116</v>
      </c>
      <c r="Z29" s="13">
        <f t="shared" si="10"/>
        <v>119</v>
      </c>
      <c r="AA29" s="13">
        <f t="shared" si="10"/>
        <v>138</v>
      </c>
      <c r="AB29" s="13">
        <f t="shared" si="10"/>
        <v>129</v>
      </c>
      <c r="AC29" s="13">
        <f t="shared" si="10"/>
        <v>153</v>
      </c>
      <c r="AD29" s="13">
        <f t="shared" si="10"/>
        <v>158</v>
      </c>
      <c r="AE29" s="13">
        <f t="shared" si="10"/>
        <v>98</v>
      </c>
      <c r="AF29" s="13">
        <f t="shared" si="10"/>
        <v>118</v>
      </c>
      <c r="AG29" s="13">
        <f t="shared" si="10"/>
        <v>121</v>
      </c>
      <c r="AH29" s="13">
        <f t="shared" si="10"/>
        <v>132</v>
      </c>
      <c r="AI29" s="13">
        <f t="shared" si="10"/>
        <v>121</v>
      </c>
      <c r="AJ29" s="13">
        <f t="shared" si="10"/>
        <v>122</v>
      </c>
      <c r="AK29" s="13">
        <f t="shared" si="10"/>
        <v>107</v>
      </c>
      <c r="AL29" s="13">
        <f t="shared" si="10"/>
        <v>121</v>
      </c>
      <c r="AM29" s="13">
        <f t="shared" si="10"/>
        <v>105</v>
      </c>
      <c r="AN29" s="13">
        <f t="shared" si="10"/>
        <v>118</v>
      </c>
      <c r="AO29" s="13">
        <f t="shared" si="10"/>
        <v>123</v>
      </c>
      <c r="AP29" s="13">
        <f t="shared" si="10"/>
        <v>104</v>
      </c>
      <c r="AQ29" s="13">
        <f t="shared" si="10"/>
        <v>95</v>
      </c>
      <c r="AR29" s="13">
        <f t="shared" si="10"/>
        <v>121</v>
      </c>
      <c r="AS29" s="13">
        <f t="shared" si="10"/>
        <v>123</v>
      </c>
      <c r="AT29" s="13">
        <f t="shared" si="10"/>
        <v>104</v>
      </c>
      <c r="AU29" s="13">
        <f t="shared" si="10"/>
        <v>101</v>
      </c>
      <c r="AV29" s="13">
        <f t="shared" si="10"/>
        <v>116</v>
      </c>
      <c r="AW29" s="13">
        <f t="shared" si="10"/>
        <v>106</v>
      </c>
      <c r="AX29" s="13">
        <f t="shared" si="10"/>
        <v>117</v>
      </c>
      <c r="AY29" s="13">
        <f t="shared" si="10"/>
        <v>84</v>
      </c>
      <c r="AZ29" s="13">
        <f t="shared" si="10"/>
        <v>116</v>
      </c>
      <c r="BA29" s="13">
        <f t="shared" si="10"/>
        <v>98</v>
      </c>
      <c r="BB29" s="13">
        <f t="shared" si="10"/>
        <v>83</v>
      </c>
      <c r="BC29" s="13">
        <f t="shared" si="10"/>
        <v>104</v>
      </c>
      <c r="BD29" s="13">
        <f t="shared" si="10"/>
        <v>86</v>
      </c>
      <c r="BE29" s="13">
        <f t="shared" si="3"/>
        <v>5741</v>
      </c>
    </row>
    <row r="30" ht="12.75" customHeight="1">
      <c r="A30" s="36"/>
      <c r="B30" s="28"/>
      <c r="C30" s="37"/>
      <c r="D30" s="13" t="s">
        <v>13</v>
      </c>
      <c r="E30" s="13">
        <f t="shared" ref="E30:BD30" si="11">SUM(E28:E29)</f>
        <v>207</v>
      </c>
      <c r="F30" s="13">
        <f t="shared" si="11"/>
        <v>198</v>
      </c>
      <c r="G30" s="13">
        <f t="shared" si="11"/>
        <v>216</v>
      </c>
      <c r="H30" s="13">
        <f t="shared" si="11"/>
        <v>213</v>
      </c>
      <c r="I30" s="13">
        <f t="shared" si="11"/>
        <v>219</v>
      </c>
      <c r="J30" s="13">
        <f t="shared" si="11"/>
        <v>171</v>
      </c>
      <c r="K30" s="13">
        <f t="shared" si="11"/>
        <v>200</v>
      </c>
      <c r="L30" s="13">
        <f t="shared" si="11"/>
        <v>193</v>
      </c>
      <c r="M30" s="13">
        <f t="shared" si="11"/>
        <v>160</v>
      </c>
      <c r="N30" s="13">
        <f t="shared" si="11"/>
        <v>152</v>
      </c>
      <c r="O30" s="13">
        <f t="shared" si="11"/>
        <v>185</v>
      </c>
      <c r="P30" s="13">
        <f t="shared" si="11"/>
        <v>173</v>
      </c>
      <c r="Q30" s="13">
        <f t="shared" si="11"/>
        <v>227</v>
      </c>
      <c r="R30" s="13">
        <f t="shared" si="11"/>
        <v>210</v>
      </c>
      <c r="S30" s="13">
        <f t="shared" si="11"/>
        <v>194</v>
      </c>
      <c r="T30" s="13">
        <f t="shared" si="11"/>
        <v>198</v>
      </c>
      <c r="U30" s="13">
        <f t="shared" si="11"/>
        <v>175</v>
      </c>
      <c r="V30" s="13">
        <f t="shared" si="11"/>
        <v>206</v>
      </c>
      <c r="W30" s="13">
        <f t="shared" si="11"/>
        <v>166</v>
      </c>
      <c r="X30" s="13">
        <f t="shared" si="11"/>
        <v>173</v>
      </c>
      <c r="Y30" s="13">
        <f t="shared" si="11"/>
        <v>221</v>
      </c>
      <c r="Z30" s="13">
        <f t="shared" si="11"/>
        <v>220</v>
      </c>
      <c r="AA30" s="13">
        <f t="shared" si="11"/>
        <v>268</v>
      </c>
      <c r="AB30" s="13">
        <f t="shared" si="11"/>
        <v>250</v>
      </c>
      <c r="AC30" s="13">
        <f t="shared" si="11"/>
        <v>269</v>
      </c>
      <c r="AD30" s="13">
        <f t="shared" si="11"/>
        <v>276</v>
      </c>
      <c r="AE30" s="13">
        <f t="shared" si="11"/>
        <v>190</v>
      </c>
      <c r="AF30" s="13">
        <f t="shared" si="11"/>
        <v>236</v>
      </c>
      <c r="AG30" s="13">
        <f t="shared" si="11"/>
        <v>223</v>
      </c>
      <c r="AH30" s="13">
        <f t="shared" si="11"/>
        <v>253</v>
      </c>
      <c r="AI30" s="13">
        <f t="shared" si="11"/>
        <v>228</v>
      </c>
      <c r="AJ30" s="13">
        <f t="shared" si="11"/>
        <v>225</v>
      </c>
      <c r="AK30" s="13">
        <f t="shared" si="11"/>
        <v>204</v>
      </c>
      <c r="AL30" s="13">
        <f t="shared" si="11"/>
        <v>220</v>
      </c>
      <c r="AM30" s="13">
        <f t="shared" si="11"/>
        <v>196</v>
      </c>
      <c r="AN30" s="13">
        <f t="shared" si="11"/>
        <v>219</v>
      </c>
      <c r="AO30" s="13">
        <f t="shared" si="11"/>
        <v>222</v>
      </c>
      <c r="AP30" s="13">
        <f t="shared" si="11"/>
        <v>202</v>
      </c>
      <c r="AQ30" s="13">
        <f t="shared" si="11"/>
        <v>163</v>
      </c>
      <c r="AR30" s="13">
        <f t="shared" si="11"/>
        <v>221</v>
      </c>
      <c r="AS30" s="13">
        <f t="shared" si="11"/>
        <v>219</v>
      </c>
      <c r="AT30" s="13">
        <f t="shared" si="11"/>
        <v>205</v>
      </c>
      <c r="AU30" s="13">
        <f t="shared" si="11"/>
        <v>205</v>
      </c>
      <c r="AV30" s="13">
        <f t="shared" si="11"/>
        <v>229</v>
      </c>
      <c r="AW30" s="13">
        <f t="shared" si="11"/>
        <v>211</v>
      </c>
      <c r="AX30" s="13">
        <f t="shared" si="11"/>
        <v>201</v>
      </c>
      <c r="AY30" s="13">
        <f t="shared" si="11"/>
        <v>151</v>
      </c>
      <c r="AZ30" s="13">
        <f t="shared" si="11"/>
        <v>222</v>
      </c>
      <c r="BA30" s="13">
        <f t="shared" si="11"/>
        <v>196</v>
      </c>
      <c r="BB30" s="13">
        <f t="shared" si="11"/>
        <v>175</v>
      </c>
      <c r="BC30" s="13">
        <f t="shared" si="11"/>
        <v>200</v>
      </c>
      <c r="BD30" s="13">
        <f t="shared" si="11"/>
        <v>169</v>
      </c>
      <c r="BE30" s="13">
        <f t="shared" si="3"/>
        <v>10725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19"/>
      <c r="X31" s="61"/>
      <c r="Y31" s="19"/>
      <c r="Z31" s="19"/>
      <c r="AA31" s="19"/>
      <c r="AB31" s="19"/>
      <c r="AC31" s="61"/>
      <c r="AD31" s="19"/>
      <c r="AE31" s="19"/>
      <c r="AF31" s="19"/>
      <c r="AG31" s="19"/>
      <c r="AH31" s="61"/>
      <c r="AI31" s="19"/>
      <c r="AJ31" s="19"/>
      <c r="AK31" s="19"/>
      <c r="AL31" s="19"/>
      <c r="AM31" s="61"/>
      <c r="AN31" s="19"/>
      <c r="AO31" s="19"/>
      <c r="AP31" s="19"/>
      <c r="AQ31" s="19"/>
      <c r="AR31" s="61"/>
      <c r="AS31" s="19"/>
      <c r="AT31" s="19"/>
      <c r="AU31" s="19"/>
      <c r="AV31" s="19"/>
      <c r="AW31" s="61"/>
      <c r="AX31" s="19"/>
      <c r="AY31" s="19"/>
      <c r="AZ31" s="19"/>
      <c r="BA31" s="19"/>
      <c r="BB31" s="61"/>
      <c r="BC31" s="19"/>
      <c r="BD31" s="19"/>
      <c r="BE31" s="62"/>
    </row>
    <row r="32" ht="12.75" customHeight="1">
      <c r="A32" s="43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3"/>
      <c r="O32" s="13"/>
      <c r="P32" s="13"/>
      <c r="Q32" s="13"/>
      <c r="R32" s="13"/>
      <c r="S32" s="63"/>
      <c r="T32" s="13"/>
      <c r="U32" s="13"/>
      <c r="V32" s="13"/>
      <c r="W32" s="13"/>
      <c r="X32" s="63"/>
      <c r="Y32" s="13"/>
      <c r="Z32" s="13"/>
      <c r="AA32" s="13"/>
      <c r="AB32" s="13"/>
      <c r="AC32" s="63"/>
      <c r="AD32" s="13"/>
      <c r="AE32" s="13"/>
      <c r="AF32" s="13"/>
      <c r="AG32" s="13"/>
      <c r="AH32" s="63"/>
      <c r="AI32" s="13"/>
      <c r="AJ32" s="13"/>
      <c r="AK32" s="13"/>
      <c r="AL32" s="13"/>
      <c r="AM32" s="63"/>
      <c r="AN32" s="13"/>
      <c r="AO32" s="13"/>
      <c r="AP32" s="13"/>
      <c r="AQ32" s="13"/>
      <c r="AR32" s="63"/>
      <c r="AS32" s="13"/>
      <c r="AT32" s="13"/>
      <c r="AU32" s="13"/>
      <c r="AV32" s="13"/>
      <c r="AW32" s="63"/>
      <c r="AX32" s="13"/>
      <c r="AY32" s="13"/>
      <c r="AZ32" s="13"/>
      <c r="BA32" s="13"/>
      <c r="BB32" s="63"/>
      <c r="BC32" s="13"/>
      <c r="BD32" s="13"/>
      <c r="BE32" s="62"/>
    </row>
    <row r="33" ht="12.75" customHeight="1">
      <c r="A33" s="19">
        <v>1.0</v>
      </c>
      <c r="B33" s="20" t="s">
        <v>26</v>
      </c>
      <c r="C33" s="15"/>
      <c r="D33" s="16"/>
      <c r="E33" s="19">
        <v>272.0</v>
      </c>
      <c r="F33" s="19">
        <v>288.0</v>
      </c>
      <c r="G33" s="19">
        <v>295.0</v>
      </c>
      <c r="H33" s="19">
        <v>288.0</v>
      </c>
      <c r="I33" s="19">
        <v>291.0</v>
      </c>
      <c r="J33" s="19">
        <v>231.0</v>
      </c>
      <c r="K33" s="19">
        <v>285.0</v>
      </c>
      <c r="L33" s="19">
        <v>270.0</v>
      </c>
      <c r="M33" s="19">
        <v>221.0</v>
      </c>
      <c r="N33" s="19">
        <v>192.0</v>
      </c>
      <c r="O33" s="19">
        <v>302.0</v>
      </c>
      <c r="P33" s="19">
        <v>254.0</v>
      </c>
      <c r="Q33" s="19">
        <v>295.0</v>
      </c>
      <c r="R33" s="19">
        <v>297.0</v>
      </c>
      <c r="S33" s="19">
        <v>282.0</v>
      </c>
      <c r="T33" s="19">
        <v>262.0</v>
      </c>
      <c r="U33" s="19">
        <v>269.0</v>
      </c>
      <c r="V33" s="19">
        <v>275.0</v>
      </c>
      <c r="W33" s="19">
        <v>240.0</v>
      </c>
      <c r="X33" s="19">
        <v>199.0</v>
      </c>
      <c r="Y33" s="19">
        <v>289.0</v>
      </c>
      <c r="Z33" s="19">
        <v>280.0</v>
      </c>
      <c r="AA33" s="19">
        <v>292.0</v>
      </c>
      <c r="AB33" s="19">
        <v>306.0</v>
      </c>
      <c r="AC33" s="19">
        <v>305.0</v>
      </c>
      <c r="AD33" s="19">
        <v>305.0</v>
      </c>
      <c r="AE33" s="19">
        <v>218.0</v>
      </c>
      <c r="AF33" s="19">
        <v>301.0</v>
      </c>
      <c r="AG33" s="19">
        <v>293.0</v>
      </c>
      <c r="AH33" s="19">
        <v>294.0</v>
      </c>
      <c r="AI33" s="19">
        <v>279.0</v>
      </c>
      <c r="AJ33" s="19">
        <v>297.0</v>
      </c>
      <c r="AK33" s="19">
        <v>268.0</v>
      </c>
      <c r="AL33" s="19">
        <v>304.0</v>
      </c>
      <c r="AM33" s="19">
        <v>275.0</v>
      </c>
      <c r="AN33" s="19">
        <v>305.0</v>
      </c>
      <c r="AO33" s="19">
        <v>306.0</v>
      </c>
      <c r="AP33" s="19">
        <v>274.0</v>
      </c>
      <c r="AQ33" s="19">
        <v>224.0</v>
      </c>
      <c r="AR33" s="19">
        <v>294.0</v>
      </c>
      <c r="AS33" s="19">
        <v>290.0</v>
      </c>
      <c r="AT33" s="19">
        <v>276.0</v>
      </c>
      <c r="AU33" s="19">
        <v>276.0</v>
      </c>
      <c r="AV33" s="19">
        <v>278.0</v>
      </c>
      <c r="AW33" s="19">
        <v>258.0</v>
      </c>
      <c r="AX33" s="19">
        <v>268.0</v>
      </c>
      <c r="AY33" s="19">
        <v>197.0</v>
      </c>
      <c r="AZ33" s="19">
        <v>290.0</v>
      </c>
      <c r="BA33" s="19">
        <v>252.0</v>
      </c>
      <c r="BB33" s="19">
        <v>257.0</v>
      </c>
      <c r="BC33" s="19">
        <v>263.0</v>
      </c>
      <c r="BD33" s="19">
        <v>226.0</v>
      </c>
      <c r="BE33" s="13">
        <f t="shared" ref="BE33:BE36" si="12">SUM(E33:BD33)</f>
        <v>14148</v>
      </c>
    </row>
    <row r="34" ht="12.75" customHeight="1">
      <c r="A34" s="19">
        <v>2.0</v>
      </c>
      <c r="B34" s="20" t="s">
        <v>27</v>
      </c>
      <c r="C34" s="15"/>
      <c r="D34" s="16"/>
      <c r="E34" s="13">
        <v>207.0</v>
      </c>
      <c r="F34" s="13">
        <v>198.0</v>
      </c>
      <c r="G34" s="13">
        <v>216.0</v>
      </c>
      <c r="H34" s="13">
        <v>213.0</v>
      </c>
      <c r="I34" s="13">
        <v>219.0</v>
      </c>
      <c r="J34" s="13">
        <v>171.0</v>
      </c>
      <c r="K34" s="13">
        <v>200.0</v>
      </c>
      <c r="L34" s="13">
        <v>193.0</v>
      </c>
      <c r="M34" s="13">
        <v>160.0</v>
      </c>
      <c r="N34" s="13">
        <v>152.0</v>
      </c>
      <c r="O34" s="13">
        <v>185.0</v>
      </c>
      <c r="P34" s="13">
        <v>173.0</v>
      </c>
      <c r="Q34" s="13">
        <v>227.0</v>
      </c>
      <c r="R34" s="13">
        <v>210.0</v>
      </c>
      <c r="S34" s="13">
        <v>194.0</v>
      </c>
      <c r="T34" s="13">
        <v>198.0</v>
      </c>
      <c r="U34" s="13">
        <v>175.0</v>
      </c>
      <c r="V34" s="13">
        <v>206.0</v>
      </c>
      <c r="W34" s="13">
        <v>166.0</v>
      </c>
      <c r="X34" s="13">
        <v>173.0</v>
      </c>
      <c r="Y34" s="13">
        <v>221.0</v>
      </c>
      <c r="Z34" s="13">
        <v>220.0</v>
      </c>
      <c r="AA34" s="13">
        <v>268.0</v>
      </c>
      <c r="AB34" s="13">
        <v>250.0</v>
      </c>
      <c r="AC34" s="13">
        <v>269.0</v>
      </c>
      <c r="AD34" s="13">
        <v>276.0</v>
      </c>
      <c r="AE34" s="13">
        <v>190.0</v>
      </c>
      <c r="AF34" s="13">
        <v>236.0</v>
      </c>
      <c r="AG34" s="13">
        <v>223.0</v>
      </c>
      <c r="AH34" s="13">
        <v>253.0</v>
      </c>
      <c r="AI34" s="13">
        <v>228.0</v>
      </c>
      <c r="AJ34" s="13">
        <v>225.0</v>
      </c>
      <c r="AK34" s="13">
        <v>204.0</v>
      </c>
      <c r="AL34" s="13">
        <v>220.0</v>
      </c>
      <c r="AM34" s="13">
        <v>196.0</v>
      </c>
      <c r="AN34" s="13">
        <v>219.0</v>
      </c>
      <c r="AO34" s="13">
        <v>222.0</v>
      </c>
      <c r="AP34" s="13">
        <v>202.0</v>
      </c>
      <c r="AQ34" s="13">
        <v>163.0</v>
      </c>
      <c r="AR34" s="13">
        <v>221.0</v>
      </c>
      <c r="AS34" s="13">
        <v>219.0</v>
      </c>
      <c r="AT34" s="13">
        <v>205.0</v>
      </c>
      <c r="AU34" s="13">
        <v>205.0</v>
      </c>
      <c r="AV34" s="13">
        <v>229.0</v>
      </c>
      <c r="AW34" s="13">
        <v>211.0</v>
      </c>
      <c r="AX34" s="13">
        <v>201.0</v>
      </c>
      <c r="AY34" s="13">
        <v>151.0</v>
      </c>
      <c r="AZ34" s="13">
        <v>222.0</v>
      </c>
      <c r="BA34" s="13">
        <v>196.0</v>
      </c>
      <c r="BB34" s="13">
        <v>175.0</v>
      </c>
      <c r="BC34" s="13">
        <v>200.0</v>
      </c>
      <c r="BD34" s="13">
        <v>169.0</v>
      </c>
      <c r="BE34" s="13">
        <f t="shared" si="12"/>
        <v>10725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2.0</v>
      </c>
      <c r="AG35" s="19">
        <v>0.0</v>
      </c>
      <c r="AH35" s="19">
        <v>0.0</v>
      </c>
      <c r="AI35" s="19">
        <v>1.0</v>
      </c>
      <c r="AJ35" s="19">
        <v>0.0</v>
      </c>
      <c r="AK35" s="19">
        <v>0.0</v>
      </c>
      <c r="AL35" s="19">
        <v>0.0</v>
      </c>
      <c r="AM35" s="19">
        <v>0.0</v>
      </c>
      <c r="AN35" s="19">
        <v>3.0</v>
      </c>
      <c r="AO35" s="19">
        <v>0.0</v>
      </c>
      <c r="AP35" s="19">
        <v>1.0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>
        <v>0.0</v>
      </c>
      <c r="AY35" s="19">
        <v>0.0</v>
      </c>
      <c r="AZ35" s="19">
        <v>0.0</v>
      </c>
      <c r="BA35" s="19">
        <v>0.0</v>
      </c>
      <c r="BB35" s="19">
        <v>0.0</v>
      </c>
      <c r="BC35" s="19">
        <v>0.0</v>
      </c>
      <c r="BD35" s="19">
        <v>0.0</v>
      </c>
      <c r="BE35" s="13">
        <f t="shared" si="12"/>
        <v>10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BD36" si="13">E33-(E34+E35)</f>
        <v>65</v>
      </c>
      <c r="F36" s="13">
        <f t="shared" si="13"/>
        <v>89</v>
      </c>
      <c r="G36" s="13">
        <f t="shared" si="13"/>
        <v>79</v>
      </c>
      <c r="H36" s="13">
        <f t="shared" si="13"/>
        <v>75</v>
      </c>
      <c r="I36" s="13">
        <f t="shared" si="13"/>
        <v>72</v>
      </c>
      <c r="J36" s="13">
        <f t="shared" si="13"/>
        <v>59</v>
      </c>
      <c r="K36" s="13">
        <f t="shared" si="13"/>
        <v>85</v>
      </c>
      <c r="L36" s="13">
        <f t="shared" si="13"/>
        <v>76</v>
      </c>
      <c r="M36" s="13">
        <f t="shared" si="13"/>
        <v>61</v>
      </c>
      <c r="N36" s="13">
        <f t="shared" si="13"/>
        <v>40</v>
      </c>
      <c r="O36" s="13">
        <f t="shared" si="13"/>
        <v>117</v>
      </c>
      <c r="P36" s="13">
        <f t="shared" si="13"/>
        <v>81</v>
      </c>
      <c r="Q36" s="13">
        <f t="shared" si="13"/>
        <v>68</v>
      </c>
      <c r="R36" s="13">
        <f t="shared" si="13"/>
        <v>87</v>
      </c>
      <c r="S36" s="13">
        <f t="shared" si="13"/>
        <v>88</v>
      </c>
      <c r="T36" s="13">
        <f t="shared" si="13"/>
        <v>64</v>
      </c>
      <c r="U36" s="13">
        <f t="shared" si="13"/>
        <v>94</v>
      </c>
      <c r="V36" s="13">
        <f t="shared" si="13"/>
        <v>69</v>
      </c>
      <c r="W36" s="13">
        <f t="shared" si="13"/>
        <v>74</v>
      </c>
      <c r="X36" s="13">
        <f t="shared" si="13"/>
        <v>26</v>
      </c>
      <c r="Y36" s="13">
        <f t="shared" si="13"/>
        <v>68</v>
      </c>
      <c r="Z36" s="13">
        <f t="shared" si="13"/>
        <v>60</v>
      </c>
      <c r="AA36" s="13">
        <f t="shared" si="13"/>
        <v>24</v>
      </c>
      <c r="AB36" s="13">
        <f t="shared" si="13"/>
        <v>56</v>
      </c>
      <c r="AC36" s="13">
        <f t="shared" si="13"/>
        <v>36</v>
      </c>
      <c r="AD36" s="13">
        <f t="shared" si="13"/>
        <v>29</v>
      </c>
      <c r="AE36" s="13">
        <f t="shared" si="13"/>
        <v>28</v>
      </c>
      <c r="AF36" s="13">
        <f t="shared" si="13"/>
        <v>63</v>
      </c>
      <c r="AG36" s="13">
        <f t="shared" si="13"/>
        <v>70</v>
      </c>
      <c r="AH36" s="13">
        <f t="shared" si="13"/>
        <v>41</v>
      </c>
      <c r="AI36" s="13">
        <f t="shared" si="13"/>
        <v>50</v>
      </c>
      <c r="AJ36" s="13">
        <f t="shared" si="13"/>
        <v>72</v>
      </c>
      <c r="AK36" s="13">
        <f t="shared" si="13"/>
        <v>64</v>
      </c>
      <c r="AL36" s="13">
        <f t="shared" si="13"/>
        <v>84</v>
      </c>
      <c r="AM36" s="13">
        <f t="shared" si="13"/>
        <v>79</v>
      </c>
      <c r="AN36" s="13">
        <f t="shared" si="13"/>
        <v>83</v>
      </c>
      <c r="AO36" s="13">
        <f t="shared" si="13"/>
        <v>84</v>
      </c>
      <c r="AP36" s="13">
        <f t="shared" si="13"/>
        <v>71</v>
      </c>
      <c r="AQ36" s="13">
        <f t="shared" si="13"/>
        <v>61</v>
      </c>
      <c r="AR36" s="13">
        <f t="shared" si="13"/>
        <v>73</v>
      </c>
      <c r="AS36" s="13">
        <f t="shared" si="13"/>
        <v>71</v>
      </c>
      <c r="AT36" s="13">
        <f t="shared" si="13"/>
        <v>71</v>
      </c>
      <c r="AU36" s="13">
        <f t="shared" si="13"/>
        <v>71</v>
      </c>
      <c r="AV36" s="13">
        <f t="shared" si="13"/>
        <v>49</v>
      </c>
      <c r="AW36" s="13">
        <f t="shared" si="13"/>
        <v>47</v>
      </c>
      <c r="AX36" s="13">
        <f t="shared" si="13"/>
        <v>67</v>
      </c>
      <c r="AY36" s="13">
        <f t="shared" si="13"/>
        <v>46</v>
      </c>
      <c r="AZ36" s="13">
        <f t="shared" si="13"/>
        <v>68</v>
      </c>
      <c r="BA36" s="13">
        <f t="shared" si="13"/>
        <v>56</v>
      </c>
      <c r="BB36" s="13">
        <f t="shared" si="13"/>
        <v>82</v>
      </c>
      <c r="BC36" s="13">
        <f t="shared" si="13"/>
        <v>63</v>
      </c>
      <c r="BD36" s="13">
        <f t="shared" si="13"/>
        <v>57</v>
      </c>
      <c r="BE36" s="13">
        <f t="shared" si="12"/>
        <v>3413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19"/>
      <c r="X37" s="61"/>
      <c r="Y37" s="19"/>
      <c r="Z37" s="19"/>
      <c r="AA37" s="19"/>
      <c r="AB37" s="19"/>
      <c r="AC37" s="61"/>
      <c r="AD37" s="19"/>
      <c r="AE37" s="19"/>
      <c r="AF37" s="19"/>
      <c r="AG37" s="19"/>
      <c r="AH37" s="61"/>
      <c r="AI37" s="19"/>
      <c r="AJ37" s="19"/>
      <c r="AK37" s="19"/>
      <c r="AL37" s="19"/>
      <c r="AM37" s="61"/>
      <c r="AN37" s="19"/>
      <c r="AO37" s="19"/>
      <c r="AP37" s="19"/>
      <c r="AQ37" s="19"/>
      <c r="AR37" s="61"/>
      <c r="AS37" s="19"/>
      <c r="AT37" s="19"/>
      <c r="AU37" s="19"/>
      <c r="AV37" s="19"/>
      <c r="AW37" s="61"/>
      <c r="AX37" s="19"/>
      <c r="AY37" s="19"/>
      <c r="AZ37" s="19"/>
      <c r="BA37" s="19"/>
      <c r="BB37" s="61"/>
      <c r="BC37" s="19"/>
      <c r="BD37" s="19"/>
      <c r="BE37" s="62"/>
    </row>
    <row r="38" ht="12.75" customHeight="1">
      <c r="A38" s="44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3"/>
      <c r="O38" s="13"/>
      <c r="P38" s="13"/>
      <c r="Q38" s="13"/>
      <c r="R38" s="13"/>
      <c r="S38" s="63"/>
      <c r="T38" s="13"/>
      <c r="U38" s="13"/>
      <c r="V38" s="13"/>
      <c r="W38" s="13"/>
      <c r="X38" s="63"/>
      <c r="Y38" s="13"/>
      <c r="Z38" s="13"/>
      <c r="AA38" s="13"/>
      <c r="AB38" s="13"/>
      <c r="AC38" s="63"/>
      <c r="AD38" s="13"/>
      <c r="AE38" s="13"/>
      <c r="AF38" s="13"/>
      <c r="AG38" s="13"/>
      <c r="AH38" s="63"/>
      <c r="AI38" s="13"/>
      <c r="AJ38" s="13"/>
      <c r="AK38" s="13"/>
      <c r="AL38" s="13"/>
      <c r="AM38" s="63"/>
      <c r="AN38" s="13"/>
      <c r="AO38" s="13"/>
      <c r="AP38" s="13"/>
      <c r="AQ38" s="13"/>
      <c r="AR38" s="63"/>
      <c r="AS38" s="13"/>
      <c r="AT38" s="13"/>
      <c r="AU38" s="13"/>
      <c r="AV38" s="13"/>
      <c r="AW38" s="63"/>
      <c r="AX38" s="13"/>
      <c r="AY38" s="13"/>
      <c r="AZ38" s="13"/>
      <c r="BA38" s="13"/>
      <c r="BB38" s="63"/>
      <c r="BC38" s="13"/>
      <c r="BD38" s="13"/>
      <c r="BE38" s="62"/>
    </row>
    <row r="39" ht="12.75" customHeight="1">
      <c r="A39" s="31"/>
      <c r="B39" s="45" t="s">
        <v>32</v>
      </c>
      <c r="C39" s="23"/>
      <c r="D39" s="19" t="s">
        <v>11</v>
      </c>
      <c r="E39" s="19">
        <v>0.0</v>
      </c>
      <c r="F39" s="19">
        <v>0.0</v>
      </c>
      <c r="G39" s="19">
        <v>1.0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1.0</v>
      </c>
      <c r="AC39" s="19">
        <v>1.0</v>
      </c>
      <c r="AD39" s="19">
        <v>2.0</v>
      </c>
      <c r="AE39" s="19">
        <v>1.0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1.0</v>
      </c>
      <c r="AM39" s="19">
        <v>0.0</v>
      </c>
      <c r="AN39" s="19">
        <v>0.0</v>
      </c>
      <c r="AO39" s="19">
        <v>3.0</v>
      </c>
      <c r="AP39" s="19">
        <v>0.0</v>
      </c>
      <c r="AQ39" s="19">
        <v>0.0</v>
      </c>
      <c r="AR39" s="19">
        <v>2.0</v>
      </c>
      <c r="AS39" s="19">
        <v>1.0</v>
      </c>
      <c r="AT39" s="19">
        <v>0.0</v>
      </c>
      <c r="AU39" s="19">
        <v>0.0</v>
      </c>
      <c r="AV39" s="19">
        <v>0.0</v>
      </c>
      <c r="AW39" s="19">
        <v>0.0</v>
      </c>
      <c r="AX39" s="19">
        <v>1.0</v>
      </c>
      <c r="AY39" s="19">
        <v>0.0</v>
      </c>
      <c r="AZ39" s="19">
        <v>0.0</v>
      </c>
      <c r="BA39" s="19">
        <v>0.0</v>
      </c>
      <c r="BB39" s="19">
        <v>0.0</v>
      </c>
      <c r="BC39" s="19">
        <v>0.0</v>
      </c>
      <c r="BD39" s="19">
        <v>0.0</v>
      </c>
      <c r="BE39" s="13">
        <f t="shared" ref="BE39:BE41" si="14">SUM(E39:BD39)</f>
        <v>17</v>
      </c>
    </row>
    <row r="40" ht="12.75" customHeight="1">
      <c r="A40" s="34"/>
      <c r="C40" s="27"/>
      <c r="D40" s="19" t="s">
        <v>12</v>
      </c>
      <c r="E40" s="19">
        <v>0.0</v>
      </c>
      <c r="F40" s="19">
        <v>1.0</v>
      </c>
      <c r="G40" s="19">
        <v>4.0</v>
      </c>
      <c r="H40" s="19">
        <v>1.0</v>
      </c>
      <c r="I40" s="19">
        <v>1.0</v>
      </c>
      <c r="J40" s="19">
        <v>0.0</v>
      </c>
      <c r="K40" s="19">
        <v>1.0</v>
      </c>
      <c r="L40" s="19">
        <v>0.0</v>
      </c>
      <c r="M40" s="19">
        <v>0.0</v>
      </c>
      <c r="N40" s="19">
        <v>1.0</v>
      </c>
      <c r="O40" s="19">
        <v>0.0</v>
      </c>
      <c r="P40" s="19">
        <v>0.0</v>
      </c>
      <c r="Q40" s="19">
        <v>0.0</v>
      </c>
      <c r="R40" s="19">
        <v>0.0</v>
      </c>
      <c r="S40" s="19">
        <v>5.0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4.0</v>
      </c>
      <c r="AC40" s="19">
        <v>5.0</v>
      </c>
      <c r="AD40" s="19">
        <v>5.0</v>
      </c>
      <c r="AE40" s="19">
        <v>2.0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4.0</v>
      </c>
      <c r="AM40" s="19">
        <v>0.0</v>
      </c>
      <c r="AN40" s="19">
        <v>0.0</v>
      </c>
      <c r="AO40" s="19">
        <v>5.0</v>
      </c>
      <c r="AP40" s="19">
        <v>0.0</v>
      </c>
      <c r="AQ40" s="19">
        <v>1.0</v>
      </c>
      <c r="AR40" s="19">
        <v>1.0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1.0</v>
      </c>
      <c r="AY40" s="19">
        <v>0.0</v>
      </c>
      <c r="AZ40" s="19">
        <v>0.0</v>
      </c>
      <c r="BA40" s="19">
        <v>0.0</v>
      </c>
      <c r="BB40" s="19">
        <v>0.0</v>
      </c>
      <c r="BC40" s="19">
        <v>0.0</v>
      </c>
      <c r="BD40" s="19">
        <v>0.0</v>
      </c>
      <c r="BE40" s="13">
        <f t="shared" si="14"/>
        <v>42</v>
      </c>
    </row>
    <row r="41" ht="12.75" customHeight="1">
      <c r="A41" s="43"/>
      <c r="B41" s="46"/>
      <c r="C41" s="28"/>
      <c r="D41" s="13" t="s">
        <v>13</v>
      </c>
      <c r="E41" s="13">
        <f t="shared" ref="E41:BD41" si="15">SUM(E39:E40)</f>
        <v>0</v>
      </c>
      <c r="F41" s="13">
        <f t="shared" si="15"/>
        <v>1</v>
      </c>
      <c r="G41" s="13">
        <f t="shared" si="15"/>
        <v>5</v>
      </c>
      <c r="H41" s="13">
        <f t="shared" si="15"/>
        <v>2</v>
      </c>
      <c r="I41" s="13">
        <f t="shared" si="15"/>
        <v>1</v>
      </c>
      <c r="J41" s="13">
        <f t="shared" si="15"/>
        <v>0</v>
      </c>
      <c r="K41" s="13">
        <f t="shared" si="15"/>
        <v>1</v>
      </c>
      <c r="L41" s="13">
        <f t="shared" si="15"/>
        <v>0</v>
      </c>
      <c r="M41" s="13">
        <f t="shared" si="15"/>
        <v>0</v>
      </c>
      <c r="N41" s="13">
        <f t="shared" si="15"/>
        <v>2</v>
      </c>
      <c r="O41" s="13">
        <f t="shared" si="15"/>
        <v>0</v>
      </c>
      <c r="P41" s="13">
        <f t="shared" si="15"/>
        <v>0</v>
      </c>
      <c r="Q41" s="13">
        <f t="shared" si="15"/>
        <v>0</v>
      </c>
      <c r="R41" s="13">
        <f t="shared" si="15"/>
        <v>0</v>
      </c>
      <c r="S41" s="13">
        <f t="shared" si="15"/>
        <v>6</v>
      </c>
      <c r="T41" s="13">
        <f t="shared" si="15"/>
        <v>0</v>
      </c>
      <c r="U41" s="13">
        <f t="shared" si="15"/>
        <v>0</v>
      </c>
      <c r="V41" s="13">
        <f t="shared" si="15"/>
        <v>0</v>
      </c>
      <c r="W41" s="13">
        <f t="shared" si="15"/>
        <v>0</v>
      </c>
      <c r="X41" s="13">
        <f t="shared" si="15"/>
        <v>0</v>
      </c>
      <c r="Y41" s="13">
        <f t="shared" si="15"/>
        <v>0</v>
      </c>
      <c r="Z41" s="13">
        <f t="shared" si="15"/>
        <v>0</v>
      </c>
      <c r="AA41" s="13">
        <f t="shared" si="15"/>
        <v>0</v>
      </c>
      <c r="AB41" s="13">
        <f t="shared" si="15"/>
        <v>5</v>
      </c>
      <c r="AC41" s="13">
        <f t="shared" si="15"/>
        <v>6</v>
      </c>
      <c r="AD41" s="13">
        <f t="shared" si="15"/>
        <v>7</v>
      </c>
      <c r="AE41" s="13">
        <f t="shared" si="15"/>
        <v>3</v>
      </c>
      <c r="AF41" s="13">
        <f t="shared" si="15"/>
        <v>0</v>
      </c>
      <c r="AG41" s="13">
        <f t="shared" si="15"/>
        <v>0</v>
      </c>
      <c r="AH41" s="13">
        <f t="shared" si="15"/>
        <v>0</v>
      </c>
      <c r="AI41" s="13">
        <f t="shared" si="15"/>
        <v>0</v>
      </c>
      <c r="AJ41" s="13">
        <f t="shared" si="15"/>
        <v>0</v>
      </c>
      <c r="AK41" s="13">
        <f t="shared" si="15"/>
        <v>0</v>
      </c>
      <c r="AL41" s="13">
        <f t="shared" si="15"/>
        <v>5</v>
      </c>
      <c r="AM41" s="13">
        <f t="shared" si="15"/>
        <v>0</v>
      </c>
      <c r="AN41" s="13">
        <f t="shared" si="15"/>
        <v>0</v>
      </c>
      <c r="AO41" s="13">
        <f t="shared" si="15"/>
        <v>8</v>
      </c>
      <c r="AP41" s="13">
        <f t="shared" si="15"/>
        <v>0</v>
      </c>
      <c r="AQ41" s="13">
        <f t="shared" si="15"/>
        <v>1</v>
      </c>
      <c r="AR41" s="13">
        <f t="shared" si="15"/>
        <v>3</v>
      </c>
      <c r="AS41" s="13">
        <f t="shared" si="15"/>
        <v>1</v>
      </c>
      <c r="AT41" s="13">
        <f t="shared" si="15"/>
        <v>0</v>
      </c>
      <c r="AU41" s="13">
        <f t="shared" si="15"/>
        <v>0</v>
      </c>
      <c r="AV41" s="13">
        <f t="shared" si="15"/>
        <v>0</v>
      </c>
      <c r="AW41" s="13">
        <f t="shared" si="15"/>
        <v>0</v>
      </c>
      <c r="AX41" s="13">
        <f t="shared" si="15"/>
        <v>2</v>
      </c>
      <c r="AY41" s="13">
        <f t="shared" si="15"/>
        <v>0</v>
      </c>
      <c r="AZ41" s="13">
        <f t="shared" si="15"/>
        <v>0</v>
      </c>
      <c r="BA41" s="13">
        <f t="shared" si="15"/>
        <v>0</v>
      </c>
      <c r="BB41" s="13">
        <f t="shared" si="15"/>
        <v>0</v>
      </c>
      <c r="BC41" s="13">
        <f t="shared" si="15"/>
        <v>0</v>
      </c>
      <c r="BD41" s="13">
        <f t="shared" si="15"/>
        <v>0</v>
      </c>
      <c r="BE41" s="13">
        <f t="shared" si="14"/>
        <v>59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9"/>
      <c r="X42" s="61"/>
      <c r="Y42" s="19"/>
      <c r="Z42" s="19"/>
      <c r="AA42" s="19"/>
      <c r="AB42" s="19"/>
      <c r="AC42" s="61"/>
      <c r="AD42" s="19"/>
      <c r="AE42" s="19"/>
      <c r="AF42" s="19"/>
      <c r="AG42" s="19"/>
      <c r="AH42" s="61"/>
      <c r="AI42" s="19"/>
      <c r="AJ42" s="19"/>
      <c r="AK42" s="19"/>
      <c r="AL42" s="19"/>
      <c r="AM42" s="61"/>
      <c r="AN42" s="19"/>
      <c r="AO42" s="19"/>
      <c r="AP42" s="19"/>
      <c r="AQ42" s="19"/>
      <c r="AR42" s="61"/>
      <c r="AS42" s="19"/>
      <c r="AT42" s="19"/>
      <c r="AU42" s="19"/>
      <c r="AV42" s="19"/>
      <c r="AW42" s="61"/>
      <c r="AX42" s="19"/>
      <c r="AY42" s="19"/>
      <c r="AZ42" s="19"/>
      <c r="BA42" s="19"/>
      <c r="BB42" s="61"/>
      <c r="BC42" s="19"/>
      <c r="BD42" s="19"/>
      <c r="BE42" s="13"/>
    </row>
    <row r="43" ht="12.75" customHeight="1">
      <c r="A43" s="44" t="s">
        <v>33</v>
      </c>
      <c r="B43" s="14" t="s">
        <v>34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3"/>
      <c r="O43" s="13"/>
      <c r="P43" s="13"/>
      <c r="Q43" s="13"/>
      <c r="R43" s="13"/>
      <c r="S43" s="63"/>
      <c r="T43" s="13"/>
      <c r="U43" s="13"/>
      <c r="V43" s="13"/>
      <c r="W43" s="13"/>
      <c r="X43" s="63"/>
      <c r="Y43" s="13"/>
      <c r="Z43" s="13"/>
      <c r="AA43" s="13"/>
      <c r="AB43" s="13"/>
      <c r="AC43" s="63"/>
      <c r="AD43" s="13"/>
      <c r="AE43" s="13"/>
      <c r="AF43" s="13"/>
      <c r="AG43" s="13"/>
      <c r="AH43" s="63"/>
      <c r="AI43" s="13"/>
      <c r="AJ43" s="13"/>
      <c r="AK43" s="13"/>
      <c r="AL43" s="13"/>
      <c r="AM43" s="63"/>
      <c r="AN43" s="13"/>
      <c r="AO43" s="13"/>
      <c r="AP43" s="13"/>
      <c r="AQ43" s="13"/>
      <c r="AR43" s="63"/>
      <c r="AS43" s="13"/>
      <c r="AT43" s="13"/>
      <c r="AU43" s="13"/>
      <c r="AV43" s="13"/>
      <c r="AW43" s="63"/>
      <c r="AX43" s="13"/>
      <c r="AY43" s="13"/>
      <c r="AZ43" s="13"/>
      <c r="BA43" s="13"/>
      <c r="BB43" s="63"/>
      <c r="BC43" s="13"/>
      <c r="BD43" s="13"/>
      <c r="BE43" s="13"/>
    </row>
    <row r="44" ht="12.75" customHeight="1">
      <c r="A44" s="45" t="s">
        <v>35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9"/>
      <c r="X44" s="61"/>
      <c r="Y44" s="19"/>
      <c r="Z44" s="19"/>
      <c r="AA44" s="19"/>
      <c r="AB44" s="19"/>
      <c r="AC44" s="61"/>
      <c r="AD44" s="19"/>
      <c r="AE44" s="19"/>
      <c r="AF44" s="19"/>
      <c r="AG44" s="19"/>
      <c r="AH44" s="61"/>
      <c r="AI44" s="19"/>
      <c r="AJ44" s="19"/>
      <c r="AK44" s="19"/>
      <c r="AL44" s="19"/>
      <c r="AM44" s="61"/>
      <c r="AN44" s="19"/>
      <c r="AO44" s="19"/>
      <c r="AP44" s="19"/>
      <c r="AQ44" s="19"/>
      <c r="AR44" s="61"/>
      <c r="AS44" s="19"/>
      <c r="AT44" s="19"/>
      <c r="AU44" s="19"/>
      <c r="AV44" s="19"/>
      <c r="AW44" s="61"/>
      <c r="AX44" s="19"/>
      <c r="AY44" s="19"/>
      <c r="AZ44" s="19"/>
      <c r="BA44" s="19"/>
      <c r="BB44" s="61"/>
      <c r="BC44" s="19"/>
      <c r="BD44" s="19"/>
      <c r="BE44" s="13"/>
    </row>
    <row r="45" ht="12.75" customHeight="1">
      <c r="A45" s="64"/>
      <c r="B45" s="49">
        <v>1.0</v>
      </c>
      <c r="C45" s="50" t="s">
        <v>36</v>
      </c>
      <c r="D45" s="16"/>
      <c r="E45" s="19">
        <v>40.0</v>
      </c>
      <c r="F45" s="19">
        <v>33.0</v>
      </c>
      <c r="G45" s="19">
        <v>43.0</v>
      </c>
      <c r="H45" s="19">
        <v>31.0</v>
      </c>
      <c r="I45" s="19">
        <v>31.0</v>
      </c>
      <c r="J45" s="19">
        <v>21.0</v>
      </c>
      <c r="K45" s="19">
        <v>62.0</v>
      </c>
      <c r="L45" s="19">
        <v>39.0</v>
      </c>
      <c r="M45" s="19">
        <v>10.0</v>
      </c>
      <c r="N45" s="19">
        <v>19.0</v>
      </c>
      <c r="O45" s="19">
        <v>29.0</v>
      </c>
      <c r="P45" s="19">
        <v>24.0</v>
      </c>
      <c r="Q45" s="19">
        <v>42.0</v>
      </c>
      <c r="R45" s="19">
        <v>47.0</v>
      </c>
      <c r="S45" s="19">
        <v>30.0</v>
      </c>
      <c r="T45" s="19">
        <v>12.0</v>
      </c>
      <c r="U45" s="19">
        <v>11.0</v>
      </c>
      <c r="V45" s="19">
        <v>42.0</v>
      </c>
      <c r="W45" s="19">
        <v>22.0</v>
      </c>
      <c r="X45" s="19">
        <v>83.0</v>
      </c>
      <c r="Y45" s="19">
        <v>118.0</v>
      </c>
      <c r="Z45" s="19">
        <v>76.0</v>
      </c>
      <c r="AA45" s="19">
        <v>66.0</v>
      </c>
      <c r="AB45" s="19">
        <v>100.0</v>
      </c>
      <c r="AC45" s="19">
        <v>161.0</v>
      </c>
      <c r="AD45" s="19">
        <v>191.0</v>
      </c>
      <c r="AE45" s="19">
        <v>65.0</v>
      </c>
      <c r="AF45" s="19">
        <v>57.0</v>
      </c>
      <c r="AG45" s="19">
        <v>87.0</v>
      </c>
      <c r="AH45" s="19">
        <v>91.0</v>
      </c>
      <c r="AI45" s="19">
        <v>130.0</v>
      </c>
      <c r="AJ45" s="19">
        <v>30.0</v>
      </c>
      <c r="AK45" s="19">
        <v>48.0</v>
      </c>
      <c r="AL45" s="19">
        <v>31.0</v>
      </c>
      <c r="AM45" s="19">
        <v>36.0</v>
      </c>
      <c r="AN45" s="19">
        <v>36.0</v>
      </c>
      <c r="AO45" s="19">
        <v>59.0</v>
      </c>
      <c r="AP45" s="19">
        <v>66.0</v>
      </c>
      <c r="AQ45" s="19">
        <v>35.0</v>
      </c>
      <c r="AR45" s="19">
        <v>33.0</v>
      </c>
      <c r="AS45" s="19">
        <v>54.0</v>
      </c>
      <c r="AT45" s="19">
        <v>39.0</v>
      </c>
      <c r="AU45" s="19">
        <v>38.0</v>
      </c>
      <c r="AV45" s="19">
        <v>30.0</v>
      </c>
      <c r="AW45" s="19">
        <v>53.0</v>
      </c>
      <c r="AX45" s="19">
        <v>23.0</v>
      </c>
      <c r="AY45" s="19">
        <v>27.0</v>
      </c>
      <c r="AZ45" s="19">
        <v>37.0</v>
      </c>
      <c r="BA45" s="19">
        <v>50.0</v>
      </c>
      <c r="BB45" s="19">
        <v>38.0</v>
      </c>
      <c r="BC45" s="19">
        <v>34.0</v>
      </c>
      <c r="BD45" s="19">
        <v>61.0</v>
      </c>
      <c r="BE45" s="13">
        <f t="shared" ref="BE45:BE47" si="16">SUM(E45:BD45)</f>
        <v>2671</v>
      </c>
    </row>
    <row r="46" ht="12.75" customHeight="1">
      <c r="A46" s="18"/>
      <c r="B46" s="49">
        <v>2.0</v>
      </c>
      <c r="C46" s="50" t="s">
        <v>37</v>
      </c>
      <c r="D46" s="16"/>
      <c r="E46" s="19">
        <v>107.0</v>
      </c>
      <c r="F46" s="19">
        <v>112.0</v>
      </c>
      <c r="G46" s="19">
        <v>143.0</v>
      </c>
      <c r="H46" s="19">
        <v>143.0</v>
      </c>
      <c r="I46" s="19">
        <v>142.0</v>
      </c>
      <c r="J46" s="19">
        <v>84.0</v>
      </c>
      <c r="K46" s="19">
        <v>81.0</v>
      </c>
      <c r="L46" s="19">
        <v>110.0</v>
      </c>
      <c r="M46" s="19">
        <v>103.0</v>
      </c>
      <c r="N46" s="19">
        <v>90.0</v>
      </c>
      <c r="O46" s="19">
        <v>119.0</v>
      </c>
      <c r="P46" s="19">
        <v>115.0</v>
      </c>
      <c r="Q46" s="19">
        <v>138.0</v>
      </c>
      <c r="R46" s="19">
        <v>125.0</v>
      </c>
      <c r="S46" s="19">
        <v>130.0</v>
      </c>
      <c r="T46" s="19">
        <v>133.0</v>
      </c>
      <c r="U46" s="19">
        <v>123.0</v>
      </c>
      <c r="V46" s="19">
        <v>122.0</v>
      </c>
      <c r="W46" s="19">
        <v>119.0</v>
      </c>
      <c r="X46" s="19">
        <v>76.0</v>
      </c>
      <c r="Y46" s="19">
        <v>79.0</v>
      </c>
      <c r="Z46" s="19">
        <v>105.0</v>
      </c>
      <c r="AA46" s="19">
        <v>134.0</v>
      </c>
      <c r="AB46" s="19">
        <v>72.0</v>
      </c>
      <c r="AC46" s="19">
        <v>58.0</v>
      </c>
      <c r="AD46" s="19">
        <v>61.0</v>
      </c>
      <c r="AE46" s="19">
        <v>103.0</v>
      </c>
      <c r="AF46" s="19">
        <v>150.0</v>
      </c>
      <c r="AG46" s="19">
        <v>119.0</v>
      </c>
      <c r="AH46" s="19">
        <v>142.0</v>
      </c>
      <c r="AI46" s="19">
        <v>77.0</v>
      </c>
      <c r="AJ46" s="19">
        <v>156.0</v>
      </c>
      <c r="AK46" s="19">
        <v>115.0</v>
      </c>
      <c r="AL46" s="19">
        <v>151.0</v>
      </c>
      <c r="AM46" s="19">
        <v>141.0</v>
      </c>
      <c r="AN46" s="19">
        <v>157.0</v>
      </c>
      <c r="AO46" s="19">
        <v>140.0</v>
      </c>
      <c r="AP46" s="19">
        <v>100.0</v>
      </c>
      <c r="AQ46" s="19">
        <v>95.0</v>
      </c>
      <c r="AR46" s="19">
        <v>172.0</v>
      </c>
      <c r="AS46" s="19">
        <v>147.0</v>
      </c>
      <c r="AT46" s="19">
        <v>144.0</v>
      </c>
      <c r="AU46" s="19">
        <v>143.0</v>
      </c>
      <c r="AV46" s="19">
        <v>183.0</v>
      </c>
      <c r="AW46" s="19">
        <v>136.0</v>
      </c>
      <c r="AX46" s="19">
        <v>165.0</v>
      </c>
      <c r="AY46" s="19">
        <v>111.0</v>
      </c>
      <c r="AZ46" s="19">
        <v>154.0</v>
      </c>
      <c r="BA46" s="19">
        <v>125.0</v>
      </c>
      <c r="BB46" s="19">
        <v>121.0</v>
      </c>
      <c r="BC46" s="19">
        <v>140.0</v>
      </c>
      <c r="BD46" s="19">
        <v>90.0</v>
      </c>
      <c r="BE46" s="13">
        <f t="shared" si="16"/>
        <v>6301</v>
      </c>
    </row>
    <row r="47" ht="12.75" customHeight="1">
      <c r="A47" s="47"/>
      <c r="B47" s="49">
        <v>3.0</v>
      </c>
      <c r="C47" s="50" t="s">
        <v>38</v>
      </c>
      <c r="D47" s="16"/>
      <c r="E47" s="19">
        <v>57.0</v>
      </c>
      <c r="F47" s="19">
        <v>51.0</v>
      </c>
      <c r="G47" s="19">
        <v>26.0</v>
      </c>
      <c r="H47" s="19">
        <v>35.0</v>
      </c>
      <c r="I47" s="19">
        <v>41.0</v>
      </c>
      <c r="J47" s="19">
        <v>65.0</v>
      </c>
      <c r="K47" s="19">
        <v>54.0</v>
      </c>
      <c r="L47" s="19">
        <v>42.0</v>
      </c>
      <c r="M47" s="19">
        <v>47.0</v>
      </c>
      <c r="N47" s="19">
        <v>43.0</v>
      </c>
      <c r="O47" s="19">
        <v>34.0</v>
      </c>
      <c r="P47" s="19">
        <v>31.0</v>
      </c>
      <c r="Q47" s="19">
        <v>42.0</v>
      </c>
      <c r="R47" s="19">
        <v>32.0</v>
      </c>
      <c r="S47" s="19">
        <v>32.0</v>
      </c>
      <c r="T47" s="19">
        <v>46.0</v>
      </c>
      <c r="U47" s="19">
        <v>38.0</v>
      </c>
      <c r="V47" s="19">
        <v>32.0</v>
      </c>
      <c r="W47" s="19">
        <v>25.0</v>
      </c>
      <c r="X47" s="19">
        <v>12.0</v>
      </c>
      <c r="Y47" s="19">
        <v>21.0</v>
      </c>
      <c r="Z47" s="19">
        <v>24.0</v>
      </c>
      <c r="AA47" s="19">
        <v>65.0</v>
      </c>
      <c r="AB47" s="19">
        <v>68.0</v>
      </c>
      <c r="AC47" s="19">
        <v>40.0</v>
      </c>
      <c r="AD47" s="19">
        <v>14.0</v>
      </c>
      <c r="AE47" s="19">
        <v>17.0</v>
      </c>
      <c r="AF47" s="19">
        <v>23.0</v>
      </c>
      <c r="AG47" s="19">
        <v>12.0</v>
      </c>
      <c r="AH47" s="19">
        <v>16.0</v>
      </c>
      <c r="AI47" s="19">
        <v>18.0</v>
      </c>
      <c r="AJ47" s="19">
        <v>35.0</v>
      </c>
      <c r="AK47" s="19">
        <v>38.0</v>
      </c>
      <c r="AL47" s="19">
        <v>35.0</v>
      </c>
      <c r="AM47" s="19">
        <v>16.0</v>
      </c>
      <c r="AN47" s="19">
        <v>22.0</v>
      </c>
      <c r="AO47" s="19">
        <v>18.0</v>
      </c>
      <c r="AP47" s="19">
        <v>30.0</v>
      </c>
      <c r="AQ47" s="19">
        <v>26.0</v>
      </c>
      <c r="AR47" s="19">
        <v>13.0</v>
      </c>
      <c r="AS47" s="19">
        <v>18.0</v>
      </c>
      <c r="AT47" s="19">
        <v>17.0</v>
      </c>
      <c r="AU47" s="19">
        <v>20.0</v>
      </c>
      <c r="AV47" s="19">
        <v>12.0</v>
      </c>
      <c r="AW47" s="19">
        <v>16.0</v>
      </c>
      <c r="AX47" s="19">
        <v>10.0</v>
      </c>
      <c r="AY47" s="19">
        <v>9.0</v>
      </c>
      <c r="AZ47" s="19">
        <v>26.0</v>
      </c>
      <c r="BA47" s="19">
        <v>16.0</v>
      </c>
      <c r="BB47" s="19">
        <v>14.0</v>
      </c>
      <c r="BC47" s="19">
        <v>17.0</v>
      </c>
      <c r="BD47" s="19">
        <v>17.0</v>
      </c>
      <c r="BE47" s="13">
        <f t="shared" si="16"/>
        <v>1528</v>
      </c>
    </row>
    <row r="48" ht="12.75" customHeight="1"/>
    <row r="49" ht="12.75" customHeight="1">
      <c r="A49" s="44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3"/>
      <c r="O49" s="13"/>
      <c r="P49" s="13"/>
      <c r="Q49" s="13"/>
      <c r="R49" s="13"/>
      <c r="S49" s="63"/>
      <c r="T49" s="13"/>
      <c r="U49" s="13"/>
      <c r="V49" s="13"/>
      <c r="W49" s="13"/>
      <c r="X49" s="63"/>
      <c r="Y49" s="13"/>
      <c r="Z49" s="13"/>
      <c r="AA49" s="13"/>
      <c r="AB49" s="13"/>
      <c r="AC49" s="63"/>
      <c r="AD49" s="13"/>
      <c r="AE49" s="13"/>
      <c r="AF49" s="13"/>
      <c r="AG49" s="13"/>
      <c r="AH49" s="63"/>
      <c r="AI49" s="13"/>
      <c r="AJ49" s="13"/>
      <c r="AK49" s="13"/>
      <c r="AL49" s="13"/>
      <c r="AM49" s="63"/>
      <c r="AN49" s="13"/>
      <c r="AO49" s="13"/>
      <c r="AP49" s="13"/>
      <c r="AQ49" s="13"/>
      <c r="AR49" s="63"/>
      <c r="AS49" s="13"/>
      <c r="AT49" s="13"/>
      <c r="AU49" s="13"/>
      <c r="AV49" s="13"/>
      <c r="AW49" s="63"/>
      <c r="AX49" s="13"/>
      <c r="AY49" s="13"/>
      <c r="AZ49" s="13"/>
      <c r="BA49" s="13"/>
      <c r="BB49" s="63"/>
      <c r="BC49" s="13"/>
      <c r="BD49" s="13"/>
      <c r="BE49" s="13"/>
    </row>
    <row r="50" ht="12.75" customHeight="1">
      <c r="A50" s="44"/>
      <c r="B50" s="56" t="s">
        <v>41</v>
      </c>
      <c r="C50" s="57" t="s">
        <v>42</v>
      </c>
      <c r="D50" s="16"/>
      <c r="E50" s="19">
        <f t="shared" ref="E50:BD50" si="17">SUM(E45:E47)</f>
        <v>204</v>
      </c>
      <c r="F50" s="19">
        <f t="shared" si="17"/>
        <v>196</v>
      </c>
      <c r="G50" s="19">
        <f t="shared" si="17"/>
        <v>212</v>
      </c>
      <c r="H50" s="19">
        <f t="shared" si="17"/>
        <v>209</v>
      </c>
      <c r="I50" s="19">
        <f t="shared" si="17"/>
        <v>214</v>
      </c>
      <c r="J50" s="19">
        <f t="shared" si="17"/>
        <v>170</v>
      </c>
      <c r="K50" s="19">
        <f t="shared" si="17"/>
        <v>197</v>
      </c>
      <c r="L50" s="19">
        <f t="shared" si="17"/>
        <v>191</v>
      </c>
      <c r="M50" s="19">
        <f t="shared" si="17"/>
        <v>160</v>
      </c>
      <c r="N50" s="19">
        <f t="shared" si="17"/>
        <v>152</v>
      </c>
      <c r="O50" s="19">
        <f t="shared" si="17"/>
        <v>182</v>
      </c>
      <c r="P50" s="19">
        <f t="shared" si="17"/>
        <v>170</v>
      </c>
      <c r="Q50" s="19">
        <f t="shared" si="17"/>
        <v>222</v>
      </c>
      <c r="R50" s="19">
        <f t="shared" si="17"/>
        <v>204</v>
      </c>
      <c r="S50" s="19">
        <f t="shared" si="17"/>
        <v>192</v>
      </c>
      <c r="T50" s="19">
        <f t="shared" si="17"/>
        <v>191</v>
      </c>
      <c r="U50" s="19">
        <f t="shared" si="17"/>
        <v>172</v>
      </c>
      <c r="V50" s="19">
        <f t="shared" si="17"/>
        <v>196</v>
      </c>
      <c r="W50" s="19">
        <f t="shared" si="17"/>
        <v>166</v>
      </c>
      <c r="X50" s="19">
        <f t="shared" si="17"/>
        <v>171</v>
      </c>
      <c r="Y50" s="19">
        <f t="shared" si="17"/>
        <v>218</v>
      </c>
      <c r="Z50" s="19">
        <f t="shared" si="17"/>
        <v>205</v>
      </c>
      <c r="AA50" s="19">
        <f t="shared" si="17"/>
        <v>265</v>
      </c>
      <c r="AB50" s="19">
        <f t="shared" si="17"/>
        <v>240</v>
      </c>
      <c r="AC50" s="19">
        <f t="shared" si="17"/>
        <v>259</v>
      </c>
      <c r="AD50" s="19">
        <f t="shared" si="17"/>
        <v>266</v>
      </c>
      <c r="AE50" s="19">
        <f t="shared" si="17"/>
        <v>185</v>
      </c>
      <c r="AF50" s="19">
        <f t="shared" si="17"/>
        <v>230</v>
      </c>
      <c r="AG50" s="19">
        <f t="shared" si="17"/>
        <v>218</v>
      </c>
      <c r="AH50" s="19">
        <f t="shared" si="17"/>
        <v>249</v>
      </c>
      <c r="AI50" s="19">
        <f t="shared" si="17"/>
        <v>225</v>
      </c>
      <c r="AJ50" s="19">
        <f t="shared" si="17"/>
        <v>221</v>
      </c>
      <c r="AK50" s="19">
        <f t="shared" si="17"/>
        <v>201</v>
      </c>
      <c r="AL50" s="19">
        <f t="shared" si="17"/>
        <v>217</v>
      </c>
      <c r="AM50" s="19">
        <f t="shared" si="17"/>
        <v>193</v>
      </c>
      <c r="AN50" s="19">
        <f t="shared" si="17"/>
        <v>215</v>
      </c>
      <c r="AO50" s="19">
        <f t="shared" si="17"/>
        <v>217</v>
      </c>
      <c r="AP50" s="19">
        <f t="shared" si="17"/>
        <v>196</v>
      </c>
      <c r="AQ50" s="19">
        <f t="shared" si="17"/>
        <v>156</v>
      </c>
      <c r="AR50" s="19">
        <f t="shared" si="17"/>
        <v>218</v>
      </c>
      <c r="AS50" s="19">
        <f t="shared" si="17"/>
        <v>219</v>
      </c>
      <c r="AT50" s="19">
        <f t="shared" si="17"/>
        <v>200</v>
      </c>
      <c r="AU50" s="19">
        <f t="shared" si="17"/>
        <v>201</v>
      </c>
      <c r="AV50" s="19">
        <f t="shared" si="17"/>
        <v>225</v>
      </c>
      <c r="AW50" s="19">
        <f t="shared" si="17"/>
        <v>205</v>
      </c>
      <c r="AX50" s="19">
        <f t="shared" si="17"/>
        <v>198</v>
      </c>
      <c r="AY50" s="19">
        <f t="shared" si="17"/>
        <v>147</v>
      </c>
      <c r="AZ50" s="19">
        <f t="shared" si="17"/>
        <v>217</v>
      </c>
      <c r="BA50" s="19">
        <f t="shared" si="17"/>
        <v>191</v>
      </c>
      <c r="BB50" s="19">
        <f t="shared" si="17"/>
        <v>173</v>
      </c>
      <c r="BC50" s="19">
        <f t="shared" si="17"/>
        <v>191</v>
      </c>
      <c r="BD50" s="19">
        <f t="shared" si="17"/>
        <v>168</v>
      </c>
      <c r="BE50" s="13">
        <f t="shared" ref="BE50:BE52" si="18">SUM(E50:BD50)</f>
        <v>10500</v>
      </c>
    </row>
    <row r="51" ht="12.75" customHeight="1">
      <c r="A51" s="36"/>
      <c r="B51" s="56" t="s">
        <v>43</v>
      </c>
      <c r="C51" s="57" t="s">
        <v>44</v>
      </c>
      <c r="D51" s="16"/>
      <c r="E51" s="19">
        <v>3.0</v>
      </c>
      <c r="F51" s="19">
        <v>2.0</v>
      </c>
      <c r="G51" s="19">
        <v>4.0</v>
      </c>
      <c r="H51" s="19">
        <v>4.0</v>
      </c>
      <c r="I51" s="19">
        <v>5.0</v>
      </c>
      <c r="J51" s="19">
        <v>1.0</v>
      </c>
      <c r="K51" s="19">
        <v>3.0</v>
      </c>
      <c r="L51" s="19">
        <v>2.0</v>
      </c>
      <c r="M51" s="19">
        <v>0.0</v>
      </c>
      <c r="N51" s="19">
        <v>0.0</v>
      </c>
      <c r="O51" s="19">
        <v>3.0</v>
      </c>
      <c r="P51" s="19">
        <v>3.0</v>
      </c>
      <c r="Q51" s="19">
        <v>5.0</v>
      </c>
      <c r="R51" s="19">
        <v>6.0</v>
      </c>
      <c r="S51" s="19">
        <v>2.0</v>
      </c>
      <c r="T51" s="19">
        <v>7.0</v>
      </c>
      <c r="U51" s="19">
        <v>3.0</v>
      </c>
      <c r="V51" s="19">
        <v>10.0</v>
      </c>
      <c r="W51" s="19">
        <v>0.0</v>
      </c>
      <c r="X51" s="19">
        <v>2.0</v>
      </c>
      <c r="Y51" s="19">
        <v>3.0</v>
      </c>
      <c r="Z51" s="19">
        <v>15.0</v>
      </c>
      <c r="AA51" s="19">
        <v>3.0</v>
      </c>
      <c r="AB51" s="19">
        <v>10.0</v>
      </c>
      <c r="AC51" s="19">
        <v>10.0</v>
      </c>
      <c r="AD51" s="19">
        <v>10.0</v>
      </c>
      <c r="AE51" s="19">
        <v>5.0</v>
      </c>
      <c r="AF51" s="19">
        <v>6.0</v>
      </c>
      <c r="AG51" s="19">
        <v>5.0</v>
      </c>
      <c r="AH51" s="19">
        <v>4.0</v>
      </c>
      <c r="AI51" s="19">
        <v>3.0</v>
      </c>
      <c r="AJ51" s="19">
        <v>4.0</v>
      </c>
      <c r="AK51" s="19">
        <v>3.0</v>
      </c>
      <c r="AL51" s="19">
        <v>3.0</v>
      </c>
      <c r="AM51" s="19">
        <v>3.0</v>
      </c>
      <c r="AN51" s="19">
        <v>4.0</v>
      </c>
      <c r="AO51" s="19">
        <v>5.0</v>
      </c>
      <c r="AP51" s="19">
        <v>6.0</v>
      </c>
      <c r="AQ51" s="19">
        <v>7.0</v>
      </c>
      <c r="AR51" s="19">
        <v>3.0</v>
      </c>
      <c r="AS51" s="19">
        <v>0.0</v>
      </c>
      <c r="AT51" s="19">
        <v>5.0</v>
      </c>
      <c r="AU51" s="19">
        <v>4.0</v>
      </c>
      <c r="AV51" s="19">
        <v>4.0</v>
      </c>
      <c r="AW51" s="19">
        <v>6.0</v>
      </c>
      <c r="AX51" s="19">
        <v>3.0</v>
      </c>
      <c r="AY51" s="19">
        <v>4.0</v>
      </c>
      <c r="AZ51" s="19">
        <v>5.0</v>
      </c>
      <c r="BA51" s="19">
        <v>5.0</v>
      </c>
      <c r="BB51" s="19">
        <v>2.0</v>
      </c>
      <c r="BC51" s="19">
        <v>9.0</v>
      </c>
      <c r="BD51" s="19">
        <v>1.0</v>
      </c>
      <c r="BE51" s="13">
        <f t="shared" si="18"/>
        <v>225</v>
      </c>
    </row>
    <row r="52" ht="12.75" customHeight="1">
      <c r="A52" s="43"/>
      <c r="B52" s="56" t="s">
        <v>45</v>
      </c>
      <c r="C52" s="57" t="s">
        <v>46</v>
      </c>
      <c r="D52" s="16"/>
      <c r="E52" s="13">
        <f t="shared" ref="E52:BD52" si="19">SUM(E50:E51)</f>
        <v>207</v>
      </c>
      <c r="F52" s="13">
        <f t="shared" si="19"/>
        <v>198</v>
      </c>
      <c r="G52" s="13">
        <f t="shared" si="19"/>
        <v>216</v>
      </c>
      <c r="H52" s="13">
        <f t="shared" si="19"/>
        <v>213</v>
      </c>
      <c r="I52" s="13">
        <f t="shared" si="19"/>
        <v>219</v>
      </c>
      <c r="J52" s="13">
        <f t="shared" si="19"/>
        <v>171</v>
      </c>
      <c r="K52" s="13">
        <f t="shared" si="19"/>
        <v>200</v>
      </c>
      <c r="L52" s="13">
        <f t="shared" si="19"/>
        <v>193</v>
      </c>
      <c r="M52" s="13">
        <f t="shared" si="19"/>
        <v>160</v>
      </c>
      <c r="N52" s="13">
        <f t="shared" si="19"/>
        <v>152</v>
      </c>
      <c r="O52" s="13">
        <f t="shared" si="19"/>
        <v>185</v>
      </c>
      <c r="P52" s="13">
        <f t="shared" si="19"/>
        <v>173</v>
      </c>
      <c r="Q52" s="13">
        <f t="shared" si="19"/>
        <v>227</v>
      </c>
      <c r="R52" s="13">
        <f t="shared" si="19"/>
        <v>210</v>
      </c>
      <c r="S52" s="13">
        <f t="shared" si="19"/>
        <v>194</v>
      </c>
      <c r="T52" s="13">
        <f t="shared" si="19"/>
        <v>198</v>
      </c>
      <c r="U52" s="13">
        <f t="shared" si="19"/>
        <v>175</v>
      </c>
      <c r="V52" s="13">
        <f t="shared" si="19"/>
        <v>206</v>
      </c>
      <c r="W52" s="13">
        <f t="shared" si="19"/>
        <v>166</v>
      </c>
      <c r="X52" s="13">
        <f t="shared" si="19"/>
        <v>173</v>
      </c>
      <c r="Y52" s="13">
        <f t="shared" si="19"/>
        <v>221</v>
      </c>
      <c r="Z52" s="13">
        <f t="shared" si="19"/>
        <v>220</v>
      </c>
      <c r="AA52" s="13">
        <f t="shared" si="19"/>
        <v>268</v>
      </c>
      <c r="AB52" s="13">
        <f t="shared" si="19"/>
        <v>250</v>
      </c>
      <c r="AC52" s="13">
        <f t="shared" si="19"/>
        <v>269</v>
      </c>
      <c r="AD52" s="13">
        <f t="shared" si="19"/>
        <v>276</v>
      </c>
      <c r="AE52" s="13">
        <f t="shared" si="19"/>
        <v>190</v>
      </c>
      <c r="AF52" s="13">
        <f t="shared" si="19"/>
        <v>236</v>
      </c>
      <c r="AG52" s="13">
        <f t="shared" si="19"/>
        <v>223</v>
      </c>
      <c r="AH52" s="13">
        <f t="shared" si="19"/>
        <v>253</v>
      </c>
      <c r="AI52" s="13">
        <f t="shared" si="19"/>
        <v>228</v>
      </c>
      <c r="AJ52" s="13">
        <f t="shared" si="19"/>
        <v>225</v>
      </c>
      <c r="AK52" s="13">
        <f t="shared" si="19"/>
        <v>204</v>
      </c>
      <c r="AL52" s="13">
        <f t="shared" si="19"/>
        <v>220</v>
      </c>
      <c r="AM52" s="13">
        <f t="shared" si="19"/>
        <v>196</v>
      </c>
      <c r="AN52" s="13">
        <f t="shared" si="19"/>
        <v>219</v>
      </c>
      <c r="AO52" s="13">
        <f t="shared" si="19"/>
        <v>222</v>
      </c>
      <c r="AP52" s="13">
        <f t="shared" si="19"/>
        <v>202</v>
      </c>
      <c r="AQ52" s="13">
        <f t="shared" si="19"/>
        <v>163</v>
      </c>
      <c r="AR52" s="13">
        <f t="shared" si="19"/>
        <v>221</v>
      </c>
      <c r="AS52" s="13">
        <f t="shared" si="19"/>
        <v>219</v>
      </c>
      <c r="AT52" s="13">
        <f t="shared" si="19"/>
        <v>205</v>
      </c>
      <c r="AU52" s="13">
        <f t="shared" si="19"/>
        <v>205</v>
      </c>
      <c r="AV52" s="13">
        <f t="shared" si="19"/>
        <v>229</v>
      </c>
      <c r="AW52" s="13">
        <f t="shared" si="19"/>
        <v>211</v>
      </c>
      <c r="AX52" s="13">
        <f t="shared" si="19"/>
        <v>201</v>
      </c>
      <c r="AY52" s="13">
        <f t="shared" si="19"/>
        <v>151</v>
      </c>
      <c r="AZ52" s="13">
        <f t="shared" si="19"/>
        <v>222</v>
      </c>
      <c r="BA52" s="13">
        <f t="shared" si="19"/>
        <v>196</v>
      </c>
      <c r="BB52" s="13">
        <f t="shared" si="19"/>
        <v>175</v>
      </c>
      <c r="BC52" s="13">
        <f t="shared" si="19"/>
        <v>200</v>
      </c>
      <c r="BD52" s="13">
        <f t="shared" si="19"/>
        <v>169</v>
      </c>
      <c r="BE52" s="13">
        <f t="shared" si="18"/>
        <v>10725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BE12:BE13"/>
    <mergeCell ref="B13:D13"/>
    <mergeCell ref="B14:C16"/>
    <mergeCell ref="A17:D17"/>
    <mergeCell ref="B18:D18"/>
    <mergeCell ref="E12:BD12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BD15 E45:BD47">
    <cfRule type="containsBlanks" dxfId="1" priority="1">
      <formula>LEN(TRIM(E14))=0</formula>
    </cfRule>
  </conditionalFormatting>
  <conditionalFormatting sqref="E19:BD20">
    <cfRule type="containsBlanks" dxfId="1" priority="2">
      <formula>LEN(TRIM(E19))=0</formula>
    </cfRule>
  </conditionalFormatting>
  <conditionalFormatting sqref="E22:BD23 E25:BD26 E33:BD33 E35:BD35 E39:BD40">
    <cfRule type="containsBlanks" dxfId="1" priority="3">
      <formula>LEN(TRIM(E22))=0</formula>
    </cfRule>
  </conditionalFormatting>
  <conditionalFormatting sqref="E30:BD30">
    <cfRule type="expression" dxfId="0" priority="4">
      <formula>E30&lt;&gt;E46</formula>
    </cfRule>
  </conditionalFormatting>
  <conditionalFormatting sqref="E30:BD30">
    <cfRule type="expression" dxfId="0" priority="5">
      <formula>E30&lt;&gt;E34</formula>
    </cfRule>
  </conditionalFormatting>
  <conditionalFormatting sqref="E34:BD34">
    <cfRule type="expression" dxfId="2" priority="6">
      <formula>E30&lt;&gt;E34</formula>
    </cfRule>
  </conditionalFormatting>
  <conditionalFormatting sqref="E34:BD34">
    <cfRule type="expression" dxfId="3" priority="7">
      <formula>E30=E34</formula>
    </cfRule>
  </conditionalFormatting>
  <conditionalFormatting sqref="E34:BD34">
    <cfRule type="expression" dxfId="0" priority="8">
      <formula>E34&lt;&gt;E30</formula>
    </cfRule>
  </conditionalFormatting>
  <conditionalFormatting sqref="E34:BD34">
    <cfRule type="expression" dxfId="0" priority="9">
      <formula>E34&lt;&gt;#REF!</formula>
    </cfRule>
  </conditionalFormatting>
  <conditionalFormatting sqref="E50:BD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</row>
    <row r="12" ht="12.75" customHeight="1">
      <c r="A12" s="13" t="s">
        <v>5</v>
      </c>
      <c r="B12" s="14" t="s">
        <v>6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60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37"/>
    </row>
    <row r="14" ht="12.75" customHeight="1">
      <c r="A14" s="18"/>
      <c r="B14" s="22" t="s">
        <v>10</v>
      </c>
      <c r="C14" s="23"/>
      <c r="D14" s="19" t="s">
        <v>11</v>
      </c>
      <c r="E14" s="19">
        <v>130.0</v>
      </c>
      <c r="F14" s="19">
        <v>128.0</v>
      </c>
      <c r="G14" s="19">
        <v>120.0</v>
      </c>
      <c r="H14" s="19">
        <v>102.0</v>
      </c>
      <c r="I14" s="19">
        <v>109.0</v>
      </c>
      <c r="J14" s="19">
        <v>127.0</v>
      </c>
      <c r="K14" s="19">
        <v>138.0</v>
      </c>
      <c r="L14" s="19">
        <v>139.0</v>
      </c>
      <c r="M14" s="19">
        <v>142.0</v>
      </c>
      <c r="N14" s="19">
        <v>146.0</v>
      </c>
      <c r="O14" s="19">
        <v>142.0</v>
      </c>
      <c r="P14" s="19">
        <v>137.0</v>
      </c>
      <c r="Q14" s="19">
        <v>129.0</v>
      </c>
      <c r="R14" s="13">
        <f t="shared" ref="R14:R16" si="1">SUM(E14:Q14)</f>
        <v>1689</v>
      </c>
    </row>
    <row r="15" ht="12.75" customHeight="1">
      <c r="A15" s="18"/>
      <c r="B15" s="26"/>
      <c r="C15" s="27"/>
      <c r="D15" s="19" t="s">
        <v>12</v>
      </c>
      <c r="E15" s="19">
        <v>119.0</v>
      </c>
      <c r="F15" s="19">
        <v>135.0</v>
      </c>
      <c r="G15" s="19">
        <v>117.0</v>
      </c>
      <c r="H15" s="19">
        <v>111.0</v>
      </c>
      <c r="I15" s="19">
        <v>109.0</v>
      </c>
      <c r="J15" s="19">
        <v>121.0</v>
      </c>
      <c r="K15" s="19">
        <v>137.0</v>
      </c>
      <c r="L15" s="19">
        <v>143.0</v>
      </c>
      <c r="M15" s="19">
        <v>146.0</v>
      </c>
      <c r="N15" s="19">
        <v>140.0</v>
      </c>
      <c r="O15" s="19">
        <v>144.0</v>
      </c>
      <c r="P15" s="19">
        <v>138.0</v>
      </c>
      <c r="Q15" s="19">
        <v>147.0</v>
      </c>
      <c r="R15" s="13">
        <f t="shared" si="1"/>
        <v>1707</v>
      </c>
    </row>
    <row r="16" ht="12.75" customHeight="1">
      <c r="A16" s="25"/>
      <c r="B16" s="21"/>
      <c r="C16" s="28"/>
      <c r="D16" s="13" t="s">
        <v>13</v>
      </c>
      <c r="E16" s="13">
        <f t="shared" ref="E16:Q16" si="2">SUM(E14:E15)</f>
        <v>249</v>
      </c>
      <c r="F16" s="13">
        <f t="shared" si="2"/>
        <v>263</v>
      </c>
      <c r="G16" s="13">
        <f t="shared" si="2"/>
        <v>237</v>
      </c>
      <c r="H16" s="13">
        <f t="shared" si="2"/>
        <v>213</v>
      </c>
      <c r="I16" s="13">
        <f t="shared" si="2"/>
        <v>218</v>
      </c>
      <c r="J16" s="13">
        <f t="shared" si="2"/>
        <v>248</v>
      </c>
      <c r="K16" s="13">
        <f t="shared" si="2"/>
        <v>275</v>
      </c>
      <c r="L16" s="13">
        <f t="shared" si="2"/>
        <v>282</v>
      </c>
      <c r="M16" s="13">
        <f t="shared" si="2"/>
        <v>288</v>
      </c>
      <c r="N16" s="13">
        <f t="shared" si="2"/>
        <v>286</v>
      </c>
      <c r="O16" s="13">
        <f t="shared" si="2"/>
        <v>286</v>
      </c>
      <c r="P16" s="13">
        <f t="shared" si="2"/>
        <v>275</v>
      </c>
      <c r="Q16" s="13">
        <f t="shared" si="2"/>
        <v>276</v>
      </c>
      <c r="R16" s="13">
        <f t="shared" si="1"/>
        <v>3396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62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62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19">
        <v>97.0</v>
      </c>
      <c r="F19" s="19">
        <v>88.0</v>
      </c>
      <c r="G19" s="19">
        <v>92.0</v>
      </c>
      <c r="H19" s="19">
        <v>76.0</v>
      </c>
      <c r="I19" s="19">
        <v>87.0</v>
      </c>
      <c r="J19" s="19">
        <v>104.0</v>
      </c>
      <c r="K19" s="19">
        <v>114.0</v>
      </c>
      <c r="L19" s="19">
        <v>109.0</v>
      </c>
      <c r="M19" s="19">
        <v>118.0</v>
      </c>
      <c r="N19" s="19">
        <v>102.0</v>
      </c>
      <c r="O19" s="19">
        <v>110.0</v>
      </c>
      <c r="P19" s="19">
        <v>103.0</v>
      </c>
      <c r="Q19" s="19">
        <v>113.0</v>
      </c>
      <c r="R19" s="13">
        <f t="shared" ref="R19:R30" si="3">SUM(E19:Q19)</f>
        <v>1313</v>
      </c>
    </row>
    <row r="20" ht="12.75" customHeight="1">
      <c r="A20" s="34"/>
      <c r="B20" s="27"/>
      <c r="C20" s="35"/>
      <c r="D20" s="19" t="s">
        <v>12</v>
      </c>
      <c r="E20" s="19">
        <v>102.0</v>
      </c>
      <c r="F20" s="19">
        <v>111.0</v>
      </c>
      <c r="G20" s="19">
        <v>102.0</v>
      </c>
      <c r="H20" s="19">
        <v>88.0</v>
      </c>
      <c r="I20" s="19">
        <v>88.0</v>
      </c>
      <c r="J20" s="19">
        <v>93.0</v>
      </c>
      <c r="K20" s="19">
        <v>109.0</v>
      </c>
      <c r="L20" s="19">
        <v>120.0</v>
      </c>
      <c r="M20" s="19">
        <v>132.0</v>
      </c>
      <c r="N20" s="19">
        <v>120.0</v>
      </c>
      <c r="O20" s="19">
        <v>121.0</v>
      </c>
      <c r="P20" s="19">
        <v>115.0</v>
      </c>
      <c r="Q20" s="19">
        <v>129.0</v>
      </c>
      <c r="R20" s="13">
        <f t="shared" si="3"/>
        <v>1430</v>
      </c>
    </row>
    <row r="21" ht="12.75" customHeight="1">
      <c r="A21" s="36"/>
      <c r="B21" s="28"/>
      <c r="C21" s="37"/>
      <c r="D21" s="13" t="s">
        <v>13</v>
      </c>
      <c r="E21" s="13">
        <f t="shared" ref="E21:Q21" si="4">SUM(E19:E20)</f>
        <v>199</v>
      </c>
      <c r="F21" s="13">
        <f t="shared" si="4"/>
        <v>199</v>
      </c>
      <c r="G21" s="13">
        <f t="shared" si="4"/>
        <v>194</v>
      </c>
      <c r="H21" s="13">
        <f t="shared" si="4"/>
        <v>164</v>
      </c>
      <c r="I21" s="13">
        <f t="shared" si="4"/>
        <v>175</v>
      </c>
      <c r="J21" s="13">
        <f t="shared" si="4"/>
        <v>197</v>
      </c>
      <c r="K21" s="13">
        <f t="shared" si="4"/>
        <v>223</v>
      </c>
      <c r="L21" s="13">
        <f t="shared" si="4"/>
        <v>229</v>
      </c>
      <c r="M21" s="13">
        <f t="shared" si="4"/>
        <v>250</v>
      </c>
      <c r="N21" s="13">
        <f t="shared" si="4"/>
        <v>222</v>
      </c>
      <c r="O21" s="13">
        <f t="shared" si="4"/>
        <v>231</v>
      </c>
      <c r="P21" s="13">
        <f t="shared" si="4"/>
        <v>218</v>
      </c>
      <c r="Q21" s="13">
        <f t="shared" si="4"/>
        <v>242</v>
      </c>
      <c r="R21" s="13">
        <f t="shared" si="3"/>
        <v>2743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19">
        <v>0.0</v>
      </c>
      <c r="F22" s="19">
        <v>1.0</v>
      </c>
      <c r="G22" s="19">
        <v>0.0</v>
      </c>
      <c r="H22" s="19">
        <v>1.0</v>
      </c>
      <c r="I22" s="19">
        <v>0.0</v>
      </c>
      <c r="J22" s="19">
        <v>1.0</v>
      </c>
      <c r="K22" s="19">
        <v>0.0</v>
      </c>
      <c r="L22" s="19">
        <v>1.0</v>
      </c>
      <c r="M22" s="19">
        <v>1.0</v>
      </c>
      <c r="N22" s="19">
        <v>1.0</v>
      </c>
      <c r="O22" s="19">
        <v>1.0</v>
      </c>
      <c r="P22" s="19">
        <v>0.0</v>
      </c>
      <c r="Q22" s="19">
        <v>1.0</v>
      </c>
      <c r="R22" s="13">
        <f t="shared" si="3"/>
        <v>8</v>
      </c>
    </row>
    <row r="23" ht="12.75" customHeight="1">
      <c r="A23" s="34"/>
      <c r="B23" s="27"/>
      <c r="C23" s="35"/>
      <c r="D23" s="19" t="s">
        <v>12</v>
      </c>
      <c r="E23" s="19">
        <v>0.0</v>
      </c>
      <c r="F23" s="19">
        <v>0.0</v>
      </c>
      <c r="G23" s="19">
        <v>1.0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3">
        <f t="shared" si="3"/>
        <v>2</v>
      </c>
    </row>
    <row r="24" ht="12.75" customHeight="1">
      <c r="A24" s="36"/>
      <c r="B24" s="28"/>
      <c r="C24" s="37"/>
      <c r="D24" s="13" t="s">
        <v>13</v>
      </c>
      <c r="E24" s="13">
        <f t="shared" ref="E24:H24" si="5">SUM(E22:E23)</f>
        <v>0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v>1.0</v>
      </c>
      <c r="J24" s="13">
        <f t="shared" ref="J24:Q24" si="6">SUM(J22:J23)</f>
        <v>1</v>
      </c>
      <c r="K24" s="13">
        <f t="shared" si="6"/>
        <v>0</v>
      </c>
      <c r="L24" s="13">
        <f t="shared" si="6"/>
        <v>1</v>
      </c>
      <c r="M24" s="13">
        <f t="shared" si="6"/>
        <v>1</v>
      </c>
      <c r="N24" s="13">
        <f t="shared" si="6"/>
        <v>1</v>
      </c>
      <c r="O24" s="13">
        <f t="shared" si="6"/>
        <v>1</v>
      </c>
      <c r="P24" s="13">
        <f t="shared" si="6"/>
        <v>0</v>
      </c>
      <c r="Q24" s="13">
        <f t="shared" si="6"/>
        <v>1</v>
      </c>
      <c r="R24" s="13">
        <f t="shared" si="3"/>
        <v>10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19">
        <v>0.0</v>
      </c>
      <c r="F25" s="19">
        <v>1.0</v>
      </c>
      <c r="G25" s="19">
        <v>1.0</v>
      </c>
      <c r="H25" s="19">
        <v>0.0</v>
      </c>
      <c r="I25" s="19">
        <v>0.0</v>
      </c>
      <c r="J25" s="19">
        <v>1.0</v>
      </c>
      <c r="K25" s="19">
        <v>2.0</v>
      </c>
      <c r="L25" s="19">
        <v>3.0</v>
      </c>
      <c r="M25" s="19">
        <v>0.0</v>
      </c>
      <c r="N25" s="19">
        <v>1.0</v>
      </c>
      <c r="O25" s="19">
        <v>2.0</v>
      </c>
      <c r="P25" s="19">
        <v>1.0</v>
      </c>
      <c r="Q25" s="19">
        <v>3.0</v>
      </c>
      <c r="R25" s="13">
        <f t="shared" si="3"/>
        <v>15</v>
      </c>
    </row>
    <row r="26" ht="12.75" customHeight="1">
      <c r="A26" s="34"/>
      <c r="B26" s="27"/>
      <c r="C26" s="35"/>
      <c r="D26" s="19" t="s">
        <v>12</v>
      </c>
      <c r="E26" s="19">
        <v>2.0</v>
      </c>
      <c r="F26" s="19">
        <v>1.0</v>
      </c>
      <c r="G26" s="19">
        <v>4.0</v>
      </c>
      <c r="H26" s="19">
        <v>1.0</v>
      </c>
      <c r="I26" s="19">
        <v>1.0</v>
      </c>
      <c r="J26" s="19">
        <v>3.0</v>
      </c>
      <c r="K26" s="19">
        <v>4.0</v>
      </c>
      <c r="L26" s="19">
        <v>2.0</v>
      </c>
      <c r="M26" s="19">
        <v>1.0</v>
      </c>
      <c r="N26" s="19">
        <v>0.0</v>
      </c>
      <c r="O26" s="19">
        <v>1.0</v>
      </c>
      <c r="P26" s="19">
        <v>4.0</v>
      </c>
      <c r="Q26" s="19">
        <v>1.0</v>
      </c>
      <c r="R26" s="13">
        <f t="shared" si="3"/>
        <v>25</v>
      </c>
    </row>
    <row r="27" ht="12.75" customHeight="1">
      <c r="A27" s="36"/>
      <c r="B27" s="28"/>
      <c r="C27" s="37"/>
      <c r="D27" s="13" t="s">
        <v>13</v>
      </c>
      <c r="E27" s="13">
        <f t="shared" ref="E27:Q27" si="7">SUM(E25:E26)</f>
        <v>2</v>
      </c>
      <c r="F27" s="13">
        <f t="shared" si="7"/>
        <v>2</v>
      </c>
      <c r="G27" s="13">
        <f t="shared" si="7"/>
        <v>5</v>
      </c>
      <c r="H27" s="13">
        <f t="shared" si="7"/>
        <v>1</v>
      </c>
      <c r="I27" s="13">
        <f t="shared" si="7"/>
        <v>1</v>
      </c>
      <c r="J27" s="13">
        <f t="shared" si="7"/>
        <v>4</v>
      </c>
      <c r="K27" s="13">
        <f t="shared" si="7"/>
        <v>6</v>
      </c>
      <c r="L27" s="13">
        <f t="shared" si="7"/>
        <v>5</v>
      </c>
      <c r="M27" s="13">
        <f t="shared" si="7"/>
        <v>1</v>
      </c>
      <c r="N27" s="13">
        <f t="shared" si="7"/>
        <v>1</v>
      </c>
      <c r="O27" s="13">
        <f t="shared" si="7"/>
        <v>3</v>
      </c>
      <c r="P27" s="13">
        <f t="shared" si="7"/>
        <v>5</v>
      </c>
      <c r="Q27" s="13">
        <f t="shared" si="7"/>
        <v>4</v>
      </c>
      <c r="R27" s="13">
        <f t="shared" si="3"/>
        <v>40</v>
      </c>
    </row>
    <row r="28" ht="12.75" customHeight="1">
      <c r="A28" s="36"/>
      <c r="B28" s="39" t="s">
        <v>22</v>
      </c>
      <c r="C28" s="40" t="s">
        <v>23</v>
      </c>
      <c r="D28" s="13" t="s">
        <v>11</v>
      </c>
      <c r="E28" s="13">
        <f t="shared" ref="E28:Q28" si="8">SUM(E19,E22,E25)</f>
        <v>97</v>
      </c>
      <c r="F28" s="13">
        <f t="shared" si="8"/>
        <v>90</v>
      </c>
      <c r="G28" s="13">
        <f t="shared" si="8"/>
        <v>93</v>
      </c>
      <c r="H28" s="13">
        <f t="shared" si="8"/>
        <v>77</v>
      </c>
      <c r="I28" s="13">
        <f t="shared" si="8"/>
        <v>87</v>
      </c>
      <c r="J28" s="13">
        <f t="shared" si="8"/>
        <v>106</v>
      </c>
      <c r="K28" s="13">
        <f t="shared" si="8"/>
        <v>116</v>
      </c>
      <c r="L28" s="13">
        <f t="shared" si="8"/>
        <v>113</v>
      </c>
      <c r="M28" s="13">
        <f t="shared" si="8"/>
        <v>119</v>
      </c>
      <c r="N28" s="13">
        <f t="shared" si="8"/>
        <v>104</v>
      </c>
      <c r="O28" s="13">
        <f t="shared" si="8"/>
        <v>113</v>
      </c>
      <c r="P28" s="13">
        <f t="shared" si="8"/>
        <v>104</v>
      </c>
      <c r="Q28" s="13">
        <f t="shared" si="8"/>
        <v>117</v>
      </c>
      <c r="R28" s="13">
        <f t="shared" si="3"/>
        <v>1336</v>
      </c>
    </row>
    <row r="29" ht="12.75" customHeight="1">
      <c r="A29" s="36"/>
      <c r="B29" s="27"/>
      <c r="C29" s="35"/>
      <c r="D29" s="13" t="s">
        <v>12</v>
      </c>
      <c r="E29" s="13">
        <f t="shared" ref="E29:Q29" si="9">SUM(E20,E23,E26)</f>
        <v>104</v>
      </c>
      <c r="F29" s="13">
        <f t="shared" si="9"/>
        <v>112</v>
      </c>
      <c r="G29" s="13">
        <f t="shared" si="9"/>
        <v>107</v>
      </c>
      <c r="H29" s="13">
        <f t="shared" si="9"/>
        <v>89</v>
      </c>
      <c r="I29" s="13">
        <f t="shared" si="9"/>
        <v>90</v>
      </c>
      <c r="J29" s="13">
        <f t="shared" si="9"/>
        <v>96</v>
      </c>
      <c r="K29" s="13">
        <f t="shared" si="9"/>
        <v>113</v>
      </c>
      <c r="L29" s="13">
        <f t="shared" si="9"/>
        <v>122</v>
      </c>
      <c r="M29" s="13">
        <f t="shared" si="9"/>
        <v>133</v>
      </c>
      <c r="N29" s="13">
        <f t="shared" si="9"/>
        <v>120</v>
      </c>
      <c r="O29" s="13">
        <f t="shared" si="9"/>
        <v>122</v>
      </c>
      <c r="P29" s="13">
        <f t="shared" si="9"/>
        <v>119</v>
      </c>
      <c r="Q29" s="13">
        <f t="shared" si="9"/>
        <v>130</v>
      </c>
      <c r="R29" s="13">
        <f t="shared" si="3"/>
        <v>1457</v>
      </c>
    </row>
    <row r="30" ht="12.75" customHeight="1">
      <c r="A30" s="36"/>
      <c r="B30" s="28"/>
      <c r="C30" s="37"/>
      <c r="D30" s="13" t="s">
        <v>13</v>
      </c>
      <c r="E30" s="13">
        <f t="shared" ref="E30:Q30" si="10">SUM(E28:E29)</f>
        <v>201</v>
      </c>
      <c r="F30" s="13">
        <f t="shared" si="10"/>
        <v>202</v>
      </c>
      <c r="G30" s="13">
        <f t="shared" si="10"/>
        <v>200</v>
      </c>
      <c r="H30" s="13">
        <f t="shared" si="10"/>
        <v>166</v>
      </c>
      <c r="I30" s="13">
        <f t="shared" si="10"/>
        <v>177</v>
      </c>
      <c r="J30" s="13">
        <f t="shared" si="10"/>
        <v>202</v>
      </c>
      <c r="K30" s="13">
        <f t="shared" si="10"/>
        <v>229</v>
      </c>
      <c r="L30" s="13">
        <f t="shared" si="10"/>
        <v>235</v>
      </c>
      <c r="M30" s="13">
        <f t="shared" si="10"/>
        <v>252</v>
      </c>
      <c r="N30" s="13">
        <f t="shared" si="10"/>
        <v>224</v>
      </c>
      <c r="O30" s="13">
        <f t="shared" si="10"/>
        <v>235</v>
      </c>
      <c r="P30" s="13">
        <f t="shared" si="10"/>
        <v>223</v>
      </c>
      <c r="Q30" s="13">
        <f t="shared" si="10"/>
        <v>247</v>
      </c>
      <c r="R30" s="13">
        <f t="shared" si="3"/>
        <v>2793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62"/>
    </row>
    <row r="32" ht="12.75" customHeight="1">
      <c r="A32" s="43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3"/>
      <c r="O32" s="13"/>
      <c r="P32" s="13"/>
      <c r="Q32" s="13"/>
      <c r="R32" s="62"/>
    </row>
    <row r="33" ht="12.75" customHeight="1">
      <c r="A33" s="19">
        <v>1.0</v>
      </c>
      <c r="B33" s="20" t="s">
        <v>26</v>
      </c>
      <c r="C33" s="15"/>
      <c r="D33" s="16"/>
      <c r="E33" s="19">
        <v>255.0</v>
      </c>
      <c r="F33" s="19">
        <v>269.0</v>
      </c>
      <c r="G33" s="19">
        <v>242.0</v>
      </c>
      <c r="H33" s="19">
        <v>218.0</v>
      </c>
      <c r="I33" s="19">
        <v>223.0</v>
      </c>
      <c r="J33" s="19">
        <v>254.0</v>
      </c>
      <c r="K33" s="19">
        <v>281.0</v>
      </c>
      <c r="L33" s="19">
        <v>293.0</v>
      </c>
      <c r="M33" s="19">
        <v>294.0</v>
      </c>
      <c r="N33" s="19">
        <v>293.0</v>
      </c>
      <c r="O33" s="19">
        <v>292.0</v>
      </c>
      <c r="P33" s="19">
        <v>282.0</v>
      </c>
      <c r="Q33" s="19">
        <v>282.0</v>
      </c>
      <c r="R33" s="13">
        <f t="shared" ref="R33:R36" si="11">SUM(E33:Q33)</f>
        <v>3478</v>
      </c>
    </row>
    <row r="34" ht="12.75" customHeight="1">
      <c r="A34" s="19">
        <v>2.0</v>
      </c>
      <c r="B34" s="20" t="s">
        <v>27</v>
      </c>
      <c r="C34" s="15"/>
      <c r="D34" s="16"/>
      <c r="E34" s="13">
        <v>201.0</v>
      </c>
      <c r="F34" s="13">
        <v>202.0</v>
      </c>
      <c r="G34" s="13">
        <v>200.0</v>
      </c>
      <c r="H34" s="13">
        <v>166.0</v>
      </c>
      <c r="I34" s="13">
        <v>177.0</v>
      </c>
      <c r="J34" s="13">
        <v>202.0</v>
      </c>
      <c r="K34" s="13">
        <v>229.0</v>
      </c>
      <c r="L34" s="13">
        <v>235.0</v>
      </c>
      <c r="M34" s="13">
        <v>252.0</v>
      </c>
      <c r="N34" s="13">
        <v>224.0</v>
      </c>
      <c r="O34" s="13">
        <v>235.0</v>
      </c>
      <c r="P34" s="13">
        <v>223.0</v>
      </c>
      <c r="Q34" s="13">
        <v>247.0</v>
      </c>
      <c r="R34" s="13">
        <f t="shared" si="11"/>
        <v>2793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2.0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1.0</v>
      </c>
      <c r="Q35" s="19">
        <v>3.0</v>
      </c>
      <c r="R35" s="13">
        <f t="shared" si="11"/>
        <v>7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Q36" si="12">E33-(E34+E35)</f>
        <v>54</v>
      </c>
      <c r="F36" s="13">
        <f t="shared" si="12"/>
        <v>67</v>
      </c>
      <c r="G36" s="13">
        <f t="shared" si="12"/>
        <v>42</v>
      </c>
      <c r="H36" s="13">
        <f t="shared" si="12"/>
        <v>50</v>
      </c>
      <c r="I36" s="13">
        <f t="shared" si="12"/>
        <v>46</v>
      </c>
      <c r="J36" s="13">
        <f t="shared" si="12"/>
        <v>52</v>
      </c>
      <c r="K36" s="13">
        <f t="shared" si="12"/>
        <v>52</v>
      </c>
      <c r="L36" s="13">
        <f t="shared" si="12"/>
        <v>58</v>
      </c>
      <c r="M36" s="13">
        <f t="shared" si="12"/>
        <v>42</v>
      </c>
      <c r="N36" s="13">
        <f t="shared" si="12"/>
        <v>68</v>
      </c>
      <c r="O36" s="13">
        <f t="shared" si="12"/>
        <v>57</v>
      </c>
      <c r="P36" s="13">
        <f t="shared" si="12"/>
        <v>58</v>
      </c>
      <c r="Q36" s="13">
        <f t="shared" si="12"/>
        <v>32</v>
      </c>
      <c r="R36" s="13">
        <f t="shared" si="11"/>
        <v>678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62"/>
    </row>
    <row r="38" ht="12.75" customHeight="1">
      <c r="A38" s="44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3"/>
      <c r="O38" s="13"/>
      <c r="P38" s="13"/>
      <c r="Q38" s="13"/>
      <c r="R38" s="62"/>
    </row>
    <row r="39" ht="12.75" customHeight="1">
      <c r="A39" s="31"/>
      <c r="B39" s="45" t="s">
        <v>32</v>
      </c>
      <c r="C39" s="23"/>
      <c r="D39" s="19" t="s">
        <v>11</v>
      </c>
      <c r="E39" s="19">
        <v>0.0</v>
      </c>
      <c r="F39" s="19">
        <v>2.0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2.0</v>
      </c>
      <c r="R39" s="13">
        <f t="shared" ref="R39:R41" si="13">SUM(E39:Q39)</f>
        <v>5</v>
      </c>
    </row>
    <row r="40" ht="12.75" customHeight="1">
      <c r="A40" s="34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3.0</v>
      </c>
      <c r="R40" s="13">
        <f t="shared" si="13"/>
        <v>3</v>
      </c>
    </row>
    <row r="41" ht="12.75" customHeight="1">
      <c r="A41" s="43"/>
      <c r="B41" s="46"/>
      <c r="C41" s="28"/>
      <c r="D41" s="13" t="s">
        <v>13</v>
      </c>
      <c r="E41" s="13">
        <f t="shared" ref="E41:Q41" si="14">SUM(E39:E40)</f>
        <v>0</v>
      </c>
      <c r="F41" s="13">
        <f t="shared" si="14"/>
        <v>2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1</v>
      </c>
      <c r="L41" s="13">
        <f t="shared" si="14"/>
        <v>0</v>
      </c>
      <c r="M41" s="13">
        <f t="shared" si="14"/>
        <v>0</v>
      </c>
      <c r="N41" s="13">
        <f t="shared" si="14"/>
        <v>0</v>
      </c>
      <c r="O41" s="13">
        <f t="shared" si="14"/>
        <v>0</v>
      </c>
      <c r="P41" s="13">
        <f t="shared" si="14"/>
        <v>0</v>
      </c>
      <c r="Q41" s="13">
        <f t="shared" si="14"/>
        <v>5</v>
      </c>
      <c r="R41" s="13">
        <f t="shared" si="13"/>
        <v>8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3"/>
    </row>
    <row r="43" ht="12.75" customHeight="1">
      <c r="A43" s="44" t="s">
        <v>33</v>
      </c>
      <c r="B43" s="14" t="s">
        <v>34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3"/>
      <c r="O43" s="13"/>
      <c r="P43" s="13"/>
      <c r="Q43" s="13"/>
      <c r="R43" s="13"/>
    </row>
    <row r="44" ht="12.75" customHeight="1">
      <c r="A44" s="45" t="s">
        <v>35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3"/>
    </row>
    <row r="45" ht="12.75" customHeight="1">
      <c r="A45" s="64"/>
      <c r="B45" s="49">
        <v>1.0</v>
      </c>
      <c r="C45" s="50" t="s">
        <v>36</v>
      </c>
      <c r="D45" s="16"/>
      <c r="E45" s="19">
        <v>33.0</v>
      </c>
      <c r="F45" s="19">
        <v>47.0</v>
      </c>
      <c r="G45" s="19">
        <v>32.0</v>
      </c>
      <c r="H45" s="19">
        <v>25.0</v>
      </c>
      <c r="I45" s="19">
        <v>22.0</v>
      </c>
      <c r="J45" s="19">
        <v>36.0</v>
      </c>
      <c r="K45" s="19">
        <v>44.0</v>
      </c>
      <c r="L45" s="19">
        <v>54.0</v>
      </c>
      <c r="M45" s="19">
        <v>39.0</v>
      </c>
      <c r="N45" s="19">
        <v>27.0</v>
      </c>
      <c r="O45" s="19">
        <v>41.0</v>
      </c>
      <c r="P45" s="19">
        <v>40.0</v>
      </c>
      <c r="Q45" s="19">
        <v>71.0</v>
      </c>
      <c r="R45" s="13">
        <f t="shared" ref="R45:R47" si="15">SUM(E45:Q45)</f>
        <v>511</v>
      </c>
    </row>
    <row r="46" ht="12.75" customHeight="1">
      <c r="A46" s="18"/>
      <c r="B46" s="49">
        <v>2.0</v>
      </c>
      <c r="C46" s="50" t="s">
        <v>37</v>
      </c>
      <c r="D46" s="16"/>
      <c r="E46" s="19">
        <v>121.0</v>
      </c>
      <c r="F46" s="19">
        <v>116.0</v>
      </c>
      <c r="G46" s="19">
        <v>132.0</v>
      </c>
      <c r="H46" s="19">
        <v>123.0</v>
      </c>
      <c r="I46" s="19">
        <v>136.0</v>
      </c>
      <c r="J46" s="19">
        <v>132.0</v>
      </c>
      <c r="K46" s="19">
        <v>151.0</v>
      </c>
      <c r="L46" s="19">
        <v>161.0</v>
      </c>
      <c r="M46" s="19">
        <v>173.0</v>
      </c>
      <c r="N46" s="19">
        <v>161.0</v>
      </c>
      <c r="O46" s="19">
        <v>169.0</v>
      </c>
      <c r="P46" s="19">
        <v>152.0</v>
      </c>
      <c r="Q46" s="19">
        <v>152.0</v>
      </c>
      <c r="R46" s="13">
        <f t="shared" si="15"/>
        <v>1879</v>
      </c>
    </row>
    <row r="47" ht="12.75" customHeight="1">
      <c r="A47" s="47"/>
      <c r="B47" s="49">
        <v>3.0</v>
      </c>
      <c r="C47" s="50" t="s">
        <v>38</v>
      </c>
      <c r="D47" s="16"/>
      <c r="E47" s="19">
        <v>43.0</v>
      </c>
      <c r="F47" s="19">
        <v>34.0</v>
      </c>
      <c r="G47" s="19">
        <v>25.0</v>
      </c>
      <c r="H47" s="19">
        <v>15.0</v>
      </c>
      <c r="I47" s="19">
        <v>14.0</v>
      </c>
      <c r="J47" s="19">
        <v>18.0</v>
      </c>
      <c r="K47" s="19">
        <v>29.0</v>
      </c>
      <c r="L47" s="19">
        <v>19.0</v>
      </c>
      <c r="M47" s="19">
        <v>35.0</v>
      </c>
      <c r="N47" s="19">
        <v>33.0</v>
      </c>
      <c r="O47" s="19">
        <v>19.0</v>
      </c>
      <c r="P47" s="19">
        <v>28.0</v>
      </c>
      <c r="Q47" s="19">
        <v>12.0</v>
      </c>
      <c r="R47" s="13">
        <f t="shared" si="15"/>
        <v>324</v>
      </c>
    </row>
    <row r="48" ht="12.75" customHeight="1"/>
    <row r="49" ht="12.75" customHeight="1">
      <c r="A49" s="44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3"/>
      <c r="O49" s="13"/>
      <c r="P49" s="13"/>
      <c r="Q49" s="13"/>
      <c r="R49" s="13"/>
    </row>
    <row r="50" ht="12.75" customHeight="1">
      <c r="A50" s="44"/>
      <c r="B50" s="56" t="s">
        <v>41</v>
      </c>
      <c r="C50" s="57" t="s">
        <v>42</v>
      </c>
      <c r="D50" s="16"/>
      <c r="E50" s="19">
        <f t="shared" ref="E50:Q50" si="16">SUM(E45:E47)</f>
        <v>197</v>
      </c>
      <c r="F50" s="19">
        <f t="shared" si="16"/>
        <v>197</v>
      </c>
      <c r="G50" s="19">
        <f t="shared" si="16"/>
        <v>189</v>
      </c>
      <c r="H50" s="19">
        <f t="shared" si="16"/>
        <v>163</v>
      </c>
      <c r="I50" s="19">
        <f t="shared" si="16"/>
        <v>172</v>
      </c>
      <c r="J50" s="19">
        <f t="shared" si="16"/>
        <v>186</v>
      </c>
      <c r="K50" s="19">
        <f t="shared" si="16"/>
        <v>224</v>
      </c>
      <c r="L50" s="19">
        <f t="shared" si="16"/>
        <v>234</v>
      </c>
      <c r="M50" s="19">
        <f t="shared" si="16"/>
        <v>247</v>
      </c>
      <c r="N50" s="19">
        <f t="shared" si="16"/>
        <v>221</v>
      </c>
      <c r="O50" s="19">
        <f t="shared" si="16"/>
        <v>229</v>
      </c>
      <c r="P50" s="19">
        <f t="shared" si="16"/>
        <v>220</v>
      </c>
      <c r="Q50" s="19">
        <f t="shared" si="16"/>
        <v>235</v>
      </c>
      <c r="R50" s="13">
        <f t="shared" ref="R50:R52" si="17">SUM(E50:Q50)</f>
        <v>2714</v>
      </c>
    </row>
    <row r="51" ht="12.75" customHeight="1">
      <c r="A51" s="36"/>
      <c r="B51" s="56" t="s">
        <v>43</v>
      </c>
      <c r="C51" s="57" t="s">
        <v>44</v>
      </c>
      <c r="D51" s="16"/>
      <c r="E51" s="19">
        <v>4.0</v>
      </c>
      <c r="F51" s="19">
        <v>5.0</v>
      </c>
      <c r="G51" s="19">
        <v>11.0</v>
      </c>
      <c r="H51" s="19">
        <v>3.0</v>
      </c>
      <c r="I51" s="19">
        <v>5.0</v>
      </c>
      <c r="J51" s="19">
        <v>16.0</v>
      </c>
      <c r="K51" s="19">
        <v>5.0</v>
      </c>
      <c r="L51" s="19">
        <v>1.0</v>
      </c>
      <c r="M51" s="19">
        <v>5.0</v>
      </c>
      <c r="N51" s="19">
        <v>3.0</v>
      </c>
      <c r="O51" s="19">
        <v>6.0</v>
      </c>
      <c r="P51" s="19">
        <v>3.0</v>
      </c>
      <c r="Q51" s="19">
        <v>12.0</v>
      </c>
      <c r="R51" s="13">
        <f t="shared" si="17"/>
        <v>79</v>
      </c>
    </row>
    <row r="52" ht="12.75" customHeight="1">
      <c r="A52" s="43"/>
      <c r="B52" s="56" t="s">
        <v>45</v>
      </c>
      <c r="C52" s="57" t="s">
        <v>46</v>
      </c>
      <c r="D52" s="16"/>
      <c r="E52" s="13">
        <f t="shared" ref="E52:Q52" si="18">SUM(E50:E51)</f>
        <v>201</v>
      </c>
      <c r="F52" s="13">
        <f t="shared" si="18"/>
        <v>202</v>
      </c>
      <c r="G52" s="13">
        <f t="shared" si="18"/>
        <v>200</v>
      </c>
      <c r="H52" s="13">
        <f t="shared" si="18"/>
        <v>166</v>
      </c>
      <c r="I52" s="13">
        <f t="shared" si="18"/>
        <v>177</v>
      </c>
      <c r="J52" s="13">
        <f t="shared" si="18"/>
        <v>202</v>
      </c>
      <c r="K52" s="13">
        <f t="shared" si="18"/>
        <v>229</v>
      </c>
      <c r="L52" s="13">
        <f t="shared" si="18"/>
        <v>235</v>
      </c>
      <c r="M52" s="13">
        <f t="shared" si="18"/>
        <v>252</v>
      </c>
      <c r="N52" s="13">
        <f t="shared" si="18"/>
        <v>224</v>
      </c>
      <c r="O52" s="13">
        <f t="shared" si="18"/>
        <v>235</v>
      </c>
      <c r="P52" s="13">
        <f t="shared" si="18"/>
        <v>223</v>
      </c>
      <c r="Q52" s="13">
        <f t="shared" si="18"/>
        <v>247</v>
      </c>
      <c r="R52" s="13">
        <f t="shared" si="17"/>
        <v>2793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R12:R13"/>
    <mergeCell ref="B13:D13"/>
    <mergeCell ref="B14:C16"/>
    <mergeCell ref="A17:D17"/>
    <mergeCell ref="B18:D18"/>
    <mergeCell ref="E12:Q12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Q15 E45:Q47">
    <cfRule type="containsBlanks" dxfId="1" priority="1">
      <formula>LEN(TRIM(E14))=0</formula>
    </cfRule>
  </conditionalFormatting>
  <conditionalFormatting sqref="E19:Q20">
    <cfRule type="containsBlanks" dxfId="1" priority="2">
      <formula>LEN(TRIM(E19))=0</formula>
    </cfRule>
  </conditionalFormatting>
  <conditionalFormatting sqref="E22:Q23 E25:Q26 E33:Q33 E35:Q35 E39:Q40">
    <cfRule type="containsBlanks" dxfId="1" priority="3">
      <formula>LEN(TRIM(E22))=0</formula>
    </cfRule>
  </conditionalFormatting>
  <conditionalFormatting sqref="E30:Q30">
    <cfRule type="expression" dxfId="0" priority="4">
      <formula>E30&lt;&gt;E46</formula>
    </cfRule>
  </conditionalFormatting>
  <conditionalFormatting sqref="E30:Q30">
    <cfRule type="expression" dxfId="0" priority="5">
      <formula>E30&lt;&gt;E34</formula>
    </cfRule>
  </conditionalFormatting>
  <conditionalFormatting sqref="E34:Q34">
    <cfRule type="expression" dxfId="2" priority="6">
      <formula>E30&lt;&gt;E34</formula>
    </cfRule>
  </conditionalFormatting>
  <conditionalFormatting sqref="E34:Q34">
    <cfRule type="expression" dxfId="3" priority="7">
      <formula>E30=E34</formula>
    </cfRule>
  </conditionalFormatting>
  <conditionalFormatting sqref="E34:Q34">
    <cfRule type="expression" dxfId="0" priority="8">
      <formula>E34&lt;&gt;E30</formula>
    </cfRule>
  </conditionalFormatting>
  <conditionalFormatting sqref="E34:Q34">
    <cfRule type="expression" dxfId="0" priority="9">
      <formula>E34&lt;&gt;#REF!</formula>
    </cfRule>
  </conditionalFormatting>
  <conditionalFormatting sqref="E50:Q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</row>
    <row r="12" ht="12.75" customHeight="1">
      <c r="A12" s="13" t="s">
        <v>5</v>
      </c>
      <c r="B12" s="14" t="s">
        <v>6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60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13" t="s">
        <v>61</v>
      </c>
      <c r="S13" s="13" t="s">
        <v>62</v>
      </c>
      <c r="T13" s="13" t="s">
        <v>63</v>
      </c>
      <c r="U13" s="13" t="s">
        <v>64</v>
      </c>
      <c r="V13" s="13" t="s">
        <v>65</v>
      </c>
      <c r="W13" s="37"/>
    </row>
    <row r="14" ht="12.75" customHeight="1">
      <c r="A14" s="18"/>
      <c r="B14" s="22" t="s">
        <v>10</v>
      </c>
      <c r="C14" s="23"/>
      <c r="D14" s="19" t="s">
        <v>11</v>
      </c>
      <c r="E14" s="19">
        <v>124.0</v>
      </c>
      <c r="F14" s="19">
        <v>130.0</v>
      </c>
      <c r="G14" s="19">
        <v>115.0</v>
      </c>
      <c r="H14" s="19">
        <v>131.0</v>
      </c>
      <c r="I14" s="19">
        <v>128.0</v>
      </c>
      <c r="J14" s="19">
        <v>128.0</v>
      </c>
      <c r="K14" s="19">
        <v>73.0</v>
      </c>
      <c r="L14" s="19">
        <v>128.0</v>
      </c>
      <c r="M14" s="19">
        <v>117.0</v>
      </c>
      <c r="N14" s="19">
        <v>117.0</v>
      </c>
      <c r="O14" s="19">
        <v>93.0</v>
      </c>
      <c r="P14" s="19">
        <v>139.0</v>
      </c>
      <c r="Q14" s="19">
        <v>152.0</v>
      </c>
      <c r="R14" s="19">
        <v>142.0</v>
      </c>
      <c r="S14" s="19">
        <v>132.0</v>
      </c>
      <c r="T14" s="19">
        <v>122.0</v>
      </c>
      <c r="U14" s="19">
        <v>115.0</v>
      </c>
      <c r="V14" s="19">
        <v>117.0</v>
      </c>
      <c r="W14" s="13">
        <f t="shared" ref="W14:W16" si="1">SUM(E14:V14)</f>
        <v>2203</v>
      </c>
    </row>
    <row r="15" ht="12.75" customHeight="1">
      <c r="A15" s="18"/>
      <c r="B15" s="26"/>
      <c r="C15" s="27"/>
      <c r="D15" s="19" t="s">
        <v>12</v>
      </c>
      <c r="E15" s="19">
        <v>141.0</v>
      </c>
      <c r="F15" s="19">
        <v>140.0</v>
      </c>
      <c r="G15" s="19">
        <v>124.0</v>
      </c>
      <c r="H15" s="19">
        <v>131.0</v>
      </c>
      <c r="I15" s="19">
        <v>131.0</v>
      </c>
      <c r="J15" s="19">
        <v>141.0</v>
      </c>
      <c r="K15" s="19">
        <v>85.0</v>
      </c>
      <c r="L15" s="19">
        <v>136.0</v>
      </c>
      <c r="M15" s="19">
        <v>113.0</v>
      </c>
      <c r="N15" s="19">
        <v>133.0</v>
      </c>
      <c r="O15" s="19">
        <v>83.0</v>
      </c>
      <c r="P15" s="19">
        <v>148.0</v>
      </c>
      <c r="Q15" s="19">
        <v>136.0</v>
      </c>
      <c r="R15" s="19">
        <v>134.0</v>
      </c>
      <c r="S15" s="19">
        <v>139.0</v>
      </c>
      <c r="T15" s="19">
        <v>136.0</v>
      </c>
      <c r="U15" s="19">
        <v>122.0</v>
      </c>
      <c r="V15" s="19">
        <v>125.0</v>
      </c>
      <c r="W15" s="13">
        <f t="shared" si="1"/>
        <v>2298</v>
      </c>
    </row>
    <row r="16" ht="12.75" customHeight="1">
      <c r="A16" s="25"/>
      <c r="B16" s="21"/>
      <c r="C16" s="28"/>
      <c r="D16" s="13" t="s">
        <v>13</v>
      </c>
      <c r="E16" s="13">
        <f t="shared" ref="E16:V16" si="2">SUM(E14:E15)</f>
        <v>265</v>
      </c>
      <c r="F16" s="13">
        <f t="shared" si="2"/>
        <v>270</v>
      </c>
      <c r="G16" s="13">
        <f t="shared" si="2"/>
        <v>239</v>
      </c>
      <c r="H16" s="13">
        <f t="shared" si="2"/>
        <v>262</v>
      </c>
      <c r="I16" s="13">
        <f t="shared" si="2"/>
        <v>259</v>
      </c>
      <c r="J16" s="13">
        <f t="shared" si="2"/>
        <v>269</v>
      </c>
      <c r="K16" s="13">
        <f t="shared" si="2"/>
        <v>158</v>
      </c>
      <c r="L16" s="13">
        <f t="shared" si="2"/>
        <v>264</v>
      </c>
      <c r="M16" s="13">
        <f t="shared" si="2"/>
        <v>230</v>
      </c>
      <c r="N16" s="13">
        <f t="shared" si="2"/>
        <v>250</v>
      </c>
      <c r="O16" s="13">
        <f t="shared" si="2"/>
        <v>176</v>
      </c>
      <c r="P16" s="13">
        <f t="shared" si="2"/>
        <v>287</v>
      </c>
      <c r="Q16" s="13">
        <f t="shared" si="2"/>
        <v>288</v>
      </c>
      <c r="R16" s="13">
        <f t="shared" si="2"/>
        <v>276</v>
      </c>
      <c r="S16" s="13">
        <f t="shared" si="2"/>
        <v>271</v>
      </c>
      <c r="T16" s="13">
        <f t="shared" si="2"/>
        <v>258</v>
      </c>
      <c r="U16" s="13">
        <f t="shared" si="2"/>
        <v>237</v>
      </c>
      <c r="V16" s="13">
        <f t="shared" si="2"/>
        <v>242</v>
      </c>
      <c r="W16" s="13">
        <f t="shared" si="1"/>
        <v>4501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62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62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19">
        <v>106.0</v>
      </c>
      <c r="F19" s="19">
        <v>108.0</v>
      </c>
      <c r="G19" s="19">
        <v>96.0</v>
      </c>
      <c r="H19" s="19">
        <v>104.0</v>
      </c>
      <c r="I19" s="19">
        <v>100.0</v>
      </c>
      <c r="J19" s="19">
        <v>106.0</v>
      </c>
      <c r="K19" s="19">
        <v>52.0</v>
      </c>
      <c r="L19" s="19">
        <v>112.0</v>
      </c>
      <c r="M19" s="19">
        <v>92.0</v>
      </c>
      <c r="N19" s="19">
        <v>96.0</v>
      </c>
      <c r="O19" s="19">
        <v>72.0</v>
      </c>
      <c r="P19" s="19">
        <v>108.0</v>
      </c>
      <c r="Q19" s="19">
        <v>117.0</v>
      </c>
      <c r="R19" s="19">
        <v>108.0</v>
      </c>
      <c r="S19" s="19">
        <v>109.0</v>
      </c>
      <c r="T19" s="19">
        <v>104.0</v>
      </c>
      <c r="U19" s="19">
        <v>100.0</v>
      </c>
      <c r="V19" s="19">
        <v>82.0</v>
      </c>
      <c r="W19" s="13">
        <f t="shared" ref="W19:W30" si="3">SUM(E19:V19)</f>
        <v>1772</v>
      </c>
    </row>
    <row r="20" ht="12.75" customHeight="1">
      <c r="A20" s="34"/>
      <c r="B20" s="27"/>
      <c r="C20" s="35"/>
      <c r="D20" s="19" t="s">
        <v>12</v>
      </c>
      <c r="E20" s="19">
        <v>119.0</v>
      </c>
      <c r="F20" s="19">
        <v>120.0</v>
      </c>
      <c r="G20" s="19">
        <v>108.0</v>
      </c>
      <c r="H20" s="19">
        <v>108.0</v>
      </c>
      <c r="I20" s="19">
        <v>106.0</v>
      </c>
      <c r="J20" s="19">
        <v>119.0</v>
      </c>
      <c r="K20" s="19">
        <v>70.0</v>
      </c>
      <c r="L20" s="19">
        <v>115.0</v>
      </c>
      <c r="M20" s="19">
        <v>101.0</v>
      </c>
      <c r="N20" s="19">
        <v>121.0</v>
      </c>
      <c r="O20" s="19">
        <v>63.0</v>
      </c>
      <c r="P20" s="19">
        <v>130.0</v>
      </c>
      <c r="Q20" s="19">
        <v>111.0</v>
      </c>
      <c r="R20" s="19">
        <v>119.0</v>
      </c>
      <c r="S20" s="19">
        <v>118.0</v>
      </c>
      <c r="T20" s="19">
        <v>117.0</v>
      </c>
      <c r="U20" s="19">
        <v>103.0</v>
      </c>
      <c r="V20" s="19">
        <v>93.0</v>
      </c>
      <c r="W20" s="13">
        <f t="shared" si="3"/>
        <v>1941</v>
      </c>
    </row>
    <row r="21" ht="12.75" customHeight="1">
      <c r="A21" s="36"/>
      <c r="B21" s="28"/>
      <c r="C21" s="37"/>
      <c r="D21" s="13" t="s">
        <v>13</v>
      </c>
      <c r="E21" s="13">
        <f t="shared" ref="E21:V21" si="4">SUM(E19:E20)</f>
        <v>225</v>
      </c>
      <c r="F21" s="13">
        <f t="shared" si="4"/>
        <v>228</v>
      </c>
      <c r="G21" s="13">
        <f t="shared" si="4"/>
        <v>204</v>
      </c>
      <c r="H21" s="13">
        <f t="shared" si="4"/>
        <v>212</v>
      </c>
      <c r="I21" s="13">
        <f t="shared" si="4"/>
        <v>206</v>
      </c>
      <c r="J21" s="13">
        <f t="shared" si="4"/>
        <v>225</v>
      </c>
      <c r="K21" s="13">
        <f t="shared" si="4"/>
        <v>122</v>
      </c>
      <c r="L21" s="13">
        <f t="shared" si="4"/>
        <v>227</v>
      </c>
      <c r="M21" s="13">
        <f t="shared" si="4"/>
        <v>193</v>
      </c>
      <c r="N21" s="13">
        <f t="shared" si="4"/>
        <v>217</v>
      </c>
      <c r="O21" s="13">
        <f t="shared" si="4"/>
        <v>135</v>
      </c>
      <c r="P21" s="13">
        <f t="shared" si="4"/>
        <v>238</v>
      </c>
      <c r="Q21" s="13">
        <f t="shared" si="4"/>
        <v>228</v>
      </c>
      <c r="R21" s="13">
        <f t="shared" si="4"/>
        <v>227</v>
      </c>
      <c r="S21" s="13">
        <f t="shared" si="4"/>
        <v>227</v>
      </c>
      <c r="T21" s="13">
        <f t="shared" si="4"/>
        <v>221</v>
      </c>
      <c r="U21" s="13">
        <f t="shared" si="4"/>
        <v>203</v>
      </c>
      <c r="V21" s="13">
        <f t="shared" si="4"/>
        <v>175</v>
      </c>
      <c r="W21" s="13">
        <f t="shared" si="3"/>
        <v>3713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1.0</v>
      </c>
      <c r="L22" s="19">
        <v>1.0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1.0</v>
      </c>
      <c r="T22" s="19">
        <v>0.0</v>
      </c>
      <c r="U22" s="19">
        <v>1.0</v>
      </c>
      <c r="V22" s="19">
        <v>0.0</v>
      </c>
      <c r="W22" s="13">
        <f t="shared" si="3"/>
        <v>7</v>
      </c>
    </row>
    <row r="23" ht="12.75" customHeight="1">
      <c r="A23" s="34"/>
      <c r="B23" s="27"/>
      <c r="C23" s="35"/>
      <c r="D23" s="19" t="s">
        <v>12</v>
      </c>
      <c r="E23" s="19">
        <v>0.0</v>
      </c>
      <c r="F23" s="19">
        <v>1.0</v>
      </c>
      <c r="G23" s="19">
        <v>0.0</v>
      </c>
      <c r="H23" s="19">
        <v>1.0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2.0</v>
      </c>
      <c r="O23" s="19">
        <v>0.0</v>
      </c>
      <c r="P23" s="19">
        <v>1.0</v>
      </c>
      <c r="Q23" s="19">
        <v>0.0</v>
      </c>
      <c r="R23" s="19">
        <v>1.0</v>
      </c>
      <c r="S23" s="19">
        <v>0.0</v>
      </c>
      <c r="T23" s="19">
        <v>1.0</v>
      </c>
      <c r="U23" s="19">
        <v>2.0</v>
      </c>
      <c r="V23" s="19">
        <v>0.0</v>
      </c>
      <c r="W23" s="13">
        <f t="shared" si="3"/>
        <v>10</v>
      </c>
    </row>
    <row r="24" ht="12.75" customHeight="1">
      <c r="A24" s="36"/>
      <c r="B24" s="28"/>
      <c r="C24" s="37"/>
      <c r="D24" s="13" t="s">
        <v>13</v>
      </c>
      <c r="E24" s="13">
        <f t="shared" ref="E24:K24" si="5">SUM(E22:E23)</f>
        <v>0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v>1.0</v>
      </c>
      <c r="M24" s="13">
        <f t="shared" ref="M24:V24" si="6">SUM(M22:M23)</f>
        <v>0</v>
      </c>
      <c r="N24" s="13">
        <f t="shared" si="6"/>
        <v>2</v>
      </c>
      <c r="O24" s="13">
        <f t="shared" si="6"/>
        <v>1</v>
      </c>
      <c r="P24" s="13">
        <f t="shared" si="6"/>
        <v>1</v>
      </c>
      <c r="Q24" s="13">
        <f t="shared" si="6"/>
        <v>0</v>
      </c>
      <c r="R24" s="13">
        <f t="shared" si="6"/>
        <v>1</v>
      </c>
      <c r="S24" s="13">
        <f t="shared" si="6"/>
        <v>1</v>
      </c>
      <c r="T24" s="13">
        <f t="shared" si="6"/>
        <v>1</v>
      </c>
      <c r="U24" s="13">
        <f t="shared" si="6"/>
        <v>3</v>
      </c>
      <c r="V24" s="13">
        <f t="shared" si="6"/>
        <v>0</v>
      </c>
      <c r="W24" s="13">
        <f t="shared" si="3"/>
        <v>17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19">
        <v>1.0</v>
      </c>
      <c r="F25" s="19">
        <v>1.0</v>
      </c>
      <c r="G25" s="19">
        <v>1.0</v>
      </c>
      <c r="H25" s="19">
        <v>1.0</v>
      </c>
      <c r="I25" s="19">
        <v>0.0</v>
      </c>
      <c r="J25" s="19">
        <v>2.0</v>
      </c>
      <c r="K25" s="19">
        <v>4.0</v>
      </c>
      <c r="L25" s="19">
        <v>0.0</v>
      </c>
      <c r="M25" s="19">
        <v>0.0</v>
      </c>
      <c r="N25" s="19">
        <v>1.0</v>
      </c>
      <c r="O25" s="19">
        <v>2.0</v>
      </c>
      <c r="P25" s="19">
        <v>4.0</v>
      </c>
      <c r="Q25" s="19">
        <v>0.0</v>
      </c>
      <c r="R25" s="19">
        <v>0.0</v>
      </c>
      <c r="S25" s="19">
        <v>0.0</v>
      </c>
      <c r="T25" s="19">
        <v>0.0</v>
      </c>
      <c r="U25" s="19">
        <v>1.0</v>
      </c>
      <c r="V25" s="19">
        <v>7.0</v>
      </c>
      <c r="W25" s="13">
        <f t="shared" si="3"/>
        <v>25</v>
      </c>
    </row>
    <row r="26" ht="12.75" customHeight="1">
      <c r="A26" s="34"/>
      <c r="B26" s="27"/>
      <c r="C26" s="35"/>
      <c r="D26" s="19" t="s">
        <v>12</v>
      </c>
      <c r="E26" s="19">
        <v>2.0</v>
      </c>
      <c r="F26" s="19">
        <v>2.0</v>
      </c>
      <c r="G26" s="19">
        <v>1.0</v>
      </c>
      <c r="H26" s="19">
        <v>1.0</v>
      </c>
      <c r="I26" s="19">
        <v>1.0</v>
      </c>
      <c r="J26" s="19">
        <v>1.0</v>
      </c>
      <c r="K26" s="19">
        <v>3.0</v>
      </c>
      <c r="L26" s="19">
        <v>0.0</v>
      </c>
      <c r="M26" s="19">
        <v>0.0</v>
      </c>
      <c r="N26" s="19">
        <v>1.0</v>
      </c>
      <c r="O26" s="19">
        <v>2.0</v>
      </c>
      <c r="P26" s="19">
        <v>7.0</v>
      </c>
      <c r="Q26" s="19">
        <v>1.0</v>
      </c>
      <c r="R26" s="19">
        <v>0.0</v>
      </c>
      <c r="S26" s="19">
        <v>1.0</v>
      </c>
      <c r="T26" s="19">
        <v>2.0</v>
      </c>
      <c r="U26" s="19">
        <v>3.0</v>
      </c>
      <c r="V26" s="19">
        <v>6.0</v>
      </c>
      <c r="W26" s="13">
        <f t="shared" si="3"/>
        <v>34</v>
      </c>
    </row>
    <row r="27" ht="12.75" customHeight="1">
      <c r="A27" s="36"/>
      <c r="B27" s="28"/>
      <c r="C27" s="37"/>
      <c r="D27" s="13" t="s">
        <v>13</v>
      </c>
      <c r="E27" s="13">
        <f t="shared" ref="E27:V27" si="7">SUM(E25:E26)</f>
        <v>3</v>
      </c>
      <c r="F27" s="13">
        <f t="shared" si="7"/>
        <v>3</v>
      </c>
      <c r="G27" s="13">
        <f t="shared" si="7"/>
        <v>2</v>
      </c>
      <c r="H27" s="13">
        <f t="shared" si="7"/>
        <v>2</v>
      </c>
      <c r="I27" s="13">
        <f t="shared" si="7"/>
        <v>1</v>
      </c>
      <c r="J27" s="13">
        <f t="shared" si="7"/>
        <v>3</v>
      </c>
      <c r="K27" s="13">
        <f t="shared" si="7"/>
        <v>7</v>
      </c>
      <c r="L27" s="13">
        <f t="shared" si="7"/>
        <v>0</v>
      </c>
      <c r="M27" s="13">
        <f t="shared" si="7"/>
        <v>0</v>
      </c>
      <c r="N27" s="13">
        <f t="shared" si="7"/>
        <v>2</v>
      </c>
      <c r="O27" s="13">
        <f t="shared" si="7"/>
        <v>4</v>
      </c>
      <c r="P27" s="13">
        <f t="shared" si="7"/>
        <v>11</v>
      </c>
      <c r="Q27" s="13">
        <f t="shared" si="7"/>
        <v>1</v>
      </c>
      <c r="R27" s="13">
        <f t="shared" si="7"/>
        <v>0</v>
      </c>
      <c r="S27" s="13">
        <f t="shared" si="7"/>
        <v>1</v>
      </c>
      <c r="T27" s="13">
        <f t="shared" si="7"/>
        <v>2</v>
      </c>
      <c r="U27" s="13">
        <f t="shared" si="7"/>
        <v>4</v>
      </c>
      <c r="V27" s="13">
        <f t="shared" si="7"/>
        <v>13</v>
      </c>
      <c r="W27" s="13">
        <f t="shared" si="3"/>
        <v>59</v>
      </c>
    </row>
    <row r="28" ht="12.75" customHeight="1">
      <c r="A28" s="36"/>
      <c r="B28" s="39" t="s">
        <v>22</v>
      </c>
      <c r="C28" s="40" t="s">
        <v>23</v>
      </c>
      <c r="D28" s="13" t="s">
        <v>11</v>
      </c>
      <c r="E28" s="13">
        <f t="shared" ref="E28:V28" si="8">SUM(E19,E22,E25)</f>
        <v>107</v>
      </c>
      <c r="F28" s="13">
        <f t="shared" si="8"/>
        <v>109</v>
      </c>
      <c r="G28" s="13">
        <f t="shared" si="8"/>
        <v>98</v>
      </c>
      <c r="H28" s="13">
        <f t="shared" si="8"/>
        <v>105</v>
      </c>
      <c r="I28" s="13">
        <f t="shared" si="8"/>
        <v>101</v>
      </c>
      <c r="J28" s="13">
        <f t="shared" si="8"/>
        <v>108</v>
      </c>
      <c r="K28" s="13">
        <f t="shared" si="8"/>
        <v>57</v>
      </c>
      <c r="L28" s="13">
        <f t="shared" si="8"/>
        <v>113</v>
      </c>
      <c r="M28" s="13">
        <f t="shared" si="8"/>
        <v>92</v>
      </c>
      <c r="N28" s="13">
        <f t="shared" si="8"/>
        <v>97</v>
      </c>
      <c r="O28" s="13">
        <f t="shared" si="8"/>
        <v>75</v>
      </c>
      <c r="P28" s="13">
        <f t="shared" si="8"/>
        <v>112</v>
      </c>
      <c r="Q28" s="13">
        <f t="shared" si="8"/>
        <v>117</v>
      </c>
      <c r="R28" s="13">
        <f t="shared" si="8"/>
        <v>108</v>
      </c>
      <c r="S28" s="13">
        <f t="shared" si="8"/>
        <v>110</v>
      </c>
      <c r="T28" s="13">
        <f t="shared" si="8"/>
        <v>104</v>
      </c>
      <c r="U28" s="13">
        <f t="shared" si="8"/>
        <v>102</v>
      </c>
      <c r="V28" s="13">
        <f t="shared" si="8"/>
        <v>89</v>
      </c>
      <c r="W28" s="13">
        <f t="shared" si="3"/>
        <v>1804</v>
      </c>
    </row>
    <row r="29" ht="12.75" customHeight="1">
      <c r="A29" s="36"/>
      <c r="B29" s="27"/>
      <c r="C29" s="35"/>
      <c r="D29" s="13" t="s">
        <v>12</v>
      </c>
      <c r="E29" s="13">
        <f t="shared" ref="E29:V29" si="9">SUM(E20,E23,E26)</f>
        <v>121</v>
      </c>
      <c r="F29" s="13">
        <f t="shared" si="9"/>
        <v>123</v>
      </c>
      <c r="G29" s="13">
        <f t="shared" si="9"/>
        <v>109</v>
      </c>
      <c r="H29" s="13">
        <f t="shared" si="9"/>
        <v>110</v>
      </c>
      <c r="I29" s="13">
        <f t="shared" si="9"/>
        <v>107</v>
      </c>
      <c r="J29" s="13">
        <f t="shared" si="9"/>
        <v>121</v>
      </c>
      <c r="K29" s="13">
        <f t="shared" si="9"/>
        <v>73</v>
      </c>
      <c r="L29" s="13">
        <f t="shared" si="9"/>
        <v>115</v>
      </c>
      <c r="M29" s="13">
        <f t="shared" si="9"/>
        <v>101</v>
      </c>
      <c r="N29" s="13">
        <f t="shared" si="9"/>
        <v>124</v>
      </c>
      <c r="O29" s="13">
        <f t="shared" si="9"/>
        <v>65</v>
      </c>
      <c r="P29" s="13">
        <f t="shared" si="9"/>
        <v>138</v>
      </c>
      <c r="Q29" s="13">
        <f t="shared" si="9"/>
        <v>112</v>
      </c>
      <c r="R29" s="13">
        <f t="shared" si="9"/>
        <v>120</v>
      </c>
      <c r="S29" s="13">
        <f t="shared" si="9"/>
        <v>119</v>
      </c>
      <c r="T29" s="13">
        <f t="shared" si="9"/>
        <v>120</v>
      </c>
      <c r="U29" s="13">
        <f t="shared" si="9"/>
        <v>108</v>
      </c>
      <c r="V29" s="13">
        <f t="shared" si="9"/>
        <v>99</v>
      </c>
      <c r="W29" s="13">
        <f t="shared" si="3"/>
        <v>1985</v>
      </c>
    </row>
    <row r="30" ht="12.75" customHeight="1">
      <c r="A30" s="36"/>
      <c r="B30" s="28"/>
      <c r="C30" s="37"/>
      <c r="D30" s="13" t="s">
        <v>13</v>
      </c>
      <c r="E30" s="13">
        <f t="shared" ref="E30:V30" si="10">SUM(E28:E29)</f>
        <v>228</v>
      </c>
      <c r="F30" s="13">
        <f t="shared" si="10"/>
        <v>232</v>
      </c>
      <c r="G30" s="13">
        <f t="shared" si="10"/>
        <v>207</v>
      </c>
      <c r="H30" s="13">
        <f t="shared" si="10"/>
        <v>215</v>
      </c>
      <c r="I30" s="13">
        <f t="shared" si="10"/>
        <v>208</v>
      </c>
      <c r="J30" s="13">
        <f t="shared" si="10"/>
        <v>229</v>
      </c>
      <c r="K30" s="13">
        <f t="shared" si="10"/>
        <v>130</v>
      </c>
      <c r="L30" s="13">
        <f t="shared" si="10"/>
        <v>228</v>
      </c>
      <c r="M30" s="13">
        <f t="shared" si="10"/>
        <v>193</v>
      </c>
      <c r="N30" s="13">
        <f t="shared" si="10"/>
        <v>221</v>
      </c>
      <c r="O30" s="13">
        <f t="shared" si="10"/>
        <v>140</v>
      </c>
      <c r="P30" s="13">
        <f t="shared" si="10"/>
        <v>250</v>
      </c>
      <c r="Q30" s="13">
        <f t="shared" si="10"/>
        <v>229</v>
      </c>
      <c r="R30" s="13">
        <f t="shared" si="10"/>
        <v>228</v>
      </c>
      <c r="S30" s="13">
        <f t="shared" si="10"/>
        <v>229</v>
      </c>
      <c r="T30" s="13">
        <f t="shared" si="10"/>
        <v>224</v>
      </c>
      <c r="U30" s="13">
        <f t="shared" si="10"/>
        <v>210</v>
      </c>
      <c r="V30" s="13">
        <f t="shared" si="10"/>
        <v>188</v>
      </c>
      <c r="W30" s="13">
        <f t="shared" si="3"/>
        <v>3789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62"/>
    </row>
    <row r="32" ht="12.75" customHeight="1">
      <c r="A32" s="43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3"/>
      <c r="O32" s="13"/>
      <c r="P32" s="13"/>
      <c r="Q32" s="13"/>
      <c r="R32" s="13"/>
      <c r="S32" s="63"/>
      <c r="T32" s="13"/>
      <c r="U32" s="13"/>
      <c r="V32" s="13"/>
      <c r="W32" s="62"/>
    </row>
    <row r="33" ht="12.75" customHeight="1">
      <c r="A33" s="19">
        <v>1.0</v>
      </c>
      <c r="B33" s="20" t="s">
        <v>26</v>
      </c>
      <c r="C33" s="15"/>
      <c r="D33" s="16"/>
      <c r="E33" s="19">
        <v>271.0</v>
      </c>
      <c r="F33" s="19">
        <v>275.0</v>
      </c>
      <c r="G33" s="19">
        <v>251.0</v>
      </c>
      <c r="H33" s="19">
        <v>268.0</v>
      </c>
      <c r="I33" s="19">
        <v>264.0</v>
      </c>
      <c r="J33" s="19">
        <v>275.0</v>
      </c>
      <c r="K33" s="19">
        <v>162.0</v>
      </c>
      <c r="L33" s="19">
        <v>270.0</v>
      </c>
      <c r="M33" s="19">
        <v>236.0</v>
      </c>
      <c r="N33" s="19">
        <v>255.0</v>
      </c>
      <c r="O33" s="19">
        <v>181.0</v>
      </c>
      <c r="P33" s="19">
        <v>292.0</v>
      </c>
      <c r="Q33" s="19">
        <v>294.0</v>
      </c>
      <c r="R33" s="19">
        <v>283.0</v>
      </c>
      <c r="S33" s="19">
        <v>277.0</v>
      </c>
      <c r="T33" s="19">
        <v>264.0</v>
      </c>
      <c r="U33" s="19">
        <v>242.0</v>
      </c>
      <c r="V33" s="19">
        <v>240.0</v>
      </c>
      <c r="W33" s="13">
        <f t="shared" ref="W33:W36" si="11">SUM(E33:V33)</f>
        <v>4600</v>
      </c>
    </row>
    <row r="34" ht="12.75" customHeight="1">
      <c r="A34" s="19">
        <v>2.0</v>
      </c>
      <c r="B34" s="20" t="s">
        <v>27</v>
      </c>
      <c r="C34" s="15"/>
      <c r="D34" s="16"/>
      <c r="E34" s="13">
        <v>228.0</v>
      </c>
      <c r="F34" s="13">
        <v>232.0</v>
      </c>
      <c r="G34" s="13">
        <v>207.0</v>
      </c>
      <c r="H34" s="13">
        <v>215.0</v>
      </c>
      <c r="I34" s="13">
        <v>208.0</v>
      </c>
      <c r="J34" s="13">
        <v>229.0</v>
      </c>
      <c r="K34" s="13">
        <v>130.0</v>
      </c>
      <c r="L34" s="13">
        <v>228.0</v>
      </c>
      <c r="M34" s="13">
        <v>193.0</v>
      </c>
      <c r="N34" s="13">
        <v>221.0</v>
      </c>
      <c r="O34" s="13">
        <v>140.0</v>
      </c>
      <c r="P34" s="13">
        <v>250.0</v>
      </c>
      <c r="Q34" s="13">
        <v>229.0</v>
      </c>
      <c r="R34" s="13">
        <v>228.0</v>
      </c>
      <c r="S34" s="13">
        <v>229.0</v>
      </c>
      <c r="T34" s="13">
        <v>224.0</v>
      </c>
      <c r="U34" s="13">
        <v>210.0</v>
      </c>
      <c r="V34" s="13">
        <v>188.0</v>
      </c>
      <c r="W34" s="13">
        <f t="shared" si="11"/>
        <v>3789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2.0</v>
      </c>
      <c r="W35" s="13">
        <f t="shared" si="11"/>
        <v>4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V36" si="12">E33-(E34+E35)</f>
        <v>43</v>
      </c>
      <c r="F36" s="13">
        <f t="shared" si="12"/>
        <v>43</v>
      </c>
      <c r="G36" s="13">
        <f t="shared" si="12"/>
        <v>44</v>
      </c>
      <c r="H36" s="13">
        <f t="shared" si="12"/>
        <v>53</v>
      </c>
      <c r="I36" s="13">
        <f t="shared" si="12"/>
        <v>56</v>
      </c>
      <c r="J36" s="13">
        <f t="shared" si="12"/>
        <v>46</v>
      </c>
      <c r="K36" s="13">
        <f t="shared" si="12"/>
        <v>32</v>
      </c>
      <c r="L36" s="13">
        <f t="shared" si="12"/>
        <v>41</v>
      </c>
      <c r="M36" s="13">
        <f t="shared" si="12"/>
        <v>43</v>
      </c>
      <c r="N36" s="13">
        <f t="shared" si="12"/>
        <v>34</v>
      </c>
      <c r="O36" s="13">
        <f t="shared" si="12"/>
        <v>41</v>
      </c>
      <c r="P36" s="13">
        <f t="shared" si="12"/>
        <v>42</v>
      </c>
      <c r="Q36" s="13">
        <f t="shared" si="12"/>
        <v>64</v>
      </c>
      <c r="R36" s="13">
        <f t="shared" si="12"/>
        <v>55</v>
      </c>
      <c r="S36" s="13">
        <f t="shared" si="12"/>
        <v>48</v>
      </c>
      <c r="T36" s="13">
        <f t="shared" si="12"/>
        <v>40</v>
      </c>
      <c r="U36" s="13">
        <f t="shared" si="12"/>
        <v>32</v>
      </c>
      <c r="V36" s="13">
        <f t="shared" si="12"/>
        <v>50</v>
      </c>
      <c r="W36" s="13">
        <f t="shared" si="11"/>
        <v>807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62"/>
    </row>
    <row r="38" ht="12.75" customHeight="1">
      <c r="A38" s="44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3"/>
      <c r="O38" s="13"/>
      <c r="P38" s="13"/>
      <c r="Q38" s="13"/>
      <c r="R38" s="13"/>
      <c r="S38" s="63"/>
      <c r="T38" s="13"/>
      <c r="U38" s="13"/>
      <c r="V38" s="13"/>
      <c r="W38" s="62"/>
    </row>
    <row r="39" ht="12.75" customHeight="1">
      <c r="A39" s="31"/>
      <c r="B39" s="45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1.0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3">
        <f t="shared" ref="W39:W41" si="13">SUM(E39:V39)</f>
        <v>2</v>
      </c>
    </row>
    <row r="40" ht="12.75" customHeight="1">
      <c r="A40" s="34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3">
        <f t="shared" si="13"/>
        <v>1</v>
      </c>
    </row>
    <row r="41" ht="12.75" customHeight="1">
      <c r="A41" s="43"/>
      <c r="B41" s="46"/>
      <c r="C41" s="28"/>
      <c r="D41" s="13" t="s">
        <v>13</v>
      </c>
      <c r="E41" s="13">
        <f t="shared" ref="E41:V41" si="14">SUM(E39:E40)</f>
        <v>0</v>
      </c>
      <c r="F41" s="13">
        <f t="shared" si="14"/>
        <v>0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0</v>
      </c>
      <c r="N41" s="13">
        <f t="shared" si="14"/>
        <v>0</v>
      </c>
      <c r="O41" s="13">
        <f t="shared" si="14"/>
        <v>1</v>
      </c>
      <c r="P41" s="13">
        <f t="shared" si="14"/>
        <v>2</v>
      </c>
      <c r="Q41" s="13">
        <f t="shared" si="14"/>
        <v>0</v>
      </c>
      <c r="R41" s="13">
        <f t="shared" si="14"/>
        <v>0</v>
      </c>
      <c r="S41" s="13">
        <f t="shared" si="14"/>
        <v>0</v>
      </c>
      <c r="T41" s="13">
        <f t="shared" si="14"/>
        <v>0</v>
      </c>
      <c r="U41" s="13">
        <f t="shared" si="14"/>
        <v>0</v>
      </c>
      <c r="V41" s="13">
        <f t="shared" si="14"/>
        <v>0</v>
      </c>
      <c r="W41" s="13">
        <f t="shared" si="13"/>
        <v>3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3"/>
    </row>
    <row r="43" ht="12.75" customHeight="1">
      <c r="A43" s="44" t="s">
        <v>33</v>
      </c>
      <c r="B43" s="14" t="s">
        <v>34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3"/>
      <c r="O43" s="13"/>
      <c r="P43" s="13"/>
      <c r="Q43" s="13"/>
      <c r="R43" s="13"/>
      <c r="S43" s="63"/>
      <c r="T43" s="13"/>
      <c r="U43" s="13"/>
      <c r="V43" s="13"/>
      <c r="W43" s="13"/>
    </row>
    <row r="44" ht="12.75" customHeight="1">
      <c r="A44" s="45" t="s">
        <v>35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3"/>
    </row>
    <row r="45" ht="12.75" customHeight="1">
      <c r="A45" s="64"/>
      <c r="B45" s="49">
        <v>1.0</v>
      </c>
      <c r="C45" s="50" t="s">
        <v>36</v>
      </c>
      <c r="D45" s="16"/>
      <c r="E45" s="19">
        <v>35.0</v>
      </c>
      <c r="F45" s="19">
        <v>29.0</v>
      </c>
      <c r="G45" s="19">
        <v>23.0</v>
      </c>
      <c r="H45" s="19">
        <v>29.0</v>
      </c>
      <c r="I45" s="19">
        <v>32.0</v>
      </c>
      <c r="J45" s="19">
        <v>33.0</v>
      </c>
      <c r="K45" s="19">
        <v>10.0</v>
      </c>
      <c r="L45" s="19">
        <v>34.0</v>
      </c>
      <c r="M45" s="19">
        <v>59.0</v>
      </c>
      <c r="N45" s="19">
        <v>57.0</v>
      </c>
      <c r="O45" s="19">
        <v>36.0</v>
      </c>
      <c r="P45" s="19">
        <v>39.0</v>
      </c>
      <c r="Q45" s="19">
        <v>57.0</v>
      </c>
      <c r="R45" s="19">
        <v>27.0</v>
      </c>
      <c r="S45" s="19">
        <v>21.0</v>
      </c>
      <c r="T45" s="19">
        <v>26.0</v>
      </c>
      <c r="U45" s="19">
        <v>33.0</v>
      </c>
      <c r="V45" s="19">
        <v>20.0</v>
      </c>
      <c r="W45" s="13">
        <f t="shared" ref="W45:W47" si="15">SUM(E45:V45)</f>
        <v>600</v>
      </c>
    </row>
    <row r="46" ht="12.75" customHeight="1">
      <c r="A46" s="18"/>
      <c r="B46" s="49">
        <v>2.0</v>
      </c>
      <c r="C46" s="50" t="s">
        <v>37</v>
      </c>
      <c r="D46" s="16"/>
      <c r="E46" s="19">
        <v>142.0</v>
      </c>
      <c r="F46" s="19">
        <v>155.0</v>
      </c>
      <c r="G46" s="19">
        <v>132.0</v>
      </c>
      <c r="H46" s="19">
        <v>136.0</v>
      </c>
      <c r="I46" s="19">
        <v>121.0</v>
      </c>
      <c r="J46" s="19">
        <v>138.0</v>
      </c>
      <c r="K46" s="19">
        <v>100.0</v>
      </c>
      <c r="L46" s="19">
        <v>155.0</v>
      </c>
      <c r="M46" s="19">
        <v>111.0</v>
      </c>
      <c r="N46" s="19">
        <v>121.0</v>
      </c>
      <c r="O46" s="19">
        <v>77.0</v>
      </c>
      <c r="P46" s="19">
        <v>164.0</v>
      </c>
      <c r="Q46" s="19">
        <v>137.0</v>
      </c>
      <c r="R46" s="19">
        <v>145.0</v>
      </c>
      <c r="S46" s="19">
        <v>145.0</v>
      </c>
      <c r="T46" s="19">
        <v>161.0</v>
      </c>
      <c r="U46" s="19">
        <v>128.0</v>
      </c>
      <c r="V46" s="19">
        <v>133.0</v>
      </c>
      <c r="W46" s="13">
        <f t="shared" si="15"/>
        <v>2401</v>
      </c>
    </row>
    <row r="47" ht="12.75" customHeight="1">
      <c r="A47" s="47"/>
      <c r="B47" s="49">
        <v>3.0</v>
      </c>
      <c r="C47" s="50" t="s">
        <v>38</v>
      </c>
      <c r="D47" s="16"/>
      <c r="E47" s="19">
        <v>41.0</v>
      </c>
      <c r="F47" s="19">
        <v>43.0</v>
      </c>
      <c r="G47" s="19">
        <v>48.0</v>
      </c>
      <c r="H47" s="19">
        <v>46.0</v>
      </c>
      <c r="I47" s="19">
        <v>47.0</v>
      </c>
      <c r="J47" s="19">
        <v>54.0</v>
      </c>
      <c r="K47" s="19">
        <v>11.0</v>
      </c>
      <c r="L47" s="19">
        <v>26.0</v>
      </c>
      <c r="M47" s="19">
        <v>20.0</v>
      </c>
      <c r="N47" s="19">
        <v>37.0</v>
      </c>
      <c r="O47" s="19">
        <v>27.0</v>
      </c>
      <c r="P47" s="19">
        <v>36.0</v>
      </c>
      <c r="Q47" s="19">
        <v>28.0</v>
      </c>
      <c r="R47" s="19">
        <v>41.0</v>
      </c>
      <c r="S47" s="19">
        <v>54.0</v>
      </c>
      <c r="T47" s="19">
        <v>29.0</v>
      </c>
      <c r="U47" s="19">
        <v>46.0</v>
      </c>
      <c r="V47" s="19">
        <v>34.0</v>
      </c>
      <c r="W47" s="13">
        <f t="shared" si="15"/>
        <v>668</v>
      </c>
    </row>
    <row r="48" ht="12.75" customHeight="1"/>
    <row r="49" ht="12.75" customHeight="1">
      <c r="A49" s="44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3"/>
      <c r="O49" s="13"/>
      <c r="P49" s="13"/>
      <c r="Q49" s="13"/>
      <c r="R49" s="13"/>
      <c r="S49" s="63"/>
      <c r="T49" s="13"/>
      <c r="U49" s="13"/>
      <c r="V49" s="13"/>
      <c r="W49" s="13"/>
    </row>
    <row r="50" ht="12.75" customHeight="1">
      <c r="A50" s="44"/>
      <c r="B50" s="56" t="s">
        <v>41</v>
      </c>
      <c r="C50" s="57" t="s">
        <v>42</v>
      </c>
      <c r="D50" s="16"/>
      <c r="E50" s="19">
        <f t="shared" ref="E50:V50" si="16">SUM(E45:E47)</f>
        <v>218</v>
      </c>
      <c r="F50" s="19">
        <f t="shared" si="16"/>
        <v>227</v>
      </c>
      <c r="G50" s="19">
        <f t="shared" si="16"/>
        <v>203</v>
      </c>
      <c r="H50" s="19">
        <f t="shared" si="16"/>
        <v>211</v>
      </c>
      <c r="I50" s="19">
        <f t="shared" si="16"/>
        <v>200</v>
      </c>
      <c r="J50" s="19">
        <f t="shared" si="16"/>
        <v>225</v>
      </c>
      <c r="K50" s="19">
        <f t="shared" si="16"/>
        <v>121</v>
      </c>
      <c r="L50" s="19">
        <f t="shared" si="16"/>
        <v>215</v>
      </c>
      <c r="M50" s="19">
        <f t="shared" si="16"/>
        <v>190</v>
      </c>
      <c r="N50" s="19">
        <f t="shared" si="16"/>
        <v>215</v>
      </c>
      <c r="O50" s="19">
        <f t="shared" si="16"/>
        <v>140</v>
      </c>
      <c r="P50" s="19">
        <f t="shared" si="16"/>
        <v>239</v>
      </c>
      <c r="Q50" s="19">
        <f t="shared" si="16"/>
        <v>222</v>
      </c>
      <c r="R50" s="19">
        <f t="shared" si="16"/>
        <v>213</v>
      </c>
      <c r="S50" s="19">
        <f t="shared" si="16"/>
        <v>220</v>
      </c>
      <c r="T50" s="19">
        <f t="shared" si="16"/>
        <v>216</v>
      </c>
      <c r="U50" s="19">
        <f t="shared" si="16"/>
        <v>207</v>
      </c>
      <c r="V50" s="19">
        <f t="shared" si="16"/>
        <v>187</v>
      </c>
      <c r="W50" s="13">
        <f t="shared" ref="W50:W52" si="17">SUM(E50:V50)</f>
        <v>3669</v>
      </c>
    </row>
    <row r="51" ht="12.75" customHeight="1">
      <c r="A51" s="36"/>
      <c r="B51" s="56" t="s">
        <v>43</v>
      </c>
      <c r="C51" s="57" t="s">
        <v>44</v>
      </c>
      <c r="D51" s="16"/>
      <c r="E51" s="19">
        <v>10.0</v>
      </c>
      <c r="F51" s="19">
        <v>5.0</v>
      </c>
      <c r="G51" s="19">
        <v>4.0</v>
      </c>
      <c r="H51" s="19">
        <v>4.0</v>
      </c>
      <c r="I51" s="19">
        <v>8.0</v>
      </c>
      <c r="J51" s="19">
        <v>4.0</v>
      </c>
      <c r="K51" s="19">
        <v>9.0</v>
      </c>
      <c r="L51" s="19">
        <v>13.0</v>
      </c>
      <c r="M51" s="19">
        <v>3.0</v>
      </c>
      <c r="N51" s="19">
        <v>6.0</v>
      </c>
      <c r="O51" s="19">
        <v>0.0</v>
      </c>
      <c r="P51" s="19">
        <v>11.0</v>
      </c>
      <c r="Q51" s="19">
        <v>7.0</v>
      </c>
      <c r="R51" s="19">
        <v>15.0</v>
      </c>
      <c r="S51" s="19">
        <v>9.0</v>
      </c>
      <c r="T51" s="19">
        <v>8.0</v>
      </c>
      <c r="U51" s="19">
        <v>3.0</v>
      </c>
      <c r="V51" s="19">
        <v>1.0</v>
      </c>
      <c r="W51" s="13">
        <f t="shared" si="17"/>
        <v>120</v>
      </c>
    </row>
    <row r="52" ht="12.75" customHeight="1">
      <c r="A52" s="43"/>
      <c r="B52" s="56" t="s">
        <v>45</v>
      </c>
      <c r="C52" s="57" t="s">
        <v>46</v>
      </c>
      <c r="D52" s="16"/>
      <c r="E52" s="13">
        <f t="shared" ref="E52:V52" si="18">SUM(E50:E51)</f>
        <v>228</v>
      </c>
      <c r="F52" s="13">
        <f t="shared" si="18"/>
        <v>232</v>
      </c>
      <c r="G52" s="13">
        <f t="shared" si="18"/>
        <v>207</v>
      </c>
      <c r="H52" s="13">
        <f t="shared" si="18"/>
        <v>215</v>
      </c>
      <c r="I52" s="13">
        <f t="shared" si="18"/>
        <v>208</v>
      </c>
      <c r="J52" s="13">
        <f t="shared" si="18"/>
        <v>229</v>
      </c>
      <c r="K52" s="13">
        <f t="shared" si="18"/>
        <v>130</v>
      </c>
      <c r="L52" s="13">
        <f t="shared" si="18"/>
        <v>228</v>
      </c>
      <c r="M52" s="13">
        <f t="shared" si="18"/>
        <v>193</v>
      </c>
      <c r="N52" s="13">
        <f t="shared" si="18"/>
        <v>221</v>
      </c>
      <c r="O52" s="13">
        <f t="shared" si="18"/>
        <v>140</v>
      </c>
      <c r="P52" s="13">
        <f t="shared" si="18"/>
        <v>250</v>
      </c>
      <c r="Q52" s="13">
        <f t="shared" si="18"/>
        <v>229</v>
      </c>
      <c r="R52" s="13">
        <f t="shared" si="18"/>
        <v>228</v>
      </c>
      <c r="S52" s="13">
        <f t="shared" si="18"/>
        <v>229</v>
      </c>
      <c r="T52" s="13">
        <f t="shared" si="18"/>
        <v>224</v>
      </c>
      <c r="U52" s="13">
        <f t="shared" si="18"/>
        <v>210</v>
      </c>
      <c r="V52" s="13">
        <f t="shared" si="18"/>
        <v>188</v>
      </c>
      <c r="W52" s="13">
        <f t="shared" si="17"/>
        <v>3789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W12:W13"/>
    <mergeCell ref="B13:D13"/>
    <mergeCell ref="B14:C16"/>
    <mergeCell ref="A17:D17"/>
    <mergeCell ref="B18:D18"/>
    <mergeCell ref="E12:V12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V15 E45:V47">
    <cfRule type="containsBlanks" dxfId="1" priority="1">
      <formula>LEN(TRIM(E14))=0</formula>
    </cfRule>
  </conditionalFormatting>
  <conditionalFormatting sqref="E19:V20">
    <cfRule type="containsBlanks" dxfId="1" priority="2">
      <formula>LEN(TRIM(E19))=0</formula>
    </cfRule>
  </conditionalFormatting>
  <conditionalFormatting sqref="E22:V23 E25:V26 E33:V33 E35:V35 E39:V40">
    <cfRule type="containsBlanks" dxfId="1" priority="3">
      <formula>LEN(TRIM(E22))=0</formula>
    </cfRule>
  </conditionalFormatting>
  <conditionalFormatting sqref="E30:V30">
    <cfRule type="expression" dxfId="0" priority="4">
      <formula>E30&lt;&gt;E46</formula>
    </cfRule>
  </conditionalFormatting>
  <conditionalFormatting sqref="E30:V30">
    <cfRule type="expression" dxfId="0" priority="5">
      <formula>E30&lt;&gt;E34</formula>
    </cfRule>
  </conditionalFormatting>
  <conditionalFormatting sqref="E34:V34">
    <cfRule type="expression" dxfId="2" priority="6">
      <formula>E30&lt;&gt;E34</formula>
    </cfRule>
  </conditionalFormatting>
  <conditionalFormatting sqref="E34:V34">
    <cfRule type="expression" dxfId="3" priority="7">
      <formula>E30=E34</formula>
    </cfRule>
  </conditionalFormatting>
  <conditionalFormatting sqref="E34:V34">
    <cfRule type="expression" dxfId="0" priority="8">
      <formula>E34&lt;&gt;E30</formula>
    </cfRule>
  </conditionalFormatting>
  <conditionalFormatting sqref="E34:V34">
    <cfRule type="expression" dxfId="0" priority="9">
      <formula>E34&lt;&gt;#REF!</formula>
    </cfRule>
  </conditionalFormatting>
  <conditionalFormatting sqref="E50:V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5</v>
      </c>
      <c r="B12" s="14" t="s">
        <v>6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0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13" t="s">
        <v>61</v>
      </c>
      <c r="S13" s="13" t="s">
        <v>62</v>
      </c>
      <c r="T13" s="37"/>
    </row>
    <row r="14" ht="12.75" customHeight="1">
      <c r="A14" s="18"/>
      <c r="B14" s="22" t="s">
        <v>10</v>
      </c>
      <c r="C14" s="23"/>
      <c r="D14" s="19" t="s">
        <v>11</v>
      </c>
      <c r="E14" s="19">
        <v>150.0</v>
      </c>
      <c r="F14" s="19">
        <v>126.0</v>
      </c>
      <c r="G14" s="19">
        <v>151.0</v>
      </c>
      <c r="H14" s="19">
        <v>146.0</v>
      </c>
      <c r="I14" s="19">
        <v>147.0</v>
      </c>
      <c r="J14" s="19">
        <v>147.0</v>
      </c>
      <c r="K14" s="19">
        <v>134.0</v>
      </c>
      <c r="L14" s="19">
        <v>115.0</v>
      </c>
      <c r="M14" s="19">
        <v>105.0</v>
      </c>
      <c r="N14" s="19">
        <v>127.0</v>
      </c>
      <c r="O14" s="19">
        <v>113.0</v>
      </c>
      <c r="P14" s="19">
        <v>124.0</v>
      </c>
      <c r="Q14" s="19">
        <v>140.0</v>
      </c>
      <c r="R14" s="19">
        <v>138.0</v>
      </c>
      <c r="S14" s="19">
        <v>121.0</v>
      </c>
      <c r="T14" s="13">
        <f t="shared" ref="T14:T16" si="1">SUM(E14:S14)</f>
        <v>1984</v>
      </c>
    </row>
    <row r="15" ht="12.75" customHeight="1">
      <c r="A15" s="18"/>
      <c r="B15" s="26"/>
      <c r="C15" s="27"/>
      <c r="D15" s="19" t="s">
        <v>12</v>
      </c>
      <c r="E15" s="19">
        <v>145.0</v>
      </c>
      <c r="F15" s="19">
        <v>109.0</v>
      </c>
      <c r="G15" s="19">
        <v>135.0</v>
      </c>
      <c r="H15" s="19">
        <v>151.0</v>
      </c>
      <c r="I15" s="19">
        <v>143.0</v>
      </c>
      <c r="J15" s="19">
        <v>147.0</v>
      </c>
      <c r="K15" s="19">
        <v>124.0</v>
      </c>
      <c r="L15" s="19">
        <v>105.0</v>
      </c>
      <c r="M15" s="19">
        <v>103.0</v>
      </c>
      <c r="N15" s="19">
        <v>116.0</v>
      </c>
      <c r="O15" s="19">
        <v>115.0</v>
      </c>
      <c r="P15" s="19">
        <v>111.0</v>
      </c>
      <c r="Q15" s="19">
        <v>145.0</v>
      </c>
      <c r="R15" s="19">
        <v>158.0</v>
      </c>
      <c r="S15" s="19">
        <v>137.0</v>
      </c>
      <c r="T15" s="13">
        <f t="shared" si="1"/>
        <v>1944</v>
      </c>
    </row>
    <row r="16" ht="12.75" customHeight="1">
      <c r="A16" s="25"/>
      <c r="B16" s="21"/>
      <c r="C16" s="28"/>
      <c r="D16" s="13" t="s">
        <v>13</v>
      </c>
      <c r="E16" s="13">
        <f t="shared" ref="E16:S16" si="2">SUM(E14:E15)</f>
        <v>295</v>
      </c>
      <c r="F16" s="13">
        <f t="shared" si="2"/>
        <v>235</v>
      </c>
      <c r="G16" s="13">
        <f t="shared" si="2"/>
        <v>286</v>
      </c>
      <c r="H16" s="13">
        <f t="shared" si="2"/>
        <v>297</v>
      </c>
      <c r="I16" s="13">
        <f t="shared" si="2"/>
        <v>290</v>
      </c>
      <c r="J16" s="13">
        <f t="shared" si="2"/>
        <v>294</v>
      </c>
      <c r="K16" s="13">
        <f t="shared" si="2"/>
        <v>258</v>
      </c>
      <c r="L16" s="13">
        <f t="shared" si="2"/>
        <v>220</v>
      </c>
      <c r="M16" s="13">
        <f t="shared" si="2"/>
        <v>208</v>
      </c>
      <c r="N16" s="13">
        <f t="shared" si="2"/>
        <v>243</v>
      </c>
      <c r="O16" s="13">
        <f t="shared" si="2"/>
        <v>228</v>
      </c>
      <c r="P16" s="13">
        <f t="shared" si="2"/>
        <v>235</v>
      </c>
      <c r="Q16" s="13">
        <f t="shared" si="2"/>
        <v>285</v>
      </c>
      <c r="R16" s="13">
        <f t="shared" si="2"/>
        <v>296</v>
      </c>
      <c r="S16" s="13">
        <f t="shared" si="2"/>
        <v>258</v>
      </c>
      <c r="T16" s="13">
        <f t="shared" si="1"/>
        <v>3928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62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62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19">
        <v>117.0</v>
      </c>
      <c r="F19" s="19">
        <v>104.0</v>
      </c>
      <c r="G19" s="19">
        <v>116.0</v>
      </c>
      <c r="H19" s="19">
        <v>116.0</v>
      </c>
      <c r="I19" s="19">
        <v>116.0</v>
      </c>
      <c r="J19" s="19">
        <v>116.0</v>
      </c>
      <c r="K19" s="19">
        <v>111.0</v>
      </c>
      <c r="L19" s="19">
        <v>83.0</v>
      </c>
      <c r="M19" s="19">
        <v>85.0</v>
      </c>
      <c r="N19" s="19">
        <v>113.0</v>
      </c>
      <c r="O19" s="19">
        <v>100.0</v>
      </c>
      <c r="P19" s="19">
        <v>102.0</v>
      </c>
      <c r="Q19" s="19">
        <v>121.0</v>
      </c>
      <c r="R19" s="19">
        <v>134.0</v>
      </c>
      <c r="S19" s="19">
        <v>96.0</v>
      </c>
      <c r="T19" s="13">
        <f t="shared" ref="T19:T30" si="3">SUM(E19:S19)</f>
        <v>1630</v>
      </c>
    </row>
    <row r="20" ht="12.75" customHeight="1">
      <c r="A20" s="34"/>
      <c r="B20" s="27"/>
      <c r="C20" s="35"/>
      <c r="D20" s="19" t="s">
        <v>12</v>
      </c>
      <c r="E20" s="19">
        <v>124.0</v>
      </c>
      <c r="F20" s="19">
        <v>96.0</v>
      </c>
      <c r="G20" s="19">
        <v>108.0</v>
      </c>
      <c r="H20" s="19">
        <v>122.0</v>
      </c>
      <c r="I20" s="19">
        <v>119.0</v>
      </c>
      <c r="J20" s="19">
        <v>118.0</v>
      </c>
      <c r="K20" s="19">
        <v>106.0</v>
      </c>
      <c r="L20" s="19">
        <v>88.0</v>
      </c>
      <c r="M20" s="19">
        <v>89.0</v>
      </c>
      <c r="N20" s="19">
        <v>105.0</v>
      </c>
      <c r="O20" s="19">
        <v>103.0</v>
      </c>
      <c r="P20" s="19">
        <v>96.0</v>
      </c>
      <c r="Q20" s="19">
        <v>115.0</v>
      </c>
      <c r="R20" s="19">
        <v>148.0</v>
      </c>
      <c r="S20" s="19">
        <v>98.0</v>
      </c>
      <c r="T20" s="13">
        <f t="shared" si="3"/>
        <v>1635</v>
      </c>
    </row>
    <row r="21" ht="12.75" customHeight="1">
      <c r="A21" s="36"/>
      <c r="B21" s="28"/>
      <c r="C21" s="37"/>
      <c r="D21" s="13" t="s">
        <v>13</v>
      </c>
      <c r="E21" s="13">
        <f t="shared" ref="E21:S21" si="4">SUM(E19:E20)</f>
        <v>241</v>
      </c>
      <c r="F21" s="13">
        <f t="shared" si="4"/>
        <v>200</v>
      </c>
      <c r="G21" s="13">
        <f t="shared" si="4"/>
        <v>224</v>
      </c>
      <c r="H21" s="13">
        <f t="shared" si="4"/>
        <v>238</v>
      </c>
      <c r="I21" s="13">
        <f t="shared" si="4"/>
        <v>235</v>
      </c>
      <c r="J21" s="13">
        <f t="shared" si="4"/>
        <v>234</v>
      </c>
      <c r="K21" s="13">
        <f t="shared" si="4"/>
        <v>217</v>
      </c>
      <c r="L21" s="13">
        <f t="shared" si="4"/>
        <v>171</v>
      </c>
      <c r="M21" s="13">
        <f t="shared" si="4"/>
        <v>174</v>
      </c>
      <c r="N21" s="13">
        <f t="shared" si="4"/>
        <v>218</v>
      </c>
      <c r="O21" s="13">
        <f t="shared" si="4"/>
        <v>203</v>
      </c>
      <c r="P21" s="13">
        <f t="shared" si="4"/>
        <v>198</v>
      </c>
      <c r="Q21" s="13">
        <f t="shared" si="4"/>
        <v>236</v>
      </c>
      <c r="R21" s="13">
        <f t="shared" si="4"/>
        <v>282</v>
      </c>
      <c r="S21" s="13">
        <f t="shared" si="4"/>
        <v>194</v>
      </c>
      <c r="T21" s="13">
        <f t="shared" si="3"/>
        <v>3265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1.0</v>
      </c>
      <c r="K22" s="19">
        <v>1.0</v>
      </c>
      <c r="L22" s="19">
        <v>2.0</v>
      </c>
      <c r="M22" s="19">
        <v>1.0</v>
      </c>
      <c r="N22" s="19">
        <v>1.0</v>
      </c>
      <c r="O22" s="19">
        <v>1.0</v>
      </c>
      <c r="P22" s="19">
        <v>0.0</v>
      </c>
      <c r="Q22" s="19">
        <v>1.0</v>
      </c>
      <c r="R22" s="19">
        <v>0.0</v>
      </c>
      <c r="S22" s="19">
        <v>1.0</v>
      </c>
      <c r="T22" s="13">
        <f t="shared" si="3"/>
        <v>10</v>
      </c>
    </row>
    <row r="23" ht="12.75" customHeight="1">
      <c r="A23" s="34"/>
      <c r="B23" s="27"/>
      <c r="C23" s="35"/>
      <c r="D23" s="19" t="s">
        <v>12</v>
      </c>
      <c r="E23" s="19">
        <v>0.0</v>
      </c>
      <c r="F23" s="19">
        <v>0.0</v>
      </c>
      <c r="G23" s="19">
        <v>1.0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3">
        <f t="shared" si="3"/>
        <v>2</v>
      </c>
    </row>
    <row r="24" ht="12.75" customHeight="1">
      <c r="A24" s="36"/>
      <c r="B24" s="28"/>
      <c r="C24" s="37"/>
      <c r="D24" s="13" t="s">
        <v>13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2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1</v>
      </c>
      <c r="R24" s="13">
        <f t="shared" si="5"/>
        <v>0</v>
      </c>
      <c r="S24" s="13">
        <f t="shared" si="5"/>
        <v>1</v>
      </c>
      <c r="T24" s="13">
        <f t="shared" si="3"/>
        <v>12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19">
        <v>0.0</v>
      </c>
      <c r="F25" s="19">
        <v>0.0</v>
      </c>
      <c r="G25" s="19">
        <v>2.0</v>
      </c>
      <c r="H25" s="19">
        <v>1.0</v>
      </c>
      <c r="I25" s="19">
        <v>0.0</v>
      </c>
      <c r="J25" s="19">
        <v>0.0</v>
      </c>
      <c r="K25" s="19">
        <v>1.0</v>
      </c>
      <c r="L25" s="19">
        <v>1.0</v>
      </c>
      <c r="M25" s="19">
        <v>0.0</v>
      </c>
      <c r="N25" s="19">
        <v>1.0</v>
      </c>
      <c r="O25" s="19">
        <v>1.0</v>
      </c>
      <c r="P25" s="19">
        <v>0.0</v>
      </c>
      <c r="Q25" s="19">
        <v>1.0</v>
      </c>
      <c r="R25" s="19">
        <v>2.0</v>
      </c>
      <c r="S25" s="19">
        <v>0.0</v>
      </c>
      <c r="T25" s="13">
        <f t="shared" si="3"/>
        <v>10</v>
      </c>
    </row>
    <row r="26" ht="12.75" customHeight="1">
      <c r="A26" s="34"/>
      <c r="B26" s="27"/>
      <c r="C26" s="35"/>
      <c r="D26" s="19" t="s">
        <v>12</v>
      </c>
      <c r="E26" s="19">
        <v>2.0</v>
      </c>
      <c r="F26" s="19">
        <v>1.0</v>
      </c>
      <c r="G26" s="19">
        <v>1.0</v>
      </c>
      <c r="H26" s="19">
        <v>1.0</v>
      </c>
      <c r="I26" s="19">
        <v>2.0</v>
      </c>
      <c r="J26" s="19">
        <v>1.0</v>
      </c>
      <c r="K26" s="19">
        <v>1.0</v>
      </c>
      <c r="L26" s="19">
        <v>2.0</v>
      </c>
      <c r="M26" s="19">
        <v>1.0</v>
      </c>
      <c r="N26" s="19">
        <v>2.0</v>
      </c>
      <c r="O26" s="19">
        <v>1.0</v>
      </c>
      <c r="P26" s="19">
        <v>1.0</v>
      </c>
      <c r="Q26" s="19">
        <v>0.0</v>
      </c>
      <c r="R26" s="19">
        <v>0.0</v>
      </c>
      <c r="S26" s="19">
        <v>1.0</v>
      </c>
      <c r="T26" s="13">
        <f t="shared" si="3"/>
        <v>17</v>
      </c>
    </row>
    <row r="27" ht="12.75" customHeight="1">
      <c r="A27" s="36"/>
      <c r="B27" s="28"/>
      <c r="C27" s="37"/>
      <c r="D27" s="13" t="s">
        <v>13</v>
      </c>
      <c r="E27" s="13">
        <f t="shared" ref="E27:S27" si="6">SUM(E25:E26)</f>
        <v>2</v>
      </c>
      <c r="F27" s="13">
        <f t="shared" si="6"/>
        <v>1</v>
      </c>
      <c r="G27" s="13">
        <f t="shared" si="6"/>
        <v>3</v>
      </c>
      <c r="H27" s="13">
        <f t="shared" si="6"/>
        <v>2</v>
      </c>
      <c r="I27" s="13">
        <f t="shared" si="6"/>
        <v>2</v>
      </c>
      <c r="J27" s="13">
        <f t="shared" si="6"/>
        <v>1</v>
      </c>
      <c r="K27" s="13">
        <f t="shared" si="6"/>
        <v>2</v>
      </c>
      <c r="L27" s="13">
        <f t="shared" si="6"/>
        <v>3</v>
      </c>
      <c r="M27" s="13">
        <f t="shared" si="6"/>
        <v>1</v>
      </c>
      <c r="N27" s="13">
        <f t="shared" si="6"/>
        <v>3</v>
      </c>
      <c r="O27" s="13">
        <f t="shared" si="6"/>
        <v>2</v>
      </c>
      <c r="P27" s="13">
        <f t="shared" si="6"/>
        <v>1</v>
      </c>
      <c r="Q27" s="13">
        <f t="shared" si="6"/>
        <v>1</v>
      </c>
      <c r="R27" s="13">
        <f t="shared" si="6"/>
        <v>2</v>
      </c>
      <c r="S27" s="13">
        <f t="shared" si="6"/>
        <v>1</v>
      </c>
      <c r="T27" s="13">
        <f t="shared" si="3"/>
        <v>27</v>
      </c>
    </row>
    <row r="28" ht="12.75" customHeight="1">
      <c r="A28" s="36"/>
      <c r="B28" s="39" t="s">
        <v>22</v>
      </c>
      <c r="C28" s="40" t="s">
        <v>23</v>
      </c>
      <c r="D28" s="13" t="s">
        <v>11</v>
      </c>
      <c r="E28" s="13">
        <f t="shared" ref="E28:S28" si="7">SUM(E19,E22,E25)</f>
        <v>117</v>
      </c>
      <c r="F28" s="13">
        <f t="shared" si="7"/>
        <v>104</v>
      </c>
      <c r="G28" s="13">
        <f t="shared" si="7"/>
        <v>118</v>
      </c>
      <c r="H28" s="13">
        <f t="shared" si="7"/>
        <v>117</v>
      </c>
      <c r="I28" s="13">
        <f t="shared" si="7"/>
        <v>117</v>
      </c>
      <c r="J28" s="13">
        <f t="shared" si="7"/>
        <v>117</v>
      </c>
      <c r="K28" s="13">
        <f t="shared" si="7"/>
        <v>113</v>
      </c>
      <c r="L28" s="13">
        <f t="shared" si="7"/>
        <v>86</v>
      </c>
      <c r="M28" s="13">
        <f t="shared" si="7"/>
        <v>86</v>
      </c>
      <c r="N28" s="13">
        <f t="shared" si="7"/>
        <v>115</v>
      </c>
      <c r="O28" s="13">
        <f t="shared" si="7"/>
        <v>102</v>
      </c>
      <c r="P28" s="13">
        <f t="shared" si="7"/>
        <v>102</v>
      </c>
      <c r="Q28" s="13">
        <f t="shared" si="7"/>
        <v>123</v>
      </c>
      <c r="R28" s="13">
        <f t="shared" si="7"/>
        <v>136</v>
      </c>
      <c r="S28" s="13">
        <f t="shared" si="7"/>
        <v>97</v>
      </c>
      <c r="T28" s="13">
        <f t="shared" si="3"/>
        <v>1650</v>
      </c>
    </row>
    <row r="29" ht="12.75" customHeight="1">
      <c r="A29" s="36"/>
      <c r="B29" s="27"/>
      <c r="C29" s="35"/>
      <c r="D29" s="13" t="s">
        <v>12</v>
      </c>
      <c r="E29" s="13">
        <f t="shared" ref="E29:S29" si="8">SUM(E20,E23,E26)</f>
        <v>126</v>
      </c>
      <c r="F29" s="13">
        <f t="shared" si="8"/>
        <v>97</v>
      </c>
      <c r="G29" s="13">
        <f t="shared" si="8"/>
        <v>110</v>
      </c>
      <c r="H29" s="13">
        <f t="shared" si="8"/>
        <v>123</v>
      </c>
      <c r="I29" s="13">
        <f t="shared" si="8"/>
        <v>121</v>
      </c>
      <c r="J29" s="13">
        <f t="shared" si="8"/>
        <v>119</v>
      </c>
      <c r="K29" s="13">
        <f t="shared" si="8"/>
        <v>107</v>
      </c>
      <c r="L29" s="13">
        <f t="shared" si="8"/>
        <v>90</v>
      </c>
      <c r="M29" s="13">
        <f t="shared" si="8"/>
        <v>90</v>
      </c>
      <c r="N29" s="13">
        <f t="shared" si="8"/>
        <v>107</v>
      </c>
      <c r="O29" s="13">
        <f t="shared" si="8"/>
        <v>104</v>
      </c>
      <c r="P29" s="13">
        <f t="shared" si="8"/>
        <v>98</v>
      </c>
      <c r="Q29" s="13">
        <f t="shared" si="8"/>
        <v>115</v>
      </c>
      <c r="R29" s="13">
        <f t="shared" si="8"/>
        <v>148</v>
      </c>
      <c r="S29" s="13">
        <f t="shared" si="8"/>
        <v>99</v>
      </c>
      <c r="T29" s="13">
        <f t="shared" si="3"/>
        <v>1654</v>
      </c>
    </row>
    <row r="30" ht="12.75" customHeight="1">
      <c r="A30" s="36"/>
      <c r="B30" s="28"/>
      <c r="C30" s="37"/>
      <c r="D30" s="13" t="s">
        <v>13</v>
      </c>
      <c r="E30" s="13">
        <f t="shared" ref="E30:S30" si="9">SUM(E28:E29)</f>
        <v>243</v>
      </c>
      <c r="F30" s="13">
        <f t="shared" si="9"/>
        <v>201</v>
      </c>
      <c r="G30" s="13">
        <f t="shared" si="9"/>
        <v>228</v>
      </c>
      <c r="H30" s="13">
        <f t="shared" si="9"/>
        <v>240</v>
      </c>
      <c r="I30" s="13">
        <f t="shared" si="9"/>
        <v>238</v>
      </c>
      <c r="J30" s="13">
        <f t="shared" si="9"/>
        <v>236</v>
      </c>
      <c r="K30" s="13">
        <f t="shared" si="9"/>
        <v>220</v>
      </c>
      <c r="L30" s="13">
        <f t="shared" si="9"/>
        <v>176</v>
      </c>
      <c r="M30" s="13">
        <f t="shared" si="9"/>
        <v>176</v>
      </c>
      <c r="N30" s="13">
        <f t="shared" si="9"/>
        <v>222</v>
      </c>
      <c r="O30" s="13">
        <f t="shared" si="9"/>
        <v>206</v>
      </c>
      <c r="P30" s="13">
        <f t="shared" si="9"/>
        <v>200</v>
      </c>
      <c r="Q30" s="13">
        <f t="shared" si="9"/>
        <v>238</v>
      </c>
      <c r="R30" s="13">
        <f t="shared" si="9"/>
        <v>284</v>
      </c>
      <c r="S30" s="13">
        <f t="shared" si="9"/>
        <v>196</v>
      </c>
      <c r="T30" s="13">
        <f t="shared" si="3"/>
        <v>3304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62"/>
    </row>
    <row r="32" ht="12.75" customHeight="1">
      <c r="A32" s="43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3"/>
      <c r="O32" s="13"/>
      <c r="P32" s="13"/>
      <c r="Q32" s="13"/>
      <c r="R32" s="13"/>
      <c r="S32" s="63"/>
      <c r="T32" s="62"/>
    </row>
    <row r="33" ht="12.75" customHeight="1">
      <c r="A33" s="19">
        <v>1.0</v>
      </c>
      <c r="B33" s="20" t="s">
        <v>26</v>
      </c>
      <c r="C33" s="15"/>
      <c r="D33" s="16"/>
      <c r="E33" s="19">
        <v>301.0</v>
      </c>
      <c r="F33" s="19">
        <v>240.0</v>
      </c>
      <c r="G33" s="19">
        <v>293.0</v>
      </c>
      <c r="H33" s="19">
        <v>303.0</v>
      </c>
      <c r="I33" s="19">
        <v>296.0</v>
      </c>
      <c r="J33" s="19">
        <v>296.0</v>
      </c>
      <c r="K33" s="19">
        <v>264.0</v>
      </c>
      <c r="L33" s="19">
        <v>225.0</v>
      </c>
      <c r="M33" s="19">
        <v>213.0</v>
      </c>
      <c r="N33" s="19">
        <v>248.0</v>
      </c>
      <c r="O33" s="19">
        <v>236.0</v>
      </c>
      <c r="P33" s="19">
        <v>240.0</v>
      </c>
      <c r="Q33" s="19">
        <v>291.0</v>
      </c>
      <c r="R33" s="19">
        <v>300.0</v>
      </c>
      <c r="S33" s="19">
        <v>262.0</v>
      </c>
      <c r="T33" s="13">
        <f t="shared" ref="T33:T36" si="10">SUM(E33:S33)</f>
        <v>4008</v>
      </c>
    </row>
    <row r="34" ht="12.75" customHeight="1">
      <c r="A34" s="19">
        <v>2.0</v>
      </c>
      <c r="B34" s="20" t="s">
        <v>27</v>
      </c>
      <c r="C34" s="15"/>
      <c r="D34" s="16"/>
      <c r="E34" s="13">
        <v>243.0</v>
      </c>
      <c r="F34" s="13">
        <v>201.0</v>
      </c>
      <c r="G34" s="13">
        <v>228.0</v>
      </c>
      <c r="H34" s="13">
        <v>240.0</v>
      </c>
      <c r="I34" s="13">
        <v>238.0</v>
      </c>
      <c r="J34" s="13">
        <v>236.0</v>
      </c>
      <c r="K34" s="13">
        <v>220.0</v>
      </c>
      <c r="L34" s="13">
        <v>176.0</v>
      </c>
      <c r="M34" s="13">
        <v>176.0</v>
      </c>
      <c r="N34" s="13">
        <v>222.0</v>
      </c>
      <c r="O34" s="13">
        <v>206.0</v>
      </c>
      <c r="P34" s="13">
        <v>200.0</v>
      </c>
      <c r="Q34" s="13">
        <v>238.0</v>
      </c>
      <c r="R34" s="13">
        <v>284.0</v>
      </c>
      <c r="S34" s="13">
        <v>196.0</v>
      </c>
      <c r="T34" s="13">
        <f t="shared" si="10"/>
        <v>3304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S36" si="11">E33-(E34+E35)</f>
        <v>58</v>
      </c>
      <c r="F36" s="13">
        <f t="shared" si="11"/>
        <v>39</v>
      </c>
      <c r="G36" s="13">
        <f t="shared" si="11"/>
        <v>65</v>
      </c>
      <c r="H36" s="13">
        <f t="shared" si="11"/>
        <v>63</v>
      </c>
      <c r="I36" s="13">
        <f t="shared" si="11"/>
        <v>58</v>
      </c>
      <c r="J36" s="13">
        <f t="shared" si="11"/>
        <v>60</v>
      </c>
      <c r="K36" s="13">
        <f t="shared" si="11"/>
        <v>44</v>
      </c>
      <c r="L36" s="13">
        <f t="shared" si="11"/>
        <v>49</v>
      </c>
      <c r="M36" s="13">
        <f t="shared" si="11"/>
        <v>37</v>
      </c>
      <c r="N36" s="13">
        <f t="shared" si="11"/>
        <v>26</v>
      </c>
      <c r="O36" s="13">
        <f t="shared" si="11"/>
        <v>29</v>
      </c>
      <c r="P36" s="13">
        <f t="shared" si="11"/>
        <v>40</v>
      </c>
      <c r="Q36" s="13">
        <f t="shared" si="11"/>
        <v>53</v>
      </c>
      <c r="R36" s="13">
        <f t="shared" si="11"/>
        <v>16</v>
      </c>
      <c r="S36" s="13">
        <f t="shared" si="11"/>
        <v>66</v>
      </c>
      <c r="T36" s="13">
        <f t="shared" si="10"/>
        <v>703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62"/>
    </row>
    <row r="38" ht="12.75" customHeight="1">
      <c r="A38" s="44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3"/>
      <c r="O38" s="13"/>
      <c r="P38" s="13"/>
      <c r="Q38" s="13"/>
      <c r="R38" s="13"/>
      <c r="S38" s="63"/>
      <c r="T38" s="62"/>
    </row>
    <row r="39" ht="12.75" customHeight="1">
      <c r="A39" s="31"/>
      <c r="B39" s="45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3">
        <f t="shared" ref="T39:T41" si="12">SUM(E39:S39)</f>
        <v>1</v>
      </c>
    </row>
    <row r="40" ht="12.75" customHeight="1">
      <c r="A40" s="34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1.0</v>
      </c>
      <c r="P40" s="19">
        <v>0.0</v>
      </c>
      <c r="Q40" s="19">
        <v>0.0</v>
      </c>
      <c r="R40" s="19">
        <v>0.0</v>
      </c>
      <c r="S40" s="19">
        <v>1.0</v>
      </c>
      <c r="T40" s="13">
        <f t="shared" si="12"/>
        <v>2</v>
      </c>
    </row>
    <row r="41" ht="12.75" customHeight="1">
      <c r="A41" s="43"/>
      <c r="B41" s="46"/>
      <c r="C41" s="28"/>
      <c r="D41" s="13" t="s">
        <v>13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2"/>
        <v>3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3"/>
    </row>
    <row r="43" ht="12.75" customHeight="1">
      <c r="A43" s="44" t="s">
        <v>33</v>
      </c>
      <c r="B43" s="14" t="s">
        <v>34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3"/>
      <c r="O43" s="13"/>
      <c r="P43" s="13"/>
      <c r="Q43" s="13"/>
      <c r="R43" s="13"/>
      <c r="S43" s="63"/>
      <c r="T43" s="13"/>
    </row>
    <row r="44" ht="12.75" customHeight="1">
      <c r="A44" s="45" t="s">
        <v>35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3"/>
    </row>
    <row r="45" ht="12.75" customHeight="1">
      <c r="A45" s="64"/>
      <c r="B45" s="49">
        <v>1.0</v>
      </c>
      <c r="C45" s="50" t="s">
        <v>36</v>
      </c>
      <c r="D45" s="16"/>
      <c r="E45" s="19">
        <v>30.0</v>
      </c>
      <c r="F45" s="19">
        <v>24.0</v>
      </c>
      <c r="G45" s="19">
        <v>28.0</v>
      </c>
      <c r="H45" s="19">
        <v>35.0</v>
      </c>
      <c r="I45" s="19">
        <v>33.0</v>
      </c>
      <c r="J45" s="19">
        <v>20.0</v>
      </c>
      <c r="K45" s="19">
        <v>19.0</v>
      </c>
      <c r="L45" s="19">
        <v>46.0</v>
      </c>
      <c r="M45" s="19">
        <v>32.0</v>
      </c>
      <c r="N45" s="19">
        <v>31.0</v>
      </c>
      <c r="O45" s="19">
        <v>27.0</v>
      </c>
      <c r="P45" s="19">
        <v>32.0</v>
      </c>
      <c r="Q45" s="19">
        <v>57.0</v>
      </c>
      <c r="R45" s="19">
        <v>82.0</v>
      </c>
      <c r="S45" s="19">
        <v>14.0</v>
      </c>
      <c r="T45" s="13">
        <f t="shared" ref="T45:T47" si="14">SUM(E45:S45)</f>
        <v>510</v>
      </c>
    </row>
    <row r="46" ht="12.75" customHeight="1">
      <c r="A46" s="18"/>
      <c r="B46" s="49">
        <v>2.0</v>
      </c>
      <c r="C46" s="50" t="s">
        <v>37</v>
      </c>
      <c r="D46" s="16"/>
      <c r="E46" s="19">
        <v>174.0</v>
      </c>
      <c r="F46" s="19">
        <v>151.0</v>
      </c>
      <c r="G46" s="19">
        <v>166.0</v>
      </c>
      <c r="H46" s="19">
        <v>160.0</v>
      </c>
      <c r="I46" s="19">
        <v>127.0</v>
      </c>
      <c r="J46" s="19">
        <v>153.0</v>
      </c>
      <c r="K46" s="19">
        <v>159.0</v>
      </c>
      <c r="L46" s="19">
        <v>98.0</v>
      </c>
      <c r="M46" s="19">
        <v>94.0</v>
      </c>
      <c r="N46" s="19">
        <v>96.0</v>
      </c>
      <c r="O46" s="19">
        <v>133.0</v>
      </c>
      <c r="P46" s="19">
        <v>103.0</v>
      </c>
      <c r="Q46" s="19">
        <v>142.0</v>
      </c>
      <c r="R46" s="19">
        <v>149.0</v>
      </c>
      <c r="S46" s="19">
        <v>133.0</v>
      </c>
      <c r="T46" s="13">
        <f t="shared" si="14"/>
        <v>2038</v>
      </c>
    </row>
    <row r="47" ht="12.75" customHeight="1">
      <c r="A47" s="47"/>
      <c r="B47" s="49">
        <v>3.0</v>
      </c>
      <c r="C47" s="50" t="s">
        <v>38</v>
      </c>
      <c r="D47" s="16"/>
      <c r="E47" s="19">
        <v>25.0</v>
      </c>
      <c r="F47" s="19">
        <v>19.0</v>
      </c>
      <c r="G47" s="19">
        <v>19.0</v>
      </c>
      <c r="H47" s="19">
        <v>36.0</v>
      </c>
      <c r="I47" s="19">
        <v>57.0</v>
      </c>
      <c r="J47" s="19">
        <v>55.0</v>
      </c>
      <c r="K47" s="19">
        <v>30.0</v>
      </c>
      <c r="L47" s="19">
        <v>30.0</v>
      </c>
      <c r="M47" s="19">
        <v>46.0</v>
      </c>
      <c r="N47" s="19">
        <v>80.0</v>
      </c>
      <c r="O47" s="19">
        <v>37.0</v>
      </c>
      <c r="P47" s="19">
        <v>51.0</v>
      </c>
      <c r="Q47" s="19">
        <v>33.0</v>
      </c>
      <c r="R47" s="19">
        <v>47.0</v>
      </c>
      <c r="S47" s="19">
        <v>39.0</v>
      </c>
      <c r="T47" s="13">
        <f t="shared" si="14"/>
        <v>604</v>
      </c>
    </row>
    <row r="48" ht="12.75" customHeight="1"/>
    <row r="49" ht="12.75" customHeight="1">
      <c r="A49" s="44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3"/>
      <c r="O49" s="13"/>
      <c r="P49" s="13"/>
      <c r="Q49" s="13"/>
      <c r="R49" s="13"/>
      <c r="S49" s="63"/>
      <c r="T49" s="13"/>
    </row>
    <row r="50" ht="12.75" customHeight="1">
      <c r="A50" s="44"/>
      <c r="B50" s="56" t="s">
        <v>41</v>
      </c>
      <c r="C50" s="57" t="s">
        <v>42</v>
      </c>
      <c r="D50" s="16"/>
      <c r="E50" s="19">
        <f t="shared" ref="E50:S50" si="15">SUM(E45:E47)</f>
        <v>229</v>
      </c>
      <c r="F50" s="19">
        <f t="shared" si="15"/>
        <v>194</v>
      </c>
      <c r="G50" s="19">
        <f t="shared" si="15"/>
        <v>213</v>
      </c>
      <c r="H50" s="19">
        <f t="shared" si="15"/>
        <v>231</v>
      </c>
      <c r="I50" s="19">
        <f t="shared" si="15"/>
        <v>217</v>
      </c>
      <c r="J50" s="19">
        <f t="shared" si="15"/>
        <v>228</v>
      </c>
      <c r="K50" s="19">
        <f t="shared" si="15"/>
        <v>208</v>
      </c>
      <c r="L50" s="19">
        <f t="shared" si="15"/>
        <v>174</v>
      </c>
      <c r="M50" s="19">
        <f t="shared" si="15"/>
        <v>172</v>
      </c>
      <c r="N50" s="19">
        <f t="shared" si="15"/>
        <v>207</v>
      </c>
      <c r="O50" s="19">
        <f t="shared" si="15"/>
        <v>197</v>
      </c>
      <c r="P50" s="19">
        <f t="shared" si="15"/>
        <v>186</v>
      </c>
      <c r="Q50" s="19">
        <f t="shared" si="15"/>
        <v>232</v>
      </c>
      <c r="R50" s="19">
        <f t="shared" si="15"/>
        <v>278</v>
      </c>
      <c r="S50" s="19">
        <f t="shared" si="15"/>
        <v>186</v>
      </c>
      <c r="T50" s="13">
        <f t="shared" ref="T50:T52" si="16">SUM(E50:S50)</f>
        <v>3152</v>
      </c>
    </row>
    <row r="51" ht="12.75" customHeight="1">
      <c r="A51" s="36"/>
      <c r="B51" s="56" t="s">
        <v>43</v>
      </c>
      <c r="C51" s="57" t="s">
        <v>44</v>
      </c>
      <c r="D51" s="16"/>
      <c r="E51" s="19">
        <v>14.0</v>
      </c>
      <c r="F51" s="19">
        <v>7.0</v>
      </c>
      <c r="G51" s="19">
        <v>15.0</v>
      </c>
      <c r="H51" s="19">
        <v>9.0</v>
      </c>
      <c r="I51" s="19">
        <v>21.0</v>
      </c>
      <c r="J51" s="19">
        <v>8.0</v>
      </c>
      <c r="K51" s="19">
        <v>12.0</v>
      </c>
      <c r="L51" s="19">
        <v>2.0</v>
      </c>
      <c r="M51" s="19">
        <v>4.0</v>
      </c>
      <c r="N51" s="19">
        <v>15.0</v>
      </c>
      <c r="O51" s="19">
        <v>9.0</v>
      </c>
      <c r="P51" s="19">
        <v>14.0</v>
      </c>
      <c r="Q51" s="19">
        <v>6.0</v>
      </c>
      <c r="R51" s="19">
        <v>6.0</v>
      </c>
      <c r="S51" s="19">
        <v>10.0</v>
      </c>
      <c r="T51" s="13">
        <f t="shared" si="16"/>
        <v>152</v>
      </c>
    </row>
    <row r="52" ht="12.75" customHeight="1">
      <c r="A52" s="43"/>
      <c r="B52" s="56" t="s">
        <v>45</v>
      </c>
      <c r="C52" s="57" t="s">
        <v>46</v>
      </c>
      <c r="D52" s="16"/>
      <c r="E52" s="13">
        <f t="shared" ref="E52:S52" si="17">SUM(E50:E51)</f>
        <v>243</v>
      </c>
      <c r="F52" s="13">
        <f t="shared" si="17"/>
        <v>201</v>
      </c>
      <c r="G52" s="13">
        <f t="shared" si="17"/>
        <v>228</v>
      </c>
      <c r="H52" s="13">
        <f t="shared" si="17"/>
        <v>240</v>
      </c>
      <c r="I52" s="13">
        <f t="shared" si="17"/>
        <v>238</v>
      </c>
      <c r="J52" s="13">
        <f t="shared" si="17"/>
        <v>236</v>
      </c>
      <c r="K52" s="13">
        <f t="shared" si="17"/>
        <v>220</v>
      </c>
      <c r="L52" s="13">
        <f t="shared" si="17"/>
        <v>176</v>
      </c>
      <c r="M52" s="13">
        <f t="shared" si="17"/>
        <v>176</v>
      </c>
      <c r="N52" s="13">
        <f t="shared" si="17"/>
        <v>222</v>
      </c>
      <c r="O52" s="13">
        <f t="shared" si="17"/>
        <v>206</v>
      </c>
      <c r="P52" s="13">
        <f t="shared" si="17"/>
        <v>200</v>
      </c>
      <c r="Q52" s="13">
        <f t="shared" si="17"/>
        <v>238</v>
      </c>
      <c r="R52" s="13">
        <f t="shared" si="17"/>
        <v>284</v>
      </c>
      <c r="S52" s="13">
        <f t="shared" si="17"/>
        <v>196</v>
      </c>
      <c r="T52" s="13">
        <f t="shared" si="16"/>
        <v>3304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T12:T13"/>
    <mergeCell ref="B13:D13"/>
    <mergeCell ref="B14:C16"/>
    <mergeCell ref="A17:D17"/>
    <mergeCell ref="B18:D18"/>
    <mergeCell ref="E12:S12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S15 E45:S47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E30&lt;&gt;E46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E34&lt;&gt;#REF!</formula>
    </cfRule>
  </conditionalFormatting>
  <conditionalFormatting sqref="E50:S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</row>
    <row r="12" ht="12.75" customHeight="1">
      <c r="A12" s="13" t="s">
        <v>5</v>
      </c>
      <c r="B12" s="14" t="s">
        <v>6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60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37"/>
    </row>
    <row r="14" ht="12.75" customHeight="1">
      <c r="A14" s="18"/>
      <c r="B14" s="22" t="s">
        <v>10</v>
      </c>
      <c r="C14" s="23"/>
      <c r="D14" s="19" t="s">
        <v>11</v>
      </c>
      <c r="E14" s="19">
        <v>135.0</v>
      </c>
      <c r="F14" s="19">
        <v>127.0</v>
      </c>
      <c r="G14" s="19">
        <v>141.0</v>
      </c>
      <c r="H14" s="19">
        <v>142.0</v>
      </c>
      <c r="I14" s="19">
        <v>122.0</v>
      </c>
      <c r="J14" s="19">
        <v>103.0</v>
      </c>
      <c r="K14" s="19">
        <v>120.0</v>
      </c>
      <c r="L14" s="19">
        <v>109.0</v>
      </c>
      <c r="M14" s="19">
        <v>129.0</v>
      </c>
      <c r="N14" s="19">
        <v>137.0</v>
      </c>
      <c r="O14" s="19">
        <v>111.0</v>
      </c>
      <c r="P14" s="19">
        <v>114.0</v>
      </c>
      <c r="Q14" s="19">
        <v>141.0</v>
      </c>
      <c r="R14" s="13">
        <f t="shared" ref="R14:R16" si="1">SUM(E14:Q14)</f>
        <v>1631</v>
      </c>
    </row>
    <row r="15" ht="12.75" customHeight="1">
      <c r="A15" s="18"/>
      <c r="B15" s="26"/>
      <c r="C15" s="27"/>
      <c r="D15" s="19" t="s">
        <v>12</v>
      </c>
      <c r="E15" s="19">
        <v>135.0</v>
      </c>
      <c r="F15" s="19">
        <v>125.0</v>
      </c>
      <c r="G15" s="19">
        <v>117.0</v>
      </c>
      <c r="H15" s="19">
        <v>141.0</v>
      </c>
      <c r="I15" s="19">
        <v>117.0</v>
      </c>
      <c r="J15" s="19">
        <v>108.0</v>
      </c>
      <c r="K15" s="19">
        <v>118.0</v>
      </c>
      <c r="L15" s="19">
        <v>128.0</v>
      </c>
      <c r="M15" s="19">
        <v>136.0</v>
      </c>
      <c r="N15" s="19">
        <v>122.0</v>
      </c>
      <c r="O15" s="19">
        <v>110.0</v>
      </c>
      <c r="P15" s="19">
        <v>112.0</v>
      </c>
      <c r="Q15" s="19">
        <v>128.0</v>
      </c>
      <c r="R15" s="13">
        <f t="shared" si="1"/>
        <v>1597</v>
      </c>
    </row>
    <row r="16" ht="12.75" customHeight="1">
      <c r="A16" s="25"/>
      <c r="B16" s="21"/>
      <c r="C16" s="28"/>
      <c r="D16" s="13" t="s">
        <v>13</v>
      </c>
      <c r="E16" s="13">
        <f t="shared" ref="E16:Q16" si="2">SUM(E14:E15)</f>
        <v>270</v>
      </c>
      <c r="F16" s="13">
        <f t="shared" si="2"/>
        <v>252</v>
      </c>
      <c r="G16" s="13">
        <f t="shared" si="2"/>
        <v>258</v>
      </c>
      <c r="H16" s="13">
        <f t="shared" si="2"/>
        <v>283</v>
      </c>
      <c r="I16" s="13">
        <f t="shared" si="2"/>
        <v>239</v>
      </c>
      <c r="J16" s="13">
        <f t="shared" si="2"/>
        <v>211</v>
      </c>
      <c r="K16" s="13">
        <f t="shared" si="2"/>
        <v>238</v>
      </c>
      <c r="L16" s="13">
        <f t="shared" si="2"/>
        <v>237</v>
      </c>
      <c r="M16" s="13">
        <f t="shared" si="2"/>
        <v>265</v>
      </c>
      <c r="N16" s="13">
        <f t="shared" si="2"/>
        <v>259</v>
      </c>
      <c r="O16" s="13">
        <f t="shared" si="2"/>
        <v>221</v>
      </c>
      <c r="P16" s="13">
        <f t="shared" si="2"/>
        <v>226</v>
      </c>
      <c r="Q16" s="13">
        <f t="shared" si="2"/>
        <v>269</v>
      </c>
      <c r="R16" s="13">
        <f t="shared" si="1"/>
        <v>3228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62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62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19">
        <v>114.0</v>
      </c>
      <c r="F19" s="19">
        <v>89.0</v>
      </c>
      <c r="G19" s="19">
        <v>119.0</v>
      </c>
      <c r="H19" s="19">
        <v>120.0</v>
      </c>
      <c r="I19" s="19">
        <v>109.0</v>
      </c>
      <c r="J19" s="19">
        <v>98.0</v>
      </c>
      <c r="K19" s="19">
        <v>93.0</v>
      </c>
      <c r="L19" s="19">
        <v>99.0</v>
      </c>
      <c r="M19" s="19">
        <v>101.0</v>
      </c>
      <c r="N19" s="19">
        <v>115.0</v>
      </c>
      <c r="O19" s="19">
        <v>93.0</v>
      </c>
      <c r="P19" s="19">
        <v>93.0</v>
      </c>
      <c r="Q19" s="19">
        <v>101.0</v>
      </c>
      <c r="R19" s="13">
        <f t="shared" ref="R19:R30" si="3">SUM(E19:Q19)</f>
        <v>1344</v>
      </c>
    </row>
    <row r="20" ht="12.75" customHeight="1">
      <c r="A20" s="34"/>
      <c r="B20" s="27"/>
      <c r="C20" s="35"/>
      <c r="D20" s="19" t="s">
        <v>12</v>
      </c>
      <c r="E20" s="19">
        <v>120.0</v>
      </c>
      <c r="F20" s="19">
        <v>120.0</v>
      </c>
      <c r="G20" s="19">
        <v>97.0</v>
      </c>
      <c r="H20" s="19">
        <v>127.0</v>
      </c>
      <c r="I20" s="19">
        <v>112.0</v>
      </c>
      <c r="J20" s="19">
        <v>95.0</v>
      </c>
      <c r="K20" s="19">
        <v>102.0</v>
      </c>
      <c r="L20" s="19">
        <v>117.0</v>
      </c>
      <c r="M20" s="19">
        <v>116.0</v>
      </c>
      <c r="N20" s="19">
        <v>109.0</v>
      </c>
      <c r="O20" s="19">
        <v>100.0</v>
      </c>
      <c r="P20" s="19">
        <v>100.0</v>
      </c>
      <c r="Q20" s="19">
        <v>113.0</v>
      </c>
      <c r="R20" s="13">
        <f t="shared" si="3"/>
        <v>1428</v>
      </c>
    </row>
    <row r="21" ht="12.75" customHeight="1">
      <c r="A21" s="36"/>
      <c r="B21" s="28"/>
      <c r="C21" s="37"/>
      <c r="D21" s="13" t="s">
        <v>13</v>
      </c>
      <c r="E21" s="13">
        <f t="shared" ref="E21:Q21" si="4">SUM(E19:E20)</f>
        <v>234</v>
      </c>
      <c r="F21" s="13">
        <f t="shared" si="4"/>
        <v>209</v>
      </c>
      <c r="G21" s="13">
        <f t="shared" si="4"/>
        <v>216</v>
      </c>
      <c r="H21" s="13">
        <f t="shared" si="4"/>
        <v>247</v>
      </c>
      <c r="I21" s="13">
        <f t="shared" si="4"/>
        <v>221</v>
      </c>
      <c r="J21" s="13">
        <f t="shared" si="4"/>
        <v>193</v>
      </c>
      <c r="K21" s="13">
        <f t="shared" si="4"/>
        <v>195</v>
      </c>
      <c r="L21" s="13">
        <f t="shared" si="4"/>
        <v>216</v>
      </c>
      <c r="M21" s="13">
        <f t="shared" si="4"/>
        <v>217</v>
      </c>
      <c r="N21" s="13">
        <f t="shared" si="4"/>
        <v>224</v>
      </c>
      <c r="O21" s="13">
        <f t="shared" si="4"/>
        <v>193</v>
      </c>
      <c r="P21" s="13">
        <f t="shared" si="4"/>
        <v>193</v>
      </c>
      <c r="Q21" s="13">
        <f t="shared" si="4"/>
        <v>214</v>
      </c>
      <c r="R21" s="13">
        <f t="shared" si="3"/>
        <v>2772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19">
        <v>3.0</v>
      </c>
      <c r="F22" s="19">
        <v>0.0</v>
      </c>
      <c r="G22" s="19">
        <v>0.0</v>
      </c>
      <c r="H22" s="19">
        <v>2.0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1.0</v>
      </c>
      <c r="R22" s="13">
        <f t="shared" si="3"/>
        <v>7</v>
      </c>
    </row>
    <row r="23" ht="12.75" customHeight="1">
      <c r="A23" s="34"/>
      <c r="B23" s="27"/>
      <c r="C23" s="35"/>
      <c r="D23" s="19" t="s">
        <v>12</v>
      </c>
      <c r="E23" s="19">
        <v>0.0</v>
      </c>
      <c r="F23" s="19">
        <v>3.0</v>
      </c>
      <c r="G23" s="19">
        <v>0.0</v>
      </c>
      <c r="H23" s="19">
        <v>0.0</v>
      </c>
      <c r="I23" s="19">
        <v>1.0</v>
      </c>
      <c r="J23" s="19">
        <v>1.0</v>
      </c>
      <c r="K23" s="19">
        <v>0.0</v>
      </c>
      <c r="L23" s="19">
        <v>1.0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3">
        <f t="shared" si="3"/>
        <v>6</v>
      </c>
    </row>
    <row r="24" ht="12.75" customHeight="1">
      <c r="A24" s="36"/>
      <c r="B24" s="28"/>
      <c r="C24" s="37"/>
      <c r="D24" s="13" t="s">
        <v>13</v>
      </c>
      <c r="E24" s="13">
        <f t="shared" ref="E24:Q24" si="5">SUM(E22:E23)</f>
        <v>3</v>
      </c>
      <c r="F24" s="13">
        <f t="shared" si="5"/>
        <v>3</v>
      </c>
      <c r="G24" s="13">
        <f t="shared" si="5"/>
        <v>0</v>
      </c>
      <c r="H24" s="13">
        <f t="shared" si="5"/>
        <v>2</v>
      </c>
      <c r="I24" s="13">
        <f t="shared" si="5"/>
        <v>1</v>
      </c>
      <c r="J24" s="13">
        <f t="shared" si="5"/>
        <v>1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1</v>
      </c>
      <c r="R24" s="13">
        <f t="shared" si="3"/>
        <v>13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19">
        <v>0.0</v>
      </c>
      <c r="F25" s="19">
        <v>1.0</v>
      </c>
      <c r="G25" s="19">
        <v>0.0</v>
      </c>
      <c r="H25" s="19">
        <v>0.0</v>
      </c>
      <c r="I25" s="19">
        <v>1.0</v>
      </c>
      <c r="J25" s="19">
        <v>3.0</v>
      </c>
      <c r="K25" s="19">
        <v>1.0</v>
      </c>
      <c r="L25" s="19">
        <v>0.0</v>
      </c>
      <c r="M25" s="19">
        <v>0.0</v>
      </c>
      <c r="N25" s="19">
        <v>5.0</v>
      </c>
      <c r="O25" s="19">
        <v>2.0</v>
      </c>
      <c r="P25" s="19">
        <v>0.0</v>
      </c>
      <c r="Q25" s="19">
        <v>2.0</v>
      </c>
      <c r="R25" s="13">
        <f t="shared" si="3"/>
        <v>15</v>
      </c>
    </row>
    <row r="26" ht="12.75" customHeight="1">
      <c r="A26" s="34"/>
      <c r="B26" s="27"/>
      <c r="C26" s="35"/>
      <c r="D26" s="19" t="s">
        <v>12</v>
      </c>
      <c r="E26" s="19">
        <v>0.0</v>
      </c>
      <c r="F26" s="19">
        <v>2.0</v>
      </c>
      <c r="G26" s="19">
        <v>0.0</v>
      </c>
      <c r="H26" s="19">
        <v>0.0</v>
      </c>
      <c r="I26" s="19">
        <v>3.0</v>
      </c>
      <c r="J26" s="19">
        <v>4.0</v>
      </c>
      <c r="K26" s="19">
        <v>2.0</v>
      </c>
      <c r="L26" s="19">
        <v>0.0</v>
      </c>
      <c r="M26" s="19">
        <v>0.0</v>
      </c>
      <c r="N26" s="19">
        <v>5.0</v>
      </c>
      <c r="O26" s="19">
        <v>0.0</v>
      </c>
      <c r="P26" s="19">
        <v>1.0</v>
      </c>
      <c r="Q26" s="19">
        <v>1.0</v>
      </c>
      <c r="R26" s="13">
        <f t="shared" si="3"/>
        <v>18</v>
      </c>
    </row>
    <row r="27" ht="12.75" customHeight="1">
      <c r="A27" s="36"/>
      <c r="B27" s="28"/>
      <c r="C27" s="37"/>
      <c r="D27" s="13" t="s">
        <v>13</v>
      </c>
      <c r="E27" s="13">
        <f t="shared" ref="E27:Q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0</v>
      </c>
      <c r="I27" s="13">
        <f t="shared" si="6"/>
        <v>4</v>
      </c>
      <c r="J27" s="13">
        <f t="shared" si="6"/>
        <v>7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10</v>
      </c>
      <c r="O27" s="13">
        <f t="shared" si="6"/>
        <v>2</v>
      </c>
      <c r="P27" s="13">
        <f t="shared" si="6"/>
        <v>1</v>
      </c>
      <c r="Q27" s="13">
        <f t="shared" si="6"/>
        <v>3</v>
      </c>
      <c r="R27" s="13">
        <f t="shared" si="3"/>
        <v>33</v>
      </c>
    </row>
    <row r="28" ht="12.75" customHeight="1">
      <c r="A28" s="36"/>
      <c r="B28" s="39" t="s">
        <v>22</v>
      </c>
      <c r="C28" s="40" t="s">
        <v>23</v>
      </c>
      <c r="D28" s="13" t="s">
        <v>11</v>
      </c>
      <c r="E28" s="13">
        <f t="shared" ref="E28:Q28" si="7">SUM(E19,E22,E25)</f>
        <v>117</v>
      </c>
      <c r="F28" s="13">
        <f t="shared" si="7"/>
        <v>90</v>
      </c>
      <c r="G28" s="13">
        <f t="shared" si="7"/>
        <v>119</v>
      </c>
      <c r="H28" s="13">
        <f t="shared" si="7"/>
        <v>122</v>
      </c>
      <c r="I28" s="13">
        <f t="shared" si="7"/>
        <v>110</v>
      </c>
      <c r="J28" s="13">
        <f t="shared" si="7"/>
        <v>101</v>
      </c>
      <c r="K28" s="13">
        <f t="shared" si="7"/>
        <v>94</v>
      </c>
      <c r="L28" s="13">
        <f t="shared" si="7"/>
        <v>99</v>
      </c>
      <c r="M28" s="13">
        <f t="shared" si="7"/>
        <v>101</v>
      </c>
      <c r="N28" s="13">
        <f t="shared" si="7"/>
        <v>120</v>
      </c>
      <c r="O28" s="13">
        <f t="shared" si="7"/>
        <v>96</v>
      </c>
      <c r="P28" s="13">
        <f t="shared" si="7"/>
        <v>93</v>
      </c>
      <c r="Q28" s="13">
        <f t="shared" si="7"/>
        <v>104</v>
      </c>
      <c r="R28" s="13">
        <f t="shared" si="3"/>
        <v>1366</v>
      </c>
    </row>
    <row r="29" ht="12.75" customHeight="1">
      <c r="A29" s="36"/>
      <c r="B29" s="27"/>
      <c r="C29" s="35"/>
      <c r="D29" s="13" t="s">
        <v>12</v>
      </c>
      <c r="E29" s="13">
        <f t="shared" ref="E29:Q29" si="8">SUM(E20,E23,E26)</f>
        <v>120</v>
      </c>
      <c r="F29" s="13">
        <f t="shared" si="8"/>
        <v>125</v>
      </c>
      <c r="G29" s="13">
        <f t="shared" si="8"/>
        <v>97</v>
      </c>
      <c r="H29" s="13">
        <f t="shared" si="8"/>
        <v>127</v>
      </c>
      <c r="I29" s="13">
        <f t="shared" si="8"/>
        <v>116</v>
      </c>
      <c r="J29" s="13">
        <f t="shared" si="8"/>
        <v>100</v>
      </c>
      <c r="K29" s="13">
        <f t="shared" si="8"/>
        <v>104</v>
      </c>
      <c r="L29" s="13">
        <f t="shared" si="8"/>
        <v>118</v>
      </c>
      <c r="M29" s="13">
        <f t="shared" si="8"/>
        <v>116</v>
      </c>
      <c r="N29" s="13">
        <f t="shared" si="8"/>
        <v>114</v>
      </c>
      <c r="O29" s="13">
        <f t="shared" si="8"/>
        <v>100</v>
      </c>
      <c r="P29" s="13">
        <f t="shared" si="8"/>
        <v>101</v>
      </c>
      <c r="Q29" s="13">
        <f t="shared" si="8"/>
        <v>114</v>
      </c>
      <c r="R29" s="13">
        <f t="shared" si="3"/>
        <v>1452</v>
      </c>
    </row>
    <row r="30" ht="12.75" customHeight="1">
      <c r="A30" s="36"/>
      <c r="B30" s="28"/>
      <c r="C30" s="37"/>
      <c r="D30" s="13" t="s">
        <v>13</v>
      </c>
      <c r="E30" s="13">
        <f t="shared" ref="E30:Q30" si="9">SUM(E28:E29)</f>
        <v>237</v>
      </c>
      <c r="F30" s="13">
        <f t="shared" si="9"/>
        <v>215</v>
      </c>
      <c r="G30" s="13">
        <f t="shared" si="9"/>
        <v>216</v>
      </c>
      <c r="H30" s="13">
        <f t="shared" si="9"/>
        <v>249</v>
      </c>
      <c r="I30" s="13">
        <f t="shared" si="9"/>
        <v>226</v>
      </c>
      <c r="J30" s="13">
        <f t="shared" si="9"/>
        <v>201</v>
      </c>
      <c r="K30" s="13">
        <f t="shared" si="9"/>
        <v>198</v>
      </c>
      <c r="L30" s="13">
        <f t="shared" si="9"/>
        <v>217</v>
      </c>
      <c r="M30" s="13">
        <f t="shared" si="9"/>
        <v>217</v>
      </c>
      <c r="N30" s="13">
        <f t="shared" si="9"/>
        <v>234</v>
      </c>
      <c r="O30" s="13">
        <f t="shared" si="9"/>
        <v>196</v>
      </c>
      <c r="P30" s="13">
        <f t="shared" si="9"/>
        <v>194</v>
      </c>
      <c r="Q30" s="13">
        <f t="shared" si="9"/>
        <v>218</v>
      </c>
      <c r="R30" s="13">
        <f t="shared" si="3"/>
        <v>2818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62"/>
    </row>
    <row r="32" ht="12.75" customHeight="1">
      <c r="A32" s="43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3"/>
      <c r="O32" s="13"/>
      <c r="P32" s="13"/>
      <c r="Q32" s="13"/>
      <c r="R32" s="62"/>
    </row>
    <row r="33" ht="12.75" customHeight="1">
      <c r="A33" s="19">
        <v>1.0</v>
      </c>
      <c r="B33" s="20" t="s">
        <v>26</v>
      </c>
      <c r="C33" s="15"/>
      <c r="D33" s="16"/>
      <c r="E33" s="19">
        <v>276.0</v>
      </c>
      <c r="F33" s="19">
        <v>258.0</v>
      </c>
      <c r="G33" s="19">
        <v>264.0</v>
      </c>
      <c r="H33" s="19">
        <v>285.0</v>
      </c>
      <c r="I33" s="19">
        <v>244.0</v>
      </c>
      <c r="J33" s="19">
        <v>217.0</v>
      </c>
      <c r="K33" s="19">
        <v>243.0</v>
      </c>
      <c r="L33" s="19">
        <v>243.0</v>
      </c>
      <c r="M33" s="19">
        <v>271.0</v>
      </c>
      <c r="N33" s="19">
        <v>262.0</v>
      </c>
      <c r="O33" s="19">
        <v>226.0</v>
      </c>
      <c r="P33" s="19">
        <v>231.0</v>
      </c>
      <c r="Q33" s="19">
        <v>274.0</v>
      </c>
      <c r="R33" s="13">
        <f t="shared" ref="R33:R36" si="10">SUM(E33:Q33)</f>
        <v>3294</v>
      </c>
    </row>
    <row r="34" ht="12.75" customHeight="1">
      <c r="A34" s="19">
        <v>2.0</v>
      </c>
      <c r="B34" s="20" t="s">
        <v>27</v>
      </c>
      <c r="C34" s="15"/>
      <c r="D34" s="16"/>
      <c r="E34" s="13">
        <v>237.0</v>
      </c>
      <c r="F34" s="13">
        <v>215.0</v>
      </c>
      <c r="G34" s="13">
        <v>216.0</v>
      </c>
      <c r="H34" s="13">
        <v>249.0</v>
      </c>
      <c r="I34" s="13">
        <v>226.0</v>
      </c>
      <c r="J34" s="13">
        <v>201.0</v>
      </c>
      <c r="K34" s="13">
        <v>198.0</v>
      </c>
      <c r="L34" s="13">
        <v>217.0</v>
      </c>
      <c r="M34" s="13">
        <v>217.0</v>
      </c>
      <c r="N34" s="13">
        <v>234.0</v>
      </c>
      <c r="O34" s="13">
        <v>196.0</v>
      </c>
      <c r="P34" s="13">
        <v>194.0</v>
      </c>
      <c r="Q34" s="13">
        <v>218.0</v>
      </c>
      <c r="R34" s="13">
        <f t="shared" si="10"/>
        <v>2818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/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3">
        <f t="shared" si="10"/>
        <v>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Q36" si="11">E33-(E34+E35)</f>
        <v>39</v>
      </c>
      <c r="F36" s="13">
        <f t="shared" si="11"/>
        <v>43</v>
      </c>
      <c r="G36" s="13">
        <f t="shared" si="11"/>
        <v>48</v>
      </c>
      <c r="H36" s="13">
        <f t="shared" si="11"/>
        <v>36</v>
      </c>
      <c r="I36" s="13">
        <f t="shared" si="11"/>
        <v>17</v>
      </c>
      <c r="J36" s="13">
        <f t="shared" si="11"/>
        <v>16</v>
      </c>
      <c r="K36" s="13">
        <f t="shared" si="11"/>
        <v>45</v>
      </c>
      <c r="L36" s="13">
        <f t="shared" si="11"/>
        <v>26</v>
      </c>
      <c r="M36" s="13">
        <f t="shared" si="11"/>
        <v>54</v>
      </c>
      <c r="N36" s="13">
        <f t="shared" si="11"/>
        <v>28</v>
      </c>
      <c r="O36" s="13">
        <f t="shared" si="11"/>
        <v>30</v>
      </c>
      <c r="P36" s="13">
        <f t="shared" si="11"/>
        <v>37</v>
      </c>
      <c r="Q36" s="13">
        <f t="shared" si="11"/>
        <v>56</v>
      </c>
      <c r="R36" s="13">
        <f t="shared" si="10"/>
        <v>475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  <c r="R37" s="62"/>
    </row>
    <row r="38" ht="12.75" customHeight="1">
      <c r="A38" s="44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3"/>
      <c r="O38" s="13"/>
      <c r="P38" s="13"/>
      <c r="Q38" s="13"/>
      <c r="R38" s="62"/>
    </row>
    <row r="39" ht="12.75" customHeight="1">
      <c r="A39" s="31"/>
      <c r="B39" s="45" t="s">
        <v>32</v>
      </c>
      <c r="C39" s="23"/>
      <c r="D39" s="19" t="s">
        <v>11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3">
        <f t="shared" ref="R39:R41" si="12">SUM(E39:Q39)</f>
        <v>1</v>
      </c>
    </row>
    <row r="40" ht="12.75" customHeight="1">
      <c r="A40" s="34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3">
        <f t="shared" si="12"/>
        <v>0</v>
      </c>
    </row>
    <row r="41" ht="12.75" customHeight="1">
      <c r="A41" s="43"/>
      <c r="B41" s="46"/>
      <c r="C41" s="28"/>
      <c r="D41" s="13" t="s">
        <v>13</v>
      </c>
      <c r="E41" s="13">
        <f t="shared" ref="E41:Q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2"/>
        <v>1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/>
      <c r="R42" s="13"/>
    </row>
    <row r="43" ht="12.75" customHeight="1">
      <c r="A43" s="44" t="s">
        <v>33</v>
      </c>
      <c r="B43" s="14" t="s">
        <v>34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3"/>
      <c r="O43" s="13"/>
      <c r="P43" s="13"/>
      <c r="Q43" s="13"/>
      <c r="R43" s="13"/>
    </row>
    <row r="44" ht="12.75" customHeight="1">
      <c r="A44" s="45" t="s">
        <v>35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3"/>
    </row>
    <row r="45" ht="12.75" customHeight="1">
      <c r="A45" s="64"/>
      <c r="B45" s="49">
        <v>1.0</v>
      </c>
      <c r="C45" s="50" t="s">
        <v>36</v>
      </c>
      <c r="D45" s="16"/>
      <c r="E45" s="19">
        <v>57.0</v>
      </c>
      <c r="F45" s="19">
        <v>41.0</v>
      </c>
      <c r="G45" s="19">
        <v>37.0</v>
      </c>
      <c r="H45" s="19">
        <v>25.0</v>
      </c>
      <c r="I45" s="19">
        <v>47.0</v>
      </c>
      <c r="J45" s="19">
        <v>43.0</v>
      </c>
      <c r="K45" s="19">
        <v>34.0</v>
      </c>
      <c r="L45" s="19">
        <v>50.0</v>
      </c>
      <c r="M45" s="19">
        <v>66.0</v>
      </c>
      <c r="N45" s="19">
        <v>46.0</v>
      </c>
      <c r="O45" s="19">
        <v>67.0</v>
      </c>
      <c r="P45" s="19">
        <v>74.0</v>
      </c>
      <c r="Q45" s="19">
        <v>51.0</v>
      </c>
      <c r="R45" s="13">
        <f t="shared" ref="R45:R47" si="14">SUM(E45:Q45)</f>
        <v>638</v>
      </c>
    </row>
    <row r="46" ht="12.75" customHeight="1">
      <c r="A46" s="18"/>
      <c r="B46" s="49">
        <v>2.0</v>
      </c>
      <c r="C46" s="50" t="s">
        <v>37</v>
      </c>
      <c r="D46" s="16"/>
      <c r="E46" s="19">
        <v>150.0</v>
      </c>
      <c r="F46" s="19">
        <v>144.0</v>
      </c>
      <c r="G46" s="19">
        <v>135.0</v>
      </c>
      <c r="H46" s="19">
        <v>201.0</v>
      </c>
      <c r="I46" s="19">
        <v>134.0</v>
      </c>
      <c r="J46" s="19">
        <v>121.0</v>
      </c>
      <c r="K46" s="19">
        <v>138.0</v>
      </c>
      <c r="L46" s="19">
        <v>135.0</v>
      </c>
      <c r="M46" s="19">
        <v>127.0</v>
      </c>
      <c r="N46" s="19">
        <v>154.0</v>
      </c>
      <c r="O46" s="19">
        <v>119.0</v>
      </c>
      <c r="P46" s="19">
        <v>105.0</v>
      </c>
      <c r="Q46" s="19">
        <v>137.0</v>
      </c>
      <c r="R46" s="13">
        <f t="shared" si="14"/>
        <v>1800</v>
      </c>
    </row>
    <row r="47" ht="12.75" customHeight="1">
      <c r="A47" s="47"/>
      <c r="B47" s="49">
        <v>3.0</v>
      </c>
      <c r="C47" s="50" t="s">
        <v>38</v>
      </c>
      <c r="D47" s="16"/>
      <c r="E47" s="19">
        <v>23.0</v>
      </c>
      <c r="F47" s="19">
        <v>24.0</v>
      </c>
      <c r="G47" s="19">
        <v>30.0</v>
      </c>
      <c r="H47" s="19">
        <v>19.0</v>
      </c>
      <c r="I47" s="19">
        <v>36.0</v>
      </c>
      <c r="J47" s="19">
        <v>22.0</v>
      </c>
      <c r="K47" s="19">
        <v>22.0</v>
      </c>
      <c r="L47" s="19">
        <v>29.0</v>
      </c>
      <c r="M47" s="19">
        <v>23.0</v>
      </c>
      <c r="N47" s="19">
        <v>28.0</v>
      </c>
      <c r="O47" s="19">
        <v>10.0</v>
      </c>
      <c r="P47" s="19">
        <v>11.0</v>
      </c>
      <c r="Q47" s="19">
        <v>23.0</v>
      </c>
      <c r="R47" s="13">
        <f t="shared" si="14"/>
        <v>300</v>
      </c>
    </row>
    <row r="48" ht="12.75" customHeight="1"/>
    <row r="49" ht="12.75" customHeight="1">
      <c r="A49" s="44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3"/>
      <c r="O49" s="13"/>
      <c r="P49" s="13"/>
      <c r="Q49" s="13"/>
      <c r="R49" s="13"/>
    </row>
    <row r="50" ht="12.75" customHeight="1">
      <c r="A50" s="44"/>
      <c r="B50" s="56" t="s">
        <v>41</v>
      </c>
      <c r="C50" s="57" t="s">
        <v>42</v>
      </c>
      <c r="D50" s="16"/>
      <c r="E50" s="19">
        <f t="shared" ref="E50:Q50" si="15">SUM(E45:E47)</f>
        <v>230</v>
      </c>
      <c r="F50" s="19">
        <f t="shared" si="15"/>
        <v>209</v>
      </c>
      <c r="G50" s="19">
        <f t="shared" si="15"/>
        <v>202</v>
      </c>
      <c r="H50" s="19">
        <f t="shared" si="15"/>
        <v>245</v>
      </c>
      <c r="I50" s="19">
        <f t="shared" si="15"/>
        <v>217</v>
      </c>
      <c r="J50" s="19">
        <f t="shared" si="15"/>
        <v>186</v>
      </c>
      <c r="K50" s="19">
        <f t="shared" si="15"/>
        <v>194</v>
      </c>
      <c r="L50" s="19">
        <f t="shared" si="15"/>
        <v>214</v>
      </c>
      <c r="M50" s="19">
        <f t="shared" si="15"/>
        <v>216</v>
      </c>
      <c r="N50" s="19">
        <f t="shared" si="15"/>
        <v>228</v>
      </c>
      <c r="O50" s="19">
        <f t="shared" si="15"/>
        <v>196</v>
      </c>
      <c r="P50" s="19">
        <f t="shared" si="15"/>
        <v>190</v>
      </c>
      <c r="Q50" s="19">
        <f t="shared" si="15"/>
        <v>211</v>
      </c>
      <c r="R50" s="13">
        <f t="shared" ref="R50:R52" si="16">SUM(E50:Q50)</f>
        <v>2738</v>
      </c>
    </row>
    <row r="51" ht="12.75" customHeight="1">
      <c r="A51" s="36"/>
      <c r="B51" s="56" t="s">
        <v>43</v>
      </c>
      <c r="C51" s="57" t="s">
        <v>44</v>
      </c>
      <c r="D51" s="16"/>
      <c r="E51" s="19">
        <v>7.0</v>
      </c>
      <c r="F51" s="19">
        <v>6.0</v>
      </c>
      <c r="G51" s="19">
        <v>14.0</v>
      </c>
      <c r="H51" s="19">
        <v>4.0</v>
      </c>
      <c r="I51" s="19">
        <v>9.0</v>
      </c>
      <c r="J51" s="19">
        <v>15.0</v>
      </c>
      <c r="K51" s="19">
        <v>4.0</v>
      </c>
      <c r="L51" s="19">
        <v>3.0</v>
      </c>
      <c r="M51" s="19">
        <v>1.0</v>
      </c>
      <c r="N51" s="19">
        <v>6.0</v>
      </c>
      <c r="O51" s="19">
        <v>0.0</v>
      </c>
      <c r="P51" s="19">
        <v>4.0</v>
      </c>
      <c r="Q51" s="19">
        <v>7.0</v>
      </c>
      <c r="R51" s="13">
        <f t="shared" si="16"/>
        <v>80</v>
      </c>
    </row>
    <row r="52" ht="12.75" customHeight="1">
      <c r="A52" s="43"/>
      <c r="B52" s="56" t="s">
        <v>45</v>
      </c>
      <c r="C52" s="57" t="s">
        <v>46</v>
      </c>
      <c r="D52" s="16"/>
      <c r="E52" s="13">
        <f t="shared" ref="E52:Q52" si="17">SUM(E50:E51)</f>
        <v>237</v>
      </c>
      <c r="F52" s="13">
        <f t="shared" si="17"/>
        <v>215</v>
      </c>
      <c r="G52" s="13">
        <f t="shared" si="17"/>
        <v>216</v>
      </c>
      <c r="H52" s="13">
        <f t="shared" si="17"/>
        <v>249</v>
      </c>
      <c r="I52" s="13">
        <f t="shared" si="17"/>
        <v>226</v>
      </c>
      <c r="J52" s="13">
        <f t="shared" si="17"/>
        <v>201</v>
      </c>
      <c r="K52" s="13">
        <f t="shared" si="17"/>
        <v>198</v>
      </c>
      <c r="L52" s="13">
        <f t="shared" si="17"/>
        <v>217</v>
      </c>
      <c r="M52" s="13">
        <f t="shared" si="17"/>
        <v>217</v>
      </c>
      <c r="N52" s="13">
        <f t="shared" si="17"/>
        <v>234</v>
      </c>
      <c r="O52" s="13">
        <f t="shared" si="17"/>
        <v>196</v>
      </c>
      <c r="P52" s="13">
        <f t="shared" si="17"/>
        <v>194</v>
      </c>
      <c r="Q52" s="13">
        <f t="shared" si="17"/>
        <v>218</v>
      </c>
      <c r="R52" s="13">
        <f t="shared" si="16"/>
        <v>2818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R12:R13"/>
    <mergeCell ref="B13:D13"/>
    <mergeCell ref="B14:C16"/>
    <mergeCell ref="A17:D17"/>
    <mergeCell ref="B18:D18"/>
    <mergeCell ref="E12:Q12"/>
    <mergeCell ref="B19:B21"/>
    <mergeCell ref="C19:C21"/>
    <mergeCell ref="B22:B24"/>
    <mergeCell ref="C22:C24"/>
    <mergeCell ref="B25:B27"/>
    <mergeCell ref="C25:C27"/>
    <mergeCell ref="B28:B30"/>
    <mergeCell ref="B38:D38"/>
    <mergeCell ref="B39:C41"/>
    <mergeCell ref="A42:D42"/>
    <mergeCell ref="E42:Q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  <mergeCell ref="A37:D37"/>
    <mergeCell ref="E37:Q37"/>
  </mergeCells>
  <conditionalFormatting sqref="E14:Q15 E45:Q47">
    <cfRule type="containsBlanks" dxfId="1" priority="1">
      <formula>LEN(TRIM(E14))=0</formula>
    </cfRule>
  </conditionalFormatting>
  <conditionalFormatting sqref="E19:Q20">
    <cfRule type="containsBlanks" dxfId="1" priority="2">
      <formula>LEN(TRIM(E19))=0</formula>
    </cfRule>
  </conditionalFormatting>
  <conditionalFormatting sqref="E22:Q23 E25:Q26 E33:Q33 E35:Q35 E39:Q40">
    <cfRule type="containsBlanks" dxfId="1" priority="3">
      <formula>LEN(TRIM(E22))=0</formula>
    </cfRule>
  </conditionalFormatting>
  <conditionalFormatting sqref="E30:Q30">
    <cfRule type="expression" dxfId="0" priority="4">
      <formula>E30&lt;&gt;E46</formula>
    </cfRule>
  </conditionalFormatting>
  <conditionalFormatting sqref="E30:Q30">
    <cfRule type="expression" dxfId="0" priority="5">
      <formula>E30&lt;&gt;E34</formula>
    </cfRule>
  </conditionalFormatting>
  <conditionalFormatting sqref="E34:Q34">
    <cfRule type="expression" dxfId="2" priority="6">
      <formula>E30&lt;&gt;E34</formula>
    </cfRule>
  </conditionalFormatting>
  <conditionalFormatting sqref="E34:Q34">
    <cfRule type="expression" dxfId="3" priority="7">
      <formula>E30=E34</formula>
    </cfRule>
  </conditionalFormatting>
  <conditionalFormatting sqref="E34:Q34">
    <cfRule type="expression" dxfId="0" priority="8">
      <formula>E34&lt;&gt;E30</formula>
    </cfRule>
  </conditionalFormatting>
  <conditionalFormatting sqref="E34:Q34">
    <cfRule type="expression" dxfId="0" priority="9">
      <formula>E34&lt;&gt;#REF!</formula>
    </cfRule>
  </conditionalFormatting>
  <conditionalFormatting sqref="E50:Q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