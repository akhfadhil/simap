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NGOREJO" sheetId="1" r:id="rId4"/>
    <sheet state="visible" name="KEBONDALEM" sheetId="2" r:id="rId5"/>
    <sheet state="visible" name="RINGINTELU" sheetId="3" r:id="rId6"/>
    <sheet state="visible" name="SAMBIMULYO" sheetId="4" r:id="rId7"/>
    <sheet state="visible" name="SAMBIREJO" sheetId="5" r:id="rId8"/>
    <sheet state="visible" name="SUKOREJO" sheetId="6" r:id="rId9"/>
    <sheet state="visible" name="TEMUREJO" sheetId="7" r:id="rId10"/>
  </sheets>
  <definedNames/>
  <calcPr/>
  <extLst>
    <ext uri="GoogleSheetsCustomDataVersion2">
      <go:sheetsCustomData xmlns:go="http://customooxmlschemas.google.com/" r:id="rId11" roundtripDataChecksum="vESftdE1dxEAvqgF7RZfYUxgej1PJjVgWMehQR0y5cQ="/>
    </ext>
  </extLst>
</workbook>
</file>

<file path=xl/sharedStrings.xml><?xml version="1.0" encoding="utf-8"?>
<sst xmlns="http://schemas.openxmlformats.org/spreadsheetml/2006/main" count="652" uniqueCount="97">
  <si>
    <t>Kecamatan</t>
  </si>
  <si>
    <t>BANGOREJO</t>
  </si>
  <si>
    <t>Kabupaten</t>
  </si>
  <si>
    <t>BANYUWANGI</t>
  </si>
  <si>
    <t>Provinsi</t>
  </si>
  <si>
    <t>JAWA TIMUR</t>
  </si>
  <si>
    <t>Kelurahan</t>
  </si>
  <si>
    <t>I</t>
  </si>
  <si>
    <t>DATA PEMILIH DAN PENGGUNAAN HAK PILIH</t>
  </si>
  <si>
    <t>JUMLAH AKHIR</t>
  </si>
  <si>
    <t>A</t>
  </si>
  <si>
    <t xml:space="preserve">DATA PEMILIH  </t>
  </si>
  <si>
    <t>TPS 001</t>
  </si>
  <si>
    <t>TPS 002</t>
  </si>
  <si>
    <t>TPS 003</t>
  </si>
  <si>
    <t>TPS 004</t>
  </si>
  <si>
    <t>TPS 005</t>
  </si>
  <si>
    <t>TPS 006</t>
  </si>
  <si>
    <t>TPS 007</t>
  </si>
  <si>
    <t>TPS 008</t>
  </si>
  <si>
    <t>TPS 009</t>
  </si>
  <si>
    <t>TPS 010</t>
  </si>
  <si>
    <t>TPS 011</t>
  </si>
  <si>
    <t>TPS 012</t>
  </si>
  <si>
    <t>TPS 013</t>
  </si>
  <si>
    <t>TPS 014</t>
  </si>
  <si>
    <t>TPS 015</t>
  </si>
  <si>
    <t>TPS 016</t>
  </si>
  <si>
    <t>TPS 017</t>
  </si>
  <si>
    <t>TPS 018</t>
  </si>
  <si>
    <t>TPS 019</t>
  </si>
  <si>
    <t>TPS 020</t>
  </si>
  <si>
    <t>TPS 021</t>
  </si>
  <si>
    <t>TPS 022</t>
  </si>
  <si>
    <t>TPS 023</t>
  </si>
  <si>
    <t>TPS 024</t>
  </si>
  <si>
    <t>TPS 025</t>
  </si>
  <si>
    <t>TPS 026</t>
  </si>
  <si>
    <t>TPS 027</t>
  </si>
  <si>
    <t>TPS 028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</si>
  <si>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</si>
  <si>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</si>
  <si>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</si>
  <si>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</si>
  <si>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</si>
  <si>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</si>
  <si>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</si>
  <si>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</si>
  <si>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</si>
  <si>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</si>
  <si>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</si>
  <si>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</si>
  <si>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</si>
  <si>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</si>
  <si>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</si>
  <si>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</si>
  <si>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2,5%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</si>
  <si>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</si>
  <si>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</si>
  <si>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</si>
  <si>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</si>
  <si>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</si>
  <si>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</si>
  <si>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</si>
  <si>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PASANGAN CALON BUPATI DAN WAKIL BUPATI</t>
  </si>
  <si>
    <t>NOMOR DAN NAMA CALON</t>
  </si>
  <si>
    <t>H. ANIES RASYID BASWEDAN, Ph.D. - Dr. (H.C.) H. A. MUHAIMIN ISKANDAR</t>
  </si>
  <si>
    <t>H. PRABOWO SUBIANTO - GIBRAN RAKABUMING RAKA</t>
  </si>
  <si>
    <t>H. GANJAR PRANOWO, S.H., M.I.P. - Prof. Dr. H. M. MAHFUD MD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</si>
  <si>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</si>
  <si>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</si>
  <si>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</si>
  <si>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</si>
  <si>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</si>
  <si>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</si>
  <si>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</si>
  <si>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</si>
  <si>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KEBONDALEM</t>
  </si>
  <si>
    <t>TPS 029</t>
  </si>
  <si>
    <t>RINGINTELU</t>
  </si>
  <si>
    <t>SAMBIMULYO</t>
  </si>
  <si>
    <t>SAMBIREJO</t>
  </si>
  <si>
    <t>SUKOREJO</t>
  </si>
  <si>
    <t>TEMUREJO</t>
  </si>
  <si>
    <t>TPS 030</t>
  </si>
  <si>
    <t>TPS 031</t>
  </si>
  <si>
    <t>TPS 032</t>
  </si>
  <si>
    <t>TPS 033</t>
  </si>
  <si>
    <t>TPS 034</t>
  </si>
  <si>
    <t>TPS 035</t>
  </si>
  <si>
    <t>TPS 036</t>
  </si>
  <si>
    <t>TPS 037</t>
  </si>
  <si>
    <t>TPS 038</t>
  </si>
  <si>
    <t>TPS 039</t>
  </si>
  <si>
    <t>TPS 040</t>
  </si>
  <si>
    <t>TPS 041</t>
  </si>
  <si>
    <t>TPS 042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</si>
</sst>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Calibri"/>
      <scheme val="minor"/>
    </font>
    <font>
      <sz val="10.0"/>
      <color rgb="FF000000"/>
      <name val="Bookman Old Style"/>
    </font>
    <font>
      <b/>
      <sz val="10.0"/>
      <color theme="1"/>
      <name val="Bookman Old Style"/>
    </font>
    <font/>
    <font>
      <b/>
      <sz val="10.0"/>
      <color rgb="FF000000"/>
      <name val="Bookman Old Style"/>
    </font>
    <font>
      <sz val="10.0"/>
      <color theme="1"/>
      <name val="Bookman Old Style"/>
    </font>
    <font>
      <sz val="10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vertical="center"/>
    </xf>
    <xf borderId="1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left" shrinkToFit="0" vertical="center" wrapText="1"/>
    </xf>
    <xf borderId="3" fillId="0" fontId="3" numFmtId="0" xfId="0" applyBorder="1" applyFont="1"/>
    <xf borderId="4" fillId="0" fontId="3" numFmtId="0" xfId="0" applyBorder="1" applyFont="1"/>
    <xf borderId="2" fillId="0" fontId="2" numFmtId="0" xfId="0" applyAlignment="1" applyBorder="1" applyFont="1">
      <alignment horizontal="center" vertical="center"/>
    </xf>
    <xf borderId="5" fillId="0" fontId="4" numFmtId="0" xfId="0" applyAlignment="1" applyBorder="1" applyFont="1">
      <alignment horizontal="center" shrinkToFit="0" wrapText="1"/>
    </xf>
    <xf borderId="1" fillId="0" fontId="5" numFmtId="0" xfId="0" applyAlignment="1" applyBorder="1" applyFont="1">
      <alignment horizontal="center" vertical="center"/>
    </xf>
    <xf borderId="2" fillId="0" fontId="5" numFmtId="0" xfId="0" applyAlignment="1" applyBorder="1" applyFont="1">
      <alignment horizontal="left" shrinkToFit="0" vertical="center" wrapText="1"/>
    </xf>
    <xf borderId="1" fillId="2" fontId="2" numFmtId="0" xfId="0" applyAlignment="1" applyBorder="1" applyFill="1" applyFont="1">
      <alignment horizontal="center" vertical="center"/>
    </xf>
    <xf borderId="6" fillId="0" fontId="3" numFmtId="0" xfId="0" applyBorder="1" applyFont="1"/>
    <xf borderId="7" fillId="0" fontId="5" numFmtId="0" xfId="0" applyAlignment="1" applyBorder="1" applyFont="1">
      <alignment horizontal="center" vertical="center"/>
    </xf>
    <xf borderId="8" fillId="0" fontId="5" numFmtId="0" xfId="0" applyAlignment="1" applyBorder="1" applyFont="1">
      <alignment horizontal="left" shrinkToFit="0" vertical="center" wrapText="1"/>
    </xf>
    <xf borderId="9" fillId="0" fontId="3" numFmtId="0" xfId="0" applyBorder="1" applyFont="1"/>
    <xf borderId="7" fillId="0" fontId="3" numFmtId="0" xfId="0" applyBorder="1" applyFont="1"/>
    <xf borderId="10" fillId="0" fontId="3" numFmtId="0" xfId="0" applyBorder="1" applyFont="1"/>
    <xf borderId="1" fillId="0" fontId="5" numFmtId="0" xfId="0" applyAlignment="1" applyBorder="1" applyFont="1">
      <alignment horizontal="center" readingOrder="0" vertical="center"/>
    </xf>
    <xf borderId="7" fillId="0" fontId="2" numFmtId="0" xfId="0" applyAlignment="1" applyBorder="1" applyFont="1">
      <alignment horizontal="center" vertical="center"/>
    </xf>
    <xf borderId="11" fillId="0" fontId="3" numFmtId="0" xfId="0" applyBorder="1" applyFont="1"/>
    <xf borderId="12" fillId="0" fontId="3" numFmtId="0" xfId="0" applyBorder="1" applyFont="1"/>
    <xf borderId="2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vertical="center"/>
    </xf>
    <xf borderId="1" fillId="0" fontId="6" numFmtId="0" xfId="0" applyBorder="1" applyFont="1"/>
    <xf borderId="5" fillId="0" fontId="5" numFmtId="0" xfId="0" applyAlignment="1" applyBorder="1" applyFont="1">
      <alignment horizontal="center" vertical="center"/>
    </xf>
    <xf borderId="9" fillId="0" fontId="5" numFmtId="0" xfId="0" applyAlignment="1" applyBorder="1" applyFont="1">
      <alignment horizontal="center" shrinkToFit="0" vertical="center" wrapText="1"/>
    </xf>
    <xf borderId="5" fillId="0" fontId="5" numFmtId="0" xfId="0" applyAlignment="1" applyBorder="1" applyFont="1">
      <alignment shrinkToFit="0" vertical="center" wrapText="1"/>
    </xf>
    <xf borderId="13" fillId="0" fontId="5" numFmtId="0" xfId="0" applyAlignment="1" applyBorder="1" applyFont="1">
      <alignment horizontal="center" vertical="center"/>
    </xf>
    <xf borderId="13" fillId="0" fontId="3" numFmtId="0" xfId="0" applyBorder="1" applyFont="1"/>
    <xf borderId="13" fillId="0" fontId="2" numFmtId="0" xfId="0" applyAlignment="1" applyBorder="1" applyFont="1">
      <alignment horizontal="center" vertical="center"/>
    </xf>
    <xf borderId="9" fillId="0" fontId="2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shrinkToFit="0" vertical="center" wrapText="1"/>
    </xf>
    <xf borderId="6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vertical="center"/>
    </xf>
    <xf borderId="1" fillId="0" fontId="2" numFmtId="0" xfId="0" applyAlignment="1" applyBorder="1" applyFont="1">
      <alignment horizontal="center" readingOrder="0" vertical="center"/>
    </xf>
    <xf borderId="2" fillId="0" fontId="5" numFmtId="0" xfId="0" applyAlignment="1" applyBorder="1" applyFont="1">
      <alignment vertical="center"/>
    </xf>
    <xf borderId="5" fillId="0" fontId="2" numFmtId="0" xfId="0" applyAlignment="1" applyBorder="1" applyFont="1">
      <alignment horizontal="center" vertical="center"/>
    </xf>
    <xf borderId="14" fillId="0" fontId="5" numFmtId="0" xfId="0" applyAlignment="1" applyBorder="1" applyFont="1">
      <alignment horizontal="left" shrinkToFit="0" vertical="center" wrapText="1"/>
    </xf>
    <xf borderId="15" fillId="0" fontId="3" numFmtId="0" xfId="0" applyBorder="1" applyFont="1"/>
    <xf borderId="11" fillId="0" fontId="5" numFmtId="0" xfId="0" applyAlignment="1" applyBorder="1" applyFont="1">
      <alignment horizontal="center" vertical="center"/>
    </xf>
    <xf borderId="14" fillId="0" fontId="3" numFmtId="0" xfId="0" applyBorder="1" applyFont="1"/>
    <xf borderId="8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shrinkToFit="0" vertical="center" wrapText="1"/>
    </xf>
    <xf borderId="2" fillId="0" fontId="5" numFmtId="0" xfId="0" applyAlignment="1" applyBorder="1" applyFont="1">
      <alignment shrinkToFit="0" vertical="center" wrapText="1"/>
    </xf>
    <xf borderId="4" fillId="0" fontId="2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shrinkToFit="0" vertical="center" wrapText="1"/>
    </xf>
  </cellXfs>
  <cellStyles count="1">
    <cellStyle xfId="0" name="Normal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5" width="12.57"/>
    <col customWidth="1" min="6" max="32" width="8.71"/>
    <col customWidth="1" min="33" max="33" width="13.29"/>
  </cols>
  <sheetData>
    <row r="1" ht="12.75" customHeight="1"/>
    <row r="2" ht="12.75" customHeight="1">
      <c r="C2" s="1" t="s">
        <v>0</v>
      </c>
      <c r="D2" s="1" t="s">
        <v>1</v>
      </c>
    </row>
    <row r="3" ht="12.75" customHeight="1">
      <c r="C3" s="1" t="s">
        <v>2</v>
      </c>
      <c r="D3" s="1" t="s">
        <v>3</v>
      </c>
    </row>
    <row r="4" ht="12.75" customHeight="1">
      <c r="C4" s="1" t="s">
        <v>4</v>
      </c>
      <c r="D4" s="1" t="s">
        <v>5</v>
      </c>
    </row>
    <row r="5" ht="12.75" customHeight="1">
      <c r="C5" s="1"/>
      <c r="D5" s="1"/>
    </row>
    <row r="6" ht="12.75" customHeight="1">
      <c r="C6" s="1"/>
      <c r="D6" s="1"/>
    </row>
    <row r="7" ht="12.75" customHeight="1">
      <c r="C7" s="1"/>
      <c r="D7" s="1"/>
    </row>
    <row r="8" ht="12.75" customHeight="1">
      <c r="C8" s="1"/>
      <c r="D8" s="1"/>
    </row>
    <row r="9" ht="12.75" customHeight="1">
      <c r="C9" s="1" t="s">
        <v>6</v>
      </c>
      <c r="D9" s="1" t="s">
        <v>1</v>
      </c>
    </row>
    <row r="10" ht="12.75" customHeight="1"/>
    <row r="11" ht="12.75" customHeight="1">
      <c r="A11" s="2"/>
      <c r="B11" s="3"/>
      <c r="C11" s="3"/>
      <c r="D11" s="3"/>
      <c r="E11" s="2"/>
      <c r="F11" s="2"/>
      <c r="G11" s="2"/>
      <c r="H11" s="2"/>
      <c r="I11" s="2"/>
      <c r="J11" s="2"/>
      <c r="K11" s="2"/>
      <c r="L11" s="2"/>
      <c r="M11" s="2"/>
      <c r="N11" s="4"/>
    </row>
    <row r="12" ht="12.75" customHeight="1">
      <c r="A12" s="5" t="s">
        <v>7</v>
      </c>
      <c r="B12" s="6" t="s">
        <v>8</v>
      </c>
      <c r="C12" s="7"/>
      <c r="D12" s="8"/>
      <c r="E12" s="9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10" t="s">
        <v>9</v>
      </c>
    </row>
    <row r="13" ht="12.75" customHeight="1">
      <c r="A13" s="11" t="s">
        <v>10</v>
      </c>
      <c r="B13" s="12" t="s">
        <v>11</v>
      </c>
      <c r="C13" s="7"/>
      <c r="D13" s="8"/>
      <c r="E13" s="5" t="s">
        <v>12</v>
      </c>
      <c r="F13" s="5" t="s">
        <v>13</v>
      </c>
      <c r="G13" s="5" t="s">
        <v>14</v>
      </c>
      <c r="H13" s="5" t="s">
        <v>15</v>
      </c>
      <c r="I13" s="5" t="s">
        <v>16</v>
      </c>
      <c r="J13" s="5" t="s">
        <v>17</v>
      </c>
      <c r="K13" s="13" t="s">
        <v>18</v>
      </c>
      <c r="L13" s="5" t="s">
        <v>19</v>
      </c>
      <c r="M13" s="5" t="s">
        <v>20</v>
      </c>
      <c r="N13" s="5" t="s">
        <v>21</v>
      </c>
      <c r="O13" s="5" t="s">
        <v>22</v>
      </c>
      <c r="P13" s="5" t="s">
        <v>23</v>
      </c>
      <c r="Q13" s="5" t="s">
        <v>24</v>
      </c>
      <c r="R13" s="5" t="s">
        <v>25</v>
      </c>
      <c r="S13" s="5" t="s">
        <v>26</v>
      </c>
      <c r="T13" s="5" t="s">
        <v>27</v>
      </c>
      <c r="U13" s="5" t="s">
        <v>28</v>
      </c>
      <c r="V13" s="5" t="s">
        <v>29</v>
      </c>
      <c r="W13" s="5" t="s">
        <v>30</v>
      </c>
      <c r="X13" s="5" t="s">
        <v>31</v>
      </c>
      <c r="Y13" s="5" t="s">
        <v>32</v>
      </c>
      <c r="Z13" s="5" t="s">
        <v>33</v>
      </c>
      <c r="AA13" s="5" t="s">
        <v>34</v>
      </c>
      <c r="AB13" s="5" t="s">
        <v>35</v>
      </c>
      <c r="AC13" s="5" t="s">
        <v>36</v>
      </c>
      <c r="AD13" s="5" t="s">
        <v>37</v>
      </c>
      <c r="AE13" s="5" t="s">
        <v>38</v>
      </c>
      <c r="AF13" s="5" t="s">
        <v>39</v>
      </c>
      <c r="AG13" s="14"/>
    </row>
    <row r="14" ht="12.75" customHeight="1">
      <c r="A14" s="15"/>
      <c r="B14" s="16" t="s">
        <v>40</v>
      </c>
      <c r="C14" s="17"/>
      <c r="D14" s="11" t="s">
        <v>41</v>
      </c>
      <c r="E14" s="11">
        <v>129.0</v>
      </c>
      <c r="F14" s="11">
        <v>130.0</v>
      </c>
      <c r="G14" s="11">
        <v>151.0</v>
      </c>
      <c r="H14" s="11">
        <v>139.0</v>
      </c>
      <c r="I14" s="11">
        <v>144.0</v>
      </c>
      <c r="J14" s="11">
        <v>124.0</v>
      </c>
      <c r="K14" s="11">
        <v>119.0</v>
      </c>
      <c r="L14" s="11">
        <v>140.0</v>
      </c>
      <c r="M14" s="11">
        <v>147.0</v>
      </c>
      <c r="N14" s="11">
        <v>146.0</v>
      </c>
      <c r="O14" s="11">
        <v>130.0</v>
      </c>
      <c r="P14" s="11">
        <v>144.0</v>
      </c>
      <c r="Q14" s="11">
        <v>144.0</v>
      </c>
      <c r="R14" s="11">
        <v>139.0</v>
      </c>
      <c r="S14" s="11">
        <v>145.0</v>
      </c>
      <c r="T14" s="11">
        <v>135.0</v>
      </c>
      <c r="U14" s="11">
        <v>123.0</v>
      </c>
      <c r="V14" s="11">
        <v>140.0</v>
      </c>
      <c r="W14" s="11">
        <v>134.0</v>
      </c>
      <c r="X14" s="11">
        <v>140.0</v>
      </c>
      <c r="Y14" s="11">
        <v>116.0</v>
      </c>
      <c r="Z14" s="11">
        <v>122.0</v>
      </c>
      <c r="AA14" s="11">
        <v>126.0</v>
      </c>
      <c r="AB14" s="11">
        <v>120.0</v>
      </c>
      <c r="AC14" s="11">
        <v>144.0</v>
      </c>
      <c r="AD14" s="11">
        <v>112.0</v>
      </c>
      <c r="AE14" s="11">
        <v>86.0</v>
      </c>
      <c r="AF14" s="11">
        <v>101.0</v>
      </c>
      <c r="AG14" s="5">
        <f t="shared" ref="AG14:AG16" si="1">SUM(E14:AF14)</f>
        <v>3670</v>
      </c>
    </row>
    <row r="15" ht="12.75" customHeight="1">
      <c r="A15" s="15"/>
      <c r="B15" s="18"/>
      <c r="C15" s="19"/>
      <c r="D15" s="11" t="s">
        <v>42</v>
      </c>
      <c r="E15" s="11">
        <v>136.0</v>
      </c>
      <c r="F15" s="11">
        <v>138.0</v>
      </c>
      <c r="G15" s="11">
        <v>145.0</v>
      </c>
      <c r="H15" s="11">
        <v>128.0</v>
      </c>
      <c r="I15" s="20">
        <v>144.0</v>
      </c>
      <c r="J15" s="11">
        <v>137.0</v>
      </c>
      <c r="K15" s="11">
        <v>134.0</v>
      </c>
      <c r="L15" s="11">
        <v>140.0</v>
      </c>
      <c r="M15" s="11">
        <v>151.0</v>
      </c>
      <c r="N15" s="11">
        <v>147.0</v>
      </c>
      <c r="O15" s="11">
        <v>143.0</v>
      </c>
      <c r="P15" s="11">
        <v>140.0</v>
      </c>
      <c r="Q15" s="11">
        <v>145.0</v>
      </c>
      <c r="R15" s="11">
        <v>147.0</v>
      </c>
      <c r="S15" s="11">
        <v>149.0</v>
      </c>
      <c r="T15" s="11">
        <v>108.0</v>
      </c>
      <c r="U15" s="11">
        <v>118.0</v>
      </c>
      <c r="V15" s="11">
        <v>157.0</v>
      </c>
      <c r="W15" s="11">
        <v>155.0</v>
      </c>
      <c r="X15" s="11">
        <v>131.0</v>
      </c>
      <c r="Y15" s="11">
        <v>104.0</v>
      </c>
      <c r="Z15" s="11">
        <v>111.0</v>
      </c>
      <c r="AA15" s="11">
        <v>123.0</v>
      </c>
      <c r="AB15" s="11">
        <v>122.0</v>
      </c>
      <c r="AC15" s="11">
        <v>139.0</v>
      </c>
      <c r="AD15" s="11">
        <v>124.0</v>
      </c>
      <c r="AE15" s="11">
        <v>87.0</v>
      </c>
      <c r="AF15" s="11">
        <v>115.0</v>
      </c>
      <c r="AG15" s="5">
        <f t="shared" si="1"/>
        <v>3718</v>
      </c>
    </row>
    <row r="16" ht="12.75" customHeight="1">
      <c r="A16" s="21"/>
      <c r="B16" s="22"/>
      <c r="C16" s="23"/>
      <c r="D16" s="5" t="s">
        <v>43</v>
      </c>
      <c r="E16" s="5">
        <f t="shared" ref="E16:AF16" si="2">SUM(E14:E15)</f>
        <v>265</v>
      </c>
      <c r="F16" s="5">
        <f t="shared" si="2"/>
        <v>268</v>
      </c>
      <c r="G16" s="5">
        <f t="shared" si="2"/>
        <v>296</v>
      </c>
      <c r="H16" s="5">
        <f t="shared" si="2"/>
        <v>267</v>
      </c>
      <c r="I16" s="5">
        <f t="shared" si="2"/>
        <v>288</v>
      </c>
      <c r="J16" s="5">
        <f t="shared" si="2"/>
        <v>261</v>
      </c>
      <c r="K16" s="5">
        <f t="shared" si="2"/>
        <v>253</v>
      </c>
      <c r="L16" s="5">
        <f t="shared" si="2"/>
        <v>280</v>
      </c>
      <c r="M16" s="5">
        <f t="shared" si="2"/>
        <v>298</v>
      </c>
      <c r="N16" s="5">
        <f t="shared" si="2"/>
        <v>293</v>
      </c>
      <c r="O16" s="5">
        <f t="shared" si="2"/>
        <v>273</v>
      </c>
      <c r="P16" s="5">
        <f t="shared" si="2"/>
        <v>284</v>
      </c>
      <c r="Q16" s="5">
        <f t="shared" si="2"/>
        <v>289</v>
      </c>
      <c r="R16" s="5">
        <f t="shared" si="2"/>
        <v>286</v>
      </c>
      <c r="S16" s="5">
        <f t="shared" si="2"/>
        <v>294</v>
      </c>
      <c r="T16" s="5">
        <f t="shared" si="2"/>
        <v>243</v>
      </c>
      <c r="U16" s="5">
        <f t="shared" si="2"/>
        <v>241</v>
      </c>
      <c r="V16" s="5">
        <f t="shared" si="2"/>
        <v>297</v>
      </c>
      <c r="W16" s="5">
        <f t="shared" si="2"/>
        <v>289</v>
      </c>
      <c r="X16" s="5">
        <f t="shared" si="2"/>
        <v>271</v>
      </c>
      <c r="Y16" s="5">
        <f t="shared" si="2"/>
        <v>220</v>
      </c>
      <c r="Z16" s="5">
        <f t="shared" si="2"/>
        <v>233</v>
      </c>
      <c r="AA16" s="5">
        <f t="shared" si="2"/>
        <v>249</v>
      </c>
      <c r="AB16" s="5">
        <f t="shared" si="2"/>
        <v>242</v>
      </c>
      <c r="AC16" s="5">
        <f t="shared" si="2"/>
        <v>283</v>
      </c>
      <c r="AD16" s="5">
        <f t="shared" si="2"/>
        <v>236</v>
      </c>
      <c r="AE16" s="5">
        <f t="shared" si="2"/>
        <v>173</v>
      </c>
      <c r="AF16" s="5">
        <f t="shared" si="2"/>
        <v>216</v>
      </c>
      <c r="AG16" s="5">
        <f t="shared" si="1"/>
        <v>7388</v>
      </c>
    </row>
    <row r="17" ht="12.75" customHeight="1">
      <c r="A17" s="24"/>
      <c r="B17" s="7"/>
      <c r="C17" s="7"/>
      <c r="D17" s="8"/>
      <c r="E17" s="11"/>
      <c r="F17" s="11"/>
      <c r="G17" s="11"/>
      <c r="H17" s="11"/>
      <c r="I17" s="11"/>
      <c r="J17" s="11"/>
      <c r="K17" s="11"/>
      <c r="L17" s="11"/>
      <c r="M17" s="11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6"/>
    </row>
    <row r="18" ht="12.75" customHeight="1">
      <c r="A18" s="27" t="s">
        <v>44</v>
      </c>
      <c r="B18" s="12" t="s">
        <v>45</v>
      </c>
      <c r="C18" s="7"/>
      <c r="D18" s="8"/>
      <c r="E18" s="11"/>
      <c r="F18" s="11"/>
      <c r="G18" s="11"/>
      <c r="H18" s="11"/>
      <c r="I18" s="11"/>
      <c r="J18" s="11"/>
      <c r="K18" s="11"/>
      <c r="L18" s="11"/>
      <c r="M18" s="11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6"/>
    </row>
    <row r="19" ht="12.75" customHeight="1">
      <c r="A19" s="27"/>
      <c r="B19" s="28" t="s">
        <v>46</v>
      </c>
      <c r="C19" s="29" t="s">
        <v>47</v>
      </c>
      <c r="D19" s="11" t="s">
        <v>41</v>
      </c>
      <c r="E19" s="20">
        <v>101.0</v>
      </c>
      <c r="F19" s="11">
        <v>98.0</v>
      </c>
      <c r="G19" s="11">
        <v>110.0</v>
      </c>
      <c r="H19" s="11">
        <v>122.0</v>
      </c>
      <c r="I19" s="11">
        <v>111.0</v>
      </c>
      <c r="J19" s="11">
        <v>113.0</v>
      </c>
      <c r="K19" s="11">
        <v>99.0</v>
      </c>
      <c r="L19" s="11">
        <v>115.0</v>
      </c>
      <c r="M19" s="11">
        <v>124.0</v>
      </c>
      <c r="N19" s="11">
        <v>101.0</v>
      </c>
      <c r="O19" s="11">
        <v>102.0</v>
      </c>
      <c r="P19" s="11">
        <v>108.0</v>
      </c>
      <c r="Q19" s="11">
        <v>115.0</v>
      </c>
      <c r="R19" s="11">
        <v>110.0</v>
      </c>
      <c r="S19" s="11">
        <v>102.0</v>
      </c>
      <c r="T19" s="11">
        <v>88.0</v>
      </c>
      <c r="U19" s="11">
        <v>79.0</v>
      </c>
      <c r="V19" s="11">
        <v>109.0</v>
      </c>
      <c r="W19" s="11">
        <v>101.0</v>
      </c>
      <c r="X19" s="11">
        <v>120.0</v>
      </c>
      <c r="Y19" s="11">
        <v>95.0</v>
      </c>
      <c r="Z19" s="11">
        <v>90.0</v>
      </c>
      <c r="AA19" s="11">
        <v>87.0</v>
      </c>
      <c r="AB19" s="11">
        <v>94.0</v>
      </c>
      <c r="AC19" s="11">
        <v>99.0</v>
      </c>
      <c r="AD19" s="11">
        <v>77.0</v>
      </c>
      <c r="AE19" s="11">
        <v>64.0</v>
      </c>
      <c r="AF19" s="11">
        <v>78.0</v>
      </c>
      <c r="AG19" s="5">
        <f t="shared" ref="AG19:AG30" si="3">SUM(E19:AF19)</f>
        <v>2812</v>
      </c>
    </row>
    <row r="20" ht="12.75" customHeight="1">
      <c r="A20" s="30"/>
      <c r="B20" s="19"/>
      <c r="C20" s="31"/>
      <c r="D20" s="11" t="s">
        <v>42</v>
      </c>
      <c r="E20" s="20">
        <v>118.0</v>
      </c>
      <c r="F20" s="11">
        <v>108.0</v>
      </c>
      <c r="G20" s="11">
        <v>122.0</v>
      </c>
      <c r="H20" s="11">
        <v>112.0</v>
      </c>
      <c r="I20" s="11">
        <v>112.0</v>
      </c>
      <c r="J20" s="11">
        <v>121.0</v>
      </c>
      <c r="K20" s="11">
        <v>106.0</v>
      </c>
      <c r="L20" s="11">
        <v>118.0</v>
      </c>
      <c r="M20" s="11">
        <v>127.0</v>
      </c>
      <c r="N20" s="11">
        <v>121.0</v>
      </c>
      <c r="O20" s="11">
        <v>112.0</v>
      </c>
      <c r="P20" s="11">
        <v>114.0</v>
      </c>
      <c r="Q20" s="11">
        <v>126.0</v>
      </c>
      <c r="R20" s="11">
        <v>119.0</v>
      </c>
      <c r="S20" s="11">
        <v>120.0</v>
      </c>
      <c r="T20" s="11">
        <v>80.0</v>
      </c>
      <c r="U20" s="11">
        <v>93.0</v>
      </c>
      <c r="V20" s="11">
        <v>129.0</v>
      </c>
      <c r="W20" s="11">
        <v>125.0</v>
      </c>
      <c r="X20" s="11">
        <v>112.0</v>
      </c>
      <c r="Y20" s="11">
        <v>82.0</v>
      </c>
      <c r="Z20" s="11">
        <v>87.0</v>
      </c>
      <c r="AA20" s="11">
        <v>87.0</v>
      </c>
      <c r="AB20" s="11">
        <v>96.0</v>
      </c>
      <c r="AC20" s="11">
        <v>105.0</v>
      </c>
      <c r="AD20" s="11">
        <v>95.0</v>
      </c>
      <c r="AE20" s="11">
        <v>61.0</v>
      </c>
      <c r="AF20" s="11">
        <v>91.0</v>
      </c>
      <c r="AG20" s="5">
        <f t="shared" si="3"/>
        <v>2999</v>
      </c>
    </row>
    <row r="21" ht="12.75" customHeight="1">
      <c r="A21" s="32"/>
      <c r="B21" s="23"/>
      <c r="C21" s="14"/>
      <c r="D21" s="5" t="s">
        <v>43</v>
      </c>
      <c r="E21" s="5">
        <f t="shared" ref="E21:AF21" si="4">SUM(E19:E20)</f>
        <v>219</v>
      </c>
      <c r="F21" s="5">
        <f t="shared" si="4"/>
        <v>206</v>
      </c>
      <c r="G21" s="5">
        <f t="shared" si="4"/>
        <v>232</v>
      </c>
      <c r="H21" s="5">
        <f t="shared" si="4"/>
        <v>234</v>
      </c>
      <c r="I21" s="5">
        <f t="shared" si="4"/>
        <v>223</v>
      </c>
      <c r="J21" s="5">
        <f t="shared" si="4"/>
        <v>234</v>
      </c>
      <c r="K21" s="5">
        <f t="shared" si="4"/>
        <v>205</v>
      </c>
      <c r="L21" s="5">
        <f t="shared" si="4"/>
        <v>233</v>
      </c>
      <c r="M21" s="5">
        <f t="shared" si="4"/>
        <v>251</v>
      </c>
      <c r="N21" s="5">
        <f t="shared" si="4"/>
        <v>222</v>
      </c>
      <c r="O21" s="5">
        <f t="shared" si="4"/>
        <v>214</v>
      </c>
      <c r="P21" s="5">
        <f t="shared" si="4"/>
        <v>222</v>
      </c>
      <c r="Q21" s="5">
        <f t="shared" si="4"/>
        <v>241</v>
      </c>
      <c r="R21" s="5">
        <f t="shared" si="4"/>
        <v>229</v>
      </c>
      <c r="S21" s="5">
        <f t="shared" si="4"/>
        <v>222</v>
      </c>
      <c r="T21" s="5">
        <f t="shared" si="4"/>
        <v>168</v>
      </c>
      <c r="U21" s="5">
        <f t="shared" si="4"/>
        <v>172</v>
      </c>
      <c r="V21" s="5">
        <f t="shared" si="4"/>
        <v>238</v>
      </c>
      <c r="W21" s="5">
        <f t="shared" si="4"/>
        <v>226</v>
      </c>
      <c r="X21" s="5">
        <f t="shared" si="4"/>
        <v>232</v>
      </c>
      <c r="Y21" s="5">
        <f t="shared" si="4"/>
        <v>177</v>
      </c>
      <c r="Z21" s="5">
        <f t="shared" si="4"/>
        <v>177</v>
      </c>
      <c r="AA21" s="5">
        <f t="shared" si="4"/>
        <v>174</v>
      </c>
      <c r="AB21" s="5">
        <f t="shared" si="4"/>
        <v>190</v>
      </c>
      <c r="AC21" s="5">
        <f t="shared" si="4"/>
        <v>204</v>
      </c>
      <c r="AD21" s="5">
        <f t="shared" si="4"/>
        <v>172</v>
      </c>
      <c r="AE21" s="5">
        <f t="shared" si="4"/>
        <v>125</v>
      </c>
      <c r="AF21" s="5">
        <f t="shared" si="4"/>
        <v>169</v>
      </c>
      <c r="AG21" s="5">
        <f t="shared" si="3"/>
        <v>5811</v>
      </c>
    </row>
    <row r="22" ht="12.75" customHeight="1">
      <c r="A22" s="30"/>
      <c r="B22" s="28" t="s">
        <v>48</v>
      </c>
      <c r="C22" s="29" t="s">
        <v>49</v>
      </c>
      <c r="D22" s="11" t="s">
        <v>41</v>
      </c>
      <c r="E22" s="11">
        <v>0.0</v>
      </c>
      <c r="F22" s="11">
        <v>0.0</v>
      </c>
      <c r="G22" s="11">
        <v>0.0</v>
      </c>
      <c r="H22" s="11">
        <v>0.0</v>
      </c>
      <c r="I22" s="11">
        <v>0.0</v>
      </c>
      <c r="J22" s="11">
        <v>0.0</v>
      </c>
      <c r="K22" s="11">
        <v>0.0</v>
      </c>
      <c r="L22" s="11">
        <v>0.0</v>
      </c>
      <c r="M22" s="11">
        <v>0.0</v>
      </c>
      <c r="N22" s="11">
        <v>0.0</v>
      </c>
      <c r="O22" s="11">
        <v>0.0</v>
      </c>
      <c r="P22" s="11">
        <v>0.0</v>
      </c>
      <c r="Q22" s="11">
        <v>0.0</v>
      </c>
      <c r="R22" s="11">
        <v>0.0</v>
      </c>
      <c r="S22" s="11">
        <v>0.0</v>
      </c>
      <c r="T22" s="11">
        <v>0.0</v>
      </c>
      <c r="U22" s="11">
        <v>0.0</v>
      </c>
      <c r="V22" s="11">
        <v>0.0</v>
      </c>
      <c r="W22" s="11">
        <v>0.0</v>
      </c>
      <c r="X22" s="11">
        <v>0.0</v>
      </c>
      <c r="Y22" s="11">
        <v>0.0</v>
      </c>
      <c r="Z22" s="11">
        <v>0.0</v>
      </c>
      <c r="AA22" s="11">
        <v>0.0</v>
      </c>
      <c r="AB22" s="11">
        <v>0.0</v>
      </c>
      <c r="AC22" s="11">
        <v>0.0</v>
      </c>
      <c r="AD22" s="11">
        <v>1.0</v>
      </c>
      <c r="AE22" s="11">
        <v>0.0</v>
      </c>
      <c r="AF22" s="11">
        <v>0.0</v>
      </c>
      <c r="AG22" s="5">
        <f t="shared" si="3"/>
        <v>1</v>
      </c>
    </row>
    <row r="23" ht="12.75" customHeight="1">
      <c r="A23" s="30"/>
      <c r="B23" s="19"/>
      <c r="C23" s="31"/>
      <c r="D23" s="11" t="s">
        <v>42</v>
      </c>
      <c r="E23" s="11">
        <v>0.0</v>
      </c>
      <c r="F23" s="11">
        <v>0.0</v>
      </c>
      <c r="G23" s="11">
        <v>0.0</v>
      </c>
      <c r="H23" s="11">
        <v>0.0</v>
      </c>
      <c r="I23" s="11">
        <v>0.0</v>
      </c>
      <c r="J23" s="11">
        <v>0.0</v>
      </c>
      <c r="K23" s="11">
        <v>0.0</v>
      </c>
      <c r="L23" s="11">
        <v>0.0</v>
      </c>
      <c r="M23" s="11">
        <v>0.0</v>
      </c>
      <c r="N23" s="11">
        <v>0.0</v>
      </c>
      <c r="O23" s="11">
        <v>0.0</v>
      </c>
      <c r="P23" s="11">
        <v>0.0</v>
      </c>
      <c r="Q23" s="11">
        <v>0.0</v>
      </c>
      <c r="R23" s="11">
        <v>0.0</v>
      </c>
      <c r="S23" s="11">
        <v>0.0</v>
      </c>
      <c r="T23" s="11">
        <v>0.0</v>
      </c>
      <c r="U23" s="11">
        <v>1.0</v>
      </c>
      <c r="V23" s="11">
        <v>0.0</v>
      </c>
      <c r="W23" s="11">
        <v>0.0</v>
      </c>
      <c r="X23" s="11">
        <v>0.0</v>
      </c>
      <c r="Y23" s="11">
        <v>0.0</v>
      </c>
      <c r="Z23" s="11">
        <v>0.0</v>
      </c>
      <c r="AA23" s="11">
        <v>0.0</v>
      </c>
      <c r="AB23" s="11">
        <v>0.0</v>
      </c>
      <c r="AC23" s="11">
        <v>0.0</v>
      </c>
      <c r="AD23" s="11">
        <v>1.0</v>
      </c>
      <c r="AE23" s="11">
        <v>0.0</v>
      </c>
      <c r="AF23" s="11">
        <v>0.0</v>
      </c>
      <c r="AG23" s="5">
        <f t="shared" si="3"/>
        <v>2</v>
      </c>
    </row>
    <row r="24" ht="12.75" customHeight="1">
      <c r="A24" s="32"/>
      <c r="B24" s="23"/>
      <c r="C24" s="14"/>
      <c r="D24" s="5" t="s">
        <v>43</v>
      </c>
      <c r="E24" s="5">
        <f t="shared" ref="E24:AF24" si="5">SUM(E22:E23)</f>
        <v>0</v>
      </c>
      <c r="F24" s="5">
        <f t="shared" si="5"/>
        <v>0</v>
      </c>
      <c r="G24" s="5">
        <f t="shared" si="5"/>
        <v>0</v>
      </c>
      <c r="H24" s="5">
        <f t="shared" si="5"/>
        <v>0</v>
      </c>
      <c r="I24" s="5">
        <f t="shared" si="5"/>
        <v>0</v>
      </c>
      <c r="J24" s="5">
        <f t="shared" si="5"/>
        <v>0</v>
      </c>
      <c r="K24" s="5">
        <f t="shared" si="5"/>
        <v>0</v>
      </c>
      <c r="L24" s="5">
        <f t="shared" si="5"/>
        <v>0</v>
      </c>
      <c r="M24" s="5">
        <f t="shared" si="5"/>
        <v>0</v>
      </c>
      <c r="N24" s="5">
        <f t="shared" si="5"/>
        <v>0</v>
      </c>
      <c r="O24" s="5">
        <f t="shared" si="5"/>
        <v>0</v>
      </c>
      <c r="P24" s="5">
        <f t="shared" si="5"/>
        <v>0</v>
      </c>
      <c r="Q24" s="5">
        <f t="shared" si="5"/>
        <v>0</v>
      </c>
      <c r="R24" s="5">
        <f t="shared" si="5"/>
        <v>0</v>
      </c>
      <c r="S24" s="5">
        <f t="shared" si="5"/>
        <v>0</v>
      </c>
      <c r="T24" s="5">
        <f t="shared" si="5"/>
        <v>0</v>
      </c>
      <c r="U24" s="5">
        <f t="shared" si="5"/>
        <v>1</v>
      </c>
      <c r="V24" s="5">
        <f t="shared" si="5"/>
        <v>0</v>
      </c>
      <c r="W24" s="5">
        <f t="shared" si="5"/>
        <v>0</v>
      </c>
      <c r="X24" s="5">
        <f t="shared" si="5"/>
        <v>0</v>
      </c>
      <c r="Y24" s="5">
        <f t="shared" si="5"/>
        <v>0</v>
      </c>
      <c r="Z24" s="5">
        <f t="shared" si="5"/>
        <v>0</v>
      </c>
      <c r="AA24" s="5">
        <f t="shared" si="5"/>
        <v>0</v>
      </c>
      <c r="AB24" s="5">
        <f t="shared" si="5"/>
        <v>0</v>
      </c>
      <c r="AC24" s="5">
        <f t="shared" si="5"/>
        <v>0</v>
      </c>
      <c r="AD24" s="5">
        <f t="shared" si="5"/>
        <v>2</v>
      </c>
      <c r="AE24" s="5">
        <f t="shared" si="5"/>
        <v>0</v>
      </c>
      <c r="AF24" s="5">
        <f t="shared" si="5"/>
        <v>0</v>
      </c>
      <c r="AG24" s="5">
        <f t="shared" si="3"/>
        <v>3</v>
      </c>
    </row>
    <row r="25" ht="12.75" customHeight="1">
      <c r="A25" s="30"/>
      <c r="B25" s="28" t="s">
        <v>50</v>
      </c>
      <c r="C25" s="29" t="s">
        <v>51</v>
      </c>
      <c r="D25" s="11" t="s">
        <v>41</v>
      </c>
      <c r="E25" s="11">
        <v>2.0</v>
      </c>
      <c r="F25" s="11">
        <v>3.0</v>
      </c>
      <c r="G25" s="11">
        <v>3.0</v>
      </c>
      <c r="H25" s="11">
        <v>0.0</v>
      </c>
      <c r="I25" s="11">
        <v>0.0</v>
      </c>
      <c r="J25" s="11">
        <v>2.0</v>
      </c>
      <c r="K25" s="11">
        <v>0.0</v>
      </c>
      <c r="L25" s="11">
        <v>0.0</v>
      </c>
      <c r="M25" s="11">
        <v>1.0</v>
      </c>
      <c r="N25" s="11">
        <v>1.0</v>
      </c>
      <c r="O25" s="11">
        <v>3.0</v>
      </c>
      <c r="P25" s="11">
        <v>2.0</v>
      </c>
      <c r="Q25" s="11">
        <v>5.0</v>
      </c>
      <c r="R25" s="11">
        <v>1.0</v>
      </c>
      <c r="S25" s="11">
        <v>2.0</v>
      </c>
      <c r="T25" s="11">
        <v>5.0</v>
      </c>
      <c r="U25" s="11">
        <v>2.0</v>
      </c>
      <c r="V25" s="11">
        <v>2.0</v>
      </c>
      <c r="W25" s="11">
        <v>2.0</v>
      </c>
      <c r="X25" s="11">
        <v>0.0</v>
      </c>
      <c r="Y25" s="11">
        <v>2.0</v>
      </c>
      <c r="Z25" s="11">
        <v>2.0</v>
      </c>
      <c r="AA25" s="11">
        <v>2.0</v>
      </c>
      <c r="AB25" s="11">
        <v>1.0</v>
      </c>
      <c r="AC25" s="11">
        <v>1.0</v>
      </c>
      <c r="AD25" s="11">
        <v>4.0</v>
      </c>
      <c r="AE25" s="11">
        <v>1.0</v>
      </c>
      <c r="AF25" s="11">
        <v>0.0</v>
      </c>
      <c r="AG25" s="5">
        <f t="shared" si="3"/>
        <v>49</v>
      </c>
    </row>
    <row r="26" ht="12.75" customHeight="1">
      <c r="A26" s="30"/>
      <c r="B26" s="19"/>
      <c r="C26" s="31"/>
      <c r="D26" s="11" t="s">
        <v>42</v>
      </c>
      <c r="E26" s="11">
        <v>2.0</v>
      </c>
      <c r="F26" s="11">
        <v>1.0</v>
      </c>
      <c r="G26" s="11">
        <v>1.0</v>
      </c>
      <c r="H26" s="11">
        <v>2.0</v>
      </c>
      <c r="I26" s="11">
        <v>0.0</v>
      </c>
      <c r="J26" s="11">
        <v>2.0</v>
      </c>
      <c r="K26" s="11">
        <v>0.0</v>
      </c>
      <c r="L26" s="11">
        <v>0.0</v>
      </c>
      <c r="M26" s="11">
        <v>3.0</v>
      </c>
      <c r="N26" s="11">
        <v>0.0</v>
      </c>
      <c r="O26" s="11">
        <v>1.0</v>
      </c>
      <c r="P26" s="11">
        <v>6.0</v>
      </c>
      <c r="Q26" s="11">
        <v>4.0</v>
      </c>
      <c r="R26" s="11">
        <v>0.0</v>
      </c>
      <c r="S26" s="11">
        <v>2.0</v>
      </c>
      <c r="T26" s="11">
        <v>2.0</v>
      </c>
      <c r="U26" s="11">
        <v>1.0</v>
      </c>
      <c r="V26" s="11">
        <v>2.0</v>
      </c>
      <c r="W26" s="11">
        <v>2.0</v>
      </c>
      <c r="X26" s="11">
        <v>0.0</v>
      </c>
      <c r="Y26" s="11">
        <v>2.0</v>
      </c>
      <c r="Z26" s="11">
        <v>0.0</v>
      </c>
      <c r="AA26" s="11">
        <v>5.0</v>
      </c>
      <c r="AB26" s="11">
        <v>1.0</v>
      </c>
      <c r="AC26" s="11">
        <v>1.0</v>
      </c>
      <c r="AD26" s="11">
        <v>1.0</v>
      </c>
      <c r="AE26" s="11">
        <v>4.0</v>
      </c>
      <c r="AF26" s="11">
        <v>0.0</v>
      </c>
      <c r="AG26" s="5">
        <f t="shared" si="3"/>
        <v>45</v>
      </c>
    </row>
    <row r="27" ht="12.75" customHeight="1">
      <c r="A27" s="32"/>
      <c r="B27" s="23"/>
      <c r="C27" s="14"/>
      <c r="D27" s="5" t="s">
        <v>43</v>
      </c>
      <c r="E27" s="5">
        <f t="shared" ref="E27:AF27" si="6">SUM(E25:E26)</f>
        <v>4</v>
      </c>
      <c r="F27" s="5">
        <f t="shared" si="6"/>
        <v>4</v>
      </c>
      <c r="G27" s="5">
        <f t="shared" si="6"/>
        <v>4</v>
      </c>
      <c r="H27" s="5">
        <f t="shared" si="6"/>
        <v>2</v>
      </c>
      <c r="I27" s="5">
        <f t="shared" si="6"/>
        <v>0</v>
      </c>
      <c r="J27" s="5">
        <f t="shared" si="6"/>
        <v>4</v>
      </c>
      <c r="K27" s="5">
        <f t="shared" si="6"/>
        <v>0</v>
      </c>
      <c r="L27" s="5">
        <f t="shared" si="6"/>
        <v>0</v>
      </c>
      <c r="M27" s="5">
        <f t="shared" si="6"/>
        <v>4</v>
      </c>
      <c r="N27" s="5">
        <f t="shared" si="6"/>
        <v>1</v>
      </c>
      <c r="O27" s="5">
        <f t="shared" si="6"/>
        <v>4</v>
      </c>
      <c r="P27" s="5">
        <f t="shared" si="6"/>
        <v>8</v>
      </c>
      <c r="Q27" s="5">
        <f t="shared" si="6"/>
        <v>9</v>
      </c>
      <c r="R27" s="5">
        <f t="shared" si="6"/>
        <v>1</v>
      </c>
      <c r="S27" s="5">
        <f t="shared" si="6"/>
        <v>4</v>
      </c>
      <c r="T27" s="5">
        <f t="shared" si="6"/>
        <v>7</v>
      </c>
      <c r="U27" s="5">
        <f t="shared" si="6"/>
        <v>3</v>
      </c>
      <c r="V27" s="5">
        <f t="shared" si="6"/>
        <v>4</v>
      </c>
      <c r="W27" s="5">
        <f t="shared" si="6"/>
        <v>4</v>
      </c>
      <c r="X27" s="5">
        <f t="shared" si="6"/>
        <v>0</v>
      </c>
      <c r="Y27" s="5">
        <f t="shared" si="6"/>
        <v>4</v>
      </c>
      <c r="Z27" s="5">
        <f t="shared" si="6"/>
        <v>2</v>
      </c>
      <c r="AA27" s="5">
        <f t="shared" si="6"/>
        <v>7</v>
      </c>
      <c r="AB27" s="5">
        <f t="shared" si="6"/>
        <v>2</v>
      </c>
      <c r="AC27" s="5">
        <f t="shared" si="6"/>
        <v>2</v>
      </c>
      <c r="AD27" s="5">
        <f t="shared" si="6"/>
        <v>5</v>
      </c>
      <c r="AE27" s="5">
        <f t="shared" si="6"/>
        <v>5</v>
      </c>
      <c r="AF27" s="5">
        <f t="shared" si="6"/>
        <v>0</v>
      </c>
      <c r="AG27" s="5">
        <f t="shared" si="3"/>
        <v>94</v>
      </c>
    </row>
    <row r="28" ht="12.75" customHeight="1">
      <c r="A28" s="32"/>
      <c r="B28" s="33" t="s">
        <v>52</v>
      </c>
      <c r="C28" s="34" t="s">
        <v>53</v>
      </c>
      <c r="D28" s="5" t="s">
        <v>41</v>
      </c>
      <c r="E28" s="5">
        <f t="shared" ref="E28:AF28" si="7">SUM(E19,E22,E25)</f>
        <v>103</v>
      </c>
      <c r="F28" s="5">
        <f t="shared" si="7"/>
        <v>101</v>
      </c>
      <c r="G28" s="5">
        <f t="shared" si="7"/>
        <v>113</v>
      </c>
      <c r="H28" s="5">
        <f t="shared" si="7"/>
        <v>122</v>
      </c>
      <c r="I28" s="5">
        <f t="shared" si="7"/>
        <v>111</v>
      </c>
      <c r="J28" s="5">
        <f t="shared" si="7"/>
        <v>115</v>
      </c>
      <c r="K28" s="5">
        <f t="shared" si="7"/>
        <v>99</v>
      </c>
      <c r="L28" s="5">
        <f t="shared" si="7"/>
        <v>115</v>
      </c>
      <c r="M28" s="5">
        <f t="shared" si="7"/>
        <v>125</v>
      </c>
      <c r="N28" s="5">
        <f t="shared" si="7"/>
        <v>102</v>
      </c>
      <c r="O28" s="5">
        <f t="shared" si="7"/>
        <v>105</v>
      </c>
      <c r="P28" s="5">
        <f t="shared" si="7"/>
        <v>110</v>
      </c>
      <c r="Q28" s="5">
        <f t="shared" si="7"/>
        <v>120</v>
      </c>
      <c r="R28" s="5">
        <f t="shared" si="7"/>
        <v>111</v>
      </c>
      <c r="S28" s="5">
        <f t="shared" si="7"/>
        <v>104</v>
      </c>
      <c r="T28" s="5">
        <f t="shared" si="7"/>
        <v>93</v>
      </c>
      <c r="U28" s="5">
        <f t="shared" si="7"/>
        <v>81</v>
      </c>
      <c r="V28" s="5">
        <f t="shared" si="7"/>
        <v>111</v>
      </c>
      <c r="W28" s="5">
        <f t="shared" si="7"/>
        <v>103</v>
      </c>
      <c r="X28" s="5">
        <f t="shared" si="7"/>
        <v>120</v>
      </c>
      <c r="Y28" s="5">
        <f t="shared" si="7"/>
        <v>97</v>
      </c>
      <c r="Z28" s="5">
        <f t="shared" si="7"/>
        <v>92</v>
      </c>
      <c r="AA28" s="5">
        <f t="shared" si="7"/>
        <v>89</v>
      </c>
      <c r="AB28" s="5">
        <f t="shared" si="7"/>
        <v>95</v>
      </c>
      <c r="AC28" s="5">
        <f t="shared" si="7"/>
        <v>100</v>
      </c>
      <c r="AD28" s="5">
        <f t="shared" si="7"/>
        <v>82</v>
      </c>
      <c r="AE28" s="5">
        <f t="shared" si="7"/>
        <v>65</v>
      </c>
      <c r="AF28" s="5">
        <f t="shared" si="7"/>
        <v>78</v>
      </c>
      <c r="AG28" s="5">
        <f t="shared" si="3"/>
        <v>2862</v>
      </c>
    </row>
    <row r="29" ht="12.75" customHeight="1">
      <c r="A29" s="32"/>
      <c r="B29" s="19"/>
      <c r="C29" s="31"/>
      <c r="D29" s="5" t="s">
        <v>42</v>
      </c>
      <c r="E29" s="5">
        <f t="shared" ref="E29:AF29" si="8">SUM(E20,E23,E26)</f>
        <v>120</v>
      </c>
      <c r="F29" s="5">
        <f t="shared" si="8"/>
        <v>109</v>
      </c>
      <c r="G29" s="5">
        <f t="shared" si="8"/>
        <v>123</v>
      </c>
      <c r="H29" s="5">
        <f t="shared" si="8"/>
        <v>114</v>
      </c>
      <c r="I29" s="5">
        <f t="shared" si="8"/>
        <v>112</v>
      </c>
      <c r="J29" s="5">
        <f t="shared" si="8"/>
        <v>123</v>
      </c>
      <c r="K29" s="5">
        <f t="shared" si="8"/>
        <v>106</v>
      </c>
      <c r="L29" s="5">
        <f t="shared" si="8"/>
        <v>118</v>
      </c>
      <c r="M29" s="5">
        <f t="shared" si="8"/>
        <v>130</v>
      </c>
      <c r="N29" s="5">
        <f t="shared" si="8"/>
        <v>121</v>
      </c>
      <c r="O29" s="5">
        <f t="shared" si="8"/>
        <v>113</v>
      </c>
      <c r="P29" s="5">
        <f t="shared" si="8"/>
        <v>120</v>
      </c>
      <c r="Q29" s="5">
        <f t="shared" si="8"/>
        <v>130</v>
      </c>
      <c r="R29" s="5">
        <f t="shared" si="8"/>
        <v>119</v>
      </c>
      <c r="S29" s="5">
        <f t="shared" si="8"/>
        <v>122</v>
      </c>
      <c r="T29" s="5">
        <f t="shared" si="8"/>
        <v>82</v>
      </c>
      <c r="U29" s="5">
        <f t="shared" si="8"/>
        <v>95</v>
      </c>
      <c r="V29" s="5">
        <f t="shared" si="8"/>
        <v>131</v>
      </c>
      <c r="W29" s="5">
        <f t="shared" si="8"/>
        <v>127</v>
      </c>
      <c r="X29" s="5">
        <f t="shared" si="8"/>
        <v>112</v>
      </c>
      <c r="Y29" s="5">
        <f t="shared" si="8"/>
        <v>84</v>
      </c>
      <c r="Z29" s="5">
        <f t="shared" si="8"/>
        <v>87</v>
      </c>
      <c r="AA29" s="5">
        <f t="shared" si="8"/>
        <v>92</v>
      </c>
      <c r="AB29" s="5">
        <f t="shared" si="8"/>
        <v>97</v>
      </c>
      <c r="AC29" s="5">
        <f t="shared" si="8"/>
        <v>106</v>
      </c>
      <c r="AD29" s="5">
        <f t="shared" si="8"/>
        <v>97</v>
      </c>
      <c r="AE29" s="5">
        <f t="shared" si="8"/>
        <v>65</v>
      </c>
      <c r="AF29" s="5">
        <f t="shared" si="8"/>
        <v>91</v>
      </c>
      <c r="AG29" s="5">
        <f t="shared" si="3"/>
        <v>3046</v>
      </c>
    </row>
    <row r="30" ht="12.75" customHeight="1">
      <c r="A30" s="32"/>
      <c r="B30" s="23"/>
      <c r="C30" s="14"/>
      <c r="D30" s="5" t="s">
        <v>43</v>
      </c>
      <c r="E30" s="5">
        <f t="shared" ref="E30:AF30" si="9">SUM(E28:E29)</f>
        <v>223</v>
      </c>
      <c r="F30" s="5">
        <f t="shared" si="9"/>
        <v>210</v>
      </c>
      <c r="G30" s="5">
        <f t="shared" si="9"/>
        <v>236</v>
      </c>
      <c r="H30" s="5">
        <f t="shared" si="9"/>
        <v>236</v>
      </c>
      <c r="I30" s="5">
        <f t="shared" si="9"/>
        <v>223</v>
      </c>
      <c r="J30" s="5">
        <f t="shared" si="9"/>
        <v>238</v>
      </c>
      <c r="K30" s="5">
        <f t="shared" si="9"/>
        <v>205</v>
      </c>
      <c r="L30" s="5">
        <f t="shared" si="9"/>
        <v>233</v>
      </c>
      <c r="M30" s="5">
        <f t="shared" si="9"/>
        <v>255</v>
      </c>
      <c r="N30" s="5">
        <f t="shared" si="9"/>
        <v>223</v>
      </c>
      <c r="O30" s="5">
        <f t="shared" si="9"/>
        <v>218</v>
      </c>
      <c r="P30" s="5">
        <f t="shared" si="9"/>
        <v>230</v>
      </c>
      <c r="Q30" s="5">
        <f t="shared" si="9"/>
        <v>250</v>
      </c>
      <c r="R30" s="5">
        <f t="shared" si="9"/>
        <v>230</v>
      </c>
      <c r="S30" s="5">
        <f t="shared" si="9"/>
        <v>226</v>
      </c>
      <c r="T30" s="5">
        <f t="shared" si="9"/>
        <v>175</v>
      </c>
      <c r="U30" s="5">
        <f t="shared" si="9"/>
        <v>176</v>
      </c>
      <c r="V30" s="5">
        <f t="shared" si="9"/>
        <v>242</v>
      </c>
      <c r="W30" s="5">
        <f t="shared" si="9"/>
        <v>230</v>
      </c>
      <c r="X30" s="5">
        <f t="shared" si="9"/>
        <v>232</v>
      </c>
      <c r="Y30" s="5">
        <f t="shared" si="9"/>
        <v>181</v>
      </c>
      <c r="Z30" s="5">
        <f t="shared" si="9"/>
        <v>179</v>
      </c>
      <c r="AA30" s="5">
        <f t="shared" si="9"/>
        <v>181</v>
      </c>
      <c r="AB30" s="5">
        <f t="shared" si="9"/>
        <v>192</v>
      </c>
      <c r="AC30" s="5">
        <f t="shared" si="9"/>
        <v>206</v>
      </c>
      <c r="AD30" s="5">
        <f t="shared" si="9"/>
        <v>179</v>
      </c>
      <c r="AE30" s="5">
        <f t="shared" si="9"/>
        <v>130</v>
      </c>
      <c r="AF30" s="5">
        <f t="shared" si="9"/>
        <v>169</v>
      </c>
      <c r="AG30" s="5">
        <f t="shared" si="3"/>
        <v>5908</v>
      </c>
    </row>
    <row r="31" ht="12.75" customHeight="1">
      <c r="A31" s="24"/>
      <c r="B31" s="7"/>
      <c r="C31" s="7"/>
      <c r="D31" s="8"/>
      <c r="E31" s="11"/>
      <c r="F31" s="11"/>
      <c r="G31" s="11"/>
      <c r="H31" s="11"/>
      <c r="I31" s="11"/>
      <c r="J31" s="11"/>
      <c r="K31" s="11"/>
      <c r="L31" s="11"/>
      <c r="M31" s="11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6"/>
    </row>
    <row r="32" ht="12.75" customHeight="1">
      <c r="A32" s="35" t="s">
        <v>54</v>
      </c>
      <c r="B32" s="6" t="s">
        <v>55</v>
      </c>
      <c r="C32" s="7"/>
      <c r="D32" s="8"/>
      <c r="E32" s="5"/>
      <c r="F32" s="5"/>
      <c r="G32" s="5"/>
      <c r="H32" s="5"/>
      <c r="I32" s="5"/>
      <c r="J32" s="5"/>
      <c r="K32" s="5"/>
      <c r="L32" s="5"/>
      <c r="M32" s="5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26"/>
    </row>
    <row r="33" ht="12.75" customHeight="1">
      <c r="A33" s="11">
        <v>1.0</v>
      </c>
      <c r="B33" s="12" t="s">
        <v>56</v>
      </c>
      <c r="C33" s="7"/>
      <c r="D33" s="8"/>
      <c r="E33" s="11">
        <v>271.0</v>
      </c>
      <c r="F33" s="11">
        <v>274.0</v>
      </c>
      <c r="G33" s="11">
        <v>302.0</v>
      </c>
      <c r="H33" s="11">
        <v>273.0</v>
      </c>
      <c r="I33" s="11">
        <v>293.0</v>
      </c>
      <c r="J33" s="11">
        <v>267.0</v>
      </c>
      <c r="K33" s="11">
        <v>254.0</v>
      </c>
      <c r="L33" s="11">
        <v>284.0</v>
      </c>
      <c r="M33" s="11">
        <v>304.0</v>
      </c>
      <c r="N33" s="11">
        <v>299.0</v>
      </c>
      <c r="O33" s="11">
        <v>278.0</v>
      </c>
      <c r="P33" s="11">
        <v>290.0</v>
      </c>
      <c r="Q33" s="11">
        <v>295.0</v>
      </c>
      <c r="R33" s="11">
        <v>291.0</v>
      </c>
      <c r="S33" s="11">
        <v>300.0</v>
      </c>
      <c r="T33" s="11">
        <v>248.0</v>
      </c>
      <c r="U33" s="11">
        <v>246.0</v>
      </c>
      <c r="V33" s="11">
        <v>302.0</v>
      </c>
      <c r="W33" s="11">
        <v>295.0</v>
      </c>
      <c r="X33" s="11">
        <v>277.0</v>
      </c>
      <c r="Y33" s="11">
        <v>225.0</v>
      </c>
      <c r="Z33" s="11">
        <v>238.0</v>
      </c>
      <c r="AA33" s="11">
        <v>254.0</v>
      </c>
      <c r="AB33" s="11">
        <v>247.0</v>
      </c>
      <c r="AC33" s="11">
        <v>288.0</v>
      </c>
      <c r="AD33" s="11">
        <v>240.0</v>
      </c>
      <c r="AE33" s="11">
        <v>177.0</v>
      </c>
      <c r="AF33" s="11">
        <v>220.0</v>
      </c>
      <c r="AG33" s="5">
        <f t="shared" ref="AG33:AG36" si="10">SUM(E33:AF33)</f>
        <v>7532</v>
      </c>
    </row>
    <row r="34" ht="12.75" customHeight="1">
      <c r="A34" s="11">
        <v>2.0</v>
      </c>
      <c r="B34" s="12" t="s">
        <v>57</v>
      </c>
      <c r="C34" s="7"/>
      <c r="D34" s="8"/>
      <c r="E34" s="37">
        <v>223.0</v>
      </c>
      <c r="F34" s="5">
        <v>210.0</v>
      </c>
      <c r="G34" s="5">
        <v>236.0</v>
      </c>
      <c r="H34" s="5">
        <v>236.0</v>
      </c>
      <c r="I34" s="5">
        <v>223.0</v>
      </c>
      <c r="J34" s="5">
        <v>238.0</v>
      </c>
      <c r="K34" s="5">
        <v>205.0</v>
      </c>
      <c r="L34" s="5">
        <v>233.0</v>
      </c>
      <c r="M34" s="5">
        <v>255.0</v>
      </c>
      <c r="N34" s="5">
        <v>223.0</v>
      </c>
      <c r="O34" s="5">
        <v>218.0</v>
      </c>
      <c r="P34" s="5">
        <v>230.0</v>
      </c>
      <c r="Q34" s="5">
        <v>250.0</v>
      </c>
      <c r="R34" s="5">
        <v>230.0</v>
      </c>
      <c r="S34" s="5">
        <v>226.0</v>
      </c>
      <c r="T34" s="5">
        <v>175.0</v>
      </c>
      <c r="U34" s="5">
        <v>176.0</v>
      </c>
      <c r="V34" s="5">
        <v>242.0</v>
      </c>
      <c r="W34" s="5">
        <v>230.0</v>
      </c>
      <c r="X34" s="5">
        <v>232.0</v>
      </c>
      <c r="Y34" s="5">
        <v>181.0</v>
      </c>
      <c r="Z34" s="5">
        <v>179.0</v>
      </c>
      <c r="AA34" s="5">
        <v>181.0</v>
      </c>
      <c r="AB34" s="5">
        <v>192.0</v>
      </c>
      <c r="AC34" s="5">
        <v>206.0</v>
      </c>
      <c r="AD34" s="5">
        <v>179.0</v>
      </c>
      <c r="AE34" s="5">
        <v>130.0</v>
      </c>
      <c r="AF34" s="5">
        <v>169.0</v>
      </c>
      <c r="AG34" s="5">
        <f t="shared" si="10"/>
        <v>5908</v>
      </c>
    </row>
    <row r="35" ht="12.75" customHeight="1">
      <c r="A35" s="11">
        <v>3.0</v>
      </c>
      <c r="B35" s="12" t="s">
        <v>58</v>
      </c>
      <c r="C35" s="7"/>
      <c r="D35" s="8"/>
      <c r="E35" s="11">
        <v>1.0</v>
      </c>
      <c r="F35" s="11">
        <v>0.0</v>
      </c>
      <c r="G35" s="11">
        <v>0.0</v>
      </c>
      <c r="H35" s="11">
        <v>3.0</v>
      </c>
      <c r="I35" s="11">
        <v>0.0</v>
      </c>
      <c r="J35" s="11">
        <v>0.0</v>
      </c>
      <c r="K35" s="11">
        <v>0.0</v>
      </c>
      <c r="L35" s="11">
        <v>0.0</v>
      </c>
      <c r="M35" s="11">
        <v>0.0</v>
      </c>
      <c r="N35" s="11">
        <v>0.0</v>
      </c>
      <c r="O35" s="11">
        <v>2.0</v>
      </c>
      <c r="P35" s="11">
        <v>0.0</v>
      </c>
      <c r="Q35" s="11">
        <v>0.0</v>
      </c>
      <c r="R35" s="11">
        <v>0.0</v>
      </c>
      <c r="S35" s="11">
        <v>1.0</v>
      </c>
      <c r="T35" s="11">
        <v>1.0</v>
      </c>
      <c r="U35" s="11">
        <v>0.0</v>
      </c>
      <c r="V35" s="11">
        <v>0.0</v>
      </c>
      <c r="W35" s="11">
        <v>0.0</v>
      </c>
      <c r="X35" s="11">
        <v>0.0</v>
      </c>
      <c r="Y35" s="11">
        <v>0.0</v>
      </c>
      <c r="Z35" s="11">
        <v>0.0</v>
      </c>
      <c r="AA35" s="11">
        <v>4.0</v>
      </c>
      <c r="AB35" s="11">
        <v>0.0</v>
      </c>
      <c r="AC35" s="11">
        <v>0.0</v>
      </c>
      <c r="AD35" s="11">
        <v>0.0</v>
      </c>
      <c r="AE35" s="11">
        <v>0.0</v>
      </c>
      <c r="AF35" s="11">
        <v>0.0</v>
      </c>
      <c r="AG35" s="5">
        <f t="shared" si="10"/>
        <v>12</v>
      </c>
    </row>
    <row r="36" ht="12.75" customHeight="1">
      <c r="A36" s="11">
        <v>4.0</v>
      </c>
      <c r="B36" s="12" t="s">
        <v>59</v>
      </c>
      <c r="C36" s="7"/>
      <c r="D36" s="8"/>
      <c r="E36" s="5">
        <f t="shared" ref="E36:AF36" si="11">E33-(E34+E35)</f>
        <v>47</v>
      </c>
      <c r="F36" s="5">
        <f t="shared" si="11"/>
        <v>64</v>
      </c>
      <c r="G36" s="5">
        <f t="shared" si="11"/>
        <v>66</v>
      </c>
      <c r="H36" s="5">
        <f t="shared" si="11"/>
        <v>34</v>
      </c>
      <c r="I36" s="5">
        <f t="shared" si="11"/>
        <v>70</v>
      </c>
      <c r="J36" s="5">
        <f t="shared" si="11"/>
        <v>29</v>
      </c>
      <c r="K36" s="5">
        <f t="shared" si="11"/>
        <v>49</v>
      </c>
      <c r="L36" s="5">
        <f t="shared" si="11"/>
        <v>51</v>
      </c>
      <c r="M36" s="5">
        <f t="shared" si="11"/>
        <v>49</v>
      </c>
      <c r="N36" s="5">
        <f t="shared" si="11"/>
        <v>76</v>
      </c>
      <c r="O36" s="5">
        <f t="shared" si="11"/>
        <v>58</v>
      </c>
      <c r="P36" s="5">
        <f t="shared" si="11"/>
        <v>60</v>
      </c>
      <c r="Q36" s="5">
        <f t="shared" si="11"/>
        <v>45</v>
      </c>
      <c r="R36" s="5">
        <f t="shared" si="11"/>
        <v>61</v>
      </c>
      <c r="S36" s="5">
        <f t="shared" si="11"/>
        <v>73</v>
      </c>
      <c r="T36" s="5">
        <f t="shared" si="11"/>
        <v>72</v>
      </c>
      <c r="U36" s="5">
        <f t="shared" si="11"/>
        <v>70</v>
      </c>
      <c r="V36" s="5">
        <f t="shared" si="11"/>
        <v>60</v>
      </c>
      <c r="W36" s="5">
        <f t="shared" si="11"/>
        <v>65</v>
      </c>
      <c r="X36" s="5">
        <f t="shared" si="11"/>
        <v>45</v>
      </c>
      <c r="Y36" s="5">
        <f t="shared" si="11"/>
        <v>44</v>
      </c>
      <c r="Z36" s="5">
        <f t="shared" si="11"/>
        <v>59</v>
      </c>
      <c r="AA36" s="5">
        <f t="shared" si="11"/>
        <v>69</v>
      </c>
      <c r="AB36" s="5">
        <f t="shared" si="11"/>
        <v>55</v>
      </c>
      <c r="AC36" s="5">
        <f t="shared" si="11"/>
        <v>82</v>
      </c>
      <c r="AD36" s="5">
        <f t="shared" si="11"/>
        <v>61</v>
      </c>
      <c r="AE36" s="5">
        <f t="shared" si="11"/>
        <v>47</v>
      </c>
      <c r="AF36" s="5">
        <f t="shared" si="11"/>
        <v>51</v>
      </c>
      <c r="AG36" s="5">
        <f t="shared" si="10"/>
        <v>1612</v>
      </c>
    </row>
    <row r="37" ht="12.75" customHeight="1">
      <c r="A37" s="24"/>
      <c r="B37" s="7"/>
      <c r="C37" s="7"/>
      <c r="D37" s="7"/>
      <c r="E37" s="24"/>
      <c r="F37" s="7"/>
      <c r="G37" s="7"/>
      <c r="H37" s="7"/>
      <c r="I37" s="8"/>
      <c r="J37" s="11"/>
      <c r="K37" s="11"/>
      <c r="L37" s="11"/>
      <c r="M37" s="11"/>
      <c r="N37" s="25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26"/>
    </row>
    <row r="38" ht="12.75" customHeight="1">
      <c r="A38" s="39" t="s">
        <v>60</v>
      </c>
      <c r="B38" s="6" t="s">
        <v>61</v>
      </c>
      <c r="C38" s="7"/>
      <c r="D38" s="8"/>
      <c r="E38" s="5"/>
      <c r="F38" s="5"/>
      <c r="G38" s="5"/>
      <c r="H38" s="5"/>
      <c r="I38" s="5"/>
      <c r="J38" s="5"/>
      <c r="K38" s="5"/>
      <c r="L38" s="5"/>
      <c r="M38" s="5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26"/>
    </row>
    <row r="39" ht="12.75" customHeight="1">
      <c r="A39" s="27"/>
      <c r="B39" s="40" t="s">
        <v>62</v>
      </c>
      <c r="C39" s="17"/>
      <c r="D39" s="11" t="s">
        <v>41</v>
      </c>
      <c r="E39" s="11">
        <v>0.0</v>
      </c>
      <c r="F39" s="11">
        <v>0.0</v>
      </c>
      <c r="G39" s="11">
        <v>0.0</v>
      </c>
      <c r="H39" s="11">
        <v>0.0</v>
      </c>
      <c r="I39" s="11">
        <v>0.0</v>
      </c>
      <c r="J39" s="11">
        <v>0.0</v>
      </c>
      <c r="K39" s="11">
        <v>0.0</v>
      </c>
      <c r="L39" s="11">
        <v>0.0</v>
      </c>
      <c r="M39" s="11">
        <v>0.0</v>
      </c>
      <c r="N39" s="11">
        <v>0.0</v>
      </c>
      <c r="O39" s="11">
        <v>0.0</v>
      </c>
      <c r="P39" s="11">
        <v>0.0</v>
      </c>
      <c r="Q39" s="11">
        <v>0.0</v>
      </c>
      <c r="R39" s="11">
        <v>0.0</v>
      </c>
      <c r="S39" s="11">
        <v>0.0</v>
      </c>
      <c r="T39" s="11">
        <v>0.0</v>
      </c>
      <c r="U39" s="11">
        <v>0.0</v>
      </c>
      <c r="V39" s="11">
        <v>3.0</v>
      </c>
      <c r="W39" s="11">
        <v>0.0</v>
      </c>
      <c r="X39" s="11">
        <v>0.0</v>
      </c>
      <c r="Y39" s="11">
        <v>0.0</v>
      </c>
      <c r="Z39" s="11">
        <v>0.0</v>
      </c>
      <c r="AA39" s="11">
        <v>0.0</v>
      </c>
      <c r="AB39" s="11">
        <v>1.0</v>
      </c>
      <c r="AC39" s="11">
        <v>0.0</v>
      </c>
      <c r="AD39" s="11">
        <v>0.0</v>
      </c>
      <c r="AE39" s="11">
        <v>0.0</v>
      </c>
      <c r="AF39" s="11">
        <v>0.0</v>
      </c>
      <c r="AG39" s="5">
        <f t="shared" ref="AG39:AG41" si="12">SUM(E39:AF39)</f>
        <v>4</v>
      </c>
    </row>
    <row r="40" ht="12.75" customHeight="1">
      <c r="A40" s="30"/>
      <c r="C40" s="19"/>
      <c r="D40" s="11" t="s">
        <v>42</v>
      </c>
      <c r="E40" s="11">
        <v>0.0</v>
      </c>
      <c r="F40" s="11">
        <v>0.0</v>
      </c>
      <c r="G40" s="11">
        <v>0.0</v>
      </c>
      <c r="H40" s="11">
        <v>0.0</v>
      </c>
      <c r="I40" s="11">
        <v>0.0</v>
      </c>
      <c r="J40" s="11">
        <v>0.0</v>
      </c>
      <c r="K40" s="11">
        <v>0.0</v>
      </c>
      <c r="L40" s="11">
        <v>0.0</v>
      </c>
      <c r="M40" s="11">
        <v>0.0</v>
      </c>
      <c r="N40" s="11">
        <v>0.0</v>
      </c>
      <c r="O40" s="11">
        <v>0.0</v>
      </c>
      <c r="P40" s="11">
        <v>0.0</v>
      </c>
      <c r="Q40" s="11">
        <v>0.0</v>
      </c>
      <c r="R40" s="11">
        <v>1.0</v>
      </c>
      <c r="S40" s="11">
        <v>0.0</v>
      </c>
      <c r="T40" s="11">
        <v>1.0</v>
      </c>
      <c r="U40" s="11">
        <v>0.0</v>
      </c>
      <c r="V40" s="11">
        <v>2.0</v>
      </c>
      <c r="W40" s="11">
        <v>0.0</v>
      </c>
      <c r="X40" s="11">
        <v>0.0</v>
      </c>
      <c r="Y40" s="11">
        <v>0.0</v>
      </c>
      <c r="Z40" s="11">
        <v>0.0</v>
      </c>
      <c r="AA40" s="11">
        <v>0.0</v>
      </c>
      <c r="AB40" s="11">
        <v>1.0</v>
      </c>
      <c r="AC40" s="11">
        <v>0.0</v>
      </c>
      <c r="AD40" s="11">
        <v>0.0</v>
      </c>
      <c r="AE40" s="11">
        <v>0.0</v>
      </c>
      <c r="AF40" s="11">
        <v>0.0</v>
      </c>
      <c r="AG40" s="5">
        <f t="shared" si="12"/>
        <v>5</v>
      </c>
    </row>
    <row r="41" ht="12.75" customHeight="1">
      <c r="A41" s="35"/>
      <c r="B41" s="41"/>
      <c r="C41" s="23"/>
      <c r="D41" s="5" t="s">
        <v>43</v>
      </c>
      <c r="E41" s="5">
        <f t="shared" ref="E41:AF41" si="13">SUM(E39:E40)</f>
        <v>0</v>
      </c>
      <c r="F41" s="5">
        <f t="shared" si="13"/>
        <v>0</v>
      </c>
      <c r="G41" s="5">
        <f t="shared" si="13"/>
        <v>0</v>
      </c>
      <c r="H41" s="5">
        <f t="shared" si="13"/>
        <v>0</v>
      </c>
      <c r="I41" s="5">
        <f t="shared" si="13"/>
        <v>0</v>
      </c>
      <c r="J41" s="5">
        <f t="shared" si="13"/>
        <v>0</v>
      </c>
      <c r="K41" s="5">
        <f t="shared" si="13"/>
        <v>0</v>
      </c>
      <c r="L41" s="5">
        <f t="shared" si="13"/>
        <v>0</v>
      </c>
      <c r="M41" s="5">
        <f t="shared" si="13"/>
        <v>0</v>
      </c>
      <c r="N41" s="5">
        <f t="shared" si="13"/>
        <v>0</v>
      </c>
      <c r="O41" s="5">
        <f t="shared" si="13"/>
        <v>0</v>
      </c>
      <c r="P41" s="5">
        <f t="shared" si="13"/>
        <v>0</v>
      </c>
      <c r="Q41" s="5">
        <f t="shared" si="13"/>
        <v>0</v>
      </c>
      <c r="R41" s="5">
        <f t="shared" si="13"/>
        <v>1</v>
      </c>
      <c r="S41" s="5">
        <f t="shared" si="13"/>
        <v>0</v>
      </c>
      <c r="T41" s="5">
        <f t="shared" si="13"/>
        <v>1</v>
      </c>
      <c r="U41" s="5">
        <f t="shared" si="13"/>
        <v>0</v>
      </c>
      <c r="V41" s="5">
        <f t="shared" si="13"/>
        <v>5</v>
      </c>
      <c r="W41" s="5">
        <f t="shared" si="13"/>
        <v>0</v>
      </c>
      <c r="X41" s="5">
        <f t="shared" si="13"/>
        <v>0</v>
      </c>
      <c r="Y41" s="5">
        <f t="shared" si="13"/>
        <v>0</v>
      </c>
      <c r="Z41" s="5">
        <f t="shared" si="13"/>
        <v>0</v>
      </c>
      <c r="AA41" s="5">
        <f t="shared" si="13"/>
        <v>0</v>
      </c>
      <c r="AB41" s="5">
        <f t="shared" si="13"/>
        <v>2</v>
      </c>
      <c r="AC41" s="5">
        <f t="shared" si="13"/>
        <v>0</v>
      </c>
      <c r="AD41" s="5">
        <f t="shared" si="13"/>
        <v>0</v>
      </c>
      <c r="AE41" s="5">
        <f t="shared" si="13"/>
        <v>0</v>
      </c>
      <c r="AF41" s="5">
        <f t="shared" si="13"/>
        <v>0</v>
      </c>
      <c r="AG41" s="5">
        <f t="shared" si="12"/>
        <v>9</v>
      </c>
    </row>
    <row r="42" ht="12.75" customHeight="1">
      <c r="A42" s="42"/>
      <c r="B42" s="41"/>
      <c r="C42" s="41"/>
      <c r="D42" s="23"/>
      <c r="E42" s="24"/>
      <c r="F42" s="7"/>
      <c r="G42" s="7"/>
      <c r="H42" s="7"/>
      <c r="I42" s="8"/>
      <c r="J42" s="11"/>
      <c r="K42" s="11"/>
      <c r="L42" s="11"/>
      <c r="M42" s="11"/>
      <c r="N42" s="25"/>
      <c r="O42" s="11"/>
      <c r="P42" s="25"/>
      <c r="Q42" s="11"/>
      <c r="R42" s="25"/>
      <c r="S42" s="11"/>
      <c r="T42" s="25"/>
      <c r="U42" s="11"/>
      <c r="V42" s="25"/>
      <c r="W42" s="11"/>
      <c r="X42" s="25"/>
      <c r="Y42" s="11"/>
      <c r="Z42" s="25"/>
      <c r="AA42" s="11"/>
      <c r="AB42" s="25"/>
      <c r="AC42" s="11"/>
      <c r="AD42" s="25"/>
      <c r="AE42" s="11"/>
      <c r="AF42" s="25"/>
      <c r="AG42" s="5"/>
    </row>
    <row r="43" ht="12.75" customHeight="1">
      <c r="A43" s="39" t="s">
        <v>63</v>
      </c>
      <c r="B43" s="6" t="s">
        <v>64</v>
      </c>
      <c r="C43" s="7"/>
      <c r="D43" s="8"/>
      <c r="E43" s="9"/>
      <c r="F43" s="5"/>
      <c r="G43" s="5"/>
      <c r="H43" s="5"/>
      <c r="I43" s="5"/>
      <c r="J43" s="5"/>
      <c r="K43" s="5"/>
      <c r="L43" s="5"/>
      <c r="M43" s="5"/>
      <c r="N43" s="36"/>
      <c r="O43" s="5"/>
      <c r="P43" s="36"/>
      <c r="Q43" s="5"/>
      <c r="R43" s="36"/>
      <c r="S43" s="5"/>
      <c r="T43" s="36"/>
      <c r="U43" s="5"/>
      <c r="V43" s="36"/>
      <c r="W43" s="5"/>
      <c r="X43" s="36"/>
      <c r="Y43" s="5"/>
      <c r="Z43" s="36"/>
      <c r="AA43" s="5"/>
      <c r="AB43" s="36"/>
      <c r="AC43" s="5"/>
      <c r="AD43" s="36"/>
      <c r="AE43" s="5"/>
      <c r="AF43" s="36"/>
      <c r="AG43" s="5"/>
    </row>
    <row r="44" ht="12.75" customHeight="1">
      <c r="A44" s="40" t="s">
        <v>65</v>
      </c>
      <c r="B44" s="43"/>
      <c r="C44" s="43"/>
      <c r="D44" s="17"/>
      <c r="E44" s="24"/>
      <c r="F44" s="11"/>
      <c r="G44" s="11"/>
      <c r="H44" s="11"/>
      <c r="I44" s="11"/>
      <c r="J44" s="11"/>
      <c r="K44" s="11"/>
      <c r="L44" s="11"/>
      <c r="M44" s="11"/>
      <c r="N44" s="25"/>
      <c r="O44" s="11"/>
      <c r="P44" s="25"/>
      <c r="Q44" s="11"/>
      <c r="R44" s="25"/>
      <c r="S44" s="11"/>
      <c r="T44" s="25"/>
      <c r="U44" s="11"/>
      <c r="V44" s="25"/>
      <c r="W44" s="11"/>
      <c r="X44" s="25"/>
      <c r="Y44" s="11"/>
      <c r="Z44" s="25"/>
      <c r="AA44" s="11"/>
      <c r="AB44" s="25"/>
      <c r="AC44" s="11"/>
      <c r="AD44" s="25"/>
      <c r="AE44" s="11"/>
      <c r="AF44" s="25"/>
      <c r="AG44" s="5"/>
    </row>
    <row r="45" ht="12.75" customHeight="1">
      <c r="A45" s="44"/>
      <c r="B45" s="45">
        <v>1.0</v>
      </c>
      <c r="C45" s="46" t="s">
        <v>66</v>
      </c>
      <c r="D45" s="8"/>
      <c r="E45" s="11">
        <v>25.0</v>
      </c>
      <c r="F45" s="11">
        <v>24.0</v>
      </c>
      <c r="G45" s="11">
        <v>48.0</v>
      </c>
      <c r="H45" s="11">
        <v>32.0</v>
      </c>
      <c r="I45" s="11">
        <v>19.0</v>
      </c>
      <c r="J45" s="11">
        <v>30.0</v>
      </c>
      <c r="K45" s="11">
        <v>25.0</v>
      </c>
      <c r="L45" s="11">
        <v>9.0</v>
      </c>
      <c r="M45" s="11">
        <v>24.0</v>
      </c>
      <c r="N45" s="11">
        <v>10.0</v>
      </c>
      <c r="O45" s="11">
        <v>8.0</v>
      </c>
      <c r="P45" s="11">
        <v>32.0</v>
      </c>
      <c r="Q45" s="11">
        <v>20.0</v>
      </c>
      <c r="R45" s="11">
        <v>17.0</v>
      </c>
      <c r="S45" s="11">
        <v>22.0</v>
      </c>
      <c r="T45" s="11">
        <v>21.0</v>
      </c>
      <c r="U45" s="11">
        <v>36.0</v>
      </c>
      <c r="V45" s="11">
        <v>8.0</v>
      </c>
      <c r="W45" s="11">
        <v>21.0</v>
      </c>
      <c r="X45" s="11">
        <v>35.0</v>
      </c>
      <c r="Y45" s="11">
        <v>13.0</v>
      </c>
      <c r="Z45" s="11">
        <v>7.0</v>
      </c>
      <c r="AA45" s="11">
        <v>21.0</v>
      </c>
      <c r="AB45" s="11">
        <v>5.0</v>
      </c>
      <c r="AC45" s="11">
        <v>10.0</v>
      </c>
      <c r="AD45" s="11">
        <v>6.0</v>
      </c>
      <c r="AE45" s="11">
        <v>23.0</v>
      </c>
      <c r="AF45" s="11">
        <v>4.0</v>
      </c>
      <c r="AG45" s="5">
        <f t="shared" ref="AG45:AG47" si="14">SUM(E45:AF45)</f>
        <v>555</v>
      </c>
    </row>
    <row r="46" ht="12.75" customHeight="1">
      <c r="A46" s="15"/>
      <c r="B46" s="45">
        <v>2.0</v>
      </c>
      <c r="C46" s="46" t="s">
        <v>67</v>
      </c>
      <c r="D46" s="8"/>
      <c r="E46" s="11">
        <v>153.0</v>
      </c>
      <c r="F46" s="11">
        <v>151.0</v>
      </c>
      <c r="G46" s="11">
        <v>141.0</v>
      </c>
      <c r="H46" s="11">
        <v>153.0</v>
      </c>
      <c r="I46" s="11">
        <v>147.0</v>
      </c>
      <c r="J46" s="11">
        <v>180.0</v>
      </c>
      <c r="K46" s="11">
        <v>129.0</v>
      </c>
      <c r="L46" s="11">
        <v>180.0</v>
      </c>
      <c r="M46" s="11">
        <v>139.0</v>
      </c>
      <c r="N46" s="11">
        <v>163.0</v>
      </c>
      <c r="O46" s="11">
        <v>146.0</v>
      </c>
      <c r="P46" s="11">
        <v>149.0</v>
      </c>
      <c r="Q46" s="11">
        <v>151.0</v>
      </c>
      <c r="R46" s="11">
        <v>153.0</v>
      </c>
      <c r="S46" s="11">
        <v>160.0</v>
      </c>
      <c r="T46" s="11">
        <v>110.0</v>
      </c>
      <c r="U46" s="11">
        <v>115.0</v>
      </c>
      <c r="V46" s="11">
        <v>176.0</v>
      </c>
      <c r="W46" s="11">
        <v>147.0</v>
      </c>
      <c r="X46" s="11">
        <v>149.0</v>
      </c>
      <c r="Y46" s="11">
        <v>122.0</v>
      </c>
      <c r="Z46" s="11">
        <v>112.0</v>
      </c>
      <c r="AA46" s="11">
        <v>134.0</v>
      </c>
      <c r="AB46" s="11">
        <v>149.0</v>
      </c>
      <c r="AC46" s="11">
        <v>152.0</v>
      </c>
      <c r="AD46" s="11">
        <v>150.0</v>
      </c>
      <c r="AE46" s="11">
        <v>88.0</v>
      </c>
      <c r="AF46" s="11">
        <v>132.0</v>
      </c>
      <c r="AG46" s="5">
        <f t="shared" si="14"/>
        <v>4031</v>
      </c>
    </row>
    <row r="47" ht="12.75" customHeight="1">
      <c r="A47" s="42"/>
      <c r="B47" s="45">
        <v>3.0</v>
      </c>
      <c r="C47" s="46" t="s">
        <v>68</v>
      </c>
      <c r="D47" s="8"/>
      <c r="E47" s="11">
        <v>45.0</v>
      </c>
      <c r="F47" s="11">
        <v>31.0</v>
      </c>
      <c r="G47" s="11">
        <v>41.0</v>
      </c>
      <c r="H47" s="11">
        <v>48.0</v>
      </c>
      <c r="I47" s="11">
        <v>53.0</v>
      </c>
      <c r="J47" s="20">
        <v>29.0</v>
      </c>
      <c r="K47" s="11">
        <v>50.0</v>
      </c>
      <c r="L47" s="11">
        <v>44.0</v>
      </c>
      <c r="M47" s="11">
        <v>87.0</v>
      </c>
      <c r="N47" s="11">
        <v>47.0</v>
      </c>
      <c r="O47" s="11">
        <v>62.0</v>
      </c>
      <c r="P47" s="11">
        <v>47.0</v>
      </c>
      <c r="Q47" s="11">
        <v>72.0</v>
      </c>
      <c r="R47" s="11">
        <v>59.0</v>
      </c>
      <c r="S47" s="11">
        <v>43.0</v>
      </c>
      <c r="T47" s="11">
        <v>38.0</v>
      </c>
      <c r="U47" s="11">
        <v>24.0</v>
      </c>
      <c r="V47" s="11">
        <v>49.0</v>
      </c>
      <c r="W47" s="11">
        <v>59.0</v>
      </c>
      <c r="X47" s="11">
        <v>45.0</v>
      </c>
      <c r="Y47" s="11">
        <v>38.0</v>
      </c>
      <c r="Z47" s="11">
        <v>49.0</v>
      </c>
      <c r="AA47" s="11">
        <v>24.0</v>
      </c>
      <c r="AB47" s="11">
        <v>35.0</v>
      </c>
      <c r="AC47" s="11">
        <v>40.0</v>
      </c>
      <c r="AD47" s="11">
        <v>19.0</v>
      </c>
      <c r="AE47" s="11">
        <v>18.0</v>
      </c>
      <c r="AF47" s="11">
        <v>32.0</v>
      </c>
      <c r="AG47" s="5">
        <f t="shared" si="14"/>
        <v>1228</v>
      </c>
    </row>
    <row r="48" ht="12.75" customHeight="1"/>
    <row r="49" ht="12.75" customHeight="1">
      <c r="A49" s="39" t="s">
        <v>69</v>
      </c>
      <c r="B49" s="6" t="s">
        <v>70</v>
      </c>
      <c r="C49" s="7"/>
      <c r="D49" s="8"/>
      <c r="E49" s="5"/>
      <c r="F49" s="5"/>
      <c r="G49" s="5"/>
      <c r="H49" s="5"/>
      <c r="I49" s="5"/>
      <c r="J49" s="5"/>
      <c r="K49" s="5"/>
      <c r="L49" s="5"/>
      <c r="M49" s="5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5"/>
    </row>
    <row r="50" ht="12.75" customHeight="1">
      <c r="A50" s="39"/>
      <c r="B50" s="47" t="s">
        <v>71</v>
      </c>
      <c r="C50" s="48" t="s">
        <v>72</v>
      </c>
      <c r="D50" s="8"/>
      <c r="E50" s="11">
        <f t="shared" ref="E50:AF50" si="15">SUM(E45:E47)</f>
        <v>223</v>
      </c>
      <c r="F50" s="11">
        <f t="shared" si="15"/>
        <v>206</v>
      </c>
      <c r="G50" s="11">
        <f t="shared" si="15"/>
        <v>230</v>
      </c>
      <c r="H50" s="11">
        <f t="shared" si="15"/>
        <v>233</v>
      </c>
      <c r="I50" s="11">
        <f t="shared" si="15"/>
        <v>219</v>
      </c>
      <c r="J50" s="11">
        <f t="shared" si="15"/>
        <v>239</v>
      </c>
      <c r="K50" s="11">
        <f t="shared" si="15"/>
        <v>204</v>
      </c>
      <c r="L50" s="11">
        <f t="shared" si="15"/>
        <v>233</v>
      </c>
      <c r="M50" s="11">
        <f t="shared" si="15"/>
        <v>250</v>
      </c>
      <c r="N50" s="11">
        <f t="shared" si="15"/>
        <v>220</v>
      </c>
      <c r="O50" s="11">
        <f t="shared" si="15"/>
        <v>216</v>
      </c>
      <c r="P50" s="11">
        <f t="shared" si="15"/>
        <v>228</v>
      </c>
      <c r="Q50" s="11">
        <f t="shared" si="15"/>
        <v>243</v>
      </c>
      <c r="R50" s="11">
        <f t="shared" si="15"/>
        <v>229</v>
      </c>
      <c r="S50" s="11">
        <f t="shared" si="15"/>
        <v>225</v>
      </c>
      <c r="T50" s="11">
        <f t="shared" si="15"/>
        <v>169</v>
      </c>
      <c r="U50" s="11">
        <f t="shared" si="15"/>
        <v>175</v>
      </c>
      <c r="V50" s="11">
        <f t="shared" si="15"/>
        <v>233</v>
      </c>
      <c r="W50" s="11">
        <f t="shared" si="15"/>
        <v>227</v>
      </c>
      <c r="X50" s="11">
        <f t="shared" si="15"/>
        <v>229</v>
      </c>
      <c r="Y50" s="11">
        <f t="shared" si="15"/>
        <v>173</v>
      </c>
      <c r="Z50" s="11">
        <f t="shared" si="15"/>
        <v>168</v>
      </c>
      <c r="AA50" s="11">
        <f t="shared" si="15"/>
        <v>179</v>
      </c>
      <c r="AB50" s="11">
        <f t="shared" si="15"/>
        <v>189</v>
      </c>
      <c r="AC50" s="11">
        <f t="shared" si="15"/>
        <v>202</v>
      </c>
      <c r="AD50" s="11">
        <f t="shared" si="15"/>
        <v>175</v>
      </c>
      <c r="AE50" s="11">
        <f t="shared" si="15"/>
        <v>129</v>
      </c>
      <c r="AF50" s="11">
        <f t="shared" si="15"/>
        <v>168</v>
      </c>
      <c r="AG50" s="5">
        <f t="shared" ref="AG50:AG52" si="16">SUM(E50:AF50)</f>
        <v>5814</v>
      </c>
    </row>
    <row r="51" ht="12.75" customHeight="1">
      <c r="A51" s="32"/>
      <c r="B51" s="47" t="s">
        <v>73</v>
      </c>
      <c r="C51" s="48" t="s">
        <v>74</v>
      </c>
      <c r="D51" s="8"/>
      <c r="E51" s="11">
        <v>1.0</v>
      </c>
      <c r="F51" s="11">
        <v>4.0</v>
      </c>
      <c r="G51" s="11">
        <v>6.0</v>
      </c>
      <c r="H51" s="11">
        <v>3.0</v>
      </c>
      <c r="I51" s="11">
        <v>4.0</v>
      </c>
      <c r="J51" s="11">
        <v>0.0</v>
      </c>
      <c r="K51" s="11">
        <v>1.0</v>
      </c>
      <c r="L51" s="11">
        <v>0.0</v>
      </c>
      <c r="M51" s="11">
        <v>5.0</v>
      </c>
      <c r="N51" s="11">
        <v>3.0</v>
      </c>
      <c r="O51" s="11">
        <v>2.0</v>
      </c>
      <c r="P51" s="11">
        <v>2.0</v>
      </c>
      <c r="Q51" s="11">
        <v>7.0</v>
      </c>
      <c r="R51" s="11">
        <v>1.0</v>
      </c>
      <c r="S51" s="11">
        <v>1.0</v>
      </c>
      <c r="T51" s="11">
        <v>6.0</v>
      </c>
      <c r="U51" s="11">
        <v>1.0</v>
      </c>
      <c r="V51" s="11">
        <v>9.0</v>
      </c>
      <c r="W51" s="11">
        <v>3.0</v>
      </c>
      <c r="X51" s="11">
        <v>3.0</v>
      </c>
      <c r="Y51" s="11">
        <v>8.0</v>
      </c>
      <c r="Z51" s="11">
        <v>11.0</v>
      </c>
      <c r="AA51" s="11">
        <v>2.0</v>
      </c>
      <c r="AB51" s="11">
        <v>3.0</v>
      </c>
      <c r="AC51" s="11">
        <v>4.0</v>
      </c>
      <c r="AD51" s="11">
        <v>4.0</v>
      </c>
      <c r="AE51" s="11">
        <v>1.0</v>
      </c>
      <c r="AF51" s="11">
        <v>1.0</v>
      </c>
      <c r="AG51" s="5">
        <f t="shared" si="16"/>
        <v>96</v>
      </c>
    </row>
    <row r="52" ht="12.75" customHeight="1">
      <c r="A52" s="35"/>
      <c r="B52" s="47" t="s">
        <v>75</v>
      </c>
      <c r="C52" s="48" t="s">
        <v>76</v>
      </c>
      <c r="D52" s="8"/>
      <c r="E52" s="5">
        <f t="shared" ref="E52:AF52" si="17">SUM(E50:E51)</f>
        <v>224</v>
      </c>
      <c r="F52" s="5">
        <f t="shared" si="17"/>
        <v>210</v>
      </c>
      <c r="G52" s="5">
        <f t="shared" si="17"/>
        <v>236</v>
      </c>
      <c r="H52" s="5">
        <f t="shared" si="17"/>
        <v>236</v>
      </c>
      <c r="I52" s="5">
        <f t="shared" si="17"/>
        <v>223</v>
      </c>
      <c r="J52" s="5">
        <f t="shared" si="17"/>
        <v>239</v>
      </c>
      <c r="K52" s="5">
        <f t="shared" si="17"/>
        <v>205</v>
      </c>
      <c r="L52" s="5">
        <f t="shared" si="17"/>
        <v>233</v>
      </c>
      <c r="M52" s="5">
        <f t="shared" si="17"/>
        <v>255</v>
      </c>
      <c r="N52" s="5">
        <f t="shared" si="17"/>
        <v>223</v>
      </c>
      <c r="O52" s="5">
        <f t="shared" si="17"/>
        <v>218</v>
      </c>
      <c r="P52" s="5">
        <f t="shared" si="17"/>
        <v>230</v>
      </c>
      <c r="Q52" s="5">
        <f t="shared" si="17"/>
        <v>250</v>
      </c>
      <c r="R52" s="5">
        <f t="shared" si="17"/>
        <v>230</v>
      </c>
      <c r="S52" s="5">
        <f t="shared" si="17"/>
        <v>226</v>
      </c>
      <c r="T52" s="5">
        <f t="shared" si="17"/>
        <v>175</v>
      </c>
      <c r="U52" s="5">
        <f t="shared" si="17"/>
        <v>176</v>
      </c>
      <c r="V52" s="5">
        <f t="shared" si="17"/>
        <v>242</v>
      </c>
      <c r="W52" s="5">
        <f t="shared" si="17"/>
        <v>230</v>
      </c>
      <c r="X52" s="5">
        <f t="shared" si="17"/>
        <v>232</v>
      </c>
      <c r="Y52" s="5">
        <f t="shared" si="17"/>
        <v>181</v>
      </c>
      <c r="Z52" s="5">
        <f t="shared" si="17"/>
        <v>179</v>
      </c>
      <c r="AA52" s="5">
        <f t="shared" si="17"/>
        <v>181</v>
      </c>
      <c r="AB52" s="5">
        <f t="shared" si="17"/>
        <v>192</v>
      </c>
      <c r="AC52" s="5">
        <f t="shared" si="17"/>
        <v>206</v>
      </c>
      <c r="AD52" s="5">
        <f t="shared" si="17"/>
        <v>179</v>
      </c>
      <c r="AE52" s="5">
        <f t="shared" si="17"/>
        <v>130</v>
      </c>
      <c r="AF52" s="5">
        <f t="shared" si="17"/>
        <v>169</v>
      </c>
      <c r="AG52" s="5">
        <f t="shared" si="16"/>
        <v>5910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AF12"/>
    <mergeCell ref="AG12:AG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34:T34">
    <cfRule type="expression" dxfId="0" priority="1">
      <formula>E34&lt;&gt;#REF!</formula>
    </cfRule>
  </conditionalFormatting>
  <conditionalFormatting sqref="E14:AF15 E45:AF47">
    <cfRule type="containsBlanks" dxfId="1" priority="2">
      <formula>LEN(TRIM(E14))=0</formula>
    </cfRule>
  </conditionalFormatting>
  <conditionalFormatting sqref="E19:AF20">
    <cfRule type="containsBlanks" dxfId="1" priority="3">
      <formula>LEN(TRIM(E19))=0</formula>
    </cfRule>
  </conditionalFormatting>
  <conditionalFormatting sqref="E22:AF23 E25:AF26 E33:AF33 E35:AF35 E39:AF40">
    <cfRule type="containsBlanks" dxfId="1" priority="4">
      <formula>LEN(TRIM(E22))=0</formula>
    </cfRule>
  </conditionalFormatting>
  <conditionalFormatting sqref="E30:AF30">
    <cfRule type="expression" dxfId="0" priority="5">
      <formula>E30&lt;&gt;E46</formula>
    </cfRule>
  </conditionalFormatting>
  <conditionalFormatting sqref="E30:AF30">
    <cfRule type="expression" dxfId="0" priority="6">
      <formula>E30&lt;&gt;E34</formula>
    </cfRule>
  </conditionalFormatting>
  <conditionalFormatting sqref="E34:AF34">
    <cfRule type="expression" dxfId="2" priority="7">
      <formula>E30&lt;&gt;E34</formula>
    </cfRule>
  </conditionalFormatting>
  <conditionalFormatting sqref="E34:AF34">
    <cfRule type="expression" dxfId="3" priority="8">
      <formula>E30=E34</formula>
    </cfRule>
  </conditionalFormatting>
  <conditionalFormatting sqref="E34:AF34">
    <cfRule type="expression" dxfId="0" priority="9">
      <formula>E34&lt;&gt;E30</formula>
    </cfRule>
  </conditionalFormatting>
  <conditionalFormatting sqref="E50:AF51">
    <cfRule type="containsBlanks" dxfId="1" priority="10">
      <formula>LEN(TRIM(E50))=0</formula>
    </cfRule>
  </conditionalFormatting>
  <conditionalFormatting sqref="U34:AF34">
    <cfRule type="expression" dxfId="0" priority="11">
      <formula>U34&lt;&gt;U46</formula>
    </cfRule>
  </conditionalFormatting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3" width="8.71"/>
    <col customWidth="1" min="34" max="34" width="13.29"/>
  </cols>
  <sheetData>
    <row r="1" ht="12.75" customHeight="1"/>
    <row r="2" ht="12.75" customHeight="1">
      <c r="C2" s="1" t="s">
        <v>0</v>
      </c>
      <c r="D2" s="1" t="s">
        <v>1</v>
      </c>
    </row>
    <row r="3" ht="12.75" customHeight="1">
      <c r="C3" s="1" t="s">
        <v>2</v>
      </c>
      <c r="D3" s="1" t="s">
        <v>3</v>
      </c>
    </row>
    <row r="4" ht="12.75" customHeight="1">
      <c r="C4" s="1" t="s">
        <v>4</v>
      </c>
      <c r="D4" s="1" t="s">
        <v>5</v>
      </c>
    </row>
    <row r="5" ht="12.75" customHeight="1">
      <c r="C5" s="1"/>
      <c r="D5" s="1"/>
    </row>
    <row r="6" ht="12.75" customHeight="1">
      <c r="C6" s="1"/>
      <c r="D6" s="1"/>
    </row>
    <row r="7" ht="12.75" customHeight="1">
      <c r="C7" s="1"/>
      <c r="D7" s="1"/>
    </row>
    <row r="8" ht="12.75" customHeight="1">
      <c r="C8" s="1"/>
      <c r="D8" s="1"/>
    </row>
    <row r="9" ht="12.75" customHeight="1">
      <c r="C9" s="1" t="s">
        <v>6</v>
      </c>
      <c r="D9" s="1" t="s">
        <v>77</v>
      </c>
    </row>
    <row r="10" ht="12.75" customHeight="1"/>
    <row r="11" ht="12.75" customHeight="1">
      <c r="A11" s="2"/>
      <c r="B11" s="3"/>
      <c r="C11" s="3"/>
      <c r="D11" s="3"/>
      <c r="E11" s="2"/>
      <c r="F11" s="2"/>
      <c r="G11" s="2"/>
      <c r="H11" s="2"/>
      <c r="I11" s="2"/>
      <c r="J11" s="2"/>
      <c r="K11" s="2"/>
      <c r="L11" s="2"/>
      <c r="M11" s="2"/>
      <c r="N11" s="4"/>
    </row>
    <row r="12" ht="12.75" customHeight="1">
      <c r="A12" s="5" t="s">
        <v>7</v>
      </c>
      <c r="B12" s="6" t="s">
        <v>8</v>
      </c>
      <c r="C12" s="7"/>
      <c r="D12" s="8"/>
      <c r="E12" s="9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10" t="s">
        <v>9</v>
      </c>
    </row>
    <row r="13" ht="12.75" customHeight="1">
      <c r="A13" s="11" t="s">
        <v>10</v>
      </c>
      <c r="B13" s="12" t="s">
        <v>11</v>
      </c>
      <c r="C13" s="7"/>
      <c r="D13" s="8"/>
      <c r="E13" s="5" t="s">
        <v>12</v>
      </c>
      <c r="F13" s="5" t="s">
        <v>13</v>
      </c>
      <c r="G13" s="5" t="s">
        <v>14</v>
      </c>
      <c r="H13" s="5" t="s">
        <v>15</v>
      </c>
      <c r="I13" s="5" t="s">
        <v>16</v>
      </c>
      <c r="J13" s="5" t="s">
        <v>17</v>
      </c>
      <c r="K13" s="5" t="s">
        <v>18</v>
      </c>
      <c r="L13" s="5" t="s">
        <v>19</v>
      </c>
      <c r="M13" s="5" t="s">
        <v>20</v>
      </c>
      <c r="N13" s="5" t="s">
        <v>21</v>
      </c>
      <c r="O13" s="5" t="s">
        <v>22</v>
      </c>
      <c r="P13" s="5" t="s">
        <v>23</v>
      </c>
      <c r="Q13" s="5" t="s">
        <v>24</v>
      </c>
      <c r="R13" s="5" t="s">
        <v>25</v>
      </c>
      <c r="S13" s="5" t="s">
        <v>26</v>
      </c>
      <c r="T13" s="5" t="s">
        <v>27</v>
      </c>
      <c r="U13" s="5" t="s">
        <v>28</v>
      </c>
      <c r="V13" s="5" t="s">
        <v>29</v>
      </c>
      <c r="W13" s="5" t="s">
        <v>30</v>
      </c>
      <c r="X13" s="5" t="s">
        <v>31</v>
      </c>
      <c r="Y13" s="5" t="s">
        <v>32</v>
      </c>
      <c r="Z13" s="5" t="s">
        <v>33</v>
      </c>
      <c r="AA13" s="5" t="s">
        <v>34</v>
      </c>
      <c r="AB13" s="5" t="s">
        <v>35</v>
      </c>
      <c r="AC13" s="5" t="s">
        <v>36</v>
      </c>
      <c r="AD13" s="5" t="s">
        <v>37</v>
      </c>
      <c r="AE13" s="5" t="s">
        <v>38</v>
      </c>
      <c r="AF13" s="5" t="s">
        <v>39</v>
      </c>
      <c r="AG13" s="5" t="s">
        <v>78</v>
      </c>
      <c r="AH13" s="14"/>
    </row>
    <row r="14" ht="12.75" customHeight="1">
      <c r="A14" s="15"/>
      <c r="B14" s="16" t="s">
        <v>40</v>
      </c>
      <c r="C14" s="17"/>
      <c r="D14" s="11" t="s">
        <v>41</v>
      </c>
      <c r="E14" s="11">
        <v>137.0</v>
      </c>
      <c r="F14" s="11">
        <v>124.0</v>
      </c>
      <c r="G14" s="11">
        <v>141.0</v>
      </c>
      <c r="H14" s="11">
        <v>143.0</v>
      </c>
      <c r="I14" s="11">
        <v>136.0</v>
      </c>
      <c r="J14" s="11">
        <v>145.0</v>
      </c>
      <c r="K14" s="11">
        <v>145.0</v>
      </c>
      <c r="L14" s="11">
        <v>145.0</v>
      </c>
      <c r="M14" s="11">
        <v>134.0</v>
      </c>
      <c r="N14" s="11">
        <v>123.0</v>
      </c>
      <c r="O14" s="11">
        <v>138.0</v>
      </c>
      <c r="P14" s="11">
        <v>130.0</v>
      </c>
      <c r="Q14" s="11">
        <v>139.0</v>
      </c>
      <c r="R14" s="11">
        <v>135.0</v>
      </c>
      <c r="S14" s="11">
        <v>136.0</v>
      </c>
      <c r="T14" s="11">
        <v>142.0</v>
      </c>
      <c r="U14" s="11">
        <v>127.0</v>
      </c>
      <c r="V14" s="11">
        <v>143.0</v>
      </c>
      <c r="W14" s="11">
        <v>134.0</v>
      </c>
      <c r="X14" s="11">
        <v>138.0</v>
      </c>
      <c r="Y14" s="11">
        <v>147.0</v>
      </c>
      <c r="Z14" s="11">
        <v>145.0</v>
      </c>
      <c r="AA14" s="11">
        <v>144.0</v>
      </c>
      <c r="AB14" s="11">
        <v>114.0</v>
      </c>
      <c r="AC14" s="11">
        <v>130.0</v>
      </c>
      <c r="AD14" s="11">
        <v>127.0</v>
      </c>
      <c r="AE14" s="11">
        <v>130.0</v>
      </c>
      <c r="AF14" s="11">
        <v>85.0</v>
      </c>
      <c r="AG14" s="11">
        <v>141.0</v>
      </c>
      <c r="AH14" s="5">
        <f t="shared" ref="AH14:AH16" si="1">SUM(E14:AG14)</f>
        <v>3898</v>
      </c>
    </row>
    <row r="15" ht="12.75" customHeight="1">
      <c r="A15" s="15"/>
      <c r="B15" s="18"/>
      <c r="C15" s="19"/>
      <c r="D15" s="11" t="s">
        <v>42</v>
      </c>
      <c r="E15" s="11">
        <v>125.0</v>
      </c>
      <c r="F15" s="11">
        <v>152.0</v>
      </c>
      <c r="G15" s="11">
        <v>151.0</v>
      </c>
      <c r="H15" s="11">
        <v>149.0</v>
      </c>
      <c r="I15" s="11">
        <v>138.0</v>
      </c>
      <c r="J15" s="11">
        <v>125.0</v>
      </c>
      <c r="K15" s="11">
        <v>154.0</v>
      </c>
      <c r="L15" s="11">
        <v>144.0</v>
      </c>
      <c r="M15" s="11">
        <v>136.0</v>
      </c>
      <c r="N15" s="11">
        <v>122.0</v>
      </c>
      <c r="O15" s="11">
        <v>138.0</v>
      </c>
      <c r="P15" s="11">
        <v>138.0</v>
      </c>
      <c r="Q15" s="11">
        <v>153.0</v>
      </c>
      <c r="R15" s="11">
        <v>138.0</v>
      </c>
      <c r="S15" s="11">
        <v>145.0</v>
      </c>
      <c r="T15" s="11">
        <v>151.0</v>
      </c>
      <c r="U15" s="11">
        <v>127.0</v>
      </c>
      <c r="V15" s="11">
        <v>135.0</v>
      </c>
      <c r="W15" s="11">
        <v>132.0</v>
      </c>
      <c r="X15" s="11">
        <v>137.0</v>
      </c>
      <c r="Y15" s="11">
        <v>129.0</v>
      </c>
      <c r="Z15" s="11">
        <v>150.0</v>
      </c>
      <c r="AA15" s="11">
        <v>145.0</v>
      </c>
      <c r="AB15" s="11">
        <v>123.0</v>
      </c>
      <c r="AC15" s="11">
        <v>138.0</v>
      </c>
      <c r="AD15" s="11">
        <v>142.0</v>
      </c>
      <c r="AE15" s="11">
        <v>145.0</v>
      </c>
      <c r="AF15" s="11">
        <v>100.0</v>
      </c>
      <c r="AG15" s="11">
        <v>128.0</v>
      </c>
      <c r="AH15" s="5">
        <f t="shared" si="1"/>
        <v>3990</v>
      </c>
    </row>
    <row r="16" ht="12.75" customHeight="1">
      <c r="A16" s="21"/>
      <c r="B16" s="22"/>
      <c r="C16" s="23"/>
      <c r="D16" s="5" t="s">
        <v>43</v>
      </c>
      <c r="E16" s="5">
        <f t="shared" ref="E16:AG16" si="2">SUM(E14:E15)</f>
        <v>262</v>
      </c>
      <c r="F16" s="5">
        <f t="shared" si="2"/>
        <v>276</v>
      </c>
      <c r="G16" s="5">
        <f t="shared" si="2"/>
        <v>292</v>
      </c>
      <c r="H16" s="5">
        <f t="shared" si="2"/>
        <v>292</v>
      </c>
      <c r="I16" s="5">
        <f t="shared" si="2"/>
        <v>274</v>
      </c>
      <c r="J16" s="5">
        <f t="shared" si="2"/>
        <v>270</v>
      </c>
      <c r="K16" s="5">
        <f t="shared" si="2"/>
        <v>299</v>
      </c>
      <c r="L16" s="5">
        <f t="shared" si="2"/>
        <v>289</v>
      </c>
      <c r="M16" s="5">
        <f t="shared" si="2"/>
        <v>270</v>
      </c>
      <c r="N16" s="5">
        <f t="shared" si="2"/>
        <v>245</v>
      </c>
      <c r="O16" s="5">
        <f t="shared" si="2"/>
        <v>276</v>
      </c>
      <c r="P16" s="5">
        <f t="shared" si="2"/>
        <v>268</v>
      </c>
      <c r="Q16" s="5">
        <f t="shared" si="2"/>
        <v>292</v>
      </c>
      <c r="R16" s="5">
        <f t="shared" si="2"/>
        <v>273</v>
      </c>
      <c r="S16" s="5">
        <f t="shared" si="2"/>
        <v>281</v>
      </c>
      <c r="T16" s="5">
        <f t="shared" si="2"/>
        <v>293</v>
      </c>
      <c r="U16" s="5">
        <f t="shared" si="2"/>
        <v>254</v>
      </c>
      <c r="V16" s="5">
        <f t="shared" si="2"/>
        <v>278</v>
      </c>
      <c r="W16" s="5">
        <f t="shared" si="2"/>
        <v>266</v>
      </c>
      <c r="X16" s="5">
        <f t="shared" si="2"/>
        <v>275</v>
      </c>
      <c r="Y16" s="5">
        <f t="shared" si="2"/>
        <v>276</v>
      </c>
      <c r="Z16" s="5">
        <f t="shared" si="2"/>
        <v>295</v>
      </c>
      <c r="AA16" s="5">
        <f t="shared" si="2"/>
        <v>289</v>
      </c>
      <c r="AB16" s="5">
        <f t="shared" si="2"/>
        <v>237</v>
      </c>
      <c r="AC16" s="5">
        <f t="shared" si="2"/>
        <v>268</v>
      </c>
      <c r="AD16" s="5">
        <f t="shared" si="2"/>
        <v>269</v>
      </c>
      <c r="AE16" s="5">
        <f t="shared" si="2"/>
        <v>275</v>
      </c>
      <c r="AF16" s="5">
        <f t="shared" si="2"/>
        <v>185</v>
      </c>
      <c r="AG16" s="5">
        <f t="shared" si="2"/>
        <v>269</v>
      </c>
      <c r="AH16" s="5">
        <f t="shared" si="1"/>
        <v>7888</v>
      </c>
    </row>
    <row r="17" ht="12.75" customHeight="1">
      <c r="A17" s="24"/>
      <c r="B17" s="7"/>
      <c r="C17" s="7"/>
      <c r="D17" s="8"/>
      <c r="E17" s="11"/>
      <c r="F17" s="11"/>
      <c r="G17" s="11"/>
      <c r="H17" s="11"/>
      <c r="I17" s="11"/>
      <c r="J17" s="11"/>
      <c r="K17" s="11"/>
      <c r="L17" s="11"/>
      <c r="M17" s="11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6"/>
    </row>
    <row r="18" ht="12.75" customHeight="1">
      <c r="A18" s="27" t="s">
        <v>44</v>
      </c>
      <c r="B18" s="12" t="s">
        <v>45</v>
      </c>
      <c r="C18" s="7"/>
      <c r="D18" s="8"/>
      <c r="E18" s="11"/>
      <c r="F18" s="11"/>
      <c r="G18" s="11"/>
      <c r="H18" s="11"/>
      <c r="I18" s="11"/>
      <c r="J18" s="11"/>
      <c r="K18" s="11"/>
      <c r="L18" s="11"/>
      <c r="M18" s="11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6"/>
    </row>
    <row r="19" ht="12.75" customHeight="1">
      <c r="A19" s="27"/>
      <c r="B19" s="28" t="s">
        <v>46</v>
      </c>
      <c r="C19" s="29" t="s">
        <v>47</v>
      </c>
      <c r="D19" s="11" t="s">
        <v>41</v>
      </c>
      <c r="E19" s="11">
        <v>89.0</v>
      </c>
      <c r="F19" s="11">
        <v>90.0</v>
      </c>
      <c r="G19" s="11">
        <v>90.0</v>
      </c>
      <c r="H19" s="11">
        <v>87.0</v>
      </c>
      <c r="I19" s="11">
        <v>103.0</v>
      </c>
      <c r="J19" s="11">
        <v>110.0</v>
      </c>
      <c r="K19" s="11">
        <v>88.0</v>
      </c>
      <c r="L19" s="11">
        <v>104.0</v>
      </c>
      <c r="M19" s="11">
        <v>100.0</v>
      </c>
      <c r="N19" s="11">
        <v>87.0</v>
      </c>
      <c r="O19" s="11">
        <v>101.0</v>
      </c>
      <c r="P19" s="11">
        <v>85.0</v>
      </c>
      <c r="Q19" s="11">
        <v>93.0</v>
      </c>
      <c r="R19" s="11">
        <v>97.0</v>
      </c>
      <c r="S19" s="11">
        <v>96.0</v>
      </c>
      <c r="T19" s="11">
        <v>100.0</v>
      </c>
      <c r="U19" s="11">
        <v>94.0</v>
      </c>
      <c r="V19" s="11">
        <v>107.0</v>
      </c>
      <c r="W19" s="11">
        <v>109.0</v>
      </c>
      <c r="X19" s="11">
        <v>110.0</v>
      </c>
      <c r="Y19" s="11">
        <v>108.0</v>
      </c>
      <c r="Z19" s="11">
        <v>89.0</v>
      </c>
      <c r="AA19" s="11">
        <v>93.0</v>
      </c>
      <c r="AB19" s="11">
        <v>89.0</v>
      </c>
      <c r="AC19" s="11">
        <v>92.0</v>
      </c>
      <c r="AD19" s="11">
        <v>90.0</v>
      </c>
      <c r="AE19" s="11">
        <v>102.0</v>
      </c>
      <c r="AF19" s="11">
        <v>65.0</v>
      </c>
      <c r="AG19" s="11">
        <v>107.0</v>
      </c>
      <c r="AH19" s="5">
        <f t="shared" ref="AH19:AH30" si="3">SUM(E19:AG19)</f>
        <v>2775</v>
      </c>
    </row>
    <row r="20" ht="12.75" customHeight="1">
      <c r="A20" s="30"/>
      <c r="B20" s="19"/>
      <c r="C20" s="31"/>
      <c r="D20" s="11" t="s">
        <v>42</v>
      </c>
      <c r="E20" s="11">
        <v>88.0</v>
      </c>
      <c r="F20" s="11">
        <v>100.0</v>
      </c>
      <c r="G20" s="11">
        <v>109.0</v>
      </c>
      <c r="H20" s="11">
        <v>115.0</v>
      </c>
      <c r="I20" s="11">
        <v>102.0</v>
      </c>
      <c r="J20" s="11">
        <v>102.0</v>
      </c>
      <c r="K20" s="11">
        <v>95.0</v>
      </c>
      <c r="L20" s="11">
        <v>113.0</v>
      </c>
      <c r="M20" s="11">
        <v>101.0</v>
      </c>
      <c r="N20" s="11">
        <v>99.0</v>
      </c>
      <c r="O20" s="11">
        <v>104.0</v>
      </c>
      <c r="P20" s="11">
        <v>91.0</v>
      </c>
      <c r="Q20" s="11">
        <v>103.0</v>
      </c>
      <c r="R20" s="11">
        <v>97.0</v>
      </c>
      <c r="S20" s="11">
        <v>87.0</v>
      </c>
      <c r="T20" s="11">
        <v>102.0</v>
      </c>
      <c r="U20" s="11">
        <v>99.0</v>
      </c>
      <c r="V20" s="11">
        <v>107.0</v>
      </c>
      <c r="W20" s="11">
        <v>120.0</v>
      </c>
      <c r="X20" s="11">
        <v>110.0</v>
      </c>
      <c r="Y20" s="11">
        <v>99.0</v>
      </c>
      <c r="Z20" s="11">
        <v>110.0</v>
      </c>
      <c r="AA20" s="11">
        <v>110.0</v>
      </c>
      <c r="AB20" s="11">
        <v>103.0</v>
      </c>
      <c r="AC20" s="11">
        <v>106.0</v>
      </c>
      <c r="AD20" s="11">
        <v>96.0</v>
      </c>
      <c r="AE20" s="11">
        <v>115.0</v>
      </c>
      <c r="AF20" s="11">
        <v>77.0</v>
      </c>
      <c r="AG20" s="11">
        <v>102.0</v>
      </c>
      <c r="AH20" s="5">
        <f t="shared" si="3"/>
        <v>2962</v>
      </c>
    </row>
    <row r="21" ht="12.75" customHeight="1">
      <c r="A21" s="32"/>
      <c r="B21" s="23"/>
      <c r="C21" s="14"/>
      <c r="D21" s="5" t="s">
        <v>43</v>
      </c>
      <c r="E21" s="5">
        <f t="shared" ref="E21:AG21" si="4">SUM(E19:E20)</f>
        <v>177</v>
      </c>
      <c r="F21" s="5">
        <f t="shared" si="4"/>
        <v>190</v>
      </c>
      <c r="G21" s="5">
        <f t="shared" si="4"/>
        <v>199</v>
      </c>
      <c r="H21" s="5">
        <f t="shared" si="4"/>
        <v>202</v>
      </c>
      <c r="I21" s="5">
        <f t="shared" si="4"/>
        <v>205</v>
      </c>
      <c r="J21" s="5">
        <f t="shared" si="4"/>
        <v>212</v>
      </c>
      <c r="K21" s="5">
        <f t="shared" si="4"/>
        <v>183</v>
      </c>
      <c r="L21" s="5">
        <f t="shared" si="4"/>
        <v>217</v>
      </c>
      <c r="M21" s="5">
        <f t="shared" si="4"/>
        <v>201</v>
      </c>
      <c r="N21" s="5">
        <f t="shared" si="4"/>
        <v>186</v>
      </c>
      <c r="O21" s="5">
        <f t="shared" si="4"/>
        <v>205</v>
      </c>
      <c r="P21" s="5">
        <f t="shared" si="4"/>
        <v>176</v>
      </c>
      <c r="Q21" s="5">
        <f t="shared" si="4"/>
        <v>196</v>
      </c>
      <c r="R21" s="5">
        <f t="shared" si="4"/>
        <v>194</v>
      </c>
      <c r="S21" s="5">
        <f t="shared" si="4"/>
        <v>183</v>
      </c>
      <c r="T21" s="5">
        <f t="shared" si="4"/>
        <v>202</v>
      </c>
      <c r="U21" s="5">
        <f t="shared" si="4"/>
        <v>193</v>
      </c>
      <c r="V21" s="5">
        <f t="shared" si="4"/>
        <v>214</v>
      </c>
      <c r="W21" s="5">
        <f t="shared" si="4"/>
        <v>229</v>
      </c>
      <c r="X21" s="5">
        <f t="shared" si="4"/>
        <v>220</v>
      </c>
      <c r="Y21" s="5">
        <f t="shared" si="4"/>
        <v>207</v>
      </c>
      <c r="Z21" s="5">
        <f t="shared" si="4"/>
        <v>199</v>
      </c>
      <c r="AA21" s="5">
        <f t="shared" si="4"/>
        <v>203</v>
      </c>
      <c r="AB21" s="5">
        <f t="shared" si="4"/>
        <v>192</v>
      </c>
      <c r="AC21" s="5">
        <f t="shared" si="4"/>
        <v>198</v>
      </c>
      <c r="AD21" s="5">
        <f t="shared" si="4"/>
        <v>186</v>
      </c>
      <c r="AE21" s="5">
        <f t="shared" si="4"/>
        <v>217</v>
      </c>
      <c r="AF21" s="5">
        <f t="shared" si="4"/>
        <v>142</v>
      </c>
      <c r="AG21" s="5">
        <f t="shared" si="4"/>
        <v>209</v>
      </c>
      <c r="AH21" s="5">
        <f t="shared" si="3"/>
        <v>5737</v>
      </c>
    </row>
    <row r="22" ht="12.75" customHeight="1">
      <c r="A22" s="30"/>
      <c r="B22" s="28" t="s">
        <v>48</v>
      </c>
      <c r="C22" s="29" t="s">
        <v>49</v>
      </c>
      <c r="D22" s="11" t="s">
        <v>41</v>
      </c>
      <c r="E22" s="11">
        <v>0.0</v>
      </c>
      <c r="F22" s="11">
        <v>0.0</v>
      </c>
      <c r="G22" s="11">
        <v>0.0</v>
      </c>
      <c r="H22" s="11">
        <v>0.0</v>
      </c>
      <c r="I22" s="11">
        <v>0.0</v>
      </c>
      <c r="J22" s="11">
        <v>0.0</v>
      </c>
      <c r="K22" s="11">
        <v>0.0</v>
      </c>
      <c r="L22" s="11">
        <v>0.0</v>
      </c>
      <c r="M22" s="11">
        <v>0.0</v>
      </c>
      <c r="N22" s="11">
        <v>0.0</v>
      </c>
      <c r="O22" s="11">
        <v>0.0</v>
      </c>
      <c r="P22" s="11">
        <v>0.0</v>
      </c>
      <c r="Q22" s="11">
        <v>0.0</v>
      </c>
      <c r="R22" s="11">
        <v>0.0</v>
      </c>
      <c r="S22" s="11">
        <v>0.0</v>
      </c>
      <c r="T22" s="11">
        <v>0.0</v>
      </c>
      <c r="U22" s="11">
        <v>1.0</v>
      </c>
      <c r="V22" s="11">
        <v>0.0</v>
      </c>
      <c r="W22" s="11">
        <v>0.0</v>
      </c>
      <c r="X22" s="11">
        <v>0.0</v>
      </c>
      <c r="Y22" s="11">
        <v>0.0</v>
      </c>
      <c r="Z22" s="11">
        <v>0.0</v>
      </c>
      <c r="AA22" s="11">
        <v>0.0</v>
      </c>
      <c r="AB22" s="11">
        <v>0.0</v>
      </c>
      <c r="AC22" s="11">
        <v>0.0</v>
      </c>
      <c r="AD22" s="11">
        <v>0.0</v>
      </c>
      <c r="AE22" s="11">
        <v>0.0</v>
      </c>
      <c r="AF22" s="11">
        <v>0.0</v>
      </c>
      <c r="AG22" s="11">
        <v>0.0</v>
      </c>
      <c r="AH22" s="5">
        <f t="shared" si="3"/>
        <v>1</v>
      </c>
    </row>
    <row r="23" ht="12.75" customHeight="1">
      <c r="A23" s="30"/>
      <c r="B23" s="19"/>
      <c r="C23" s="31"/>
      <c r="D23" s="11" t="s">
        <v>42</v>
      </c>
      <c r="E23" s="11">
        <v>0.0</v>
      </c>
      <c r="F23" s="11">
        <v>0.0</v>
      </c>
      <c r="G23" s="11">
        <v>0.0</v>
      </c>
      <c r="H23" s="11">
        <v>0.0</v>
      </c>
      <c r="I23" s="11">
        <v>0.0</v>
      </c>
      <c r="J23" s="11">
        <v>0.0</v>
      </c>
      <c r="K23" s="11">
        <v>0.0</v>
      </c>
      <c r="L23" s="11">
        <v>0.0</v>
      </c>
      <c r="M23" s="11">
        <v>0.0</v>
      </c>
      <c r="N23" s="11">
        <v>0.0</v>
      </c>
      <c r="O23" s="11">
        <v>0.0</v>
      </c>
      <c r="P23" s="11">
        <v>0.0</v>
      </c>
      <c r="Q23" s="11">
        <v>0.0</v>
      </c>
      <c r="R23" s="11">
        <v>0.0</v>
      </c>
      <c r="S23" s="11">
        <v>0.0</v>
      </c>
      <c r="T23" s="11">
        <v>0.0</v>
      </c>
      <c r="U23" s="11">
        <v>1.0</v>
      </c>
      <c r="V23" s="11">
        <v>0.0</v>
      </c>
      <c r="W23" s="11">
        <v>0.0</v>
      </c>
      <c r="X23" s="11">
        <v>0.0</v>
      </c>
      <c r="Y23" s="11">
        <v>0.0</v>
      </c>
      <c r="Z23" s="11">
        <v>0.0</v>
      </c>
      <c r="AA23" s="11">
        <v>0.0</v>
      </c>
      <c r="AB23" s="11">
        <v>0.0</v>
      </c>
      <c r="AC23" s="11">
        <v>0.0</v>
      </c>
      <c r="AD23" s="11">
        <v>0.0</v>
      </c>
      <c r="AE23" s="11">
        <v>0.0</v>
      </c>
      <c r="AF23" s="11">
        <v>0.0</v>
      </c>
      <c r="AG23" s="11">
        <v>0.0</v>
      </c>
      <c r="AH23" s="5">
        <f t="shared" si="3"/>
        <v>1</v>
      </c>
    </row>
    <row r="24" ht="12.75" customHeight="1">
      <c r="A24" s="32"/>
      <c r="B24" s="23"/>
      <c r="C24" s="14"/>
      <c r="D24" s="5" t="s">
        <v>43</v>
      </c>
      <c r="E24" s="5">
        <f t="shared" ref="E24:AG24" si="5">SUM(E22:E23)</f>
        <v>0</v>
      </c>
      <c r="F24" s="5">
        <f t="shared" si="5"/>
        <v>0</v>
      </c>
      <c r="G24" s="5">
        <f t="shared" si="5"/>
        <v>0</v>
      </c>
      <c r="H24" s="5">
        <f t="shared" si="5"/>
        <v>0</v>
      </c>
      <c r="I24" s="5">
        <f t="shared" si="5"/>
        <v>0</v>
      </c>
      <c r="J24" s="5">
        <f t="shared" si="5"/>
        <v>0</v>
      </c>
      <c r="K24" s="5">
        <f t="shared" si="5"/>
        <v>0</v>
      </c>
      <c r="L24" s="5">
        <f t="shared" si="5"/>
        <v>0</v>
      </c>
      <c r="M24" s="5">
        <f t="shared" si="5"/>
        <v>0</v>
      </c>
      <c r="N24" s="5">
        <f t="shared" si="5"/>
        <v>0</v>
      </c>
      <c r="O24" s="5">
        <f t="shared" si="5"/>
        <v>0</v>
      </c>
      <c r="P24" s="5">
        <f t="shared" si="5"/>
        <v>0</v>
      </c>
      <c r="Q24" s="5">
        <f t="shared" si="5"/>
        <v>0</v>
      </c>
      <c r="R24" s="5">
        <f t="shared" si="5"/>
        <v>0</v>
      </c>
      <c r="S24" s="5">
        <f t="shared" si="5"/>
        <v>0</v>
      </c>
      <c r="T24" s="5">
        <f t="shared" si="5"/>
        <v>0</v>
      </c>
      <c r="U24" s="5">
        <f t="shared" si="5"/>
        <v>2</v>
      </c>
      <c r="V24" s="5">
        <f t="shared" si="5"/>
        <v>0</v>
      </c>
      <c r="W24" s="5">
        <f t="shared" si="5"/>
        <v>0</v>
      </c>
      <c r="X24" s="5">
        <f t="shared" si="5"/>
        <v>0</v>
      </c>
      <c r="Y24" s="5">
        <f t="shared" si="5"/>
        <v>0</v>
      </c>
      <c r="Z24" s="5">
        <f t="shared" si="5"/>
        <v>0</v>
      </c>
      <c r="AA24" s="5">
        <f t="shared" si="5"/>
        <v>0</v>
      </c>
      <c r="AB24" s="5">
        <f t="shared" si="5"/>
        <v>0</v>
      </c>
      <c r="AC24" s="5">
        <f t="shared" si="5"/>
        <v>0</v>
      </c>
      <c r="AD24" s="5">
        <f t="shared" si="5"/>
        <v>0</v>
      </c>
      <c r="AE24" s="5">
        <f t="shared" si="5"/>
        <v>0</v>
      </c>
      <c r="AF24" s="5">
        <f t="shared" si="5"/>
        <v>0</v>
      </c>
      <c r="AG24" s="5">
        <f t="shared" si="5"/>
        <v>0</v>
      </c>
      <c r="AH24" s="5">
        <f t="shared" si="3"/>
        <v>2</v>
      </c>
    </row>
    <row r="25" ht="12.75" customHeight="1">
      <c r="A25" s="30"/>
      <c r="B25" s="28" t="s">
        <v>50</v>
      </c>
      <c r="C25" s="29" t="s">
        <v>51</v>
      </c>
      <c r="D25" s="11" t="s">
        <v>41</v>
      </c>
      <c r="E25" s="11">
        <v>0.0</v>
      </c>
      <c r="F25" s="11">
        <v>0.0</v>
      </c>
      <c r="G25" s="11">
        <v>3.0</v>
      </c>
      <c r="H25" s="11">
        <v>0.0</v>
      </c>
      <c r="I25" s="11">
        <v>0.0</v>
      </c>
      <c r="J25" s="11">
        <v>0.0</v>
      </c>
      <c r="K25" s="11">
        <v>0.0</v>
      </c>
      <c r="L25" s="11">
        <v>0.0</v>
      </c>
      <c r="M25" s="11">
        <v>0.0</v>
      </c>
      <c r="N25" s="11">
        <v>0.0</v>
      </c>
      <c r="O25" s="11">
        <v>0.0</v>
      </c>
      <c r="P25" s="11">
        <v>0.0</v>
      </c>
      <c r="Q25" s="11">
        <v>0.0</v>
      </c>
      <c r="R25" s="11">
        <v>0.0</v>
      </c>
      <c r="S25" s="11">
        <v>0.0</v>
      </c>
      <c r="T25" s="11">
        <v>2.0</v>
      </c>
      <c r="U25" s="11">
        <v>2.0</v>
      </c>
      <c r="V25" s="11">
        <v>1.0</v>
      </c>
      <c r="W25" s="11">
        <v>0.0</v>
      </c>
      <c r="X25" s="11">
        <v>0.0</v>
      </c>
      <c r="Y25" s="11">
        <v>0.0</v>
      </c>
      <c r="Z25" s="11">
        <v>0.0</v>
      </c>
      <c r="AA25" s="11">
        <v>0.0</v>
      </c>
      <c r="AB25" s="11">
        <v>0.0</v>
      </c>
      <c r="AC25" s="11">
        <v>4.0</v>
      </c>
      <c r="AD25" s="11">
        <v>0.0</v>
      </c>
      <c r="AE25" s="11">
        <v>0.0</v>
      </c>
      <c r="AF25" s="11">
        <v>1.0</v>
      </c>
      <c r="AG25" s="11">
        <v>0.0</v>
      </c>
      <c r="AH25" s="5">
        <f t="shared" si="3"/>
        <v>13</v>
      </c>
    </row>
    <row r="26" ht="12.75" customHeight="1">
      <c r="A26" s="30"/>
      <c r="B26" s="19"/>
      <c r="C26" s="31"/>
      <c r="D26" s="11" t="s">
        <v>42</v>
      </c>
      <c r="E26" s="11">
        <v>3.0</v>
      </c>
      <c r="F26" s="11">
        <v>0.0</v>
      </c>
      <c r="G26" s="11">
        <v>5.0</v>
      </c>
      <c r="H26" s="11">
        <v>0.0</v>
      </c>
      <c r="I26" s="11">
        <v>0.0</v>
      </c>
      <c r="J26" s="11">
        <v>0.0</v>
      </c>
      <c r="K26" s="11">
        <v>0.0</v>
      </c>
      <c r="L26" s="11">
        <v>0.0</v>
      </c>
      <c r="M26" s="11">
        <v>1.0</v>
      </c>
      <c r="N26" s="11">
        <v>2.0</v>
      </c>
      <c r="O26" s="11">
        <v>0.0</v>
      </c>
      <c r="P26" s="11">
        <v>0.0</v>
      </c>
      <c r="Q26" s="11">
        <v>0.0</v>
      </c>
      <c r="R26" s="11">
        <v>2.0</v>
      </c>
      <c r="S26" s="11">
        <v>0.0</v>
      </c>
      <c r="T26" s="11">
        <v>3.0</v>
      </c>
      <c r="U26" s="11">
        <v>2.0</v>
      </c>
      <c r="V26" s="11">
        <v>0.0</v>
      </c>
      <c r="W26" s="11">
        <v>0.0</v>
      </c>
      <c r="X26" s="11">
        <v>0.0</v>
      </c>
      <c r="Y26" s="11">
        <v>0.0</v>
      </c>
      <c r="Z26" s="11">
        <v>0.0</v>
      </c>
      <c r="AA26" s="11">
        <v>0.0</v>
      </c>
      <c r="AB26" s="11">
        <v>0.0</v>
      </c>
      <c r="AC26" s="11">
        <v>1.0</v>
      </c>
      <c r="AD26" s="11">
        <v>0.0</v>
      </c>
      <c r="AE26" s="11">
        <v>0.0</v>
      </c>
      <c r="AF26" s="11">
        <v>1.0</v>
      </c>
      <c r="AG26" s="11">
        <v>0.0</v>
      </c>
      <c r="AH26" s="5">
        <f t="shared" si="3"/>
        <v>20</v>
      </c>
    </row>
    <row r="27" ht="12.75" customHeight="1">
      <c r="A27" s="32"/>
      <c r="B27" s="23"/>
      <c r="C27" s="14"/>
      <c r="D27" s="5" t="s">
        <v>43</v>
      </c>
      <c r="E27" s="5">
        <f t="shared" ref="E27:L27" si="6">SUM(E25:E26)</f>
        <v>3</v>
      </c>
      <c r="F27" s="5">
        <f t="shared" si="6"/>
        <v>0</v>
      </c>
      <c r="G27" s="5">
        <f t="shared" si="6"/>
        <v>8</v>
      </c>
      <c r="H27" s="5">
        <f t="shared" si="6"/>
        <v>0</v>
      </c>
      <c r="I27" s="5">
        <f t="shared" si="6"/>
        <v>0</v>
      </c>
      <c r="J27" s="5">
        <f t="shared" si="6"/>
        <v>0</v>
      </c>
      <c r="K27" s="5">
        <f t="shared" si="6"/>
        <v>0</v>
      </c>
      <c r="L27" s="5">
        <f t="shared" si="6"/>
        <v>0</v>
      </c>
      <c r="M27" s="5">
        <v>1.0</v>
      </c>
      <c r="N27" s="5">
        <f t="shared" ref="N27:AG27" si="7">SUM(N25:N26)</f>
        <v>2</v>
      </c>
      <c r="O27" s="5">
        <f t="shared" si="7"/>
        <v>0</v>
      </c>
      <c r="P27" s="5">
        <f t="shared" si="7"/>
        <v>0</v>
      </c>
      <c r="Q27" s="5">
        <f t="shared" si="7"/>
        <v>0</v>
      </c>
      <c r="R27" s="5">
        <f t="shared" si="7"/>
        <v>2</v>
      </c>
      <c r="S27" s="5">
        <f t="shared" si="7"/>
        <v>0</v>
      </c>
      <c r="T27" s="5">
        <f t="shared" si="7"/>
        <v>5</v>
      </c>
      <c r="U27" s="5">
        <f t="shared" si="7"/>
        <v>4</v>
      </c>
      <c r="V27" s="5">
        <f t="shared" si="7"/>
        <v>1</v>
      </c>
      <c r="W27" s="5">
        <f t="shared" si="7"/>
        <v>0</v>
      </c>
      <c r="X27" s="5">
        <f t="shared" si="7"/>
        <v>0</v>
      </c>
      <c r="Y27" s="5">
        <f t="shared" si="7"/>
        <v>0</v>
      </c>
      <c r="Z27" s="5">
        <f t="shared" si="7"/>
        <v>0</v>
      </c>
      <c r="AA27" s="5">
        <f t="shared" si="7"/>
        <v>0</v>
      </c>
      <c r="AB27" s="5">
        <f t="shared" si="7"/>
        <v>0</v>
      </c>
      <c r="AC27" s="5">
        <f t="shared" si="7"/>
        <v>5</v>
      </c>
      <c r="AD27" s="5">
        <f t="shared" si="7"/>
        <v>0</v>
      </c>
      <c r="AE27" s="5">
        <f t="shared" si="7"/>
        <v>0</v>
      </c>
      <c r="AF27" s="5">
        <f t="shared" si="7"/>
        <v>2</v>
      </c>
      <c r="AG27" s="5">
        <f t="shared" si="7"/>
        <v>0</v>
      </c>
      <c r="AH27" s="5">
        <f t="shared" si="3"/>
        <v>33</v>
      </c>
    </row>
    <row r="28" ht="12.75" customHeight="1">
      <c r="A28" s="32"/>
      <c r="B28" s="33" t="s">
        <v>52</v>
      </c>
      <c r="C28" s="34" t="s">
        <v>53</v>
      </c>
      <c r="D28" s="5" t="s">
        <v>41</v>
      </c>
      <c r="E28" s="5">
        <f t="shared" ref="E28:AG28" si="8">SUM(E19,E22,E25)</f>
        <v>89</v>
      </c>
      <c r="F28" s="5">
        <f t="shared" si="8"/>
        <v>90</v>
      </c>
      <c r="G28" s="5">
        <f t="shared" si="8"/>
        <v>93</v>
      </c>
      <c r="H28" s="5">
        <f t="shared" si="8"/>
        <v>87</v>
      </c>
      <c r="I28" s="5">
        <f t="shared" si="8"/>
        <v>103</v>
      </c>
      <c r="J28" s="5">
        <f t="shared" si="8"/>
        <v>110</v>
      </c>
      <c r="K28" s="5">
        <f t="shared" si="8"/>
        <v>88</v>
      </c>
      <c r="L28" s="5">
        <f t="shared" si="8"/>
        <v>104</v>
      </c>
      <c r="M28" s="5">
        <f t="shared" si="8"/>
        <v>100</v>
      </c>
      <c r="N28" s="5">
        <f t="shared" si="8"/>
        <v>87</v>
      </c>
      <c r="O28" s="5">
        <f t="shared" si="8"/>
        <v>101</v>
      </c>
      <c r="P28" s="5">
        <f t="shared" si="8"/>
        <v>85</v>
      </c>
      <c r="Q28" s="5">
        <f t="shared" si="8"/>
        <v>93</v>
      </c>
      <c r="R28" s="5">
        <f t="shared" si="8"/>
        <v>97</v>
      </c>
      <c r="S28" s="5">
        <f t="shared" si="8"/>
        <v>96</v>
      </c>
      <c r="T28" s="5">
        <f t="shared" si="8"/>
        <v>102</v>
      </c>
      <c r="U28" s="5">
        <f t="shared" si="8"/>
        <v>97</v>
      </c>
      <c r="V28" s="5">
        <f t="shared" si="8"/>
        <v>108</v>
      </c>
      <c r="W28" s="5">
        <f t="shared" si="8"/>
        <v>109</v>
      </c>
      <c r="X28" s="5">
        <f t="shared" si="8"/>
        <v>110</v>
      </c>
      <c r="Y28" s="5">
        <f t="shared" si="8"/>
        <v>108</v>
      </c>
      <c r="Z28" s="5">
        <f t="shared" si="8"/>
        <v>89</v>
      </c>
      <c r="AA28" s="5">
        <f t="shared" si="8"/>
        <v>93</v>
      </c>
      <c r="AB28" s="5">
        <f t="shared" si="8"/>
        <v>89</v>
      </c>
      <c r="AC28" s="5">
        <f t="shared" si="8"/>
        <v>96</v>
      </c>
      <c r="AD28" s="5">
        <f t="shared" si="8"/>
        <v>90</v>
      </c>
      <c r="AE28" s="5">
        <f t="shared" si="8"/>
        <v>102</v>
      </c>
      <c r="AF28" s="5">
        <f t="shared" si="8"/>
        <v>66</v>
      </c>
      <c r="AG28" s="5">
        <f t="shared" si="8"/>
        <v>107</v>
      </c>
      <c r="AH28" s="5">
        <f t="shared" si="3"/>
        <v>2789</v>
      </c>
    </row>
    <row r="29" ht="12.75" customHeight="1">
      <c r="A29" s="32"/>
      <c r="B29" s="19"/>
      <c r="C29" s="31"/>
      <c r="D29" s="5" t="s">
        <v>42</v>
      </c>
      <c r="E29" s="5">
        <f t="shared" ref="E29:AG29" si="9">SUM(E20,E23,E26)</f>
        <v>91</v>
      </c>
      <c r="F29" s="5">
        <f t="shared" si="9"/>
        <v>100</v>
      </c>
      <c r="G29" s="5">
        <f t="shared" si="9"/>
        <v>114</v>
      </c>
      <c r="H29" s="5">
        <f t="shared" si="9"/>
        <v>115</v>
      </c>
      <c r="I29" s="5">
        <f t="shared" si="9"/>
        <v>102</v>
      </c>
      <c r="J29" s="5">
        <f t="shared" si="9"/>
        <v>102</v>
      </c>
      <c r="K29" s="5">
        <f t="shared" si="9"/>
        <v>95</v>
      </c>
      <c r="L29" s="5">
        <f t="shared" si="9"/>
        <v>113</v>
      </c>
      <c r="M29" s="5">
        <f t="shared" si="9"/>
        <v>102</v>
      </c>
      <c r="N29" s="5">
        <f t="shared" si="9"/>
        <v>101</v>
      </c>
      <c r="O29" s="5">
        <f t="shared" si="9"/>
        <v>104</v>
      </c>
      <c r="P29" s="5">
        <f t="shared" si="9"/>
        <v>91</v>
      </c>
      <c r="Q29" s="5">
        <f t="shared" si="9"/>
        <v>103</v>
      </c>
      <c r="R29" s="5">
        <f t="shared" si="9"/>
        <v>99</v>
      </c>
      <c r="S29" s="5">
        <f t="shared" si="9"/>
        <v>87</v>
      </c>
      <c r="T29" s="5">
        <f t="shared" si="9"/>
        <v>105</v>
      </c>
      <c r="U29" s="5">
        <f t="shared" si="9"/>
        <v>102</v>
      </c>
      <c r="V29" s="5">
        <f t="shared" si="9"/>
        <v>107</v>
      </c>
      <c r="W29" s="5">
        <f t="shared" si="9"/>
        <v>120</v>
      </c>
      <c r="X29" s="5">
        <f t="shared" si="9"/>
        <v>110</v>
      </c>
      <c r="Y29" s="5">
        <f t="shared" si="9"/>
        <v>99</v>
      </c>
      <c r="Z29" s="5">
        <f t="shared" si="9"/>
        <v>110</v>
      </c>
      <c r="AA29" s="5">
        <f t="shared" si="9"/>
        <v>110</v>
      </c>
      <c r="AB29" s="5">
        <f t="shared" si="9"/>
        <v>103</v>
      </c>
      <c r="AC29" s="5">
        <f t="shared" si="9"/>
        <v>107</v>
      </c>
      <c r="AD29" s="5">
        <f t="shared" si="9"/>
        <v>96</v>
      </c>
      <c r="AE29" s="5">
        <f t="shared" si="9"/>
        <v>115</v>
      </c>
      <c r="AF29" s="5">
        <f t="shared" si="9"/>
        <v>78</v>
      </c>
      <c r="AG29" s="5">
        <f t="shared" si="9"/>
        <v>102</v>
      </c>
      <c r="AH29" s="5">
        <f t="shared" si="3"/>
        <v>2983</v>
      </c>
    </row>
    <row r="30" ht="12.75" customHeight="1">
      <c r="A30" s="32"/>
      <c r="B30" s="23"/>
      <c r="C30" s="14"/>
      <c r="D30" s="5" t="s">
        <v>43</v>
      </c>
      <c r="E30" s="5">
        <f t="shared" ref="E30:AG30" si="10">SUM(E28:E29)</f>
        <v>180</v>
      </c>
      <c r="F30" s="5">
        <f t="shared" si="10"/>
        <v>190</v>
      </c>
      <c r="G30" s="5">
        <f t="shared" si="10"/>
        <v>207</v>
      </c>
      <c r="H30" s="5">
        <f t="shared" si="10"/>
        <v>202</v>
      </c>
      <c r="I30" s="5">
        <f t="shared" si="10"/>
        <v>205</v>
      </c>
      <c r="J30" s="5">
        <f t="shared" si="10"/>
        <v>212</v>
      </c>
      <c r="K30" s="5">
        <f t="shared" si="10"/>
        <v>183</v>
      </c>
      <c r="L30" s="5">
        <f t="shared" si="10"/>
        <v>217</v>
      </c>
      <c r="M30" s="5">
        <f t="shared" si="10"/>
        <v>202</v>
      </c>
      <c r="N30" s="5">
        <f t="shared" si="10"/>
        <v>188</v>
      </c>
      <c r="O30" s="5">
        <f t="shared" si="10"/>
        <v>205</v>
      </c>
      <c r="P30" s="5">
        <f t="shared" si="10"/>
        <v>176</v>
      </c>
      <c r="Q30" s="5">
        <f t="shared" si="10"/>
        <v>196</v>
      </c>
      <c r="R30" s="5">
        <f t="shared" si="10"/>
        <v>196</v>
      </c>
      <c r="S30" s="5">
        <f t="shared" si="10"/>
        <v>183</v>
      </c>
      <c r="T30" s="5">
        <f t="shared" si="10"/>
        <v>207</v>
      </c>
      <c r="U30" s="5">
        <f t="shared" si="10"/>
        <v>199</v>
      </c>
      <c r="V30" s="5">
        <f t="shared" si="10"/>
        <v>215</v>
      </c>
      <c r="W30" s="5">
        <f t="shared" si="10"/>
        <v>229</v>
      </c>
      <c r="X30" s="5">
        <f t="shared" si="10"/>
        <v>220</v>
      </c>
      <c r="Y30" s="5">
        <f t="shared" si="10"/>
        <v>207</v>
      </c>
      <c r="Z30" s="5">
        <f t="shared" si="10"/>
        <v>199</v>
      </c>
      <c r="AA30" s="5">
        <f t="shared" si="10"/>
        <v>203</v>
      </c>
      <c r="AB30" s="5">
        <f t="shared" si="10"/>
        <v>192</v>
      </c>
      <c r="AC30" s="5">
        <f t="shared" si="10"/>
        <v>203</v>
      </c>
      <c r="AD30" s="5">
        <f t="shared" si="10"/>
        <v>186</v>
      </c>
      <c r="AE30" s="5">
        <f t="shared" si="10"/>
        <v>217</v>
      </c>
      <c r="AF30" s="5">
        <f t="shared" si="10"/>
        <v>144</v>
      </c>
      <c r="AG30" s="5">
        <f t="shared" si="10"/>
        <v>209</v>
      </c>
      <c r="AH30" s="5">
        <f t="shared" si="3"/>
        <v>5772</v>
      </c>
    </row>
    <row r="31" ht="12.75" customHeight="1">
      <c r="A31" s="24"/>
      <c r="B31" s="7"/>
      <c r="C31" s="7"/>
      <c r="D31" s="8"/>
      <c r="E31" s="11"/>
      <c r="F31" s="11"/>
      <c r="G31" s="11"/>
      <c r="H31" s="11"/>
      <c r="I31" s="11"/>
      <c r="J31" s="11"/>
      <c r="K31" s="11"/>
      <c r="L31" s="11"/>
      <c r="M31" s="11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6"/>
    </row>
    <row r="32" ht="12.75" customHeight="1">
      <c r="A32" s="35" t="s">
        <v>54</v>
      </c>
      <c r="B32" s="6" t="s">
        <v>55</v>
      </c>
      <c r="C32" s="7"/>
      <c r="D32" s="8"/>
      <c r="E32" s="5"/>
      <c r="F32" s="5"/>
      <c r="G32" s="5"/>
      <c r="H32" s="5"/>
      <c r="I32" s="5"/>
      <c r="J32" s="5"/>
      <c r="K32" s="5"/>
      <c r="L32" s="5"/>
      <c r="M32" s="5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26"/>
    </row>
    <row r="33" ht="12.75" customHeight="1">
      <c r="A33" s="11">
        <v>1.0</v>
      </c>
      <c r="B33" s="12" t="s">
        <v>56</v>
      </c>
      <c r="C33" s="7"/>
      <c r="D33" s="8"/>
      <c r="E33" s="11">
        <v>268.0</v>
      </c>
      <c r="F33" s="11">
        <v>282.0</v>
      </c>
      <c r="G33" s="11">
        <v>298.0</v>
      </c>
      <c r="H33" s="11">
        <v>298.0</v>
      </c>
      <c r="I33" s="11">
        <v>280.0</v>
      </c>
      <c r="J33" s="11">
        <v>276.0</v>
      </c>
      <c r="K33" s="11">
        <v>301.0</v>
      </c>
      <c r="L33" s="11">
        <v>295.0</v>
      </c>
      <c r="M33" s="11">
        <v>276.0</v>
      </c>
      <c r="N33" s="11">
        <v>250.0</v>
      </c>
      <c r="O33" s="11">
        <v>282.0</v>
      </c>
      <c r="P33" s="11">
        <v>272.0</v>
      </c>
      <c r="Q33" s="11">
        <v>298.0</v>
      </c>
      <c r="R33" s="11">
        <v>279.0</v>
      </c>
      <c r="S33" s="11">
        <v>287.0</v>
      </c>
      <c r="T33" s="11">
        <v>299.0</v>
      </c>
      <c r="U33" s="11">
        <v>260.0</v>
      </c>
      <c r="V33" s="11">
        <v>285.0</v>
      </c>
      <c r="W33" s="11">
        <v>272.0</v>
      </c>
      <c r="X33" s="11">
        <v>281.0</v>
      </c>
      <c r="Y33" s="11">
        <v>282.0</v>
      </c>
      <c r="Z33" s="11">
        <v>301.0</v>
      </c>
      <c r="AA33" s="11">
        <v>295.0</v>
      </c>
      <c r="AB33" s="11">
        <v>242.0</v>
      </c>
      <c r="AC33" s="11">
        <v>274.0</v>
      </c>
      <c r="AD33" s="11">
        <v>275.0</v>
      </c>
      <c r="AE33" s="11">
        <v>281.0</v>
      </c>
      <c r="AF33" s="11">
        <v>188.0</v>
      </c>
      <c r="AG33" s="11">
        <v>275.0</v>
      </c>
      <c r="AH33" s="5">
        <f t="shared" ref="AH33:AH36" si="11">SUM(E33:AG33)</f>
        <v>8052</v>
      </c>
    </row>
    <row r="34" ht="12.75" customHeight="1">
      <c r="A34" s="11">
        <v>2.0</v>
      </c>
      <c r="B34" s="12" t="s">
        <v>57</v>
      </c>
      <c r="C34" s="7"/>
      <c r="D34" s="8"/>
      <c r="E34" s="5">
        <v>180.0</v>
      </c>
      <c r="F34" s="5">
        <v>190.0</v>
      </c>
      <c r="G34" s="5">
        <v>207.0</v>
      </c>
      <c r="H34" s="5">
        <v>202.0</v>
      </c>
      <c r="I34" s="5">
        <v>205.0</v>
      </c>
      <c r="J34" s="5">
        <v>212.0</v>
      </c>
      <c r="K34" s="5">
        <v>183.0</v>
      </c>
      <c r="L34" s="5">
        <v>217.0</v>
      </c>
      <c r="M34" s="5">
        <v>202.0</v>
      </c>
      <c r="N34" s="5">
        <v>188.0</v>
      </c>
      <c r="O34" s="5">
        <v>205.0</v>
      </c>
      <c r="P34" s="5">
        <v>176.0</v>
      </c>
      <c r="Q34" s="5">
        <v>196.0</v>
      </c>
      <c r="R34" s="5">
        <v>196.0</v>
      </c>
      <c r="S34" s="5">
        <v>183.0</v>
      </c>
      <c r="T34" s="5">
        <v>207.0</v>
      </c>
      <c r="U34" s="5">
        <v>199.0</v>
      </c>
      <c r="V34" s="5">
        <v>215.0</v>
      </c>
      <c r="W34" s="5">
        <v>229.0</v>
      </c>
      <c r="X34" s="5">
        <v>220.0</v>
      </c>
      <c r="Y34" s="5">
        <v>207.0</v>
      </c>
      <c r="Z34" s="5">
        <v>199.0</v>
      </c>
      <c r="AA34" s="5">
        <v>203.0</v>
      </c>
      <c r="AB34" s="5">
        <v>192.0</v>
      </c>
      <c r="AC34" s="5">
        <v>203.0</v>
      </c>
      <c r="AD34" s="5">
        <v>186.0</v>
      </c>
      <c r="AE34" s="5">
        <v>217.0</v>
      </c>
      <c r="AF34" s="5">
        <v>144.0</v>
      </c>
      <c r="AG34" s="5">
        <v>209.0</v>
      </c>
      <c r="AH34" s="5">
        <f t="shared" si="11"/>
        <v>5772</v>
      </c>
    </row>
    <row r="35" ht="12.75" customHeight="1">
      <c r="A35" s="11">
        <v>3.0</v>
      </c>
      <c r="B35" s="12" t="s">
        <v>58</v>
      </c>
      <c r="C35" s="7"/>
      <c r="D35" s="8"/>
      <c r="E35" s="11">
        <v>0.0</v>
      </c>
      <c r="F35" s="11">
        <v>0.0</v>
      </c>
      <c r="G35" s="11">
        <v>0.0</v>
      </c>
      <c r="H35" s="11">
        <v>0.0</v>
      </c>
      <c r="I35" s="11">
        <v>0.0</v>
      </c>
      <c r="J35" s="11">
        <v>0.0</v>
      </c>
      <c r="K35" s="11">
        <v>0.0</v>
      </c>
      <c r="L35" s="11">
        <v>0.0</v>
      </c>
      <c r="M35" s="11">
        <v>0.0</v>
      </c>
      <c r="N35" s="11">
        <v>0.0</v>
      </c>
      <c r="O35" s="11">
        <v>0.0</v>
      </c>
      <c r="P35" s="11">
        <v>0.0</v>
      </c>
      <c r="Q35" s="11">
        <v>0.0</v>
      </c>
      <c r="R35" s="11">
        <v>0.0</v>
      </c>
      <c r="S35" s="11">
        <v>0.0</v>
      </c>
      <c r="T35" s="11">
        <v>0.0</v>
      </c>
      <c r="U35" s="11">
        <v>0.0</v>
      </c>
      <c r="V35" s="11">
        <v>0.0</v>
      </c>
      <c r="W35" s="11">
        <v>0.0</v>
      </c>
      <c r="X35" s="11">
        <v>0.0</v>
      </c>
      <c r="Y35" s="11">
        <v>0.0</v>
      </c>
      <c r="Z35" s="11">
        <v>0.0</v>
      </c>
      <c r="AA35" s="11">
        <v>2.0</v>
      </c>
      <c r="AB35" s="11">
        <v>0.0</v>
      </c>
      <c r="AC35" s="11">
        <v>0.0</v>
      </c>
      <c r="AD35" s="11">
        <v>0.0</v>
      </c>
      <c r="AE35" s="11">
        <v>0.0</v>
      </c>
      <c r="AF35" s="11">
        <v>0.0</v>
      </c>
      <c r="AG35" s="11">
        <v>0.0</v>
      </c>
      <c r="AH35" s="5">
        <f t="shared" si="11"/>
        <v>2</v>
      </c>
    </row>
    <row r="36" ht="12.75" customHeight="1">
      <c r="A36" s="11">
        <v>4.0</v>
      </c>
      <c r="B36" s="12" t="s">
        <v>59</v>
      </c>
      <c r="C36" s="7"/>
      <c r="D36" s="8"/>
      <c r="E36" s="5">
        <f t="shared" ref="E36:AG36" si="12">E33-(E34+E35)</f>
        <v>88</v>
      </c>
      <c r="F36" s="5">
        <f t="shared" si="12"/>
        <v>92</v>
      </c>
      <c r="G36" s="5">
        <f t="shared" si="12"/>
        <v>91</v>
      </c>
      <c r="H36" s="5">
        <f t="shared" si="12"/>
        <v>96</v>
      </c>
      <c r="I36" s="5">
        <f t="shared" si="12"/>
        <v>75</v>
      </c>
      <c r="J36" s="5">
        <f t="shared" si="12"/>
        <v>64</v>
      </c>
      <c r="K36" s="5">
        <f t="shared" si="12"/>
        <v>118</v>
      </c>
      <c r="L36" s="5">
        <f t="shared" si="12"/>
        <v>78</v>
      </c>
      <c r="M36" s="5">
        <f t="shared" si="12"/>
        <v>74</v>
      </c>
      <c r="N36" s="5">
        <f t="shared" si="12"/>
        <v>62</v>
      </c>
      <c r="O36" s="5">
        <f t="shared" si="12"/>
        <v>77</v>
      </c>
      <c r="P36" s="5">
        <f t="shared" si="12"/>
        <v>96</v>
      </c>
      <c r="Q36" s="5">
        <f t="shared" si="12"/>
        <v>102</v>
      </c>
      <c r="R36" s="5">
        <f t="shared" si="12"/>
        <v>83</v>
      </c>
      <c r="S36" s="5">
        <f t="shared" si="12"/>
        <v>104</v>
      </c>
      <c r="T36" s="5">
        <f t="shared" si="12"/>
        <v>92</v>
      </c>
      <c r="U36" s="5">
        <f t="shared" si="12"/>
        <v>61</v>
      </c>
      <c r="V36" s="5">
        <f t="shared" si="12"/>
        <v>70</v>
      </c>
      <c r="W36" s="5">
        <f t="shared" si="12"/>
        <v>43</v>
      </c>
      <c r="X36" s="5">
        <f t="shared" si="12"/>
        <v>61</v>
      </c>
      <c r="Y36" s="5">
        <f t="shared" si="12"/>
        <v>75</v>
      </c>
      <c r="Z36" s="5">
        <f t="shared" si="12"/>
        <v>102</v>
      </c>
      <c r="AA36" s="5">
        <f t="shared" si="12"/>
        <v>90</v>
      </c>
      <c r="AB36" s="5">
        <f t="shared" si="12"/>
        <v>50</v>
      </c>
      <c r="AC36" s="5">
        <f t="shared" si="12"/>
        <v>71</v>
      </c>
      <c r="AD36" s="5">
        <f t="shared" si="12"/>
        <v>89</v>
      </c>
      <c r="AE36" s="5">
        <f t="shared" si="12"/>
        <v>64</v>
      </c>
      <c r="AF36" s="5">
        <f t="shared" si="12"/>
        <v>44</v>
      </c>
      <c r="AG36" s="5">
        <f t="shared" si="12"/>
        <v>66</v>
      </c>
      <c r="AH36" s="5">
        <f t="shared" si="11"/>
        <v>2278</v>
      </c>
    </row>
    <row r="37" ht="12.75" customHeight="1">
      <c r="A37" s="24"/>
      <c r="B37" s="7"/>
      <c r="C37" s="7"/>
      <c r="D37" s="7"/>
      <c r="E37" s="24"/>
      <c r="F37" s="7"/>
      <c r="G37" s="7"/>
      <c r="H37" s="7"/>
      <c r="I37" s="8"/>
      <c r="J37" s="11"/>
      <c r="K37" s="11"/>
      <c r="L37" s="11"/>
      <c r="M37" s="11"/>
      <c r="N37" s="25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26"/>
    </row>
    <row r="38" ht="12.75" customHeight="1">
      <c r="A38" s="39" t="s">
        <v>60</v>
      </c>
      <c r="B38" s="6" t="s">
        <v>61</v>
      </c>
      <c r="C38" s="7"/>
      <c r="D38" s="8"/>
      <c r="E38" s="5"/>
      <c r="F38" s="5"/>
      <c r="G38" s="5"/>
      <c r="H38" s="5"/>
      <c r="I38" s="5"/>
      <c r="J38" s="5"/>
      <c r="K38" s="5"/>
      <c r="L38" s="5"/>
      <c r="M38" s="5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26"/>
    </row>
    <row r="39" ht="12.75" customHeight="1">
      <c r="A39" s="27"/>
      <c r="B39" s="40" t="s">
        <v>62</v>
      </c>
      <c r="C39" s="17"/>
      <c r="D39" s="11" t="s">
        <v>41</v>
      </c>
      <c r="E39" s="11">
        <v>0.0</v>
      </c>
      <c r="F39" s="11">
        <v>0.0</v>
      </c>
      <c r="G39" s="11">
        <v>0.0</v>
      </c>
      <c r="H39" s="11">
        <v>0.0</v>
      </c>
      <c r="I39" s="11">
        <v>0.0</v>
      </c>
      <c r="J39" s="11">
        <v>0.0</v>
      </c>
      <c r="K39" s="11">
        <v>3.0</v>
      </c>
      <c r="L39" s="11">
        <v>3.0</v>
      </c>
      <c r="M39" s="11">
        <v>0.0</v>
      </c>
      <c r="N39" s="11">
        <v>0.0</v>
      </c>
      <c r="O39" s="11">
        <v>0.0</v>
      </c>
      <c r="P39" s="11">
        <v>0.0</v>
      </c>
      <c r="Q39" s="11">
        <v>0.0</v>
      </c>
      <c r="R39" s="11">
        <v>0.0</v>
      </c>
      <c r="S39" s="11">
        <v>0.0</v>
      </c>
      <c r="T39" s="11">
        <v>0.0</v>
      </c>
      <c r="U39" s="11">
        <v>1.0</v>
      </c>
      <c r="V39" s="11">
        <v>0.0</v>
      </c>
      <c r="W39" s="11">
        <v>0.0</v>
      </c>
      <c r="X39" s="11">
        <v>0.0</v>
      </c>
      <c r="Y39" s="11">
        <v>0.0</v>
      </c>
      <c r="Z39" s="11">
        <v>0.0</v>
      </c>
      <c r="AA39" s="11">
        <v>0.0</v>
      </c>
      <c r="AB39" s="11">
        <v>0.0</v>
      </c>
      <c r="AC39" s="11">
        <v>2.0</v>
      </c>
      <c r="AD39" s="11">
        <v>0.0</v>
      </c>
      <c r="AE39" s="11">
        <v>0.0</v>
      </c>
      <c r="AF39" s="11">
        <v>0.0</v>
      </c>
      <c r="AG39" s="11">
        <v>1.0</v>
      </c>
      <c r="AH39" s="5">
        <f t="shared" ref="AH39:AH41" si="13">SUM(E39:AG39)</f>
        <v>10</v>
      </c>
    </row>
    <row r="40" ht="12.75" customHeight="1">
      <c r="A40" s="30"/>
      <c r="C40" s="19"/>
      <c r="D40" s="11" t="s">
        <v>42</v>
      </c>
      <c r="E40" s="11">
        <v>0.0</v>
      </c>
      <c r="F40" s="11">
        <v>0.0</v>
      </c>
      <c r="G40" s="11">
        <v>0.0</v>
      </c>
      <c r="H40" s="11">
        <v>0.0</v>
      </c>
      <c r="I40" s="11">
        <v>2.0</v>
      </c>
      <c r="J40" s="11">
        <v>0.0</v>
      </c>
      <c r="K40" s="11">
        <v>3.0</v>
      </c>
      <c r="L40" s="11">
        <v>7.0</v>
      </c>
      <c r="M40" s="11">
        <v>0.0</v>
      </c>
      <c r="N40" s="11">
        <v>0.0</v>
      </c>
      <c r="O40" s="11">
        <v>0.0</v>
      </c>
      <c r="P40" s="11">
        <v>0.0</v>
      </c>
      <c r="Q40" s="11">
        <v>0.0</v>
      </c>
      <c r="R40" s="11">
        <v>0.0</v>
      </c>
      <c r="S40" s="11">
        <v>0.0</v>
      </c>
      <c r="T40" s="11">
        <v>0.0</v>
      </c>
      <c r="U40" s="11">
        <v>1.0</v>
      </c>
      <c r="V40" s="11">
        <v>0.0</v>
      </c>
      <c r="W40" s="11">
        <v>0.0</v>
      </c>
      <c r="X40" s="11">
        <v>0.0</v>
      </c>
      <c r="Y40" s="11">
        <v>0.0</v>
      </c>
      <c r="Z40" s="11">
        <v>0.0</v>
      </c>
      <c r="AA40" s="11">
        <v>0.0</v>
      </c>
      <c r="AB40" s="11">
        <v>0.0</v>
      </c>
      <c r="AC40" s="11">
        <v>0.0</v>
      </c>
      <c r="AD40" s="11">
        <v>0.0</v>
      </c>
      <c r="AE40" s="11">
        <v>0.0</v>
      </c>
      <c r="AF40" s="11">
        <v>0.0</v>
      </c>
      <c r="AG40" s="11">
        <v>1.0</v>
      </c>
      <c r="AH40" s="5">
        <f t="shared" si="13"/>
        <v>14</v>
      </c>
    </row>
    <row r="41" ht="12.75" customHeight="1">
      <c r="A41" s="35"/>
      <c r="B41" s="41"/>
      <c r="C41" s="23"/>
      <c r="D41" s="5" t="s">
        <v>43</v>
      </c>
      <c r="E41" s="5">
        <f t="shared" ref="E41:AG41" si="14">SUM(E39:E40)</f>
        <v>0</v>
      </c>
      <c r="F41" s="5">
        <f t="shared" si="14"/>
        <v>0</v>
      </c>
      <c r="G41" s="5">
        <f t="shared" si="14"/>
        <v>0</v>
      </c>
      <c r="H41" s="5">
        <f t="shared" si="14"/>
        <v>0</v>
      </c>
      <c r="I41" s="5">
        <f t="shared" si="14"/>
        <v>2</v>
      </c>
      <c r="J41" s="5">
        <f t="shared" si="14"/>
        <v>0</v>
      </c>
      <c r="K41" s="5">
        <f t="shared" si="14"/>
        <v>6</v>
      </c>
      <c r="L41" s="5">
        <f t="shared" si="14"/>
        <v>10</v>
      </c>
      <c r="M41" s="5">
        <f t="shared" si="14"/>
        <v>0</v>
      </c>
      <c r="N41" s="5">
        <f t="shared" si="14"/>
        <v>0</v>
      </c>
      <c r="O41" s="5">
        <f t="shared" si="14"/>
        <v>0</v>
      </c>
      <c r="P41" s="5">
        <f t="shared" si="14"/>
        <v>0</v>
      </c>
      <c r="Q41" s="5">
        <f t="shared" si="14"/>
        <v>0</v>
      </c>
      <c r="R41" s="5">
        <f t="shared" si="14"/>
        <v>0</v>
      </c>
      <c r="S41" s="5">
        <f t="shared" si="14"/>
        <v>0</v>
      </c>
      <c r="T41" s="5">
        <f t="shared" si="14"/>
        <v>0</v>
      </c>
      <c r="U41" s="5">
        <f t="shared" si="14"/>
        <v>2</v>
      </c>
      <c r="V41" s="5">
        <f t="shared" si="14"/>
        <v>0</v>
      </c>
      <c r="W41" s="5">
        <f t="shared" si="14"/>
        <v>0</v>
      </c>
      <c r="X41" s="5">
        <f t="shared" si="14"/>
        <v>0</v>
      </c>
      <c r="Y41" s="5">
        <f t="shared" si="14"/>
        <v>0</v>
      </c>
      <c r="Z41" s="5">
        <f t="shared" si="14"/>
        <v>0</v>
      </c>
      <c r="AA41" s="5">
        <f t="shared" si="14"/>
        <v>0</v>
      </c>
      <c r="AB41" s="5">
        <f t="shared" si="14"/>
        <v>0</v>
      </c>
      <c r="AC41" s="5">
        <f t="shared" si="14"/>
        <v>2</v>
      </c>
      <c r="AD41" s="5">
        <f t="shared" si="14"/>
        <v>0</v>
      </c>
      <c r="AE41" s="5">
        <f t="shared" si="14"/>
        <v>0</v>
      </c>
      <c r="AF41" s="5">
        <f t="shared" si="14"/>
        <v>0</v>
      </c>
      <c r="AG41" s="5">
        <f t="shared" si="14"/>
        <v>2</v>
      </c>
      <c r="AH41" s="5">
        <f t="shared" si="13"/>
        <v>24</v>
      </c>
    </row>
    <row r="42" ht="12.75" customHeight="1">
      <c r="A42" s="42"/>
      <c r="B42" s="41"/>
      <c r="C42" s="41"/>
      <c r="D42" s="23"/>
      <c r="E42" s="24"/>
      <c r="F42" s="7"/>
      <c r="G42" s="7"/>
      <c r="H42" s="7"/>
      <c r="I42" s="8"/>
      <c r="J42" s="11"/>
      <c r="K42" s="11"/>
      <c r="L42" s="11"/>
      <c r="M42" s="11"/>
      <c r="N42" s="25"/>
      <c r="O42" s="11"/>
      <c r="P42" s="25"/>
      <c r="Q42" s="11"/>
      <c r="R42" s="25"/>
      <c r="S42" s="11"/>
      <c r="T42" s="25"/>
      <c r="U42" s="11"/>
      <c r="V42" s="25"/>
      <c r="W42" s="11"/>
      <c r="X42" s="25"/>
      <c r="Y42" s="11"/>
      <c r="Z42" s="25"/>
      <c r="AA42" s="11"/>
      <c r="AB42" s="25"/>
      <c r="AC42" s="11"/>
      <c r="AD42" s="25"/>
      <c r="AE42" s="11"/>
      <c r="AF42" s="25"/>
      <c r="AG42" s="11"/>
      <c r="AH42" s="5"/>
    </row>
    <row r="43" ht="12.75" customHeight="1">
      <c r="A43" s="39" t="s">
        <v>63</v>
      </c>
      <c r="B43" s="6" t="s">
        <v>64</v>
      </c>
      <c r="C43" s="7"/>
      <c r="D43" s="8"/>
      <c r="E43" s="9"/>
      <c r="F43" s="5"/>
      <c r="G43" s="5"/>
      <c r="H43" s="5"/>
      <c r="I43" s="5"/>
      <c r="J43" s="5"/>
      <c r="K43" s="5"/>
      <c r="L43" s="5"/>
      <c r="M43" s="5"/>
      <c r="N43" s="36"/>
      <c r="O43" s="5"/>
      <c r="P43" s="36"/>
      <c r="Q43" s="5"/>
      <c r="R43" s="36"/>
      <c r="S43" s="5"/>
      <c r="T43" s="36"/>
      <c r="U43" s="5"/>
      <c r="V43" s="36"/>
      <c r="W43" s="5"/>
      <c r="X43" s="36"/>
      <c r="Y43" s="5"/>
      <c r="Z43" s="36"/>
      <c r="AA43" s="5"/>
      <c r="AB43" s="36"/>
      <c r="AC43" s="5"/>
      <c r="AD43" s="36"/>
      <c r="AE43" s="5"/>
      <c r="AF43" s="36"/>
      <c r="AG43" s="5"/>
      <c r="AH43" s="5"/>
    </row>
    <row r="44" ht="12.75" customHeight="1">
      <c r="A44" s="40" t="s">
        <v>65</v>
      </c>
      <c r="B44" s="43"/>
      <c r="C44" s="43"/>
      <c r="D44" s="17"/>
      <c r="E44" s="24"/>
      <c r="F44" s="11"/>
      <c r="G44" s="11"/>
      <c r="H44" s="11"/>
      <c r="I44" s="11"/>
      <c r="J44" s="11"/>
      <c r="K44" s="11"/>
      <c r="L44" s="11"/>
      <c r="M44" s="11"/>
      <c r="N44" s="25"/>
      <c r="O44" s="11"/>
      <c r="P44" s="25"/>
      <c r="Q44" s="11"/>
      <c r="R44" s="25"/>
      <c r="S44" s="11"/>
      <c r="T44" s="25"/>
      <c r="U44" s="11"/>
      <c r="V44" s="25"/>
      <c r="W44" s="11"/>
      <c r="X44" s="25"/>
      <c r="Y44" s="11"/>
      <c r="Z44" s="25"/>
      <c r="AA44" s="11"/>
      <c r="AB44" s="25"/>
      <c r="AC44" s="11"/>
      <c r="AD44" s="25"/>
      <c r="AE44" s="11"/>
      <c r="AF44" s="25"/>
      <c r="AG44" s="11"/>
      <c r="AH44" s="5"/>
    </row>
    <row r="45" ht="12.75" customHeight="1">
      <c r="A45" s="44"/>
      <c r="B45" s="45">
        <v>1.0</v>
      </c>
      <c r="C45" s="46" t="s">
        <v>66</v>
      </c>
      <c r="D45" s="8"/>
      <c r="E45" s="11">
        <v>11.0</v>
      </c>
      <c r="F45" s="11">
        <v>14.0</v>
      </c>
      <c r="G45" s="11">
        <v>6.0</v>
      </c>
      <c r="H45" s="11">
        <v>22.0</v>
      </c>
      <c r="I45" s="11">
        <v>39.0</v>
      </c>
      <c r="J45" s="11">
        <v>10.0</v>
      </c>
      <c r="K45" s="11">
        <v>8.0</v>
      </c>
      <c r="L45" s="11">
        <v>12.0</v>
      </c>
      <c r="M45" s="11">
        <v>14.0</v>
      </c>
      <c r="N45" s="11">
        <v>11.0</v>
      </c>
      <c r="O45" s="11">
        <v>5.0</v>
      </c>
      <c r="P45" s="11">
        <v>8.0</v>
      </c>
      <c r="Q45" s="11">
        <v>4.0</v>
      </c>
      <c r="R45" s="11">
        <v>12.0</v>
      </c>
      <c r="S45" s="11">
        <v>9.0</v>
      </c>
      <c r="T45" s="11">
        <v>8.0</v>
      </c>
      <c r="U45" s="11">
        <v>13.0</v>
      </c>
      <c r="V45" s="11">
        <v>14.0</v>
      </c>
      <c r="W45" s="11">
        <v>17.0</v>
      </c>
      <c r="X45" s="11">
        <v>12.0</v>
      </c>
      <c r="Y45" s="11">
        <v>11.0</v>
      </c>
      <c r="Z45" s="11">
        <v>17.0</v>
      </c>
      <c r="AA45" s="11">
        <v>15.0</v>
      </c>
      <c r="AB45" s="11">
        <v>11.0</v>
      </c>
      <c r="AC45" s="11">
        <v>26.0</v>
      </c>
      <c r="AD45" s="11">
        <v>13.0</v>
      </c>
      <c r="AE45" s="11">
        <v>5.0</v>
      </c>
      <c r="AF45" s="11">
        <v>3.0</v>
      </c>
      <c r="AG45" s="11">
        <v>12.0</v>
      </c>
      <c r="AH45" s="5">
        <f t="shared" ref="AH45:AH47" si="15">SUM(E45:AG45)</f>
        <v>362</v>
      </c>
    </row>
    <row r="46" ht="12.75" customHeight="1">
      <c r="A46" s="15"/>
      <c r="B46" s="45">
        <v>2.0</v>
      </c>
      <c r="C46" s="46" t="s">
        <v>67</v>
      </c>
      <c r="D46" s="8"/>
      <c r="E46" s="11">
        <v>121.0</v>
      </c>
      <c r="F46" s="11">
        <v>141.0</v>
      </c>
      <c r="G46" s="11">
        <v>159.0</v>
      </c>
      <c r="H46" s="11">
        <v>145.0</v>
      </c>
      <c r="I46" s="11">
        <v>136.0</v>
      </c>
      <c r="J46" s="11">
        <v>162.0</v>
      </c>
      <c r="K46" s="11">
        <v>124.0</v>
      </c>
      <c r="L46" s="11">
        <v>171.0</v>
      </c>
      <c r="M46" s="11">
        <v>151.0</v>
      </c>
      <c r="N46" s="11">
        <v>129.0</v>
      </c>
      <c r="O46" s="11">
        <v>139.0</v>
      </c>
      <c r="P46" s="11">
        <v>118.0</v>
      </c>
      <c r="Q46" s="11">
        <v>142.0</v>
      </c>
      <c r="R46" s="11">
        <v>137.0</v>
      </c>
      <c r="S46" s="11">
        <v>142.0</v>
      </c>
      <c r="T46" s="11">
        <v>162.0</v>
      </c>
      <c r="U46" s="11">
        <v>108.0</v>
      </c>
      <c r="V46" s="11">
        <v>168.0</v>
      </c>
      <c r="W46" s="11">
        <v>172.0</v>
      </c>
      <c r="X46" s="11">
        <v>181.0</v>
      </c>
      <c r="Y46" s="11">
        <v>175.0</v>
      </c>
      <c r="Z46" s="11">
        <v>140.0</v>
      </c>
      <c r="AA46" s="11">
        <v>134.0</v>
      </c>
      <c r="AB46" s="11">
        <v>117.0</v>
      </c>
      <c r="AC46" s="11">
        <v>129.0</v>
      </c>
      <c r="AD46" s="11">
        <v>108.0</v>
      </c>
      <c r="AE46" s="11">
        <v>180.0</v>
      </c>
      <c r="AF46" s="11">
        <v>121.0</v>
      </c>
      <c r="AG46" s="11">
        <v>155.0</v>
      </c>
      <c r="AH46" s="5">
        <f t="shared" si="15"/>
        <v>4167</v>
      </c>
    </row>
    <row r="47" ht="12.75" customHeight="1">
      <c r="A47" s="42"/>
      <c r="B47" s="45">
        <v>3.0</v>
      </c>
      <c r="C47" s="46" t="s">
        <v>68</v>
      </c>
      <c r="D47" s="8"/>
      <c r="E47" s="11">
        <v>43.0</v>
      </c>
      <c r="F47" s="11">
        <v>29.0</v>
      </c>
      <c r="G47" s="11">
        <v>39.0</v>
      </c>
      <c r="H47" s="11">
        <v>28.0</v>
      </c>
      <c r="I47" s="11">
        <v>25.0</v>
      </c>
      <c r="J47" s="11">
        <v>39.0</v>
      </c>
      <c r="K47" s="11">
        <v>51.0</v>
      </c>
      <c r="L47" s="11">
        <v>31.0</v>
      </c>
      <c r="M47" s="11">
        <v>37.0</v>
      </c>
      <c r="N47" s="11">
        <v>46.0</v>
      </c>
      <c r="O47" s="11">
        <v>56.0</v>
      </c>
      <c r="P47" s="11">
        <v>42.0</v>
      </c>
      <c r="Q47" s="11">
        <v>50.0</v>
      </c>
      <c r="R47" s="11">
        <v>42.0</v>
      </c>
      <c r="S47" s="11">
        <v>26.0</v>
      </c>
      <c r="T47" s="11">
        <v>35.0</v>
      </c>
      <c r="U47" s="11">
        <v>73.0</v>
      </c>
      <c r="V47" s="11">
        <v>29.0</v>
      </c>
      <c r="W47" s="11">
        <v>38.0</v>
      </c>
      <c r="X47" s="11">
        <v>22.0</v>
      </c>
      <c r="Y47" s="11">
        <v>18.0</v>
      </c>
      <c r="Z47" s="11">
        <v>38.0</v>
      </c>
      <c r="AA47" s="11">
        <v>47.0</v>
      </c>
      <c r="AB47" s="11">
        <v>59.0</v>
      </c>
      <c r="AC47" s="11">
        <v>47.0</v>
      </c>
      <c r="AD47" s="11">
        <v>61.0</v>
      </c>
      <c r="AE47" s="11">
        <v>29.0</v>
      </c>
      <c r="AF47" s="11">
        <v>18.0</v>
      </c>
      <c r="AG47" s="11">
        <v>39.0</v>
      </c>
      <c r="AH47" s="5">
        <f t="shared" si="15"/>
        <v>1137</v>
      </c>
    </row>
    <row r="48" ht="12.75" customHeight="1"/>
    <row r="49" ht="12.75" customHeight="1">
      <c r="A49" s="39" t="s">
        <v>69</v>
      </c>
      <c r="B49" s="6" t="s">
        <v>70</v>
      </c>
      <c r="C49" s="7"/>
      <c r="D49" s="8"/>
      <c r="E49" s="5"/>
      <c r="F49" s="5"/>
      <c r="G49" s="5"/>
      <c r="H49" s="5"/>
      <c r="I49" s="5"/>
      <c r="J49" s="5"/>
      <c r="K49" s="5"/>
      <c r="L49" s="5"/>
      <c r="M49" s="5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5"/>
    </row>
    <row r="50" ht="12.75" customHeight="1">
      <c r="A50" s="39"/>
      <c r="B50" s="47" t="s">
        <v>71</v>
      </c>
      <c r="C50" s="48" t="s">
        <v>72</v>
      </c>
      <c r="D50" s="8"/>
      <c r="E50" s="11">
        <f t="shared" ref="E50:AG50" si="16">SUM(E45:E47)</f>
        <v>175</v>
      </c>
      <c r="F50" s="11">
        <f t="shared" si="16"/>
        <v>184</v>
      </c>
      <c r="G50" s="11">
        <f t="shared" si="16"/>
        <v>204</v>
      </c>
      <c r="H50" s="11">
        <f t="shared" si="16"/>
        <v>195</v>
      </c>
      <c r="I50" s="11">
        <f t="shared" si="16"/>
        <v>200</v>
      </c>
      <c r="J50" s="11">
        <f t="shared" si="16"/>
        <v>211</v>
      </c>
      <c r="K50" s="11">
        <f t="shared" si="16"/>
        <v>183</v>
      </c>
      <c r="L50" s="11">
        <f t="shared" si="16"/>
        <v>214</v>
      </c>
      <c r="M50" s="11">
        <f t="shared" si="16"/>
        <v>202</v>
      </c>
      <c r="N50" s="11">
        <f t="shared" si="16"/>
        <v>186</v>
      </c>
      <c r="O50" s="11">
        <f t="shared" si="16"/>
        <v>200</v>
      </c>
      <c r="P50" s="11">
        <f t="shared" si="16"/>
        <v>168</v>
      </c>
      <c r="Q50" s="11">
        <f t="shared" si="16"/>
        <v>196</v>
      </c>
      <c r="R50" s="11">
        <f t="shared" si="16"/>
        <v>191</v>
      </c>
      <c r="S50" s="11">
        <f t="shared" si="16"/>
        <v>177</v>
      </c>
      <c r="T50" s="11">
        <f t="shared" si="16"/>
        <v>205</v>
      </c>
      <c r="U50" s="11">
        <f t="shared" si="16"/>
        <v>194</v>
      </c>
      <c r="V50" s="11">
        <f t="shared" si="16"/>
        <v>211</v>
      </c>
      <c r="W50" s="11">
        <f t="shared" si="16"/>
        <v>227</v>
      </c>
      <c r="X50" s="11">
        <f t="shared" si="16"/>
        <v>215</v>
      </c>
      <c r="Y50" s="11">
        <f t="shared" si="16"/>
        <v>204</v>
      </c>
      <c r="Z50" s="11">
        <f t="shared" si="16"/>
        <v>195</v>
      </c>
      <c r="AA50" s="11">
        <f t="shared" si="16"/>
        <v>196</v>
      </c>
      <c r="AB50" s="11">
        <f t="shared" si="16"/>
        <v>187</v>
      </c>
      <c r="AC50" s="11">
        <f t="shared" si="16"/>
        <v>202</v>
      </c>
      <c r="AD50" s="11">
        <f t="shared" si="16"/>
        <v>182</v>
      </c>
      <c r="AE50" s="11">
        <f t="shared" si="16"/>
        <v>214</v>
      </c>
      <c r="AF50" s="11">
        <f t="shared" si="16"/>
        <v>142</v>
      </c>
      <c r="AG50" s="11">
        <f t="shared" si="16"/>
        <v>206</v>
      </c>
      <c r="AH50" s="5">
        <f t="shared" ref="AH50:AH52" si="17">SUM(E50:AG50)</f>
        <v>5666</v>
      </c>
    </row>
    <row r="51" ht="12.75" customHeight="1">
      <c r="A51" s="32"/>
      <c r="B51" s="47" t="s">
        <v>73</v>
      </c>
      <c r="C51" s="48" t="s">
        <v>74</v>
      </c>
      <c r="D51" s="8"/>
      <c r="E51" s="11">
        <v>5.0</v>
      </c>
      <c r="F51" s="11">
        <v>6.0</v>
      </c>
      <c r="G51" s="11">
        <v>3.0</v>
      </c>
      <c r="H51" s="11">
        <v>7.0</v>
      </c>
      <c r="I51" s="11">
        <v>5.0</v>
      </c>
      <c r="J51" s="11">
        <v>1.0</v>
      </c>
      <c r="K51" s="11">
        <v>0.0</v>
      </c>
      <c r="L51" s="11">
        <v>3.0</v>
      </c>
      <c r="M51" s="11">
        <v>0.0</v>
      </c>
      <c r="N51" s="11">
        <v>2.0</v>
      </c>
      <c r="O51" s="11">
        <v>5.0</v>
      </c>
      <c r="P51" s="11">
        <v>8.0</v>
      </c>
      <c r="Q51" s="11">
        <v>0.0</v>
      </c>
      <c r="R51" s="11">
        <v>5.0</v>
      </c>
      <c r="S51" s="11">
        <v>6.0</v>
      </c>
      <c r="T51" s="11">
        <v>2.0</v>
      </c>
      <c r="U51" s="11">
        <v>5.0</v>
      </c>
      <c r="V51" s="11">
        <v>4.0</v>
      </c>
      <c r="W51" s="11">
        <v>2.0</v>
      </c>
      <c r="X51" s="11">
        <v>5.0</v>
      </c>
      <c r="Y51" s="11">
        <v>3.0</v>
      </c>
      <c r="Z51" s="11">
        <v>4.0</v>
      </c>
      <c r="AA51" s="11">
        <v>7.0</v>
      </c>
      <c r="AB51" s="11">
        <v>5.0</v>
      </c>
      <c r="AC51" s="11">
        <v>1.0</v>
      </c>
      <c r="AD51" s="11">
        <v>4.0</v>
      </c>
      <c r="AE51" s="11">
        <v>3.0</v>
      </c>
      <c r="AF51" s="11">
        <v>2.0</v>
      </c>
      <c r="AG51" s="11">
        <v>3.0</v>
      </c>
      <c r="AH51" s="5">
        <f t="shared" si="17"/>
        <v>106</v>
      </c>
    </row>
    <row r="52" ht="12.75" customHeight="1">
      <c r="A52" s="35"/>
      <c r="B52" s="47" t="s">
        <v>75</v>
      </c>
      <c r="C52" s="48" t="s">
        <v>76</v>
      </c>
      <c r="D52" s="8"/>
      <c r="E52" s="5">
        <f t="shared" ref="E52:AG52" si="18">SUM(E50:E51)</f>
        <v>180</v>
      </c>
      <c r="F52" s="5">
        <f t="shared" si="18"/>
        <v>190</v>
      </c>
      <c r="G52" s="5">
        <f t="shared" si="18"/>
        <v>207</v>
      </c>
      <c r="H52" s="5">
        <f t="shared" si="18"/>
        <v>202</v>
      </c>
      <c r="I52" s="5">
        <f t="shared" si="18"/>
        <v>205</v>
      </c>
      <c r="J52" s="5">
        <f t="shared" si="18"/>
        <v>212</v>
      </c>
      <c r="K52" s="5">
        <f t="shared" si="18"/>
        <v>183</v>
      </c>
      <c r="L52" s="5">
        <f t="shared" si="18"/>
        <v>217</v>
      </c>
      <c r="M52" s="5">
        <f t="shared" si="18"/>
        <v>202</v>
      </c>
      <c r="N52" s="5">
        <f t="shared" si="18"/>
        <v>188</v>
      </c>
      <c r="O52" s="5">
        <f t="shared" si="18"/>
        <v>205</v>
      </c>
      <c r="P52" s="5">
        <f t="shared" si="18"/>
        <v>176</v>
      </c>
      <c r="Q52" s="5">
        <f t="shared" si="18"/>
        <v>196</v>
      </c>
      <c r="R52" s="5">
        <f t="shared" si="18"/>
        <v>196</v>
      </c>
      <c r="S52" s="5">
        <f t="shared" si="18"/>
        <v>183</v>
      </c>
      <c r="T52" s="5">
        <f t="shared" si="18"/>
        <v>207</v>
      </c>
      <c r="U52" s="5">
        <f t="shared" si="18"/>
        <v>199</v>
      </c>
      <c r="V52" s="5">
        <f t="shared" si="18"/>
        <v>215</v>
      </c>
      <c r="W52" s="5">
        <f t="shared" si="18"/>
        <v>229</v>
      </c>
      <c r="X52" s="5">
        <f t="shared" si="18"/>
        <v>220</v>
      </c>
      <c r="Y52" s="5">
        <f t="shared" si="18"/>
        <v>207</v>
      </c>
      <c r="Z52" s="5">
        <f t="shared" si="18"/>
        <v>199</v>
      </c>
      <c r="AA52" s="5">
        <f t="shared" si="18"/>
        <v>203</v>
      </c>
      <c r="AB52" s="5">
        <f t="shared" si="18"/>
        <v>192</v>
      </c>
      <c r="AC52" s="5">
        <f t="shared" si="18"/>
        <v>203</v>
      </c>
      <c r="AD52" s="5">
        <f t="shared" si="18"/>
        <v>186</v>
      </c>
      <c r="AE52" s="5">
        <f t="shared" si="18"/>
        <v>217</v>
      </c>
      <c r="AF52" s="5">
        <f t="shared" si="18"/>
        <v>144</v>
      </c>
      <c r="AG52" s="5">
        <f t="shared" si="18"/>
        <v>209</v>
      </c>
      <c r="AH52" s="5">
        <f t="shared" si="17"/>
        <v>5772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AG12"/>
    <mergeCell ref="AH12:AH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34:T34">
    <cfRule type="expression" dxfId="0" priority="1">
      <formula>E34&lt;&gt;#REF!</formula>
    </cfRule>
  </conditionalFormatting>
  <conditionalFormatting sqref="E14:AG15 E45:AG47">
    <cfRule type="containsBlanks" dxfId="1" priority="2">
      <formula>LEN(TRIM(E14))=0</formula>
    </cfRule>
  </conditionalFormatting>
  <conditionalFormatting sqref="E19:AG20">
    <cfRule type="containsBlanks" dxfId="1" priority="3">
      <formula>LEN(TRIM(E19))=0</formula>
    </cfRule>
  </conditionalFormatting>
  <conditionalFormatting sqref="E22:AG23 E25:AG26 E33:AG33 E35:AG35 E39:AG40">
    <cfRule type="containsBlanks" dxfId="1" priority="4">
      <formula>LEN(TRIM(E22))=0</formula>
    </cfRule>
  </conditionalFormatting>
  <conditionalFormatting sqref="E30:AG30">
    <cfRule type="expression" dxfId="0" priority="5">
      <formula>E30&lt;&gt;E46</formula>
    </cfRule>
  </conditionalFormatting>
  <conditionalFormatting sqref="E30:AG30">
    <cfRule type="expression" dxfId="0" priority="6">
      <formula>E30&lt;&gt;E34</formula>
    </cfRule>
  </conditionalFormatting>
  <conditionalFormatting sqref="E34:AG34">
    <cfRule type="expression" dxfId="2" priority="7">
      <formula>E30&lt;&gt;E34</formula>
    </cfRule>
  </conditionalFormatting>
  <conditionalFormatting sqref="E34:AG34">
    <cfRule type="expression" dxfId="3" priority="8">
      <formula>E30=E34</formula>
    </cfRule>
  </conditionalFormatting>
  <conditionalFormatting sqref="E34:AG34">
    <cfRule type="expression" dxfId="0" priority="9">
      <formula>E34&lt;&gt;E30</formula>
    </cfRule>
  </conditionalFormatting>
  <conditionalFormatting sqref="E50:AG51">
    <cfRule type="containsBlanks" dxfId="1" priority="10">
      <formula>LEN(TRIM(E50))=0</formula>
    </cfRule>
  </conditionalFormatting>
  <conditionalFormatting sqref="U34:AG34">
    <cfRule type="expression" dxfId="0" priority="11">
      <formula>U34&lt;&gt;U46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5" width="8.71"/>
    <col customWidth="1" min="26" max="26" width="13.29"/>
  </cols>
  <sheetData>
    <row r="1" ht="12.75" customHeight="1"/>
    <row r="2" ht="12.75" customHeight="1">
      <c r="C2" s="1" t="s">
        <v>0</v>
      </c>
      <c r="D2" s="1" t="s">
        <v>1</v>
      </c>
    </row>
    <row r="3" ht="12.75" customHeight="1">
      <c r="C3" s="1" t="s">
        <v>2</v>
      </c>
      <c r="D3" s="1" t="s">
        <v>3</v>
      </c>
    </row>
    <row r="4" ht="12.75" customHeight="1">
      <c r="C4" s="1" t="s">
        <v>4</v>
      </c>
      <c r="D4" s="1" t="s">
        <v>5</v>
      </c>
    </row>
    <row r="5" ht="12.75" customHeight="1">
      <c r="C5" s="1"/>
      <c r="D5" s="1"/>
    </row>
    <row r="6" ht="12.75" customHeight="1">
      <c r="C6" s="1"/>
      <c r="D6" s="1"/>
    </row>
    <row r="7" ht="12.75" customHeight="1">
      <c r="C7" s="1"/>
      <c r="D7" s="1"/>
    </row>
    <row r="8" ht="12.75" customHeight="1">
      <c r="C8" s="1"/>
      <c r="D8" s="1"/>
    </row>
    <row r="9" ht="12.75" customHeight="1">
      <c r="C9" s="1" t="s">
        <v>6</v>
      </c>
      <c r="D9" s="1" t="s">
        <v>79</v>
      </c>
    </row>
    <row r="10" ht="12.75" customHeight="1"/>
    <row r="11" ht="12.75" customHeight="1">
      <c r="A11" s="2"/>
      <c r="B11" s="3"/>
      <c r="C11" s="3"/>
      <c r="D11" s="3"/>
      <c r="E11" s="2"/>
      <c r="F11" s="2"/>
      <c r="G11" s="2"/>
      <c r="H11" s="2"/>
      <c r="I11" s="2"/>
      <c r="J11" s="2"/>
      <c r="K11" s="2"/>
      <c r="L11" s="2"/>
      <c r="M11" s="2"/>
      <c r="N11" s="4"/>
    </row>
    <row r="12" ht="12.75" customHeight="1">
      <c r="A12" s="5" t="s">
        <v>7</v>
      </c>
      <c r="B12" s="6" t="s">
        <v>8</v>
      </c>
      <c r="C12" s="7"/>
      <c r="D12" s="8"/>
      <c r="E12" s="9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10" t="s">
        <v>9</v>
      </c>
    </row>
    <row r="13" ht="12.75" customHeight="1">
      <c r="A13" s="11" t="s">
        <v>10</v>
      </c>
      <c r="B13" s="12" t="s">
        <v>11</v>
      </c>
      <c r="C13" s="7"/>
      <c r="D13" s="8"/>
      <c r="E13" s="5" t="s">
        <v>12</v>
      </c>
      <c r="F13" s="5" t="s">
        <v>13</v>
      </c>
      <c r="G13" s="5" t="s">
        <v>14</v>
      </c>
      <c r="H13" s="5" t="s">
        <v>15</v>
      </c>
      <c r="I13" s="5" t="s">
        <v>16</v>
      </c>
      <c r="J13" s="5" t="s">
        <v>17</v>
      </c>
      <c r="K13" s="5" t="s">
        <v>18</v>
      </c>
      <c r="L13" s="5" t="s">
        <v>19</v>
      </c>
      <c r="M13" s="5" t="s">
        <v>20</v>
      </c>
      <c r="N13" s="5" t="s">
        <v>21</v>
      </c>
      <c r="O13" s="5" t="s">
        <v>22</v>
      </c>
      <c r="P13" s="5" t="s">
        <v>23</v>
      </c>
      <c r="Q13" s="5" t="s">
        <v>24</v>
      </c>
      <c r="R13" s="5" t="s">
        <v>25</v>
      </c>
      <c r="S13" s="5" t="s">
        <v>26</v>
      </c>
      <c r="T13" s="5" t="s">
        <v>27</v>
      </c>
      <c r="U13" s="5" t="s">
        <v>28</v>
      </c>
      <c r="V13" s="5" t="s">
        <v>29</v>
      </c>
      <c r="W13" s="5" t="s">
        <v>30</v>
      </c>
      <c r="X13" s="5" t="s">
        <v>31</v>
      </c>
      <c r="Y13" s="5" t="s">
        <v>32</v>
      </c>
      <c r="Z13" s="14"/>
    </row>
    <row r="14" ht="12.75" customHeight="1">
      <c r="A14" s="15"/>
      <c r="B14" s="16" t="s">
        <v>40</v>
      </c>
      <c r="C14" s="17"/>
      <c r="D14" s="11" t="s">
        <v>41</v>
      </c>
      <c r="E14" s="11">
        <v>140.0</v>
      </c>
      <c r="F14" s="11">
        <v>148.0</v>
      </c>
      <c r="G14" s="11">
        <v>109.0</v>
      </c>
      <c r="H14" s="11">
        <v>139.0</v>
      </c>
      <c r="I14" s="11">
        <v>147.0</v>
      </c>
      <c r="J14" s="11">
        <v>152.0</v>
      </c>
      <c r="K14" s="11">
        <v>104.0</v>
      </c>
      <c r="L14" s="11">
        <v>135.0</v>
      </c>
      <c r="M14" s="11">
        <v>146.0</v>
      </c>
      <c r="N14" s="11">
        <v>145.0</v>
      </c>
      <c r="O14" s="11">
        <v>142.0</v>
      </c>
      <c r="P14" s="11">
        <v>146.0</v>
      </c>
      <c r="Q14" s="11">
        <v>154.0</v>
      </c>
      <c r="R14" s="11">
        <v>141.0</v>
      </c>
      <c r="S14" s="11">
        <v>145.0</v>
      </c>
      <c r="T14" s="11">
        <v>97.0</v>
      </c>
      <c r="U14" s="11">
        <v>136.0</v>
      </c>
      <c r="V14" s="11">
        <v>144.0</v>
      </c>
      <c r="W14" s="11">
        <v>136.0</v>
      </c>
      <c r="X14" s="11">
        <v>134.0</v>
      </c>
      <c r="Y14" s="11">
        <v>135.0</v>
      </c>
      <c r="Z14" s="5">
        <f t="shared" ref="Z14:Z16" si="1">SUM(E14:Y14)</f>
        <v>2875</v>
      </c>
    </row>
    <row r="15" ht="12.75" customHeight="1">
      <c r="A15" s="15"/>
      <c r="B15" s="18"/>
      <c r="C15" s="19"/>
      <c r="D15" s="11" t="s">
        <v>42</v>
      </c>
      <c r="E15" s="11">
        <v>133.0</v>
      </c>
      <c r="F15" s="11">
        <v>125.0</v>
      </c>
      <c r="G15" s="11">
        <v>118.0</v>
      </c>
      <c r="H15" s="11">
        <v>152.0</v>
      </c>
      <c r="I15" s="11">
        <v>139.0</v>
      </c>
      <c r="J15" s="11">
        <v>142.0</v>
      </c>
      <c r="K15" s="11">
        <v>104.0</v>
      </c>
      <c r="L15" s="11">
        <v>141.0</v>
      </c>
      <c r="M15" s="11">
        <v>134.0</v>
      </c>
      <c r="N15" s="11">
        <v>132.0</v>
      </c>
      <c r="O15" s="11">
        <v>132.0</v>
      </c>
      <c r="P15" s="11">
        <v>137.0</v>
      </c>
      <c r="Q15" s="11">
        <v>135.0</v>
      </c>
      <c r="R15" s="11">
        <v>140.0</v>
      </c>
      <c r="S15" s="11">
        <v>143.0</v>
      </c>
      <c r="T15" s="11">
        <v>100.0</v>
      </c>
      <c r="U15" s="11">
        <v>143.0</v>
      </c>
      <c r="V15" s="11">
        <v>131.0</v>
      </c>
      <c r="W15" s="11">
        <v>123.0</v>
      </c>
      <c r="X15" s="11">
        <v>148.0</v>
      </c>
      <c r="Y15" s="11">
        <v>149.0</v>
      </c>
      <c r="Z15" s="5">
        <f t="shared" si="1"/>
        <v>2801</v>
      </c>
    </row>
    <row r="16" ht="12.75" customHeight="1">
      <c r="A16" s="21"/>
      <c r="B16" s="22"/>
      <c r="C16" s="23"/>
      <c r="D16" s="5" t="s">
        <v>43</v>
      </c>
      <c r="E16" s="5">
        <f t="shared" ref="E16:Y16" si="2">SUM(E14:E15)</f>
        <v>273</v>
      </c>
      <c r="F16" s="5">
        <f t="shared" si="2"/>
        <v>273</v>
      </c>
      <c r="G16" s="5">
        <f t="shared" si="2"/>
        <v>227</v>
      </c>
      <c r="H16" s="5">
        <f t="shared" si="2"/>
        <v>291</v>
      </c>
      <c r="I16" s="5">
        <f t="shared" si="2"/>
        <v>286</v>
      </c>
      <c r="J16" s="5">
        <f t="shared" si="2"/>
        <v>294</v>
      </c>
      <c r="K16" s="5">
        <f t="shared" si="2"/>
        <v>208</v>
      </c>
      <c r="L16" s="5">
        <f t="shared" si="2"/>
        <v>276</v>
      </c>
      <c r="M16" s="5">
        <f t="shared" si="2"/>
        <v>280</v>
      </c>
      <c r="N16" s="5">
        <f t="shared" si="2"/>
        <v>277</v>
      </c>
      <c r="O16" s="5">
        <f t="shared" si="2"/>
        <v>274</v>
      </c>
      <c r="P16" s="5">
        <f t="shared" si="2"/>
        <v>283</v>
      </c>
      <c r="Q16" s="5">
        <f t="shared" si="2"/>
        <v>289</v>
      </c>
      <c r="R16" s="5">
        <f t="shared" si="2"/>
        <v>281</v>
      </c>
      <c r="S16" s="5">
        <f t="shared" si="2"/>
        <v>288</v>
      </c>
      <c r="T16" s="5">
        <f t="shared" si="2"/>
        <v>197</v>
      </c>
      <c r="U16" s="5">
        <f t="shared" si="2"/>
        <v>279</v>
      </c>
      <c r="V16" s="5">
        <f t="shared" si="2"/>
        <v>275</v>
      </c>
      <c r="W16" s="5">
        <f t="shared" si="2"/>
        <v>259</v>
      </c>
      <c r="X16" s="5">
        <f t="shared" si="2"/>
        <v>282</v>
      </c>
      <c r="Y16" s="5">
        <f t="shared" si="2"/>
        <v>284</v>
      </c>
      <c r="Z16" s="5">
        <f t="shared" si="1"/>
        <v>5676</v>
      </c>
    </row>
    <row r="17" ht="12.75" customHeight="1">
      <c r="A17" s="24"/>
      <c r="B17" s="7"/>
      <c r="C17" s="7"/>
      <c r="D17" s="8"/>
      <c r="E17" s="11"/>
      <c r="F17" s="11"/>
      <c r="G17" s="11"/>
      <c r="H17" s="11"/>
      <c r="I17" s="11"/>
      <c r="J17" s="11"/>
      <c r="K17" s="11"/>
      <c r="L17" s="11"/>
      <c r="M17" s="11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6"/>
    </row>
    <row r="18" ht="12.75" customHeight="1">
      <c r="A18" s="27" t="s">
        <v>44</v>
      </c>
      <c r="B18" s="12" t="s">
        <v>45</v>
      </c>
      <c r="C18" s="7"/>
      <c r="D18" s="8"/>
      <c r="E18" s="11"/>
      <c r="F18" s="11"/>
      <c r="G18" s="11"/>
      <c r="H18" s="11"/>
      <c r="I18" s="11"/>
      <c r="J18" s="11"/>
      <c r="K18" s="11"/>
      <c r="L18" s="11"/>
      <c r="M18" s="11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6"/>
    </row>
    <row r="19" ht="12.75" customHeight="1">
      <c r="A19" s="27"/>
      <c r="B19" s="28" t="s">
        <v>46</v>
      </c>
      <c r="C19" s="29" t="s">
        <v>47</v>
      </c>
      <c r="D19" s="11" t="s">
        <v>41</v>
      </c>
      <c r="E19" s="11">
        <v>98.0</v>
      </c>
      <c r="F19" s="11">
        <v>103.0</v>
      </c>
      <c r="G19" s="11">
        <v>75.0</v>
      </c>
      <c r="H19" s="11">
        <v>123.0</v>
      </c>
      <c r="I19" s="11">
        <v>98.0</v>
      </c>
      <c r="J19" s="11">
        <v>116.0</v>
      </c>
      <c r="K19" s="11">
        <v>70.0</v>
      </c>
      <c r="L19" s="11">
        <v>99.0</v>
      </c>
      <c r="M19" s="11">
        <v>97.0</v>
      </c>
      <c r="N19" s="11">
        <v>106.0</v>
      </c>
      <c r="O19" s="11">
        <v>101.0</v>
      </c>
      <c r="P19" s="11">
        <v>108.0</v>
      </c>
      <c r="Q19" s="11">
        <v>107.0</v>
      </c>
      <c r="R19" s="11">
        <v>108.0</v>
      </c>
      <c r="S19" s="11">
        <v>106.0</v>
      </c>
      <c r="T19" s="11">
        <v>68.0</v>
      </c>
      <c r="U19" s="11">
        <v>97.0</v>
      </c>
      <c r="V19" s="11">
        <v>101.0</v>
      </c>
      <c r="W19" s="11">
        <v>94.0</v>
      </c>
      <c r="X19" s="11">
        <v>91.0</v>
      </c>
      <c r="Y19" s="11">
        <v>97.0</v>
      </c>
      <c r="Z19" s="5">
        <f t="shared" ref="Z19:Z30" si="3">SUM(E19:Y19)</f>
        <v>2063</v>
      </c>
    </row>
    <row r="20" ht="12.75" customHeight="1">
      <c r="A20" s="30"/>
      <c r="B20" s="19"/>
      <c r="C20" s="31"/>
      <c r="D20" s="11" t="s">
        <v>42</v>
      </c>
      <c r="E20" s="11">
        <v>102.0</v>
      </c>
      <c r="F20" s="11">
        <v>79.0</v>
      </c>
      <c r="G20" s="11">
        <v>82.0</v>
      </c>
      <c r="H20" s="11">
        <v>108.0</v>
      </c>
      <c r="I20" s="11">
        <v>102.0</v>
      </c>
      <c r="J20" s="11">
        <v>109.0</v>
      </c>
      <c r="K20" s="11">
        <v>78.0</v>
      </c>
      <c r="L20" s="11">
        <v>107.0</v>
      </c>
      <c r="M20" s="11">
        <v>103.0</v>
      </c>
      <c r="N20" s="11">
        <v>88.0</v>
      </c>
      <c r="O20" s="11">
        <v>108.0</v>
      </c>
      <c r="P20" s="11">
        <v>120.0</v>
      </c>
      <c r="Q20" s="11">
        <v>102.0</v>
      </c>
      <c r="R20" s="11">
        <v>109.0</v>
      </c>
      <c r="S20" s="11">
        <v>115.0</v>
      </c>
      <c r="T20" s="11">
        <v>71.0</v>
      </c>
      <c r="U20" s="11">
        <v>101.0</v>
      </c>
      <c r="V20" s="11">
        <v>96.0</v>
      </c>
      <c r="W20" s="11">
        <v>102.0</v>
      </c>
      <c r="X20" s="11">
        <v>110.0</v>
      </c>
      <c r="Y20" s="11">
        <v>106.0</v>
      </c>
      <c r="Z20" s="5">
        <f t="shared" si="3"/>
        <v>2098</v>
      </c>
    </row>
    <row r="21" ht="12.75" customHeight="1">
      <c r="A21" s="32"/>
      <c r="B21" s="23"/>
      <c r="C21" s="14"/>
      <c r="D21" s="5" t="s">
        <v>43</v>
      </c>
      <c r="E21" s="5">
        <f t="shared" ref="E21:Y21" si="4">SUM(E19:E20)</f>
        <v>200</v>
      </c>
      <c r="F21" s="5">
        <f t="shared" si="4"/>
        <v>182</v>
      </c>
      <c r="G21" s="5">
        <f t="shared" si="4"/>
        <v>157</v>
      </c>
      <c r="H21" s="5">
        <f t="shared" si="4"/>
        <v>231</v>
      </c>
      <c r="I21" s="5">
        <f t="shared" si="4"/>
        <v>200</v>
      </c>
      <c r="J21" s="5">
        <f t="shared" si="4"/>
        <v>225</v>
      </c>
      <c r="K21" s="5">
        <f t="shared" si="4"/>
        <v>148</v>
      </c>
      <c r="L21" s="5">
        <f t="shared" si="4"/>
        <v>206</v>
      </c>
      <c r="M21" s="5">
        <f t="shared" si="4"/>
        <v>200</v>
      </c>
      <c r="N21" s="5">
        <f t="shared" si="4"/>
        <v>194</v>
      </c>
      <c r="O21" s="5">
        <f t="shared" si="4"/>
        <v>209</v>
      </c>
      <c r="P21" s="5">
        <f t="shared" si="4"/>
        <v>228</v>
      </c>
      <c r="Q21" s="5">
        <f t="shared" si="4"/>
        <v>209</v>
      </c>
      <c r="R21" s="5">
        <f t="shared" si="4"/>
        <v>217</v>
      </c>
      <c r="S21" s="5">
        <f t="shared" si="4"/>
        <v>221</v>
      </c>
      <c r="T21" s="5">
        <f t="shared" si="4"/>
        <v>139</v>
      </c>
      <c r="U21" s="5">
        <f t="shared" si="4"/>
        <v>198</v>
      </c>
      <c r="V21" s="5">
        <f t="shared" si="4"/>
        <v>197</v>
      </c>
      <c r="W21" s="5">
        <f t="shared" si="4"/>
        <v>196</v>
      </c>
      <c r="X21" s="5">
        <f t="shared" si="4"/>
        <v>201</v>
      </c>
      <c r="Y21" s="5">
        <f t="shared" si="4"/>
        <v>203</v>
      </c>
      <c r="Z21" s="5">
        <f t="shared" si="3"/>
        <v>4161</v>
      </c>
    </row>
    <row r="22" ht="12.75" customHeight="1">
      <c r="A22" s="30"/>
      <c r="B22" s="28" t="s">
        <v>48</v>
      </c>
      <c r="C22" s="29" t="s">
        <v>49</v>
      </c>
      <c r="D22" s="11" t="s">
        <v>41</v>
      </c>
      <c r="E22" s="11">
        <v>0.0</v>
      </c>
      <c r="F22" s="11">
        <v>0.0</v>
      </c>
      <c r="G22" s="11">
        <v>0.0</v>
      </c>
      <c r="H22" s="11">
        <v>0.0</v>
      </c>
      <c r="I22" s="11">
        <v>0.0</v>
      </c>
      <c r="J22" s="11">
        <v>1.0</v>
      </c>
      <c r="K22" s="11">
        <v>1.0</v>
      </c>
      <c r="L22" s="11">
        <v>0.0</v>
      </c>
      <c r="M22" s="11">
        <v>0.0</v>
      </c>
      <c r="N22" s="11">
        <v>0.0</v>
      </c>
      <c r="O22" s="11">
        <v>0.0</v>
      </c>
      <c r="P22" s="11">
        <v>0.0</v>
      </c>
      <c r="Q22" s="11">
        <v>0.0</v>
      </c>
      <c r="R22" s="11">
        <v>0.0</v>
      </c>
      <c r="S22" s="11">
        <v>1.0</v>
      </c>
      <c r="T22" s="11">
        <v>0.0</v>
      </c>
      <c r="U22" s="11">
        <v>1.0</v>
      </c>
      <c r="V22" s="11">
        <v>0.0</v>
      </c>
      <c r="W22" s="11">
        <v>0.0</v>
      </c>
      <c r="X22" s="11">
        <v>0.0</v>
      </c>
      <c r="Y22" s="11">
        <v>1.0</v>
      </c>
      <c r="Z22" s="5">
        <f t="shared" si="3"/>
        <v>5</v>
      </c>
    </row>
    <row r="23" ht="12.75" customHeight="1">
      <c r="A23" s="30"/>
      <c r="B23" s="19"/>
      <c r="C23" s="31"/>
      <c r="D23" s="11" t="s">
        <v>42</v>
      </c>
      <c r="E23" s="11">
        <v>0.0</v>
      </c>
      <c r="F23" s="11">
        <v>0.0</v>
      </c>
      <c r="G23" s="11">
        <v>0.0</v>
      </c>
      <c r="H23" s="11">
        <v>0.0</v>
      </c>
      <c r="I23" s="11">
        <v>1.0</v>
      </c>
      <c r="J23" s="11">
        <v>1.0</v>
      </c>
      <c r="K23" s="11">
        <v>0.0</v>
      </c>
      <c r="L23" s="11">
        <v>0.0</v>
      </c>
      <c r="M23" s="11">
        <v>0.0</v>
      </c>
      <c r="N23" s="11">
        <v>0.0</v>
      </c>
      <c r="O23" s="11">
        <v>0.0</v>
      </c>
      <c r="P23" s="11">
        <v>0.0</v>
      </c>
      <c r="Q23" s="11">
        <v>0.0</v>
      </c>
      <c r="R23" s="11">
        <v>0.0</v>
      </c>
      <c r="S23" s="11">
        <v>1.0</v>
      </c>
      <c r="T23" s="11">
        <v>1.0</v>
      </c>
      <c r="U23" s="11">
        <v>0.0</v>
      </c>
      <c r="V23" s="11">
        <v>0.0</v>
      </c>
      <c r="W23" s="11">
        <v>0.0</v>
      </c>
      <c r="X23" s="11">
        <v>0.0</v>
      </c>
      <c r="Y23" s="11">
        <v>0.0</v>
      </c>
      <c r="Z23" s="5">
        <f t="shared" si="3"/>
        <v>4</v>
      </c>
    </row>
    <row r="24" ht="12.75" customHeight="1">
      <c r="A24" s="32"/>
      <c r="B24" s="23"/>
      <c r="C24" s="14"/>
      <c r="D24" s="5" t="s">
        <v>43</v>
      </c>
      <c r="E24" s="5">
        <f t="shared" ref="E24:Y24" si="5">SUM(E22:E23)</f>
        <v>0</v>
      </c>
      <c r="F24" s="5">
        <f t="shared" si="5"/>
        <v>0</v>
      </c>
      <c r="G24" s="5">
        <f t="shared" si="5"/>
        <v>0</v>
      </c>
      <c r="H24" s="5">
        <f t="shared" si="5"/>
        <v>0</v>
      </c>
      <c r="I24" s="5">
        <f t="shared" si="5"/>
        <v>1</v>
      </c>
      <c r="J24" s="5">
        <f t="shared" si="5"/>
        <v>2</v>
      </c>
      <c r="K24" s="5">
        <f t="shared" si="5"/>
        <v>1</v>
      </c>
      <c r="L24" s="5">
        <f t="shared" si="5"/>
        <v>0</v>
      </c>
      <c r="M24" s="5">
        <f t="shared" si="5"/>
        <v>0</v>
      </c>
      <c r="N24" s="5">
        <f t="shared" si="5"/>
        <v>0</v>
      </c>
      <c r="O24" s="5">
        <f t="shared" si="5"/>
        <v>0</v>
      </c>
      <c r="P24" s="5">
        <f t="shared" si="5"/>
        <v>0</v>
      </c>
      <c r="Q24" s="5">
        <f t="shared" si="5"/>
        <v>0</v>
      </c>
      <c r="R24" s="5">
        <f t="shared" si="5"/>
        <v>0</v>
      </c>
      <c r="S24" s="5">
        <f t="shared" si="5"/>
        <v>2</v>
      </c>
      <c r="T24" s="5">
        <f t="shared" si="5"/>
        <v>1</v>
      </c>
      <c r="U24" s="5">
        <f t="shared" si="5"/>
        <v>1</v>
      </c>
      <c r="V24" s="5">
        <f t="shared" si="5"/>
        <v>0</v>
      </c>
      <c r="W24" s="5">
        <f t="shared" si="5"/>
        <v>0</v>
      </c>
      <c r="X24" s="5">
        <f t="shared" si="5"/>
        <v>0</v>
      </c>
      <c r="Y24" s="5">
        <f t="shared" si="5"/>
        <v>1</v>
      </c>
      <c r="Z24" s="5">
        <f t="shared" si="3"/>
        <v>9</v>
      </c>
    </row>
    <row r="25" ht="12.75" customHeight="1">
      <c r="A25" s="30"/>
      <c r="B25" s="28" t="s">
        <v>50</v>
      </c>
      <c r="C25" s="29" t="s">
        <v>51</v>
      </c>
      <c r="D25" s="11" t="s">
        <v>41</v>
      </c>
      <c r="E25" s="11">
        <v>0.0</v>
      </c>
      <c r="F25" s="11">
        <v>0.0</v>
      </c>
      <c r="G25" s="11">
        <v>1.0</v>
      </c>
      <c r="H25" s="11">
        <v>0.0</v>
      </c>
      <c r="I25" s="11">
        <v>1.0</v>
      </c>
      <c r="J25" s="11">
        <v>1.0</v>
      </c>
      <c r="K25" s="11">
        <v>0.0</v>
      </c>
      <c r="L25" s="11">
        <v>0.0</v>
      </c>
      <c r="M25" s="11">
        <v>0.0</v>
      </c>
      <c r="N25" s="11">
        <v>0.0</v>
      </c>
      <c r="O25" s="11">
        <v>1.0</v>
      </c>
      <c r="P25" s="11">
        <v>0.0</v>
      </c>
      <c r="Q25" s="11">
        <v>0.0</v>
      </c>
      <c r="R25" s="11">
        <v>2.0</v>
      </c>
      <c r="S25" s="11">
        <v>1.0</v>
      </c>
      <c r="T25" s="11">
        <v>0.0</v>
      </c>
      <c r="U25" s="11">
        <v>3.0</v>
      </c>
      <c r="V25" s="11">
        <v>0.0</v>
      </c>
      <c r="W25" s="11">
        <v>1.0</v>
      </c>
      <c r="X25" s="11">
        <v>3.0</v>
      </c>
      <c r="Y25" s="11">
        <v>0.0</v>
      </c>
      <c r="Z25" s="5">
        <f t="shared" si="3"/>
        <v>14</v>
      </c>
    </row>
    <row r="26" ht="12.75" customHeight="1">
      <c r="A26" s="30"/>
      <c r="B26" s="19"/>
      <c r="C26" s="31"/>
      <c r="D26" s="11" t="s">
        <v>42</v>
      </c>
      <c r="E26" s="11">
        <v>0.0</v>
      </c>
      <c r="F26" s="11">
        <v>0.0</v>
      </c>
      <c r="G26" s="11">
        <v>0.0</v>
      </c>
      <c r="H26" s="11">
        <v>0.0</v>
      </c>
      <c r="I26" s="11">
        <v>0.0</v>
      </c>
      <c r="J26" s="11">
        <v>3.0</v>
      </c>
      <c r="K26" s="11">
        <v>1.0</v>
      </c>
      <c r="L26" s="11">
        <v>0.0</v>
      </c>
      <c r="M26" s="11">
        <v>0.0</v>
      </c>
      <c r="N26" s="11">
        <v>1.0</v>
      </c>
      <c r="O26" s="11">
        <v>0.0</v>
      </c>
      <c r="P26" s="11">
        <v>0.0</v>
      </c>
      <c r="Q26" s="11">
        <v>0.0</v>
      </c>
      <c r="R26" s="11">
        <v>2.0</v>
      </c>
      <c r="S26" s="11">
        <v>1.0</v>
      </c>
      <c r="T26" s="11">
        <v>0.0</v>
      </c>
      <c r="U26" s="11">
        <v>1.0</v>
      </c>
      <c r="V26" s="11">
        <v>0.0</v>
      </c>
      <c r="W26" s="11">
        <v>0.0</v>
      </c>
      <c r="X26" s="11">
        <v>1.0</v>
      </c>
      <c r="Y26" s="11">
        <v>0.0</v>
      </c>
      <c r="Z26" s="5">
        <f t="shared" si="3"/>
        <v>10</v>
      </c>
    </row>
    <row r="27" ht="12.75" customHeight="1">
      <c r="A27" s="32"/>
      <c r="B27" s="23"/>
      <c r="C27" s="14"/>
      <c r="D27" s="5" t="s">
        <v>43</v>
      </c>
      <c r="E27" s="5">
        <f t="shared" ref="E27:Y27" si="6">SUM(E25:E26)</f>
        <v>0</v>
      </c>
      <c r="F27" s="5">
        <f t="shared" si="6"/>
        <v>0</v>
      </c>
      <c r="G27" s="5">
        <f t="shared" si="6"/>
        <v>1</v>
      </c>
      <c r="H27" s="5">
        <f t="shared" si="6"/>
        <v>0</v>
      </c>
      <c r="I27" s="5">
        <f t="shared" si="6"/>
        <v>1</v>
      </c>
      <c r="J27" s="5">
        <f t="shared" si="6"/>
        <v>4</v>
      </c>
      <c r="K27" s="5">
        <f t="shared" si="6"/>
        <v>1</v>
      </c>
      <c r="L27" s="5">
        <f t="shared" si="6"/>
        <v>0</v>
      </c>
      <c r="M27" s="5">
        <f t="shared" si="6"/>
        <v>0</v>
      </c>
      <c r="N27" s="5">
        <f t="shared" si="6"/>
        <v>1</v>
      </c>
      <c r="O27" s="5">
        <f t="shared" si="6"/>
        <v>1</v>
      </c>
      <c r="P27" s="5">
        <f t="shared" si="6"/>
        <v>0</v>
      </c>
      <c r="Q27" s="5">
        <f t="shared" si="6"/>
        <v>0</v>
      </c>
      <c r="R27" s="5">
        <f t="shared" si="6"/>
        <v>4</v>
      </c>
      <c r="S27" s="5">
        <f t="shared" si="6"/>
        <v>2</v>
      </c>
      <c r="T27" s="5">
        <f t="shared" si="6"/>
        <v>0</v>
      </c>
      <c r="U27" s="5">
        <f t="shared" si="6"/>
        <v>4</v>
      </c>
      <c r="V27" s="5">
        <f t="shared" si="6"/>
        <v>0</v>
      </c>
      <c r="W27" s="5">
        <f t="shared" si="6"/>
        <v>1</v>
      </c>
      <c r="X27" s="5">
        <f t="shared" si="6"/>
        <v>4</v>
      </c>
      <c r="Y27" s="5">
        <f t="shared" si="6"/>
        <v>0</v>
      </c>
      <c r="Z27" s="5">
        <f t="shared" si="3"/>
        <v>24</v>
      </c>
    </row>
    <row r="28" ht="12.75" customHeight="1">
      <c r="A28" s="32"/>
      <c r="B28" s="33" t="s">
        <v>52</v>
      </c>
      <c r="C28" s="34" t="s">
        <v>53</v>
      </c>
      <c r="D28" s="5" t="s">
        <v>41</v>
      </c>
      <c r="E28" s="5">
        <f t="shared" ref="E28:Y28" si="7">SUM(E19,E22,E25)</f>
        <v>98</v>
      </c>
      <c r="F28" s="5">
        <f t="shared" si="7"/>
        <v>103</v>
      </c>
      <c r="G28" s="5">
        <f t="shared" si="7"/>
        <v>76</v>
      </c>
      <c r="H28" s="5">
        <f t="shared" si="7"/>
        <v>123</v>
      </c>
      <c r="I28" s="5">
        <f t="shared" si="7"/>
        <v>99</v>
      </c>
      <c r="J28" s="5">
        <f t="shared" si="7"/>
        <v>118</v>
      </c>
      <c r="K28" s="5">
        <f t="shared" si="7"/>
        <v>71</v>
      </c>
      <c r="L28" s="5">
        <f t="shared" si="7"/>
        <v>99</v>
      </c>
      <c r="M28" s="5">
        <f t="shared" si="7"/>
        <v>97</v>
      </c>
      <c r="N28" s="5">
        <f t="shared" si="7"/>
        <v>106</v>
      </c>
      <c r="O28" s="5">
        <f t="shared" si="7"/>
        <v>102</v>
      </c>
      <c r="P28" s="5">
        <f t="shared" si="7"/>
        <v>108</v>
      </c>
      <c r="Q28" s="5">
        <f t="shared" si="7"/>
        <v>107</v>
      </c>
      <c r="R28" s="5">
        <f t="shared" si="7"/>
        <v>110</v>
      </c>
      <c r="S28" s="5">
        <f t="shared" si="7"/>
        <v>108</v>
      </c>
      <c r="T28" s="5">
        <f t="shared" si="7"/>
        <v>68</v>
      </c>
      <c r="U28" s="5">
        <f t="shared" si="7"/>
        <v>101</v>
      </c>
      <c r="V28" s="5">
        <f t="shared" si="7"/>
        <v>101</v>
      </c>
      <c r="W28" s="5">
        <f t="shared" si="7"/>
        <v>95</v>
      </c>
      <c r="X28" s="5">
        <f t="shared" si="7"/>
        <v>94</v>
      </c>
      <c r="Y28" s="5">
        <f t="shared" si="7"/>
        <v>98</v>
      </c>
      <c r="Z28" s="5">
        <f t="shared" si="3"/>
        <v>2082</v>
      </c>
    </row>
    <row r="29" ht="12.75" customHeight="1">
      <c r="A29" s="32"/>
      <c r="B29" s="19"/>
      <c r="C29" s="31"/>
      <c r="D29" s="5" t="s">
        <v>42</v>
      </c>
      <c r="E29" s="5">
        <f t="shared" ref="E29:Y29" si="8">SUM(E20,E23,E26)</f>
        <v>102</v>
      </c>
      <c r="F29" s="5">
        <f t="shared" si="8"/>
        <v>79</v>
      </c>
      <c r="G29" s="5">
        <f t="shared" si="8"/>
        <v>82</v>
      </c>
      <c r="H29" s="5">
        <f t="shared" si="8"/>
        <v>108</v>
      </c>
      <c r="I29" s="5">
        <f t="shared" si="8"/>
        <v>103</v>
      </c>
      <c r="J29" s="5">
        <f t="shared" si="8"/>
        <v>113</v>
      </c>
      <c r="K29" s="5">
        <f t="shared" si="8"/>
        <v>79</v>
      </c>
      <c r="L29" s="5">
        <f t="shared" si="8"/>
        <v>107</v>
      </c>
      <c r="M29" s="5">
        <f t="shared" si="8"/>
        <v>103</v>
      </c>
      <c r="N29" s="5">
        <f t="shared" si="8"/>
        <v>89</v>
      </c>
      <c r="O29" s="5">
        <f t="shared" si="8"/>
        <v>108</v>
      </c>
      <c r="P29" s="5">
        <f t="shared" si="8"/>
        <v>120</v>
      </c>
      <c r="Q29" s="5">
        <f t="shared" si="8"/>
        <v>102</v>
      </c>
      <c r="R29" s="5">
        <f t="shared" si="8"/>
        <v>111</v>
      </c>
      <c r="S29" s="5">
        <f t="shared" si="8"/>
        <v>117</v>
      </c>
      <c r="T29" s="5">
        <f t="shared" si="8"/>
        <v>72</v>
      </c>
      <c r="U29" s="5">
        <f t="shared" si="8"/>
        <v>102</v>
      </c>
      <c r="V29" s="5">
        <f t="shared" si="8"/>
        <v>96</v>
      </c>
      <c r="W29" s="5">
        <f t="shared" si="8"/>
        <v>102</v>
      </c>
      <c r="X29" s="5">
        <f t="shared" si="8"/>
        <v>111</v>
      </c>
      <c r="Y29" s="5">
        <f t="shared" si="8"/>
        <v>106</v>
      </c>
      <c r="Z29" s="5">
        <f t="shared" si="3"/>
        <v>2112</v>
      </c>
    </row>
    <row r="30" ht="12.75" customHeight="1">
      <c r="A30" s="32"/>
      <c r="B30" s="23"/>
      <c r="C30" s="14"/>
      <c r="D30" s="5" t="s">
        <v>43</v>
      </c>
      <c r="E30" s="5">
        <f t="shared" ref="E30:Y30" si="9">SUM(E28:E29)</f>
        <v>200</v>
      </c>
      <c r="F30" s="5">
        <f t="shared" si="9"/>
        <v>182</v>
      </c>
      <c r="G30" s="5">
        <f t="shared" si="9"/>
        <v>158</v>
      </c>
      <c r="H30" s="5">
        <f t="shared" si="9"/>
        <v>231</v>
      </c>
      <c r="I30" s="5">
        <f t="shared" si="9"/>
        <v>202</v>
      </c>
      <c r="J30" s="5">
        <f t="shared" si="9"/>
        <v>231</v>
      </c>
      <c r="K30" s="5">
        <f t="shared" si="9"/>
        <v>150</v>
      </c>
      <c r="L30" s="5">
        <f t="shared" si="9"/>
        <v>206</v>
      </c>
      <c r="M30" s="5">
        <f t="shared" si="9"/>
        <v>200</v>
      </c>
      <c r="N30" s="5">
        <f t="shared" si="9"/>
        <v>195</v>
      </c>
      <c r="O30" s="5">
        <f t="shared" si="9"/>
        <v>210</v>
      </c>
      <c r="P30" s="5">
        <f t="shared" si="9"/>
        <v>228</v>
      </c>
      <c r="Q30" s="5">
        <f t="shared" si="9"/>
        <v>209</v>
      </c>
      <c r="R30" s="5">
        <f t="shared" si="9"/>
        <v>221</v>
      </c>
      <c r="S30" s="5">
        <f t="shared" si="9"/>
        <v>225</v>
      </c>
      <c r="T30" s="5">
        <f t="shared" si="9"/>
        <v>140</v>
      </c>
      <c r="U30" s="5">
        <f t="shared" si="9"/>
        <v>203</v>
      </c>
      <c r="V30" s="5">
        <f t="shared" si="9"/>
        <v>197</v>
      </c>
      <c r="W30" s="5">
        <f t="shared" si="9"/>
        <v>197</v>
      </c>
      <c r="X30" s="5">
        <f t="shared" si="9"/>
        <v>205</v>
      </c>
      <c r="Y30" s="5">
        <f t="shared" si="9"/>
        <v>204</v>
      </c>
      <c r="Z30" s="5">
        <f t="shared" si="3"/>
        <v>4194</v>
      </c>
    </row>
    <row r="31" ht="12.75" customHeight="1">
      <c r="A31" s="24"/>
      <c r="B31" s="7"/>
      <c r="C31" s="7"/>
      <c r="D31" s="8"/>
      <c r="E31" s="11"/>
      <c r="F31" s="11"/>
      <c r="G31" s="11"/>
      <c r="H31" s="11"/>
      <c r="I31" s="11"/>
      <c r="J31" s="11"/>
      <c r="K31" s="11"/>
      <c r="L31" s="11"/>
      <c r="M31" s="11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6"/>
    </row>
    <row r="32" ht="12.75" customHeight="1">
      <c r="A32" s="35" t="s">
        <v>54</v>
      </c>
      <c r="B32" s="6" t="s">
        <v>55</v>
      </c>
      <c r="C32" s="7"/>
      <c r="D32" s="8"/>
      <c r="E32" s="5"/>
      <c r="F32" s="5"/>
      <c r="G32" s="5"/>
      <c r="H32" s="5"/>
      <c r="I32" s="5"/>
      <c r="J32" s="5"/>
      <c r="K32" s="5"/>
      <c r="L32" s="5"/>
      <c r="M32" s="5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26"/>
    </row>
    <row r="33" ht="12.75" customHeight="1">
      <c r="A33" s="11">
        <v>1.0</v>
      </c>
      <c r="B33" s="12" t="s">
        <v>56</v>
      </c>
      <c r="C33" s="7"/>
      <c r="D33" s="8"/>
      <c r="E33" s="11">
        <v>279.0</v>
      </c>
      <c r="F33" s="11">
        <v>279.0</v>
      </c>
      <c r="G33" s="11">
        <v>232.0</v>
      </c>
      <c r="H33" s="11">
        <v>297.0</v>
      </c>
      <c r="I33" s="11">
        <v>292.0</v>
      </c>
      <c r="J33" s="11">
        <v>300.0</v>
      </c>
      <c r="K33" s="11">
        <v>213.0</v>
      </c>
      <c r="L33" s="11">
        <v>282.0</v>
      </c>
      <c r="M33" s="11">
        <v>286.0</v>
      </c>
      <c r="N33" s="11">
        <v>283.0</v>
      </c>
      <c r="O33" s="11">
        <v>280.0</v>
      </c>
      <c r="P33" s="11">
        <v>291.0</v>
      </c>
      <c r="Q33" s="11">
        <v>295.0</v>
      </c>
      <c r="R33" s="11">
        <v>287.0</v>
      </c>
      <c r="S33" s="11">
        <v>295.0</v>
      </c>
      <c r="T33" s="11">
        <v>201.0</v>
      </c>
      <c r="U33" s="11">
        <v>285.0</v>
      </c>
      <c r="V33" s="11">
        <v>282.0</v>
      </c>
      <c r="W33" s="11">
        <v>265.0</v>
      </c>
      <c r="X33" s="11">
        <v>289.0</v>
      </c>
      <c r="Y33" s="11">
        <v>291.0</v>
      </c>
      <c r="Z33" s="5">
        <f t="shared" ref="Z33:Z36" si="10">SUM(E33:Y33)</f>
        <v>5804</v>
      </c>
    </row>
    <row r="34" ht="12.75" customHeight="1">
      <c r="A34" s="11">
        <v>2.0</v>
      </c>
      <c r="B34" s="12" t="s">
        <v>57</v>
      </c>
      <c r="C34" s="7"/>
      <c r="D34" s="8"/>
      <c r="E34" s="5">
        <v>200.0</v>
      </c>
      <c r="F34" s="5">
        <v>182.0</v>
      </c>
      <c r="G34" s="5">
        <v>158.0</v>
      </c>
      <c r="H34" s="5">
        <v>231.0</v>
      </c>
      <c r="I34" s="5">
        <v>202.0</v>
      </c>
      <c r="J34" s="5">
        <v>231.0</v>
      </c>
      <c r="K34" s="5">
        <v>150.0</v>
      </c>
      <c r="L34" s="5">
        <v>206.0</v>
      </c>
      <c r="M34" s="5">
        <v>200.0</v>
      </c>
      <c r="N34" s="5">
        <v>195.0</v>
      </c>
      <c r="O34" s="5">
        <v>210.0</v>
      </c>
      <c r="P34" s="5">
        <v>228.0</v>
      </c>
      <c r="Q34" s="5">
        <v>209.0</v>
      </c>
      <c r="R34" s="5">
        <v>221.0</v>
      </c>
      <c r="S34" s="5">
        <v>225.0</v>
      </c>
      <c r="T34" s="5">
        <v>140.0</v>
      </c>
      <c r="U34" s="5">
        <v>203.0</v>
      </c>
      <c r="V34" s="5">
        <v>197.0</v>
      </c>
      <c r="W34" s="5">
        <v>197.0</v>
      </c>
      <c r="X34" s="5">
        <v>205.0</v>
      </c>
      <c r="Y34" s="5">
        <v>204.0</v>
      </c>
      <c r="Z34" s="5">
        <f t="shared" si="10"/>
        <v>4194</v>
      </c>
    </row>
    <row r="35" ht="12.75" customHeight="1">
      <c r="A35" s="11">
        <v>3.0</v>
      </c>
      <c r="B35" s="12" t="s">
        <v>58</v>
      </c>
      <c r="C35" s="7"/>
      <c r="D35" s="8"/>
      <c r="E35" s="11">
        <v>0.0</v>
      </c>
      <c r="F35" s="11">
        <v>0.0</v>
      </c>
      <c r="G35" s="11">
        <v>0.0</v>
      </c>
      <c r="H35" s="11">
        <v>0.0</v>
      </c>
      <c r="I35" s="11">
        <v>0.0</v>
      </c>
      <c r="J35" s="11">
        <v>1.0</v>
      </c>
      <c r="K35" s="11">
        <v>0.0</v>
      </c>
      <c r="L35" s="11">
        <v>0.0</v>
      </c>
      <c r="M35" s="11">
        <v>0.0</v>
      </c>
      <c r="N35" s="11">
        <v>0.0</v>
      </c>
      <c r="O35" s="11">
        <v>0.0</v>
      </c>
      <c r="P35" s="11">
        <v>0.0</v>
      </c>
      <c r="Q35" s="11">
        <v>1.0</v>
      </c>
      <c r="R35" s="11">
        <v>4.0</v>
      </c>
      <c r="S35" s="11">
        <v>2.0</v>
      </c>
      <c r="T35" s="11">
        <v>0.0</v>
      </c>
      <c r="U35" s="11">
        <v>1.0</v>
      </c>
      <c r="V35" s="11">
        <v>85.0</v>
      </c>
      <c r="W35" s="11">
        <v>0.0</v>
      </c>
      <c r="X35" s="11">
        <v>2.0</v>
      </c>
      <c r="Y35" s="11">
        <v>1.0</v>
      </c>
      <c r="Z35" s="5">
        <f t="shared" si="10"/>
        <v>97</v>
      </c>
    </row>
    <row r="36" ht="12.75" customHeight="1">
      <c r="A36" s="11">
        <v>4.0</v>
      </c>
      <c r="B36" s="12" t="s">
        <v>59</v>
      </c>
      <c r="C36" s="7"/>
      <c r="D36" s="8"/>
      <c r="E36" s="5">
        <f t="shared" ref="E36:Y36" si="11">E33-(E34+E35)</f>
        <v>79</v>
      </c>
      <c r="F36" s="5">
        <f t="shared" si="11"/>
        <v>97</v>
      </c>
      <c r="G36" s="5">
        <f t="shared" si="11"/>
        <v>74</v>
      </c>
      <c r="H36" s="5">
        <f t="shared" si="11"/>
        <v>66</v>
      </c>
      <c r="I36" s="5">
        <f t="shared" si="11"/>
        <v>90</v>
      </c>
      <c r="J36" s="5">
        <f t="shared" si="11"/>
        <v>68</v>
      </c>
      <c r="K36" s="5">
        <f t="shared" si="11"/>
        <v>63</v>
      </c>
      <c r="L36" s="5">
        <f t="shared" si="11"/>
        <v>76</v>
      </c>
      <c r="M36" s="5">
        <f t="shared" si="11"/>
        <v>86</v>
      </c>
      <c r="N36" s="5">
        <f t="shared" si="11"/>
        <v>88</v>
      </c>
      <c r="O36" s="5">
        <f t="shared" si="11"/>
        <v>70</v>
      </c>
      <c r="P36" s="5">
        <f t="shared" si="11"/>
        <v>63</v>
      </c>
      <c r="Q36" s="5">
        <f t="shared" si="11"/>
        <v>85</v>
      </c>
      <c r="R36" s="5">
        <f t="shared" si="11"/>
        <v>62</v>
      </c>
      <c r="S36" s="5">
        <f t="shared" si="11"/>
        <v>68</v>
      </c>
      <c r="T36" s="5">
        <f t="shared" si="11"/>
        <v>61</v>
      </c>
      <c r="U36" s="5">
        <f t="shared" si="11"/>
        <v>81</v>
      </c>
      <c r="V36" s="5">
        <f t="shared" si="11"/>
        <v>0</v>
      </c>
      <c r="W36" s="5">
        <f t="shared" si="11"/>
        <v>68</v>
      </c>
      <c r="X36" s="5">
        <f t="shared" si="11"/>
        <v>82</v>
      </c>
      <c r="Y36" s="5">
        <f t="shared" si="11"/>
        <v>86</v>
      </c>
      <c r="Z36" s="5">
        <f t="shared" si="10"/>
        <v>1513</v>
      </c>
    </row>
    <row r="37" ht="12.75" customHeight="1">
      <c r="A37" s="24"/>
      <c r="B37" s="7"/>
      <c r="C37" s="7"/>
      <c r="D37" s="7"/>
      <c r="E37" s="24"/>
      <c r="F37" s="7"/>
      <c r="G37" s="7"/>
      <c r="H37" s="7"/>
      <c r="I37" s="8"/>
      <c r="J37" s="11"/>
      <c r="K37" s="11"/>
      <c r="L37" s="11"/>
      <c r="M37" s="11"/>
      <c r="N37" s="25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26"/>
    </row>
    <row r="38" ht="12.75" customHeight="1">
      <c r="A38" s="39" t="s">
        <v>60</v>
      </c>
      <c r="B38" s="6" t="s">
        <v>61</v>
      </c>
      <c r="C38" s="7"/>
      <c r="D38" s="8"/>
      <c r="E38" s="5"/>
      <c r="F38" s="5"/>
      <c r="G38" s="5"/>
      <c r="H38" s="5"/>
      <c r="I38" s="5"/>
      <c r="J38" s="5"/>
      <c r="K38" s="5"/>
      <c r="L38" s="5"/>
      <c r="M38" s="5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26"/>
    </row>
    <row r="39" ht="12.75" customHeight="1">
      <c r="A39" s="27"/>
      <c r="B39" s="40" t="s">
        <v>62</v>
      </c>
      <c r="C39" s="17"/>
      <c r="D39" s="11" t="s">
        <v>41</v>
      </c>
      <c r="E39" s="11">
        <v>0.0</v>
      </c>
      <c r="F39" s="11">
        <v>0.0</v>
      </c>
      <c r="G39" s="11">
        <v>0.0</v>
      </c>
      <c r="H39" s="11">
        <v>0.0</v>
      </c>
      <c r="I39" s="11">
        <v>0.0</v>
      </c>
      <c r="J39" s="11">
        <v>0.0</v>
      </c>
      <c r="K39" s="11">
        <v>0.0</v>
      </c>
      <c r="L39" s="11">
        <v>0.0</v>
      </c>
      <c r="M39" s="11">
        <v>1.0</v>
      </c>
      <c r="N39" s="11">
        <v>0.0</v>
      </c>
      <c r="O39" s="11">
        <v>0.0</v>
      </c>
      <c r="P39" s="11">
        <v>0.0</v>
      </c>
      <c r="Q39" s="11">
        <v>0.0</v>
      </c>
      <c r="R39" s="11">
        <v>0.0</v>
      </c>
      <c r="S39" s="11">
        <v>0.0</v>
      </c>
      <c r="T39" s="11">
        <v>0.0</v>
      </c>
      <c r="U39" s="11">
        <v>0.0</v>
      </c>
      <c r="V39" s="11">
        <v>2.0</v>
      </c>
      <c r="W39" s="11">
        <v>0.0</v>
      </c>
      <c r="X39" s="11">
        <v>0.0</v>
      </c>
      <c r="Y39" s="11">
        <v>0.0</v>
      </c>
      <c r="Z39" s="5">
        <f t="shared" ref="Z39:Z41" si="12">SUM(E39:Y39)</f>
        <v>3</v>
      </c>
    </row>
    <row r="40" ht="12.75" customHeight="1">
      <c r="A40" s="30"/>
      <c r="C40" s="19"/>
      <c r="D40" s="11" t="s">
        <v>42</v>
      </c>
      <c r="E40" s="11">
        <v>1.0</v>
      </c>
      <c r="F40" s="11">
        <v>0.0</v>
      </c>
      <c r="G40" s="11">
        <v>0.0</v>
      </c>
      <c r="H40" s="11">
        <v>0.0</v>
      </c>
      <c r="I40" s="11">
        <v>0.0</v>
      </c>
      <c r="J40" s="11">
        <v>1.0</v>
      </c>
      <c r="K40" s="11">
        <v>0.0</v>
      </c>
      <c r="L40" s="11">
        <v>0.0</v>
      </c>
      <c r="M40" s="11">
        <v>0.0</v>
      </c>
      <c r="N40" s="11">
        <v>0.0</v>
      </c>
      <c r="O40" s="11">
        <v>0.0</v>
      </c>
      <c r="P40" s="11">
        <v>0.0</v>
      </c>
      <c r="Q40" s="11">
        <v>0.0</v>
      </c>
      <c r="R40" s="11">
        <v>0.0</v>
      </c>
      <c r="S40" s="11">
        <v>0.0</v>
      </c>
      <c r="T40" s="11">
        <v>0.0</v>
      </c>
      <c r="U40" s="11">
        <v>0.0</v>
      </c>
      <c r="V40" s="11">
        <v>0.0</v>
      </c>
      <c r="W40" s="11">
        <v>0.0</v>
      </c>
      <c r="X40" s="11">
        <v>0.0</v>
      </c>
      <c r="Y40" s="11">
        <v>0.0</v>
      </c>
      <c r="Z40" s="5">
        <f t="shared" si="12"/>
        <v>2</v>
      </c>
    </row>
    <row r="41" ht="12.75" customHeight="1">
      <c r="A41" s="35"/>
      <c r="B41" s="41"/>
      <c r="C41" s="23"/>
      <c r="D41" s="5" t="s">
        <v>43</v>
      </c>
      <c r="E41" s="5">
        <f t="shared" ref="E41:Y41" si="13">SUM(E39:E40)</f>
        <v>1</v>
      </c>
      <c r="F41" s="5">
        <f t="shared" si="13"/>
        <v>0</v>
      </c>
      <c r="G41" s="5">
        <f t="shared" si="13"/>
        <v>0</v>
      </c>
      <c r="H41" s="5">
        <f t="shared" si="13"/>
        <v>0</v>
      </c>
      <c r="I41" s="5">
        <f t="shared" si="13"/>
        <v>0</v>
      </c>
      <c r="J41" s="5">
        <f t="shared" si="13"/>
        <v>1</v>
      </c>
      <c r="K41" s="5">
        <f t="shared" si="13"/>
        <v>0</v>
      </c>
      <c r="L41" s="5">
        <f t="shared" si="13"/>
        <v>0</v>
      </c>
      <c r="M41" s="5">
        <f t="shared" si="13"/>
        <v>1</v>
      </c>
      <c r="N41" s="5">
        <f t="shared" si="13"/>
        <v>0</v>
      </c>
      <c r="O41" s="5">
        <f t="shared" si="13"/>
        <v>0</v>
      </c>
      <c r="P41" s="5">
        <f t="shared" si="13"/>
        <v>0</v>
      </c>
      <c r="Q41" s="5">
        <f t="shared" si="13"/>
        <v>0</v>
      </c>
      <c r="R41" s="5">
        <f t="shared" si="13"/>
        <v>0</v>
      </c>
      <c r="S41" s="5">
        <f t="shared" si="13"/>
        <v>0</v>
      </c>
      <c r="T41" s="5">
        <f t="shared" si="13"/>
        <v>0</v>
      </c>
      <c r="U41" s="5">
        <f t="shared" si="13"/>
        <v>0</v>
      </c>
      <c r="V41" s="5">
        <f t="shared" si="13"/>
        <v>2</v>
      </c>
      <c r="W41" s="5">
        <f t="shared" si="13"/>
        <v>0</v>
      </c>
      <c r="X41" s="5">
        <f t="shared" si="13"/>
        <v>0</v>
      </c>
      <c r="Y41" s="5">
        <f t="shared" si="13"/>
        <v>0</v>
      </c>
      <c r="Z41" s="5">
        <f t="shared" si="12"/>
        <v>5</v>
      </c>
    </row>
    <row r="42" ht="12.75" customHeight="1">
      <c r="A42" s="42"/>
      <c r="B42" s="41"/>
      <c r="C42" s="41"/>
      <c r="D42" s="23"/>
      <c r="E42" s="24"/>
      <c r="F42" s="7"/>
      <c r="G42" s="7"/>
      <c r="H42" s="7"/>
      <c r="I42" s="8"/>
      <c r="J42" s="11"/>
      <c r="K42" s="11"/>
      <c r="L42" s="11"/>
      <c r="M42" s="11"/>
      <c r="N42" s="25"/>
      <c r="O42" s="11"/>
      <c r="P42" s="25"/>
      <c r="Q42" s="11"/>
      <c r="R42" s="25"/>
      <c r="S42" s="11"/>
      <c r="T42" s="25"/>
      <c r="U42" s="11"/>
      <c r="V42" s="25"/>
      <c r="W42" s="11"/>
      <c r="X42" s="25"/>
      <c r="Y42" s="11"/>
      <c r="Z42" s="5"/>
    </row>
    <row r="43" ht="12.75" customHeight="1">
      <c r="A43" s="39" t="s">
        <v>63</v>
      </c>
      <c r="B43" s="6" t="s">
        <v>64</v>
      </c>
      <c r="C43" s="7"/>
      <c r="D43" s="8"/>
      <c r="E43" s="9"/>
      <c r="F43" s="5"/>
      <c r="G43" s="5"/>
      <c r="H43" s="5"/>
      <c r="I43" s="5"/>
      <c r="J43" s="5"/>
      <c r="K43" s="5"/>
      <c r="L43" s="5"/>
      <c r="M43" s="5"/>
      <c r="N43" s="36"/>
      <c r="O43" s="5"/>
      <c r="P43" s="36"/>
      <c r="Q43" s="5"/>
      <c r="R43" s="36"/>
      <c r="S43" s="5"/>
      <c r="T43" s="36"/>
      <c r="U43" s="5"/>
      <c r="V43" s="36"/>
      <c r="W43" s="5"/>
      <c r="X43" s="36"/>
      <c r="Y43" s="5"/>
      <c r="Z43" s="5"/>
    </row>
    <row r="44" ht="12.75" customHeight="1">
      <c r="A44" s="40" t="s">
        <v>65</v>
      </c>
      <c r="B44" s="43"/>
      <c r="C44" s="43"/>
      <c r="D44" s="17"/>
      <c r="E44" s="24"/>
      <c r="F44" s="11"/>
      <c r="G44" s="11"/>
      <c r="H44" s="11"/>
      <c r="I44" s="11"/>
      <c r="J44" s="11"/>
      <c r="K44" s="11"/>
      <c r="L44" s="11"/>
      <c r="M44" s="11"/>
      <c r="N44" s="25"/>
      <c r="O44" s="11"/>
      <c r="P44" s="25"/>
      <c r="Q44" s="11"/>
      <c r="R44" s="25"/>
      <c r="S44" s="11"/>
      <c r="T44" s="25"/>
      <c r="U44" s="11"/>
      <c r="V44" s="25"/>
      <c r="W44" s="11"/>
      <c r="X44" s="25"/>
      <c r="Y44" s="11"/>
      <c r="Z44" s="5"/>
    </row>
    <row r="45" ht="12.75" customHeight="1">
      <c r="A45" s="44"/>
      <c r="B45" s="45">
        <v>1.0</v>
      </c>
      <c r="C45" s="46" t="s">
        <v>66</v>
      </c>
      <c r="D45" s="8"/>
      <c r="E45" s="11">
        <v>18.0</v>
      </c>
      <c r="F45" s="11">
        <v>2.0</v>
      </c>
      <c r="G45" s="11">
        <v>11.0</v>
      </c>
      <c r="H45" s="11">
        <v>18.0</v>
      </c>
      <c r="I45" s="11">
        <v>33.0</v>
      </c>
      <c r="J45" s="11">
        <v>30.0</v>
      </c>
      <c r="K45" s="11">
        <v>10.0</v>
      </c>
      <c r="L45" s="11">
        <v>11.0</v>
      </c>
      <c r="M45" s="11">
        <v>27.0</v>
      </c>
      <c r="N45" s="11">
        <v>20.0</v>
      </c>
      <c r="O45" s="11">
        <v>51.0</v>
      </c>
      <c r="P45" s="11">
        <v>32.0</v>
      </c>
      <c r="Q45" s="11">
        <v>13.0</v>
      </c>
      <c r="R45" s="11">
        <v>12.0</v>
      </c>
      <c r="S45" s="11">
        <v>16.0</v>
      </c>
      <c r="T45" s="11">
        <v>8.0</v>
      </c>
      <c r="U45" s="11">
        <v>14.0</v>
      </c>
      <c r="V45" s="11">
        <v>18.0</v>
      </c>
      <c r="W45" s="11">
        <v>18.0</v>
      </c>
      <c r="X45" s="11">
        <v>14.0</v>
      </c>
      <c r="Y45" s="11">
        <v>27.0</v>
      </c>
      <c r="Z45" s="5">
        <f t="shared" ref="Z45:Z47" si="14">SUM(E45:Y45)</f>
        <v>403</v>
      </c>
    </row>
    <row r="46" ht="12.75" customHeight="1">
      <c r="A46" s="15"/>
      <c r="B46" s="45">
        <v>2.0</v>
      </c>
      <c r="C46" s="46" t="s">
        <v>67</v>
      </c>
      <c r="D46" s="8"/>
      <c r="E46" s="11">
        <v>144.0</v>
      </c>
      <c r="F46" s="11">
        <v>136.0</v>
      </c>
      <c r="G46" s="11">
        <v>107.0</v>
      </c>
      <c r="H46" s="11">
        <v>171.0</v>
      </c>
      <c r="I46" s="11">
        <v>148.0</v>
      </c>
      <c r="J46" s="11">
        <v>158.0</v>
      </c>
      <c r="K46" s="11">
        <v>121.0</v>
      </c>
      <c r="L46" s="11">
        <v>163.0</v>
      </c>
      <c r="M46" s="11">
        <v>129.0</v>
      </c>
      <c r="N46" s="11">
        <v>119.0</v>
      </c>
      <c r="O46" s="11">
        <v>118.0</v>
      </c>
      <c r="P46" s="11">
        <v>142.0</v>
      </c>
      <c r="Q46" s="11">
        <v>156.0</v>
      </c>
      <c r="R46" s="11">
        <v>149.0</v>
      </c>
      <c r="S46" s="11">
        <v>137.0</v>
      </c>
      <c r="T46" s="11">
        <v>82.0</v>
      </c>
      <c r="U46" s="11">
        <v>150.0</v>
      </c>
      <c r="V46" s="11">
        <v>118.0</v>
      </c>
      <c r="W46" s="11">
        <v>155.0</v>
      </c>
      <c r="X46" s="11">
        <v>139.0</v>
      </c>
      <c r="Y46" s="11">
        <v>149.0</v>
      </c>
      <c r="Z46" s="5">
        <f t="shared" si="14"/>
        <v>2891</v>
      </c>
    </row>
    <row r="47" ht="12.75" customHeight="1">
      <c r="A47" s="42"/>
      <c r="B47" s="45">
        <v>3.0</v>
      </c>
      <c r="C47" s="46" t="s">
        <v>68</v>
      </c>
      <c r="D47" s="8"/>
      <c r="E47" s="11">
        <v>35.0</v>
      </c>
      <c r="F47" s="11">
        <v>38.0</v>
      </c>
      <c r="G47" s="11">
        <v>32.0</v>
      </c>
      <c r="H47" s="11">
        <v>39.0</v>
      </c>
      <c r="I47" s="11">
        <v>18.0</v>
      </c>
      <c r="J47" s="11">
        <v>34.0</v>
      </c>
      <c r="K47" s="11">
        <v>17.0</v>
      </c>
      <c r="L47" s="11">
        <v>29.0</v>
      </c>
      <c r="M47" s="11">
        <v>41.0</v>
      </c>
      <c r="N47" s="11">
        <v>55.0</v>
      </c>
      <c r="O47" s="11">
        <v>39.0</v>
      </c>
      <c r="P47" s="11">
        <v>52.0</v>
      </c>
      <c r="Q47" s="11">
        <v>38.0</v>
      </c>
      <c r="R47" s="11">
        <v>56.0</v>
      </c>
      <c r="S47" s="11">
        <v>66.0</v>
      </c>
      <c r="T47" s="11">
        <v>49.0</v>
      </c>
      <c r="U47" s="11">
        <v>39.0</v>
      </c>
      <c r="V47" s="11">
        <v>54.0</v>
      </c>
      <c r="W47" s="11">
        <v>21.0</v>
      </c>
      <c r="X47" s="11">
        <v>50.0</v>
      </c>
      <c r="Y47" s="11">
        <v>26.0</v>
      </c>
      <c r="Z47" s="5">
        <f t="shared" si="14"/>
        <v>828</v>
      </c>
    </row>
    <row r="48" ht="12.75" customHeight="1"/>
    <row r="49" ht="12.75" customHeight="1">
      <c r="A49" s="39" t="s">
        <v>69</v>
      </c>
      <c r="B49" s="6" t="s">
        <v>70</v>
      </c>
      <c r="C49" s="7"/>
      <c r="D49" s="8"/>
      <c r="E49" s="5"/>
      <c r="F49" s="5"/>
      <c r="G49" s="5"/>
      <c r="H49" s="5"/>
      <c r="I49" s="5"/>
      <c r="J49" s="5"/>
      <c r="K49" s="5"/>
      <c r="L49" s="5"/>
      <c r="M49" s="5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5"/>
    </row>
    <row r="50" ht="12.75" customHeight="1">
      <c r="A50" s="39"/>
      <c r="B50" s="47" t="s">
        <v>71</v>
      </c>
      <c r="C50" s="48" t="s">
        <v>72</v>
      </c>
      <c r="D50" s="8"/>
      <c r="E50" s="11">
        <f t="shared" ref="E50:Y50" si="15">SUM(E45:E47)</f>
        <v>197</v>
      </c>
      <c r="F50" s="11">
        <f t="shared" si="15"/>
        <v>176</v>
      </c>
      <c r="G50" s="11">
        <f t="shared" si="15"/>
        <v>150</v>
      </c>
      <c r="H50" s="11">
        <f t="shared" si="15"/>
        <v>228</v>
      </c>
      <c r="I50" s="11">
        <f t="shared" si="15"/>
        <v>199</v>
      </c>
      <c r="J50" s="11">
        <f t="shared" si="15"/>
        <v>222</v>
      </c>
      <c r="K50" s="11">
        <f t="shared" si="15"/>
        <v>148</v>
      </c>
      <c r="L50" s="11">
        <f t="shared" si="15"/>
        <v>203</v>
      </c>
      <c r="M50" s="11">
        <f t="shared" si="15"/>
        <v>197</v>
      </c>
      <c r="N50" s="11">
        <f t="shared" si="15"/>
        <v>194</v>
      </c>
      <c r="O50" s="11">
        <f t="shared" si="15"/>
        <v>208</v>
      </c>
      <c r="P50" s="11">
        <f t="shared" si="15"/>
        <v>226</v>
      </c>
      <c r="Q50" s="11">
        <f t="shared" si="15"/>
        <v>207</v>
      </c>
      <c r="R50" s="11">
        <f t="shared" si="15"/>
        <v>217</v>
      </c>
      <c r="S50" s="11">
        <f t="shared" si="15"/>
        <v>219</v>
      </c>
      <c r="T50" s="11">
        <f t="shared" si="15"/>
        <v>139</v>
      </c>
      <c r="U50" s="11">
        <f t="shared" si="15"/>
        <v>203</v>
      </c>
      <c r="V50" s="11">
        <f t="shared" si="15"/>
        <v>190</v>
      </c>
      <c r="W50" s="11">
        <f t="shared" si="15"/>
        <v>194</v>
      </c>
      <c r="X50" s="11">
        <f t="shared" si="15"/>
        <v>203</v>
      </c>
      <c r="Y50" s="11">
        <f t="shared" si="15"/>
        <v>202</v>
      </c>
      <c r="Z50" s="5">
        <f t="shared" ref="Z50:Z52" si="16">SUM(E50:Y50)</f>
        <v>4122</v>
      </c>
    </row>
    <row r="51" ht="12.75" customHeight="1">
      <c r="A51" s="32"/>
      <c r="B51" s="47" t="s">
        <v>73</v>
      </c>
      <c r="C51" s="48" t="s">
        <v>74</v>
      </c>
      <c r="D51" s="8"/>
      <c r="E51" s="11">
        <v>3.0</v>
      </c>
      <c r="F51" s="11">
        <v>6.0</v>
      </c>
      <c r="G51" s="11">
        <v>8.0</v>
      </c>
      <c r="H51" s="11">
        <v>3.0</v>
      </c>
      <c r="I51" s="11">
        <v>3.0</v>
      </c>
      <c r="J51" s="11">
        <v>9.0</v>
      </c>
      <c r="K51" s="11">
        <v>2.0</v>
      </c>
      <c r="L51" s="11">
        <v>3.0</v>
      </c>
      <c r="M51" s="11">
        <v>3.0</v>
      </c>
      <c r="N51" s="11">
        <v>1.0</v>
      </c>
      <c r="O51" s="11">
        <v>2.0</v>
      </c>
      <c r="P51" s="11">
        <v>2.0</v>
      </c>
      <c r="Q51" s="11">
        <v>2.0</v>
      </c>
      <c r="R51" s="11">
        <v>4.0</v>
      </c>
      <c r="S51" s="11">
        <v>6.0</v>
      </c>
      <c r="T51" s="11">
        <v>1.0</v>
      </c>
      <c r="U51" s="11">
        <v>0.0</v>
      </c>
      <c r="V51" s="11">
        <v>7.0</v>
      </c>
      <c r="W51" s="11">
        <v>3.0</v>
      </c>
      <c r="X51" s="11">
        <v>2.0</v>
      </c>
      <c r="Y51" s="11">
        <v>2.0</v>
      </c>
      <c r="Z51" s="5">
        <f t="shared" si="16"/>
        <v>72</v>
      </c>
    </row>
    <row r="52" ht="12.75" customHeight="1">
      <c r="A52" s="35"/>
      <c r="B52" s="47" t="s">
        <v>75</v>
      </c>
      <c r="C52" s="48" t="s">
        <v>76</v>
      </c>
      <c r="D52" s="8"/>
      <c r="E52" s="5">
        <f t="shared" ref="E52:Y52" si="17">SUM(E50:E51)</f>
        <v>200</v>
      </c>
      <c r="F52" s="5">
        <f t="shared" si="17"/>
        <v>182</v>
      </c>
      <c r="G52" s="5">
        <f t="shared" si="17"/>
        <v>158</v>
      </c>
      <c r="H52" s="5">
        <f t="shared" si="17"/>
        <v>231</v>
      </c>
      <c r="I52" s="5">
        <f t="shared" si="17"/>
        <v>202</v>
      </c>
      <c r="J52" s="5">
        <f t="shared" si="17"/>
        <v>231</v>
      </c>
      <c r="K52" s="5">
        <f t="shared" si="17"/>
        <v>150</v>
      </c>
      <c r="L52" s="5">
        <f t="shared" si="17"/>
        <v>206</v>
      </c>
      <c r="M52" s="5">
        <f t="shared" si="17"/>
        <v>200</v>
      </c>
      <c r="N52" s="5">
        <f t="shared" si="17"/>
        <v>195</v>
      </c>
      <c r="O52" s="5">
        <f t="shared" si="17"/>
        <v>210</v>
      </c>
      <c r="P52" s="5">
        <f t="shared" si="17"/>
        <v>228</v>
      </c>
      <c r="Q52" s="5">
        <f t="shared" si="17"/>
        <v>209</v>
      </c>
      <c r="R52" s="5">
        <f t="shared" si="17"/>
        <v>221</v>
      </c>
      <c r="S52" s="5">
        <f t="shared" si="17"/>
        <v>225</v>
      </c>
      <c r="T52" s="5">
        <f t="shared" si="17"/>
        <v>140</v>
      </c>
      <c r="U52" s="5">
        <f t="shared" si="17"/>
        <v>203</v>
      </c>
      <c r="V52" s="5">
        <f t="shared" si="17"/>
        <v>197</v>
      </c>
      <c r="W52" s="5">
        <f t="shared" si="17"/>
        <v>197</v>
      </c>
      <c r="X52" s="5">
        <f t="shared" si="17"/>
        <v>205</v>
      </c>
      <c r="Y52" s="5">
        <f t="shared" si="17"/>
        <v>204</v>
      </c>
      <c r="Z52" s="5">
        <f t="shared" si="16"/>
        <v>4194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Y12"/>
    <mergeCell ref="Z12:Z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34:T34">
    <cfRule type="expression" dxfId="0" priority="1">
      <formula>E34&lt;&gt;#REF!</formula>
    </cfRule>
  </conditionalFormatting>
  <conditionalFormatting sqref="E14:Y15 E45:Y47">
    <cfRule type="containsBlanks" dxfId="1" priority="2">
      <formula>LEN(TRIM(E14))=0</formula>
    </cfRule>
  </conditionalFormatting>
  <conditionalFormatting sqref="E19:Y20">
    <cfRule type="containsBlanks" dxfId="1" priority="3">
      <formula>LEN(TRIM(E19))=0</formula>
    </cfRule>
  </conditionalFormatting>
  <conditionalFormatting sqref="E22:Y23 E25:Y26 E33:Y33 E35:Y35 E39:Y40">
    <cfRule type="containsBlanks" dxfId="1" priority="4">
      <formula>LEN(TRIM(E22))=0</formula>
    </cfRule>
  </conditionalFormatting>
  <conditionalFormatting sqref="E30:Y30">
    <cfRule type="expression" dxfId="0" priority="5">
      <formula>E30&lt;&gt;E46</formula>
    </cfRule>
  </conditionalFormatting>
  <conditionalFormatting sqref="E30:Y30">
    <cfRule type="expression" dxfId="0" priority="6">
      <formula>E30&lt;&gt;E34</formula>
    </cfRule>
  </conditionalFormatting>
  <conditionalFormatting sqref="E34:Y34">
    <cfRule type="expression" dxfId="2" priority="7">
      <formula>E30&lt;&gt;E34</formula>
    </cfRule>
  </conditionalFormatting>
  <conditionalFormatting sqref="E34:Y34">
    <cfRule type="expression" dxfId="3" priority="8">
      <formula>E30=E34</formula>
    </cfRule>
  </conditionalFormatting>
  <conditionalFormatting sqref="E34:Y34">
    <cfRule type="expression" dxfId="0" priority="9">
      <formula>E34&lt;&gt;E30</formula>
    </cfRule>
  </conditionalFormatting>
  <conditionalFormatting sqref="E50:Y51">
    <cfRule type="containsBlanks" dxfId="1" priority="10">
      <formula>LEN(TRIM(E50))=0</formula>
    </cfRule>
  </conditionalFormatting>
  <conditionalFormatting sqref="U34:Y34">
    <cfRule type="expression" dxfId="0" priority="11">
      <formula>U34&lt;&gt;U46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1" width="8.71"/>
    <col customWidth="1" min="32" max="32" width="13.29"/>
  </cols>
  <sheetData>
    <row r="1" ht="12.75" customHeight="1"/>
    <row r="2" ht="12.75" customHeight="1">
      <c r="C2" s="1" t="s">
        <v>0</v>
      </c>
      <c r="D2" s="1" t="s">
        <v>1</v>
      </c>
    </row>
    <row r="3" ht="12.75" customHeight="1">
      <c r="C3" s="1" t="s">
        <v>2</v>
      </c>
      <c r="D3" s="1" t="s">
        <v>3</v>
      </c>
    </row>
    <row r="4" ht="12.75" customHeight="1">
      <c r="C4" s="1" t="s">
        <v>4</v>
      </c>
      <c r="D4" s="1" t="s">
        <v>5</v>
      </c>
    </row>
    <row r="5" ht="12.75" customHeight="1">
      <c r="C5" s="1"/>
      <c r="D5" s="1"/>
    </row>
    <row r="6" ht="12.75" customHeight="1">
      <c r="C6" s="1"/>
      <c r="D6" s="1"/>
    </row>
    <row r="7" ht="12.75" customHeight="1">
      <c r="C7" s="1"/>
      <c r="D7" s="1"/>
    </row>
    <row r="8" ht="12.75" customHeight="1">
      <c r="C8" s="1"/>
      <c r="D8" s="1"/>
    </row>
    <row r="9" ht="12.75" customHeight="1">
      <c r="C9" s="1" t="s">
        <v>6</v>
      </c>
      <c r="D9" s="1" t="s">
        <v>80</v>
      </c>
    </row>
    <row r="10" ht="12.75" customHeight="1"/>
    <row r="11" ht="12.75" customHeight="1">
      <c r="A11" s="2"/>
      <c r="B11" s="3"/>
      <c r="C11" s="3"/>
      <c r="D11" s="3"/>
      <c r="E11" s="2"/>
      <c r="F11" s="2"/>
      <c r="G11" s="2"/>
      <c r="H11" s="2"/>
      <c r="I11" s="2"/>
      <c r="J11" s="2"/>
      <c r="K11" s="2"/>
      <c r="L11" s="2"/>
      <c r="M11" s="2"/>
      <c r="N11" s="4"/>
    </row>
    <row r="12" ht="12.75" customHeight="1">
      <c r="A12" s="5" t="s">
        <v>7</v>
      </c>
      <c r="B12" s="6" t="s">
        <v>8</v>
      </c>
      <c r="C12" s="7"/>
      <c r="D12" s="8"/>
      <c r="E12" s="9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10" t="s">
        <v>9</v>
      </c>
    </row>
    <row r="13" ht="12.75" customHeight="1">
      <c r="A13" s="11" t="s">
        <v>10</v>
      </c>
      <c r="B13" s="12" t="s">
        <v>11</v>
      </c>
      <c r="C13" s="7"/>
      <c r="D13" s="8"/>
      <c r="E13" s="5" t="s">
        <v>12</v>
      </c>
      <c r="F13" s="5" t="s">
        <v>13</v>
      </c>
      <c r="G13" s="5" t="s">
        <v>14</v>
      </c>
      <c r="H13" s="5" t="s">
        <v>15</v>
      </c>
      <c r="I13" s="5" t="s">
        <v>16</v>
      </c>
      <c r="J13" s="5" t="s">
        <v>17</v>
      </c>
      <c r="K13" s="5" t="s">
        <v>18</v>
      </c>
      <c r="L13" s="5" t="s">
        <v>19</v>
      </c>
      <c r="M13" s="5" t="s">
        <v>20</v>
      </c>
      <c r="N13" s="5" t="s">
        <v>21</v>
      </c>
      <c r="O13" s="5" t="s">
        <v>22</v>
      </c>
      <c r="P13" s="5" t="s">
        <v>23</v>
      </c>
      <c r="Q13" s="5" t="s">
        <v>24</v>
      </c>
      <c r="R13" s="5" t="s">
        <v>25</v>
      </c>
      <c r="S13" s="5" t="s">
        <v>26</v>
      </c>
      <c r="T13" s="5" t="s">
        <v>27</v>
      </c>
      <c r="U13" s="5" t="s">
        <v>28</v>
      </c>
      <c r="V13" s="5" t="s">
        <v>29</v>
      </c>
      <c r="W13" s="5" t="s">
        <v>30</v>
      </c>
      <c r="X13" s="5" t="s">
        <v>31</v>
      </c>
      <c r="Y13" s="5" t="s">
        <v>32</v>
      </c>
      <c r="Z13" s="5" t="s">
        <v>33</v>
      </c>
      <c r="AA13" s="5" t="s">
        <v>34</v>
      </c>
      <c r="AB13" s="5" t="s">
        <v>35</v>
      </c>
      <c r="AC13" s="5" t="s">
        <v>36</v>
      </c>
      <c r="AD13" s="5" t="s">
        <v>37</v>
      </c>
      <c r="AE13" s="5" t="s">
        <v>38</v>
      </c>
      <c r="AF13" s="14"/>
    </row>
    <row r="14" ht="12.75" customHeight="1">
      <c r="A14" s="15"/>
      <c r="B14" s="16" t="s">
        <v>40</v>
      </c>
      <c r="C14" s="17"/>
      <c r="D14" s="11" t="s">
        <v>41</v>
      </c>
      <c r="E14" s="11">
        <v>136.0</v>
      </c>
      <c r="F14" s="11">
        <v>113.0</v>
      </c>
      <c r="G14" s="11">
        <v>121.0</v>
      </c>
      <c r="H14" s="11">
        <v>116.0</v>
      </c>
      <c r="I14" s="11">
        <v>108.0</v>
      </c>
      <c r="J14" s="11">
        <v>125.0</v>
      </c>
      <c r="K14" s="11">
        <v>119.0</v>
      </c>
      <c r="L14" s="11">
        <v>137.0</v>
      </c>
      <c r="M14" s="11">
        <v>143.0</v>
      </c>
      <c r="N14" s="11">
        <v>128.0</v>
      </c>
      <c r="O14" s="11">
        <v>118.0</v>
      </c>
      <c r="P14" s="11">
        <v>149.0</v>
      </c>
      <c r="Q14" s="11">
        <v>142.0</v>
      </c>
      <c r="R14" s="11">
        <v>139.0</v>
      </c>
      <c r="S14" s="11">
        <v>143.0</v>
      </c>
      <c r="T14" s="11">
        <v>141.0</v>
      </c>
      <c r="U14" s="11">
        <v>137.0</v>
      </c>
      <c r="V14" s="11">
        <v>152.0</v>
      </c>
      <c r="W14" s="11">
        <v>119.0</v>
      </c>
      <c r="X14" s="11">
        <v>135.0</v>
      </c>
      <c r="Y14" s="11">
        <v>141.0</v>
      </c>
      <c r="Z14" s="11">
        <v>138.0</v>
      </c>
      <c r="AA14" s="11">
        <v>111.0</v>
      </c>
      <c r="AB14" s="11">
        <v>135.0</v>
      </c>
      <c r="AC14" s="11">
        <v>148.0</v>
      </c>
      <c r="AD14" s="11">
        <v>81.0</v>
      </c>
      <c r="AE14" s="11">
        <v>93.0</v>
      </c>
      <c r="AF14" s="5"/>
    </row>
    <row r="15" ht="12.75" customHeight="1">
      <c r="A15" s="15"/>
      <c r="B15" s="18"/>
      <c r="C15" s="19"/>
      <c r="D15" s="11" t="s">
        <v>42</v>
      </c>
      <c r="E15" s="11">
        <v>138.0</v>
      </c>
      <c r="F15" s="11">
        <v>115.0</v>
      </c>
      <c r="G15" s="11">
        <v>132.0</v>
      </c>
      <c r="H15" s="11">
        <v>119.0</v>
      </c>
      <c r="I15" s="11">
        <v>112.0</v>
      </c>
      <c r="J15" s="11">
        <v>123.0</v>
      </c>
      <c r="K15" s="11">
        <v>118.0</v>
      </c>
      <c r="L15" s="11">
        <v>136.0</v>
      </c>
      <c r="M15" s="11">
        <v>141.0</v>
      </c>
      <c r="N15" s="11">
        <v>136.0</v>
      </c>
      <c r="O15" s="11">
        <v>104.0</v>
      </c>
      <c r="P15" s="11">
        <v>147.0</v>
      </c>
      <c r="Q15" s="11">
        <v>149.0</v>
      </c>
      <c r="R15" s="11">
        <v>155.0</v>
      </c>
      <c r="S15" s="11">
        <v>147.0</v>
      </c>
      <c r="T15" s="11">
        <v>125.0</v>
      </c>
      <c r="U15" s="11">
        <v>148.0</v>
      </c>
      <c r="V15" s="11">
        <v>145.0</v>
      </c>
      <c r="W15" s="11">
        <v>117.0</v>
      </c>
      <c r="X15" s="11">
        <v>157.0</v>
      </c>
      <c r="Y15" s="11">
        <v>150.0</v>
      </c>
      <c r="Z15" s="11">
        <v>143.0</v>
      </c>
      <c r="AA15" s="11">
        <v>117.0</v>
      </c>
      <c r="AB15" s="11">
        <v>127.0</v>
      </c>
      <c r="AC15" s="11">
        <v>141.0</v>
      </c>
      <c r="AD15" s="11">
        <v>81.0</v>
      </c>
      <c r="AE15" s="11">
        <v>76.0</v>
      </c>
      <c r="AF15" s="5">
        <f t="shared" ref="AF15:AF16" si="2">SUM(E15:AE15)</f>
        <v>3499</v>
      </c>
    </row>
    <row r="16" ht="12.75" customHeight="1">
      <c r="A16" s="21"/>
      <c r="B16" s="22"/>
      <c r="C16" s="23"/>
      <c r="D16" s="5" t="s">
        <v>43</v>
      </c>
      <c r="E16" s="5">
        <f t="shared" ref="E16:AE16" si="1">SUM(E14:E15)</f>
        <v>274</v>
      </c>
      <c r="F16" s="5">
        <f t="shared" si="1"/>
        <v>228</v>
      </c>
      <c r="G16" s="5">
        <f t="shared" si="1"/>
        <v>253</v>
      </c>
      <c r="H16" s="5">
        <f t="shared" si="1"/>
        <v>235</v>
      </c>
      <c r="I16" s="5">
        <f t="shared" si="1"/>
        <v>220</v>
      </c>
      <c r="J16" s="5">
        <f t="shared" si="1"/>
        <v>248</v>
      </c>
      <c r="K16" s="5">
        <f t="shared" si="1"/>
        <v>237</v>
      </c>
      <c r="L16" s="5">
        <f t="shared" si="1"/>
        <v>273</v>
      </c>
      <c r="M16" s="5">
        <f t="shared" si="1"/>
        <v>284</v>
      </c>
      <c r="N16" s="5">
        <f t="shared" si="1"/>
        <v>264</v>
      </c>
      <c r="O16" s="5">
        <f t="shared" si="1"/>
        <v>222</v>
      </c>
      <c r="P16" s="5">
        <f t="shared" si="1"/>
        <v>296</v>
      </c>
      <c r="Q16" s="5">
        <f t="shared" si="1"/>
        <v>291</v>
      </c>
      <c r="R16" s="5">
        <f t="shared" si="1"/>
        <v>294</v>
      </c>
      <c r="S16" s="5">
        <f t="shared" si="1"/>
        <v>290</v>
      </c>
      <c r="T16" s="5">
        <f t="shared" si="1"/>
        <v>266</v>
      </c>
      <c r="U16" s="5">
        <f t="shared" si="1"/>
        <v>285</v>
      </c>
      <c r="V16" s="5">
        <f t="shared" si="1"/>
        <v>297</v>
      </c>
      <c r="W16" s="5">
        <f t="shared" si="1"/>
        <v>236</v>
      </c>
      <c r="X16" s="5">
        <f t="shared" si="1"/>
        <v>292</v>
      </c>
      <c r="Y16" s="5">
        <f t="shared" si="1"/>
        <v>291</v>
      </c>
      <c r="Z16" s="5">
        <f t="shared" si="1"/>
        <v>281</v>
      </c>
      <c r="AA16" s="5">
        <f t="shared" si="1"/>
        <v>228</v>
      </c>
      <c r="AB16" s="5">
        <f t="shared" si="1"/>
        <v>262</v>
      </c>
      <c r="AC16" s="5">
        <f t="shared" si="1"/>
        <v>289</v>
      </c>
      <c r="AD16" s="5">
        <f t="shared" si="1"/>
        <v>162</v>
      </c>
      <c r="AE16" s="5">
        <f t="shared" si="1"/>
        <v>169</v>
      </c>
      <c r="AF16" s="5">
        <f t="shared" si="2"/>
        <v>6967</v>
      </c>
    </row>
    <row r="17" ht="12.75" customHeight="1">
      <c r="A17" s="24"/>
      <c r="B17" s="7"/>
      <c r="C17" s="7"/>
      <c r="D17" s="8"/>
      <c r="E17" s="11"/>
      <c r="F17" s="11"/>
      <c r="G17" s="11"/>
      <c r="H17" s="11"/>
      <c r="I17" s="11"/>
      <c r="J17" s="11"/>
      <c r="K17" s="11"/>
      <c r="L17" s="11"/>
      <c r="M17" s="11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6"/>
    </row>
    <row r="18" ht="12.75" customHeight="1">
      <c r="A18" s="27" t="s">
        <v>44</v>
      </c>
      <c r="B18" s="12" t="s">
        <v>45</v>
      </c>
      <c r="C18" s="7"/>
      <c r="D18" s="8"/>
      <c r="E18" s="11"/>
      <c r="F18" s="11"/>
      <c r="G18" s="11"/>
      <c r="H18" s="11"/>
      <c r="I18" s="11"/>
      <c r="J18" s="11"/>
      <c r="K18" s="11"/>
      <c r="L18" s="11"/>
      <c r="M18" s="11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6"/>
    </row>
    <row r="19" ht="12.75" customHeight="1">
      <c r="A19" s="27"/>
      <c r="B19" s="28" t="s">
        <v>46</v>
      </c>
      <c r="C19" s="29" t="s">
        <v>47</v>
      </c>
      <c r="D19" s="11" t="s">
        <v>41</v>
      </c>
      <c r="E19" s="11">
        <v>107.0</v>
      </c>
      <c r="F19" s="11">
        <v>101.0</v>
      </c>
      <c r="G19" s="11">
        <v>89.0</v>
      </c>
      <c r="H19" s="11">
        <v>85.0</v>
      </c>
      <c r="I19" s="11">
        <v>87.0</v>
      </c>
      <c r="J19" s="11">
        <v>100.0</v>
      </c>
      <c r="K19" s="11">
        <v>94.0</v>
      </c>
      <c r="L19" s="11">
        <v>101.0</v>
      </c>
      <c r="M19" s="11">
        <v>115.0</v>
      </c>
      <c r="N19" s="11">
        <v>101.0</v>
      </c>
      <c r="O19" s="11">
        <v>96.0</v>
      </c>
      <c r="P19" s="11">
        <v>119.0</v>
      </c>
      <c r="Q19" s="11">
        <v>105.0</v>
      </c>
      <c r="R19" s="11">
        <v>111.0</v>
      </c>
      <c r="S19" s="11">
        <v>113.0</v>
      </c>
      <c r="T19" s="11">
        <v>104.0</v>
      </c>
      <c r="U19" s="11">
        <v>101.0</v>
      </c>
      <c r="V19" s="11">
        <v>109.0</v>
      </c>
      <c r="W19" s="11">
        <v>96.0</v>
      </c>
      <c r="X19" s="11">
        <v>105.0</v>
      </c>
      <c r="Y19" s="11">
        <v>104.0</v>
      </c>
      <c r="Z19" s="11">
        <v>106.0</v>
      </c>
      <c r="AA19" s="11">
        <v>85.0</v>
      </c>
      <c r="AB19" s="11">
        <v>106.0</v>
      </c>
      <c r="AC19" s="11">
        <v>118.0</v>
      </c>
      <c r="AD19" s="11">
        <v>71.0</v>
      </c>
      <c r="AE19" s="11">
        <v>68.0</v>
      </c>
      <c r="AF19" s="5">
        <f t="shared" ref="AF19:AF30" si="3">SUM(E19:AE19)</f>
        <v>2697</v>
      </c>
    </row>
    <row r="20" ht="12.75" customHeight="1">
      <c r="A20" s="30"/>
      <c r="B20" s="19"/>
      <c r="C20" s="31"/>
      <c r="D20" s="11" t="s">
        <v>42</v>
      </c>
      <c r="E20" s="11">
        <v>109.0</v>
      </c>
      <c r="F20" s="11">
        <v>93.0</v>
      </c>
      <c r="G20" s="11">
        <v>104.0</v>
      </c>
      <c r="H20" s="11">
        <v>96.0</v>
      </c>
      <c r="I20" s="11">
        <v>91.0</v>
      </c>
      <c r="J20" s="11">
        <v>100.0</v>
      </c>
      <c r="K20" s="11">
        <v>81.0</v>
      </c>
      <c r="L20" s="11">
        <v>105.0</v>
      </c>
      <c r="M20" s="11">
        <v>111.0</v>
      </c>
      <c r="N20" s="11">
        <v>101.0</v>
      </c>
      <c r="O20" s="11">
        <v>88.0</v>
      </c>
      <c r="P20" s="11">
        <v>120.0</v>
      </c>
      <c r="Q20" s="11">
        <v>121.0</v>
      </c>
      <c r="R20" s="11">
        <v>136.0</v>
      </c>
      <c r="S20" s="11">
        <v>120.0</v>
      </c>
      <c r="T20" s="11">
        <v>94.0</v>
      </c>
      <c r="U20" s="11">
        <v>115.0</v>
      </c>
      <c r="V20" s="11">
        <v>112.0</v>
      </c>
      <c r="W20" s="11">
        <v>96.0</v>
      </c>
      <c r="X20" s="11">
        <v>114.0</v>
      </c>
      <c r="Y20" s="11">
        <v>119.0</v>
      </c>
      <c r="Z20" s="11">
        <v>117.0</v>
      </c>
      <c r="AA20" s="11">
        <v>100.0</v>
      </c>
      <c r="AB20" s="11">
        <v>105.0</v>
      </c>
      <c r="AC20" s="11">
        <v>108.0</v>
      </c>
      <c r="AD20" s="11">
        <v>67.0</v>
      </c>
      <c r="AE20" s="11">
        <v>65.0</v>
      </c>
      <c r="AF20" s="5">
        <f t="shared" si="3"/>
        <v>2788</v>
      </c>
    </row>
    <row r="21" ht="12.75" customHeight="1">
      <c r="A21" s="32"/>
      <c r="B21" s="23"/>
      <c r="C21" s="14"/>
      <c r="D21" s="5" t="s">
        <v>43</v>
      </c>
      <c r="E21" s="5">
        <f t="shared" ref="E21:AE21" si="4">SUM(E19:E20)</f>
        <v>216</v>
      </c>
      <c r="F21" s="5">
        <f t="shared" si="4"/>
        <v>194</v>
      </c>
      <c r="G21" s="5">
        <f t="shared" si="4"/>
        <v>193</v>
      </c>
      <c r="H21" s="5">
        <f t="shared" si="4"/>
        <v>181</v>
      </c>
      <c r="I21" s="5">
        <f t="shared" si="4"/>
        <v>178</v>
      </c>
      <c r="J21" s="5">
        <f t="shared" si="4"/>
        <v>200</v>
      </c>
      <c r="K21" s="5">
        <f t="shared" si="4"/>
        <v>175</v>
      </c>
      <c r="L21" s="5">
        <f t="shared" si="4"/>
        <v>206</v>
      </c>
      <c r="M21" s="5">
        <f t="shared" si="4"/>
        <v>226</v>
      </c>
      <c r="N21" s="5">
        <f t="shared" si="4"/>
        <v>202</v>
      </c>
      <c r="O21" s="5">
        <f t="shared" si="4"/>
        <v>184</v>
      </c>
      <c r="P21" s="5">
        <f t="shared" si="4"/>
        <v>239</v>
      </c>
      <c r="Q21" s="5">
        <f t="shared" si="4"/>
        <v>226</v>
      </c>
      <c r="R21" s="5">
        <f t="shared" si="4"/>
        <v>247</v>
      </c>
      <c r="S21" s="5">
        <f t="shared" si="4"/>
        <v>233</v>
      </c>
      <c r="T21" s="5">
        <f t="shared" si="4"/>
        <v>198</v>
      </c>
      <c r="U21" s="5">
        <f t="shared" si="4"/>
        <v>216</v>
      </c>
      <c r="V21" s="5">
        <f t="shared" si="4"/>
        <v>221</v>
      </c>
      <c r="W21" s="5">
        <f t="shared" si="4"/>
        <v>192</v>
      </c>
      <c r="X21" s="5">
        <f t="shared" si="4"/>
        <v>219</v>
      </c>
      <c r="Y21" s="5">
        <f t="shared" si="4"/>
        <v>223</v>
      </c>
      <c r="Z21" s="5">
        <f t="shared" si="4"/>
        <v>223</v>
      </c>
      <c r="AA21" s="5">
        <f t="shared" si="4"/>
        <v>185</v>
      </c>
      <c r="AB21" s="5">
        <f t="shared" si="4"/>
        <v>211</v>
      </c>
      <c r="AC21" s="5">
        <f t="shared" si="4"/>
        <v>226</v>
      </c>
      <c r="AD21" s="5">
        <f t="shared" si="4"/>
        <v>138</v>
      </c>
      <c r="AE21" s="5">
        <f t="shared" si="4"/>
        <v>133</v>
      </c>
      <c r="AF21" s="5">
        <f t="shared" si="3"/>
        <v>5485</v>
      </c>
    </row>
    <row r="22" ht="12.75" customHeight="1">
      <c r="A22" s="30"/>
      <c r="B22" s="28" t="s">
        <v>48</v>
      </c>
      <c r="C22" s="29" t="s">
        <v>49</v>
      </c>
      <c r="D22" s="11" t="s">
        <v>41</v>
      </c>
      <c r="E22" s="11">
        <v>0.0</v>
      </c>
      <c r="F22" s="11">
        <v>0.0</v>
      </c>
      <c r="G22" s="11">
        <v>0.0</v>
      </c>
      <c r="H22" s="11">
        <v>0.0</v>
      </c>
      <c r="I22" s="11">
        <v>0.0</v>
      </c>
      <c r="J22" s="11">
        <v>0.0</v>
      </c>
      <c r="K22" s="11">
        <v>0.0</v>
      </c>
      <c r="L22" s="11">
        <v>0.0</v>
      </c>
      <c r="M22" s="11">
        <v>0.0</v>
      </c>
      <c r="N22" s="11">
        <v>0.0</v>
      </c>
      <c r="O22" s="11">
        <v>0.0</v>
      </c>
      <c r="P22" s="11">
        <v>0.0</v>
      </c>
      <c r="Q22" s="11">
        <v>0.0</v>
      </c>
      <c r="R22" s="11">
        <v>0.0</v>
      </c>
      <c r="S22" s="11">
        <v>0.0</v>
      </c>
      <c r="T22" s="11">
        <v>0.0</v>
      </c>
      <c r="U22" s="11">
        <v>0.0</v>
      </c>
      <c r="V22" s="11">
        <v>0.0</v>
      </c>
      <c r="W22" s="11">
        <v>0.0</v>
      </c>
      <c r="X22" s="11">
        <v>0.0</v>
      </c>
      <c r="Y22" s="11">
        <v>0.0</v>
      </c>
      <c r="Z22" s="11">
        <v>0.0</v>
      </c>
      <c r="AA22" s="11">
        <v>0.0</v>
      </c>
      <c r="AB22" s="11">
        <v>0.0</v>
      </c>
      <c r="AC22" s="11">
        <v>0.0</v>
      </c>
      <c r="AD22" s="11">
        <v>1.0</v>
      </c>
      <c r="AE22" s="11">
        <v>0.0</v>
      </c>
      <c r="AF22" s="5">
        <f t="shared" si="3"/>
        <v>1</v>
      </c>
    </row>
    <row r="23" ht="12.75" customHeight="1">
      <c r="A23" s="30"/>
      <c r="B23" s="19"/>
      <c r="C23" s="31"/>
      <c r="D23" s="11" t="s">
        <v>42</v>
      </c>
      <c r="E23" s="11">
        <v>0.0</v>
      </c>
      <c r="F23" s="11">
        <v>0.0</v>
      </c>
      <c r="G23" s="11">
        <v>0.0</v>
      </c>
      <c r="H23" s="11">
        <v>0.0</v>
      </c>
      <c r="I23" s="11">
        <v>0.0</v>
      </c>
      <c r="J23" s="11">
        <v>0.0</v>
      </c>
      <c r="K23" s="11">
        <v>0.0</v>
      </c>
      <c r="L23" s="11">
        <v>0.0</v>
      </c>
      <c r="M23" s="11">
        <v>0.0</v>
      </c>
      <c r="N23" s="11">
        <v>0.0</v>
      </c>
      <c r="O23" s="11">
        <v>0.0</v>
      </c>
      <c r="P23" s="11">
        <v>0.0</v>
      </c>
      <c r="Q23" s="11">
        <v>0.0</v>
      </c>
      <c r="R23" s="11">
        <v>0.0</v>
      </c>
      <c r="S23" s="11">
        <v>0.0</v>
      </c>
      <c r="T23" s="11">
        <v>0.0</v>
      </c>
      <c r="U23" s="11">
        <v>0.0</v>
      </c>
      <c r="V23" s="11">
        <v>0.0</v>
      </c>
      <c r="W23" s="11">
        <v>0.0</v>
      </c>
      <c r="X23" s="11">
        <v>0.0</v>
      </c>
      <c r="Y23" s="11">
        <v>0.0</v>
      </c>
      <c r="Z23" s="11">
        <v>0.0</v>
      </c>
      <c r="AA23" s="11">
        <v>0.0</v>
      </c>
      <c r="AB23" s="11">
        <v>0.0</v>
      </c>
      <c r="AC23" s="11">
        <v>0.0</v>
      </c>
      <c r="AD23" s="11">
        <v>0.0</v>
      </c>
      <c r="AE23" s="11">
        <v>0.0</v>
      </c>
      <c r="AF23" s="5">
        <f t="shared" si="3"/>
        <v>0</v>
      </c>
    </row>
    <row r="24" ht="12.75" customHeight="1">
      <c r="A24" s="32"/>
      <c r="B24" s="23"/>
      <c r="C24" s="14"/>
      <c r="D24" s="5" t="s">
        <v>43</v>
      </c>
      <c r="E24" s="5">
        <f t="shared" ref="E24:AE24" si="5">SUM(E22:E23)</f>
        <v>0</v>
      </c>
      <c r="F24" s="5">
        <f t="shared" si="5"/>
        <v>0</v>
      </c>
      <c r="G24" s="5">
        <f t="shared" si="5"/>
        <v>0</v>
      </c>
      <c r="H24" s="5">
        <f t="shared" si="5"/>
        <v>0</v>
      </c>
      <c r="I24" s="5">
        <f t="shared" si="5"/>
        <v>0</v>
      </c>
      <c r="J24" s="5">
        <f t="shared" si="5"/>
        <v>0</v>
      </c>
      <c r="K24" s="5">
        <f t="shared" si="5"/>
        <v>0</v>
      </c>
      <c r="L24" s="5">
        <f t="shared" si="5"/>
        <v>0</v>
      </c>
      <c r="M24" s="5">
        <f t="shared" si="5"/>
        <v>0</v>
      </c>
      <c r="N24" s="5">
        <f t="shared" si="5"/>
        <v>0</v>
      </c>
      <c r="O24" s="5">
        <f t="shared" si="5"/>
        <v>0</v>
      </c>
      <c r="P24" s="5">
        <f t="shared" si="5"/>
        <v>0</v>
      </c>
      <c r="Q24" s="5">
        <f t="shared" si="5"/>
        <v>0</v>
      </c>
      <c r="R24" s="5">
        <f t="shared" si="5"/>
        <v>0</v>
      </c>
      <c r="S24" s="5">
        <f t="shared" si="5"/>
        <v>0</v>
      </c>
      <c r="T24" s="5">
        <f t="shared" si="5"/>
        <v>0</v>
      </c>
      <c r="U24" s="5">
        <f t="shared" si="5"/>
        <v>0</v>
      </c>
      <c r="V24" s="5">
        <f t="shared" si="5"/>
        <v>0</v>
      </c>
      <c r="W24" s="5">
        <f t="shared" si="5"/>
        <v>0</v>
      </c>
      <c r="X24" s="5">
        <f t="shared" si="5"/>
        <v>0</v>
      </c>
      <c r="Y24" s="5">
        <f t="shared" si="5"/>
        <v>0</v>
      </c>
      <c r="Z24" s="5">
        <f t="shared" si="5"/>
        <v>0</v>
      </c>
      <c r="AA24" s="5">
        <f t="shared" si="5"/>
        <v>0</v>
      </c>
      <c r="AB24" s="5">
        <f t="shared" si="5"/>
        <v>0</v>
      </c>
      <c r="AC24" s="5">
        <f t="shared" si="5"/>
        <v>0</v>
      </c>
      <c r="AD24" s="5">
        <f t="shared" si="5"/>
        <v>1</v>
      </c>
      <c r="AE24" s="5">
        <f t="shared" si="5"/>
        <v>0</v>
      </c>
      <c r="AF24" s="5">
        <f t="shared" si="3"/>
        <v>1</v>
      </c>
    </row>
    <row r="25" ht="12.75" customHeight="1">
      <c r="A25" s="30"/>
      <c r="B25" s="28" t="s">
        <v>50</v>
      </c>
      <c r="C25" s="29" t="s">
        <v>51</v>
      </c>
      <c r="D25" s="11" t="s">
        <v>41</v>
      </c>
      <c r="E25" s="11">
        <v>0.0</v>
      </c>
      <c r="F25" s="11">
        <v>1.0</v>
      </c>
      <c r="G25" s="11">
        <v>1.0</v>
      </c>
      <c r="H25" s="11">
        <v>0.0</v>
      </c>
      <c r="I25" s="11">
        <v>3.0</v>
      </c>
      <c r="J25" s="11">
        <v>4.0</v>
      </c>
      <c r="K25" s="11">
        <v>1.0</v>
      </c>
      <c r="L25" s="11">
        <v>0.0</v>
      </c>
      <c r="M25" s="11">
        <v>1.0</v>
      </c>
      <c r="N25" s="11">
        <v>0.0</v>
      </c>
      <c r="O25" s="11">
        <v>2.0</v>
      </c>
      <c r="P25" s="11">
        <v>0.0</v>
      </c>
      <c r="Q25" s="11">
        <v>1.0</v>
      </c>
      <c r="R25" s="11">
        <v>3.0</v>
      </c>
      <c r="S25" s="11">
        <v>3.0</v>
      </c>
      <c r="T25" s="11">
        <v>1.0</v>
      </c>
      <c r="U25" s="11">
        <v>0.0</v>
      </c>
      <c r="V25" s="11">
        <v>0.0</v>
      </c>
      <c r="W25" s="11">
        <v>2.0</v>
      </c>
      <c r="X25" s="11">
        <v>1.0</v>
      </c>
      <c r="Y25" s="11">
        <v>0.0</v>
      </c>
      <c r="Z25" s="11">
        <v>2.0</v>
      </c>
      <c r="AA25" s="11">
        <v>4.0</v>
      </c>
      <c r="AB25" s="11">
        <v>0.0</v>
      </c>
      <c r="AC25" s="11">
        <v>3.0</v>
      </c>
      <c r="AD25" s="11">
        <v>1.0</v>
      </c>
      <c r="AE25" s="11">
        <v>3.0</v>
      </c>
      <c r="AF25" s="5">
        <f t="shared" si="3"/>
        <v>37</v>
      </c>
    </row>
    <row r="26" ht="12.75" customHeight="1">
      <c r="A26" s="30"/>
      <c r="B26" s="19"/>
      <c r="C26" s="31"/>
      <c r="D26" s="11" t="s">
        <v>42</v>
      </c>
      <c r="E26" s="11">
        <v>0.0</v>
      </c>
      <c r="F26" s="11">
        <v>3.0</v>
      </c>
      <c r="G26" s="11">
        <v>2.0</v>
      </c>
      <c r="H26" s="11">
        <v>4.0</v>
      </c>
      <c r="I26" s="11">
        <v>3.0</v>
      </c>
      <c r="J26" s="11">
        <v>2.0</v>
      </c>
      <c r="K26" s="11">
        <v>2.0</v>
      </c>
      <c r="L26" s="11">
        <v>2.0</v>
      </c>
      <c r="M26" s="11">
        <v>3.0</v>
      </c>
      <c r="N26" s="11">
        <v>1.0</v>
      </c>
      <c r="O26" s="11">
        <v>0.0</v>
      </c>
      <c r="P26" s="11">
        <v>1.0</v>
      </c>
      <c r="Q26" s="11">
        <v>0.0</v>
      </c>
      <c r="R26" s="11">
        <v>2.0</v>
      </c>
      <c r="S26" s="11">
        <v>0.0</v>
      </c>
      <c r="T26" s="11">
        <v>2.0</v>
      </c>
      <c r="U26" s="11">
        <v>1.0</v>
      </c>
      <c r="V26" s="11">
        <v>0.0</v>
      </c>
      <c r="W26" s="11">
        <v>2.0</v>
      </c>
      <c r="X26" s="11">
        <v>1.0</v>
      </c>
      <c r="Y26" s="11">
        <v>0.0</v>
      </c>
      <c r="Z26" s="11">
        <v>0.0</v>
      </c>
      <c r="AA26" s="11">
        <v>0.0</v>
      </c>
      <c r="AB26" s="11">
        <v>0.0</v>
      </c>
      <c r="AC26" s="11">
        <v>2.0</v>
      </c>
      <c r="AD26" s="11">
        <v>0.0</v>
      </c>
      <c r="AE26" s="11">
        <v>4.0</v>
      </c>
      <c r="AF26" s="5">
        <f t="shared" si="3"/>
        <v>37</v>
      </c>
    </row>
    <row r="27" ht="12.75" customHeight="1">
      <c r="A27" s="32"/>
      <c r="B27" s="23"/>
      <c r="C27" s="14"/>
      <c r="D27" s="5" t="s">
        <v>43</v>
      </c>
      <c r="E27" s="5">
        <f t="shared" ref="E27:AE27" si="6">SUM(E25:E26)</f>
        <v>0</v>
      </c>
      <c r="F27" s="5">
        <f t="shared" si="6"/>
        <v>4</v>
      </c>
      <c r="G27" s="5">
        <f t="shared" si="6"/>
        <v>3</v>
      </c>
      <c r="H27" s="5">
        <f t="shared" si="6"/>
        <v>4</v>
      </c>
      <c r="I27" s="5">
        <f t="shared" si="6"/>
        <v>6</v>
      </c>
      <c r="J27" s="5">
        <f t="shared" si="6"/>
        <v>6</v>
      </c>
      <c r="K27" s="5">
        <f t="shared" si="6"/>
        <v>3</v>
      </c>
      <c r="L27" s="5">
        <f t="shared" si="6"/>
        <v>2</v>
      </c>
      <c r="M27" s="5">
        <f t="shared" si="6"/>
        <v>4</v>
      </c>
      <c r="N27" s="5">
        <f t="shared" si="6"/>
        <v>1</v>
      </c>
      <c r="O27" s="5">
        <f t="shared" si="6"/>
        <v>2</v>
      </c>
      <c r="P27" s="5">
        <f t="shared" si="6"/>
        <v>1</v>
      </c>
      <c r="Q27" s="5">
        <f t="shared" si="6"/>
        <v>1</v>
      </c>
      <c r="R27" s="5">
        <f t="shared" si="6"/>
        <v>5</v>
      </c>
      <c r="S27" s="5">
        <f t="shared" si="6"/>
        <v>3</v>
      </c>
      <c r="T27" s="5">
        <f t="shared" si="6"/>
        <v>3</v>
      </c>
      <c r="U27" s="5">
        <f t="shared" si="6"/>
        <v>1</v>
      </c>
      <c r="V27" s="5">
        <f t="shared" si="6"/>
        <v>0</v>
      </c>
      <c r="W27" s="5">
        <f t="shared" si="6"/>
        <v>4</v>
      </c>
      <c r="X27" s="5">
        <f t="shared" si="6"/>
        <v>2</v>
      </c>
      <c r="Y27" s="5">
        <f t="shared" si="6"/>
        <v>0</v>
      </c>
      <c r="Z27" s="5">
        <f t="shared" si="6"/>
        <v>2</v>
      </c>
      <c r="AA27" s="5">
        <f t="shared" si="6"/>
        <v>4</v>
      </c>
      <c r="AB27" s="5">
        <f t="shared" si="6"/>
        <v>0</v>
      </c>
      <c r="AC27" s="5">
        <f t="shared" si="6"/>
        <v>5</v>
      </c>
      <c r="AD27" s="5">
        <f t="shared" si="6"/>
        <v>1</v>
      </c>
      <c r="AE27" s="5">
        <f t="shared" si="6"/>
        <v>7</v>
      </c>
      <c r="AF27" s="5">
        <f t="shared" si="3"/>
        <v>74</v>
      </c>
    </row>
    <row r="28" ht="12.75" customHeight="1">
      <c r="A28" s="32"/>
      <c r="B28" s="33" t="s">
        <v>52</v>
      </c>
      <c r="C28" s="34" t="s">
        <v>53</v>
      </c>
      <c r="D28" s="5" t="s">
        <v>41</v>
      </c>
      <c r="E28" s="5">
        <f t="shared" ref="E28:AE28" si="7">SUM(E19,E22,E25)</f>
        <v>107</v>
      </c>
      <c r="F28" s="5">
        <f t="shared" si="7"/>
        <v>102</v>
      </c>
      <c r="G28" s="5">
        <f t="shared" si="7"/>
        <v>90</v>
      </c>
      <c r="H28" s="5">
        <f t="shared" si="7"/>
        <v>85</v>
      </c>
      <c r="I28" s="5">
        <f t="shared" si="7"/>
        <v>90</v>
      </c>
      <c r="J28" s="5">
        <f t="shared" si="7"/>
        <v>104</v>
      </c>
      <c r="K28" s="5">
        <f t="shared" si="7"/>
        <v>95</v>
      </c>
      <c r="L28" s="5">
        <f t="shared" si="7"/>
        <v>101</v>
      </c>
      <c r="M28" s="5">
        <f t="shared" si="7"/>
        <v>116</v>
      </c>
      <c r="N28" s="5">
        <f t="shared" si="7"/>
        <v>101</v>
      </c>
      <c r="O28" s="5">
        <f t="shared" si="7"/>
        <v>98</v>
      </c>
      <c r="P28" s="5">
        <f t="shared" si="7"/>
        <v>119</v>
      </c>
      <c r="Q28" s="5">
        <f t="shared" si="7"/>
        <v>106</v>
      </c>
      <c r="R28" s="5">
        <f t="shared" si="7"/>
        <v>114</v>
      </c>
      <c r="S28" s="5">
        <f t="shared" si="7"/>
        <v>116</v>
      </c>
      <c r="T28" s="5">
        <f t="shared" si="7"/>
        <v>105</v>
      </c>
      <c r="U28" s="5">
        <f t="shared" si="7"/>
        <v>101</v>
      </c>
      <c r="V28" s="5">
        <f t="shared" si="7"/>
        <v>109</v>
      </c>
      <c r="W28" s="5">
        <f t="shared" si="7"/>
        <v>98</v>
      </c>
      <c r="X28" s="5">
        <f t="shared" si="7"/>
        <v>106</v>
      </c>
      <c r="Y28" s="5">
        <f t="shared" si="7"/>
        <v>104</v>
      </c>
      <c r="Z28" s="5">
        <f t="shared" si="7"/>
        <v>108</v>
      </c>
      <c r="AA28" s="5">
        <f t="shared" si="7"/>
        <v>89</v>
      </c>
      <c r="AB28" s="5">
        <f t="shared" si="7"/>
        <v>106</v>
      </c>
      <c r="AC28" s="5">
        <f t="shared" si="7"/>
        <v>121</v>
      </c>
      <c r="AD28" s="5">
        <f t="shared" si="7"/>
        <v>73</v>
      </c>
      <c r="AE28" s="5">
        <f t="shared" si="7"/>
        <v>71</v>
      </c>
      <c r="AF28" s="5">
        <f t="shared" si="3"/>
        <v>2735</v>
      </c>
    </row>
    <row r="29" ht="12.75" customHeight="1">
      <c r="A29" s="32"/>
      <c r="B29" s="19"/>
      <c r="C29" s="31"/>
      <c r="D29" s="5" t="s">
        <v>42</v>
      </c>
      <c r="E29" s="5">
        <f t="shared" ref="E29:AE29" si="8">SUM(E20,E23,E26)</f>
        <v>109</v>
      </c>
      <c r="F29" s="5">
        <f t="shared" si="8"/>
        <v>96</v>
      </c>
      <c r="G29" s="5">
        <f t="shared" si="8"/>
        <v>106</v>
      </c>
      <c r="H29" s="5">
        <f t="shared" si="8"/>
        <v>100</v>
      </c>
      <c r="I29" s="5">
        <f t="shared" si="8"/>
        <v>94</v>
      </c>
      <c r="J29" s="5">
        <f t="shared" si="8"/>
        <v>102</v>
      </c>
      <c r="K29" s="5">
        <f t="shared" si="8"/>
        <v>83</v>
      </c>
      <c r="L29" s="5">
        <f t="shared" si="8"/>
        <v>107</v>
      </c>
      <c r="M29" s="5">
        <f t="shared" si="8"/>
        <v>114</v>
      </c>
      <c r="N29" s="5">
        <f t="shared" si="8"/>
        <v>102</v>
      </c>
      <c r="O29" s="5">
        <f t="shared" si="8"/>
        <v>88</v>
      </c>
      <c r="P29" s="5">
        <f t="shared" si="8"/>
        <v>121</v>
      </c>
      <c r="Q29" s="5">
        <f t="shared" si="8"/>
        <v>121</v>
      </c>
      <c r="R29" s="5">
        <f t="shared" si="8"/>
        <v>138</v>
      </c>
      <c r="S29" s="5">
        <f t="shared" si="8"/>
        <v>120</v>
      </c>
      <c r="T29" s="5">
        <f t="shared" si="8"/>
        <v>96</v>
      </c>
      <c r="U29" s="5">
        <f t="shared" si="8"/>
        <v>116</v>
      </c>
      <c r="V29" s="5">
        <f t="shared" si="8"/>
        <v>112</v>
      </c>
      <c r="W29" s="5">
        <f t="shared" si="8"/>
        <v>98</v>
      </c>
      <c r="X29" s="5">
        <f t="shared" si="8"/>
        <v>115</v>
      </c>
      <c r="Y29" s="5">
        <f t="shared" si="8"/>
        <v>119</v>
      </c>
      <c r="Z29" s="5">
        <f t="shared" si="8"/>
        <v>117</v>
      </c>
      <c r="AA29" s="5">
        <f t="shared" si="8"/>
        <v>100</v>
      </c>
      <c r="AB29" s="5">
        <f t="shared" si="8"/>
        <v>105</v>
      </c>
      <c r="AC29" s="5">
        <f t="shared" si="8"/>
        <v>110</v>
      </c>
      <c r="AD29" s="5">
        <f t="shared" si="8"/>
        <v>67</v>
      </c>
      <c r="AE29" s="5">
        <f t="shared" si="8"/>
        <v>69</v>
      </c>
      <c r="AF29" s="5">
        <f t="shared" si="3"/>
        <v>2825</v>
      </c>
    </row>
    <row r="30" ht="12.75" customHeight="1">
      <c r="A30" s="32"/>
      <c r="B30" s="23"/>
      <c r="C30" s="14"/>
      <c r="D30" s="5" t="s">
        <v>43</v>
      </c>
      <c r="E30" s="5">
        <f t="shared" ref="E30:AE30" si="9">SUM(E28:E29)</f>
        <v>216</v>
      </c>
      <c r="F30" s="5">
        <f t="shared" si="9"/>
        <v>198</v>
      </c>
      <c r="G30" s="5">
        <f t="shared" si="9"/>
        <v>196</v>
      </c>
      <c r="H30" s="5">
        <f t="shared" si="9"/>
        <v>185</v>
      </c>
      <c r="I30" s="5">
        <f t="shared" si="9"/>
        <v>184</v>
      </c>
      <c r="J30" s="5">
        <f t="shared" si="9"/>
        <v>206</v>
      </c>
      <c r="K30" s="5">
        <f t="shared" si="9"/>
        <v>178</v>
      </c>
      <c r="L30" s="5">
        <f t="shared" si="9"/>
        <v>208</v>
      </c>
      <c r="M30" s="5">
        <f t="shared" si="9"/>
        <v>230</v>
      </c>
      <c r="N30" s="5">
        <f t="shared" si="9"/>
        <v>203</v>
      </c>
      <c r="O30" s="5">
        <f t="shared" si="9"/>
        <v>186</v>
      </c>
      <c r="P30" s="5">
        <f t="shared" si="9"/>
        <v>240</v>
      </c>
      <c r="Q30" s="5">
        <f t="shared" si="9"/>
        <v>227</v>
      </c>
      <c r="R30" s="5">
        <f t="shared" si="9"/>
        <v>252</v>
      </c>
      <c r="S30" s="5">
        <f t="shared" si="9"/>
        <v>236</v>
      </c>
      <c r="T30" s="5">
        <f t="shared" si="9"/>
        <v>201</v>
      </c>
      <c r="U30" s="5">
        <f t="shared" si="9"/>
        <v>217</v>
      </c>
      <c r="V30" s="5">
        <f t="shared" si="9"/>
        <v>221</v>
      </c>
      <c r="W30" s="5">
        <f t="shared" si="9"/>
        <v>196</v>
      </c>
      <c r="X30" s="5">
        <f t="shared" si="9"/>
        <v>221</v>
      </c>
      <c r="Y30" s="5">
        <f t="shared" si="9"/>
        <v>223</v>
      </c>
      <c r="Z30" s="5">
        <f t="shared" si="9"/>
        <v>225</v>
      </c>
      <c r="AA30" s="5">
        <f t="shared" si="9"/>
        <v>189</v>
      </c>
      <c r="AB30" s="5">
        <f t="shared" si="9"/>
        <v>211</v>
      </c>
      <c r="AC30" s="5">
        <f t="shared" si="9"/>
        <v>231</v>
      </c>
      <c r="AD30" s="5">
        <f t="shared" si="9"/>
        <v>140</v>
      </c>
      <c r="AE30" s="5">
        <f t="shared" si="9"/>
        <v>140</v>
      </c>
      <c r="AF30" s="5">
        <f t="shared" si="3"/>
        <v>5560</v>
      </c>
    </row>
    <row r="31" ht="12.75" customHeight="1">
      <c r="A31" s="24"/>
      <c r="B31" s="7"/>
      <c r="C31" s="7"/>
      <c r="D31" s="8"/>
      <c r="E31" s="11"/>
      <c r="F31" s="11"/>
      <c r="G31" s="11"/>
      <c r="H31" s="11"/>
      <c r="I31" s="11"/>
      <c r="J31" s="11"/>
      <c r="K31" s="11"/>
      <c r="L31" s="11"/>
      <c r="M31" s="11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6"/>
    </row>
    <row r="32" ht="12.75" customHeight="1">
      <c r="A32" s="35" t="s">
        <v>54</v>
      </c>
      <c r="B32" s="6" t="s">
        <v>55</v>
      </c>
      <c r="C32" s="7"/>
      <c r="D32" s="8"/>
      <c r="E32" s="5"/>
      <c r="F32" s="5"/>
      <c r="G32" s="5"/>
      <c r="H32" s="5"/>
      <c r="I32" s="5"/>
      <c r="J32" s="5"/>
      <c r="K32" s="5"/>
      <c r="L32" s="5"/>
      <c r="M32" s="5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26"/>
    </row>
    <row r="33" ht="12.75" customHeight="1">
      <c r="A33" s="11">
        <v>1.0</v>
      </c>
      <c r="B33" s="12" t="s">
        <v>56</v>
      </c>
      <c r="C33" s="7"/>
      <c r="D33" s="8"/>
      <c r="E33" s="11">
        <v>280.0</v>
      </c>
      <c r="F33" s="11">
        <v>233.0</v>
      </c>
      <c r="G33" s="11">
        <v>257.0</v>
      </c>
      <c r="H33" s="11">
        <v>240.0</v>
      </c>
      <c r="I33" s="11">
        <v>225.0</v>
      </c>
      <c r="J33" s="11">
        <v>253.0</v>
      </c>
      <c r="K33" s="11">
        <v>242.0</v>
      </c>
      <c r="L33" s="11">
        <v>278.0</v>
      </c>
      <c r="M33" s="11">
        <v>290.0</v>
      </c>
      <c r="N33" s="11">
        <v>271.0</v>
      </c>
      <c r="O33" s="11">
        <v>228.0</v>
      </c>
      <c r="P33" s="11">
        <v>302.0</v>
      </c>
      <c r="Q33" s="11">
        <v>296.0</v>
      </c>
      <c r="R33" s="11">
        <v>301.0</v>
      </c>
      <c r="S33" s="11">
        <v>296.0</v>
      </c>
      <c r="T33" s="11">
        <v>271.0</v>
      </c>
      <c r="U33" s="11">
        <v>291.0</v>
      </c>
      <c r="V33" s="11">
        <v>303.0</v>
      </c>
      <c r="W33" s="11">
        <v>241.0</v>
      </c>
      <c r="X33" s="11">
        <v>298.0</v>
      </c>
      <c r="Y33" s="11">
        <v>298.0</v>
      </c>
      <c r="Z33" s="11">
        <v>287.0</v>
      </c>
      <c r="AA33" s="11">
        <v>233.0</v>
      </c>
      <c r="AB33" s="11">
        <v>268.0</v>
      </c>
      <c r="AC33" s="11">
        <v>295.0</v>
      </c>
      <c r="AD33" s="11">
        <v>166.0</v>
      </c>
      <c r="AE33" s="11">
        <v>173.0</v>
      </c>
      <c r="AF33" s="5">
        <f t="shared" ref="AF33:AF36" si="10">SUM(E33:AE33)</f>
        <v>7116</v>
      </c>
    </row>
    <row r="34" ht="12.75" customHeight="1">
      <c r="A34" s="11">
        <v>2.0</v>
      </c>
      <c r="B34" s="12" t="s">
        <v>57</v>
      </c>
      <c r="C34" s="7"/>
      <c r="D34" s="8"/>
      <c r="E34" s="5">
        <v>216.0</v>
      </c>
      <c r="F34" s="5">
        <v>198.0</v>
      </c>
      <c r="G34" s="5">
        <v>196.0</v>
      </c>
      <c r="H34" s="5">
        <v>185.0</v>
      </c>
      <c r="I34" s="5">
        <v>184.0</v>
      </c>
      <c r="J34" s="5">
        <v>206.0</v>
      </c>
      <c r="K34" s="5">
        <v>178.0</v>
      </c>
      <c r="L34" s="5">
        <v>208.0</v>
      </c>
      <c r="M34" s="5">
        <v>230.0</v>
      </c>
      <c r="N34" s="5">
        <v>203.0</v>
      </c>
      <c r="O34" s="5">
        <v>186.0</v>
      </c>
      <c r="P34" s="5">
        <v>240.0</v>
      </c>
      <c r="Q34" s="5">
        <v>227.0</v>
      </c>
      <c r="R34" s="5">
        <v>252.0</v>
      </c>
      <c r="S34" s="5">
        <v>236.0</v>
      </c>
      <c r="T34" s="5">
        <v>201.0</v>
      </c>
      <c r="U34" s="5">
        <v>217.0</v>
      </c>
      <c r="V34" s="5">
        <v>221.0</v>
      </c>
      <c r="W34" s="5">
        <v>196.0</v>
      </c>
      <c r="X34" s="5">
        <v>221.0</v>
      </c>
      <c r="Y34" s="5">
        <v>223.0</v>
      </c>
      <c r="Z34" s="5">
        <v>225.0</v>
      </c>
      <c r="AA34" s="5">
        <v>189.0</v>
      </c>
      <c r="AB34" s="5">
        <v>211.0</v>
      </c>
      <c r="AC34" s="5">
        <v>231.0</v>
      </c>
      <c r="AD34" s="5">
        <v>140.0</v>
      </c>
      <c r="AE34" s="5">
        <v>140.0</v>
      </c>
      <c r="AF34" s="5">
        <f t="shared" si="10"/>
        <v>5560</v>
      </c>
    </row>
    <row r="35" ht="12.75" customHeight="1">
      <c r="A35" s="11">
        <v>3.0</v>
      </c>
      <c r="B35" s="12" t="s">
        <v>58</v>
      </c>
      <c r="C35" s="7"/>
      <c r="D35" s="8"/>
      <c r="E35" s="11">
        <v>0.0</v>
      </c>
      <c r="F35" s="11">
        <v>0.0</v>
      </c>
      <c r="G35" s="11">
        <v>2.0</v>
      </c>
      <c r="H35" s="11">
        <v>0.0</v>
      </c>
      <c r="I35" s="11">
        <v>0.0</v>
      </c>
      <c r="J35" s="11">
        <v>1.0</v>
      </c>
      <c r="K35" s="11">
        <v>1.0</v>
      </c>
      <c r="L35" s="11">
        <v>0.0</v>
      </c>
      <c r="M35" s="11">
        <v>0.0</v>
      </c>
      <c r="N35" s="11">
        <v>0.0</v>
      </c>
      <c r="O35" s="11">
        <v>0.0</v>
      </c>
      <c r="P35" s="11">
        <v>6.0</v>
      </c>
      <c r="Q35" s="11">
        <v>0.0</v>
      </c>
      <c r="R35" s="11">
        <v>0.0</v>
      </c>
      <c r="S35" s="11">
        <v>0.0</v>
      </c>
      <c r="T35" s="11">
        <v>0.0</v>
      </c>
      <c r="U35" s="11">
        <v>1.0</v>
      </c>
      <c r="V35" s="11">
        <v>0.0</v>
      </c>
      <c r="W35" s="11">
        <v>1.0</v>
      </c>
      <c r="X35" s="11">
        <v>0.0</v>
      </c>
      <c r="Y35" s="11">
        <v>0.0</v>
      </c>
      <c r="Z35" s="11">
        <v>0.0</v>
      </c>
      <c r="AA35" s="11">
        <v>0.0</v>
      </c>
      <c r="AB35" s="11">
        <v>0.0</v>
      </c>
      <c r="AC35" s="11">
        <v>0.0</v>
      </c>
      <c r="AD35" s="11">
        <v>0.0</v>
      </c>
      <c r="AE35" s="11">
        <v>0.0</v>
      </c>
      <c r="AF35" s="5">
        <f t="shared" si="10"/>
        <v>12</v>
      </c>
    </row>
    <row r="36" ht="12.75" customHeight="1">
      <c r="A36" s="11">
        <v>4.0</v>
      </c>
      <c r="B36" s="12" t="s">
        <v>59</v>
      </c>
      <c r="C36" s="7"/>
      <c r="D36" s="8"/>
      <c r="E36" s="5">
        <f t="shared" ref="E36:AE36" si="11">E33-(E34+E35)</f>
        <v>64</v>
      </c>
      <c r="F36" s="5">
        <f t="shared" si="11"/>
        <v>35</v>
      </c>
      <c r="G36" s="5">
        <f t="shared" si="11"/>
        <v>59</v>
      </c>
      <c r="H36" s="5">
        <f t="shared" si="11"/>
        <v>55</v>
      </c>
      <c r="I36" s="5">
        <f t="shared" si="11"/>
        <v>41</v>
      </c>
      <c r="J36" s="5">
        <f t="shared" si="11"/>
        <v>46</v>
      </c>
      <c r="K36" s="5">
        <f t="shared" si="11"/>
        <v>63</v>
      </c>
      <c r="L36" s="5">
        <f t="shared" si="11"/>
        <v>70</v>
      </c>
      <c r="M36" s="5">
        <f t="shared" si="11"/>
        <v>60</v>
      </c>
      <c r="N36" s="5">
        <f t="shared" si="11"/>
        <v>68</v>
      </c>
      <c r="O36" s="5">
        <f t="shared" si="11"/>
        <v>42</v>
      </c>
      <c r="P36" s="5">
        <f t="shared" si="11"/>
        <v>56</v>
      </c>
      <c r="Q36" s="5">
        <f t="shared" si="11"/>
        <v>69</v>
      </c>
      <c r="R36" s="5">
        <f t="shared" si="11"/>
        <v>49</v>
      </c>
      <c r="S36" s="5">
        <f t="shared" si="11"/>
        <v>60</v>
      </c>
      <c r="T36" s="5">
        <f t="shared" si="11"/>
        <v>70</v>
      </c>
      <c r="U36" s="5">
        <f t="shared" si="11"/>
        <v>73</v>
      </c>
      <c r="V36" s="5">
        <f t="shared" si="11"/>
        <v>82</v>
      </c>
      <c r="W36" s="5">
        <f t="shared" si="11"/>
        <v>44</v>
      </c>
      <c r="X36" s="5">
        <f t="shared" si="11"/>
        <v>77</v>
      </c>
      <c r="Y36" s="5">
        <f t="shared" si="11"/>
        <v>75</v>
      </c>
      <c r="Z36" s="5">
        <f t="shared" si="11"/>
        <v>62</v>
      </c>
      <c r="AA36" s="5">
        <f t="shared" si="11"/>
        <v>44</v>
      </c>
      <c r="AB36" s="5">
        <f t="shared" si="11"/>
        <v>57</v>
      </c>
      <c r="AC36" s="5">
        <f t="shared" si="11"/>
        <v>64</v>
      </c>
      <c r="AD36" s="5">
        <f t="shared" si="11"/>
        <v>26</v>
      </c>
      <c r="AE36" s="5">
        <f t="shared" si="11"/>
        <v>33</v>
      </c>
      <c r="AF36" s="5">
        <f t="shared" si="10"/>
        <v>1544</v>
      </c>
    </row>
    <row r="37" ht="12.75" customHeight="1">
      <c r="A37" s="24"/>
      <c r="B37" s="7"/>
      <c r="C37" s="7"/>
      <c r="D37" s="7"/>
      <c r="E37" s="24"/>
      <c r="F37" s="7"/>
      <c r="G37" s="7"/>
      <c r="H37" s="7"/>
      <c r="I37" s="8"/>
      <c r="J37" s="11"/>
      <c r="K37" s="11"/>
      <c r="L37" s="11"/>
      <c r="M37" s="11"/>
      <c r="N37" s="25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26"/>
    </row>
    <row r="38" ht="12.75" customHeight="1">
      <c r="A38" s="39" t="s">
        <v>60</v>
      </c>
      <c r="B38" s="6" t="s">
        <v>61</v>
      </c>
      <c r="C38" s="7"/>
      <c r="D38" s="8"/>
      <c r="E38" s="5"/>
      <c r="F38" s="5"/>
      <c r="G38" s="5"/>
      <c r="H38" s="5"/>
      <c r="I38" s="5"/>
      <c r="J38" s="5"/>
      <c r="K38" s="5"/>
      <c r="L38" s="5"/>
      <c r="M38" s="5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26"/>
    </row>
    <row r="39" ht="12.75" customHeight="1">
      <c r="A39" s="27"/>
      <c r="B39" s="40" t="s">
        <v>62</v>
      </c>
      <c r="C39" s="17"/>
      <c r="D39" s="11" t="s">
        <v>41</v>
      </c>
      <c r="E39" s="11">
        <v>0.0</v>
      </c>
      <c r="F39" s="11">
        <v>0.0</v>
      </c>
      <c r="G39" s="11">
        <v>0.0</v>
      </c>
      <c r="H39" s="11">
        <v>0.0</v>
      </c>
      <c r="I39" s="11">
        <v>0.0</v>
      </c>
      <c r="J39" s="11">
        <v>2.0</v>
      </c>
      <c r="K39" s="11">
        <v>1.0</v>
      </c>
      <c r="L39" s="11">
        <v>0.0</v>
      </c>
      <c r="M39" s="11">
        <v>0.0</v>
      </c>
      <c r="N39" s="11">
        <v>0.0</v>
      </c>
      <c r="O39" s="11">
        <v>0.0</v>
      </c>
      <c r="P39" s="11">
        <v>0.0</v>
      </c>
      <c r="Q39" s="11">
        <v>0.0</v>
      </c>
      <c r="R39" s="11">
        <v>0.0</v>
      </c>
      <c r="S39" s="11">
        <v>0.0</v>
      </c>
      <c r="T39" s="11">
        <v>0.0</v>
      </c>
      <c r="U39" s="11">
        <v>0.0</v>
      </c>
      <c r="V39" s="11">
        <v>0.0</v>
      </c>
      <c r="W39" s="11">
        <v>1.0</v>
      </c>
      <c r="X39" s="11">
        <v>0.0</v>
      </c>
      <c r="Y39" s="11">
        <v>0.0</v>
      </c>
      <c r="Z39" s="11">
        <v>0.0</v>
      </c>
      <c r="AA39" s="11">
        <v>0.0</v>
      </c>
      <c r="AB39" s="11">
        <v>0.0</v>
      </c>
      <c r="AC39" s="11">
        <v>0.0</v>
      </c>
      <c r="AD39" s="11">
        <v>0.0</v>
      </c>
      <c r="AE39" s="11">
        <v>0.0</v>
      </c>
      <c r="AF39" s="5">
        <f t="shared" ref="AF39:AF41" si="12">SUM(E39:AE39)</f>
        <v>4</v>
      </c>
    </row>
    <row r="40" ht="12.75" customHeight="1">
      <c r="A40" s="30"/>
      <c r="C40" s="19"/>
      <c r="D40" s="11" t="s">
        <v>42</v>
      </c>
      <c r="E40" s="11">
        <v>0.0</v>
      </c>
      <c r="F40" s="11">
        <v>0.0</v>
      </c>
      <c r="G40" s="11">
        <v>0.0</v>
      </c>
      <c r="H40" s="11">
        <v>0.0</v>
      </c>
      <c r="I40" s="11">
        <v>0.0</v>
      </c>
      <c r="J40" s="11">
        <v>0.0</v>
      </c>
      <c r="K40" s="11">
        <v>1.0</v>
      </c>
      <c r="L40" s="11">
        <v>0.0</v>
      </c>
      <c r="M40" s="11">
        <v>0.0</v>
      </c>
      <c r="N40" s="11">
        <v>0.0</v>
      </c>
      <c r="O40" s="11">
        <v>0.0</v>
      </c>
      <c r="P40" s="11">
        <v>1.0</v>
      </c>
      <c r="Q40" s="11">
        <v>0.0</v>
      </c>
      <c r="R40" s="11">
        <v>0.0</v>
      </c>
      <c r="S40" s="11">
        <v>0.0</v>
      </c>
      <c r="T40" s="11">
        <v>0.0</v>
      </c>
      <c r="U40" s="11">
        <v>0.0</v>
      </c>
      <c r="V40" s="11">
        <v>0.0</v>
      </c>
      <c r="W40" s="11">
        <v>1.0</v>
      </c>
      <c r="X40" s="11">
        <v>0.0</v>
      </c>
      <c r="Y40" s="11">
        <v>0.0</v>
      </c>
      <c r="Z40" s="11">
        <v>0.0</v>
      </c>
      <c r="AA40" s="11">
        <v>0.0</v>
      </c>
      <c r="AB40" s="11">
        <v>0.0</v>
      </c>
      <c r="AC40" s="11">
        <v>0.0</v>
      </c>
      <c r="AD40" s="11">
        <v>0.0</v>
      </c>
      <c r="AE40" s="11">
        <v>0.0</v>
      </c>
      <c r="AF40" s="5">
        <f t="shared" si="12"/>
        <v>3</v>
      </c>
    </row>
    <row r="41" ht="12.75" customHeight="1">
      <c r="A41" s="35"/>
      <c r="B41" s="41"/>
      <c r="C41" s="23"/>
      <c r="D41" s="5" t="s">
        <v>43</v>
      </c>
      <c r="E41" s="5">
        <f t="shared" ref="E41:AE41" si="13">SUM(E39:E40)</f>
        <v>0</v>
      </c>
      <c r="F41" s="5">
        <f t="shared" si="13"/>
        <v>0</v>
      </c>
      <c r="G41" s="5">
        <f t="shared" si="13"/>
        <v>0</v>
      </c>
      <c r="H41" s="5">
        <f t="shared" si="13"/>
        <v>0</v>
      </c>
      <c r="I41" s="5">
        <f t="shared" si="13"/>
        <v>0</v>
      </c>
      <c r="J41" s="5">
        <f t="shared" si="13"/>
        <v>2</v>
      </c>
      <c r="K41" s="5">
        <f t="shared" si="13"/>
        <v>2</v>
      </c>
      <c r="L41" s="5">
        <f t="shared" si="13"/>
        <v>0</v>
      </c>
      <c r="M41" s="5">
        <f t="shared" si="13"/>
        <v>0</v>
      </c>
      <c r="N41" s="5">
        <f t="shared" si="13"/>
        <v>0</v>
      </c>
      <c r="O41" s="5">
        <f t="shared" si="13"/>
        <v>0</v>
      </c>
      <c r="P41" s="5">
        <f t="shared" si="13"/>
        <v>1</v>
      </c>
      <c r="Q41" s="5">
        <f t="shared" si="13"/>
        <v>0</v>
      </c>
      <c r="R41" s="5">
        <f t="shared" si="13"/>
        <v>0</v>
      </c>
      <c r="S41" s="5">
        <f t="shared" si="13"/>
        <v>0</v>
      </c>
      <c r="T41" s="5">
        <f t="shared" si="13"/>
        <v>0</v>
      </c>
      <c r="U41" s="5">
        <f t="shared" si="13"/>
        <v>0</v>
      </c>
      <c r="V41" s="5">
        <f t="shared" si="13"/>
        <v>0</v>
      </c>
      <c r="W41" s="5">
        <f t="shared" si="13"/>
        <v>2</v>
      </c>
      <c r="X41" s="5">
        <f t="shared" si="13"/>
        <v>0</v>
      </c>
      <c r="Y41" s="5">
        <f t="shared" si="13"/>
        <v>0</v>
      </c>
      <c r="Z41" s="5">
        <f t="shared" si="13"/>
        <v>0</v>
      </c>
      <c r="AA41" s="5">
        <f t="shared" si="13"/>
        <v>0</v>
      </c>
      <c r="AB41" s="5">
        <f t="shared" si="13"/>
        <v>0</v>
      </c>
      <c r="AC41" s="5">
        <f t="shared" si="13"/>
        <v>0</v>
      </c>
      <c r="AD41" s="5">
        <f t="shared" si="13"/>
        <v>0</v>
      </c>
      <c r="AE41" s="5">
        <f t="shared" si="13"/>
        <v>0</v>
      </c>
      <c r="AF41" s="5">
        <f t="shared" si="12"/>
        <v>7</v>
      </c>
    </row>
    <row r="42" ht="12.75" customHeight="1">
      <c r="A42" s="42"/>
      <c r="B42" s="41"/>
      <c r="C42" s="41"/>
      <c r="D42" s="23"/>
      <c r="E42" s="24"/>
      <c r="F42" s="7"/>
      <c r="G42" s="7"/>
      <c r="H42" s="7"/>
      <c r="I42" s="8"/>
      <c r="J42" s="11"/>
      <c r="K42" s="11"/>
      <c r="L42" s="11"/>
      <c r="M42" s="11"/>
      <c r="N42" s="25"/>
      <c r="O42" s="11"/>
      <c r="P42" s="25"/>
      <c r="Q42" s="11"/>
      <c r="R42" s="25"/>
      <c r="S42" s="11"/>
      <c r="T42" s="25"/>
      <c r="U42" s="11"/>
      <c r="V42" s="25"/>
      <c r="W42" s="11"/>
      <c r="X42" s="25"/>
      <c r="Y42" s="11"/>
      <c r="Z42" s="25"/>
      <c r="AA42" s="11"/>
      <c r="AB42" s="25"/>
      <c r="AC42" s="11"/>
      <c r="AD42" s="25"/>
      <c r="AE42" s="11"/>
      <c r="AF42" s="5"/>
    </row>
    <row r="43" ht="12.75" customHeight="1">
      <c r="A43" s="39" t="s">
        <v>63</v>
      </c>
      <c r="B43" s="6" t="s">
        <v>64</v>
      </c>
      <c r="C43" s="7"/>
      <c r="D43" s="8"/>
      <c r="E43" s="9"/>
      <c r="F43" s="5"/>
      <c r="G43" s="5"/>
      <c r="H43" s="5"/>
      <c r="I43" s="5"/>
      <c r="J43" s="5"/>
      <c r="K43" s="5"/>
      <c r="L43" s="5"/>
      <c r="M43" s="5"/>
      <c r="N43" s="36"/>
      <c r="O43" s="5"/>
      <c r="P43" s="36"/>
      <c r="Q43" s="5"/>
      <c r="R43" s="36"/>
      <c r="S43" s="5"/>
      <c r="T43" s="36"/>
      <c r="U43" s="5"/>
      <c r="V43" s="36"/>
      <c r="W43" s="5"/>
      <c r="X43" s="36"/>
      <c r="Y43" s="5"/>
      <c r="Z43" s="36"/>
      <c r="AA43" s="5"/>
      <c r="AB43" s="36"/>
      <c r="AC43" s="5"/>
      <c r="AD43" s="36"/>
      <c r="AE43" s="5"/>
      <c r="AF43" s="5"/>
    </row>
    <row r="44" ht="12.75" customHeight="1">
      <c r="A44" s="40" t="s">
        <v>65</v>
      </c>
      <c r="B44" s="43"/>
      <c r="C44" s="43"/>
      <c r="D44" s="17"/>
      <c r="E44" s="24"/>
      <c r="F44" s="11"/>
      <c r="G44" s="11"/>
      <c r="H44" s="11"/>
      <c r="I44" s="11"/>
      <c r="J44" s="11"/>
      <c r="K44" s="11"/>
      <c r="L44" s="11"/>
      <c r="M44" s="11"/>
      <c r="N44" s="25"/>
      <c r="O44" s="11"/>
      <c r="P44" s="25"/>
      <c r="Q44" s="11"/>
      <c r="R44" s="25"/>
      <c r="S44" s="11"/>
      <c r="T44" s="25"/>
      <c r="U44" s="11"/>
      <c r="V44" s="25"/>
      <c r="W44" s="11"/>
      <c r="X44" s="25"/>
      <c r="Y44" s="11"/>
      <c r="Z44" s="25"/>
      <c r="AA44" s="11"/>
      <c r="AB44" s="25"/>
      <c r="AC44" s="11"/>
      <c r="AD44" s="25"/>
      <c r="AE44" s="11"/>
      <c r="AF44" s="5"/>
    </row>
    <row r="45" ht="12.75" customHeight="1">
      <c r="A45" s="44"/>
      <c r="B45" s="45">
        <v>1.0</v>
      </c>
      <c r="C45" s="46" t="s">
        <v>66</v>
      </c>
      <c r="D45" s="8"/>
      <c r="E45" s="11">
        <v>23.0</v>
      </c>
      <c r="F45" s="11">
        <v>17.0</v>
      </c>
      <c r="G45" s="11">
        <v>16.0</v>
      </c>
      <c r="H45" s="11">
        <v>8.0</v>
      </c>
      <c r="I45" s="11">
        <v>12.0</v>
      </c>
      <c r="J45" s="11">
        <v>31.0</v>
      </c>
      <c r="K45" s="11">
        <v>9.0</v>
      </c>
      <c r="L45" s="11">
        <v>16.0</v>
      </c>
      <c r="M45" s="11">
        <v>18.0</v>
      </c>
      <c r="N45" s="11">
        <v>32.0</v>
      </c>
      <c r="O45" s="11">
        <v>20.0</v>
      </c>
      <c r="P45" s="11">
        <v>48.0</v>
      </c>
      <c r="Q45" s="11">
        <v>32.0</v>
      </c>
      <c r="R45" s="11">
        <v>33.0</v>
      </c>
      <c r="S45" s="11">
        <v>17.0</v>
      </c>
      <c r="T45" s="11">
        <v>37.0</v>
      </c>
      <c r="U45" s="11">
        <v>15.0</v>
      </c>
      <c r="V45" s="11">
        <v>25.0</v>
      </c>
      <c r="W45" s="11">
        <v>22.0</v>
      </c>
      <c r="X45" s="11">
        <v>13.0</v>
      </c>
      <c r="Y45" s="11">
        <v>19.0</v>
      </c>
      <c r="Z45" s="11">
        <v>12.0</v>
      </c>
      <c r="AA45" s="11">
        <v>14.0</v>
      </c>
      <c r="AB45" s="11">
        <v>23.0</v>
      </c>
      <c r="AC45" s="11">
        <v>15.0</v>
      </c>
      <c r="AD45" s="11">
        <v>7.0</v>
      </c>
      <c r="AE45" s="11">
        <v>13.0</v>
      </c>
      <c r="AF45" s="5">
        <f t="shared" ref="AF45:AF47" si="14">SUM(E45:AE45)</f>
        <v>547</v>
      </c>
    </row>
    <row r="46" ht="12.75" customHeight="1">
      <c r="A46" s="15"/>
      <c r="B46" s="45">
        <v>2.0</v>
      </c>
      <c r="C46" s="46" t="s">
        <v>67</v>
      </c>
      <c r="D46" s="8"/>
      <c r="E46" s="11">
        <v>150.0</v>
      </c>
      <c r="F46" s="11">
        <v>123.0</v>
      </c>
      <c r="G46" s="11">
        <v>142.0</v>
      </c>
      <c r="H46" s="11">
        <v>129.0</v>
      </c>
      <c r="I46" s="11">
        <v>111.0</v>
      </c>
      <c r="J46" s="11">
        <v>110.0</v>
      </c>
      <c r="K46" s="11">
        <v>120.0</v>
      </c>
      <c r="L46" s="11">
        <v>138.0</v>
      </c>
      <c r="M46" s="11">
        <v>165.0</v>
      </c>
      <c r="N46" s="11">
        <v>136.0</v>
      </c>
      <c r="O46" s="11">
        <v>129.0</v>
      </c>
      <c r="P46" s="11">
        <v>147.0</v>
      </c>
      <c r="Q46" s="11">
        <v>143.0</v>
      </c>
      <c r="R46" s="11">
        <v>162.0</v>
      </c>
      <c r="S46" s="11">
        <v>154.0</v>
      </c>
      <c r="T46" s="11">
        <v>104.0</v>
      </c>
      <c r="U46" s="11">
        <v>159.0</v>
      </c>
      <c r="V46" s="11">
        <v>153.0</v>
      </c>
      <c r="W46" s="11">
        <v>139.0</v>
      </c>
      <c r="X46" s="11">
        <v>141.0</v>
      </c>
      <c r="Y46" s="11">
        <v>144.0</v>
      </c>
      <c r="Z46" s="11">
        <v>138.0</v>
      </c>
      <c r="AA46" s="11">
        <v>106.0</v>
      </c>
      <c r="AB46" s="11">
        <v>135.0</v>
      </c>
      <c r="AC46" s="11">
        <v>166.0</v>
      </c>
      <c r="AD46" s="11">
        <v>115.0</v>
      </c>
      <c r="AE46" s="11">
        <v>111.0</v>
      </c>
      <c r="AF46" s="5">
        <f t="shared" si="14"/>
        <v>3670</v>
      </c>
    </row>
    <row r="47" ht="12.75" customHeight="1">
      <c r="A47" s="42"/>
      <c r="B47" s="45">
        <v>3.0</v>
      </c>
      <c r="C47" s="46" t="s">
        <v>68</v>
      </c>
      <c r="D47" s="8"/>
      <c r="E47" s="11">
        <v>42.0</v>
      </c>
      <c r="F47" s="11">
        <v>56.0</v>
      </c>
      <c r="G47" s="11">
        <v>32.0</v>
      </c>
      <c r="H47" s="11">
        <v>46.0</v>
      </c>
      <c r="I47" s="11">
        <v>59.0</v>
      </c>
      <c r="J47" s="11">
        <v>60.0</v>
      </c>
      <c r="K47" s="11">
        <v>48.0</v>
      </c>
      <c r="L47" s="11">
        <v>54.0</v>
      </c>
      <c r="M47" s="11">
        <v>44.0</v>
      </c>
      <c r="N47" s="11">
        <v>34.0</v>
      </c>
      <c r="O47" s="11">
        <v>35.0</v>
      </c>
      <c r="P47" s="11">
        <v>41.0</v>
      </c>
      <c r="Q47" s="11">
        <v>51.0</v>
      </c>
      <c r="R47" s="11">
        <v>54.0</v>
      </c>
      <c r="S47" s="11">
        <v>60.0</v>
      </c>
      <c r="T47" s="11">
        <v>60.0</v>
      </c>
      <c r="U47" s="11">
        <v>43.0</v>
      </c>
      <c r="V47" s="11">
        <v>39.0</v>
      </c>
      <c r="W47" s="11">
        <v>35.0</v>
      </c>
      <c r="X47" s="11">
        <v>64.0</v>
      </c>
      <c r="Y47" s="11">
        <v>58.0</v>
      </c>
      <c r="Z47" s="11">
        <v>70.0</v>
      </c>
      <c r="AA47" s="11">
        <v>67.0</v>
      </c>
      <c r="AB47" s="11">
        <v>51.0</v>
      </c>
      <c r="AC47" s="11">
        <v>45.0</v>
      </c>
      <c r="AD47" s="11">
        <v>18.0</v>
      </c>
      <c r="AE47" s="11">
        <v>14.0</v>
      </c>
      <c r="AF47" s="5">
        <f t="shared" si="14"/>
        <v>1280</v>
      </c>
    </row>
    <row r="48" ht="12.75" customHeight="1"/>
    <row r="49" ht="12.75" customHeight="1">
      <c r="A49" s="39" t="s">
        <v>69</v>
      </c>
      <c r="B49" s="6" t="s">
        <v>70</v>
      </c>
      <c r="C49" s="7"/>
      <c r="D49" s="8"/>
      <c r="E49" s="5"/>
      <c r="F49" s="5"/>
      <c r="G49" s="5"/>
      <c r="H49" s="5"/>
      <c r="I49" s="5"/>
      <c r="J49" s="5"/>
      <c r="K49" s="5"/>
      <c r="L49" s="5"/>
      <c r="M49" s="5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5"/>
    </row>
    <row r="50" ht="12.75" customHeight="1">
      <c r="A50" s="39"/>
      <c r="B50" s="47" t="s">
        <v>71</v>
      </c>
      <c r="C50" s="48" t="s">
        <v>72</v>
      </c>
      <c r="D50" s="8"/>
      <c r="E50" s="11">
        <f t="shared" ref="E50:AE50" si="15">SUM(E45:E47)</f>
        <v>215</v>
      </c>
      <c r="F50" s="11">
        <f t="shared" si="15"/>
        <v>196</v>
      </c>
      <c r="G50" s="11">
        <f t="shared" si="15"/>
        <v>190</v>
      </c>
      <c r="H50" s="11">
        <f t="shared" si="15"/>
        <v>183</v>
      </c>
      <c r="I50" s="11">
        <f t="shared" si="15"/>
        <v>182</v>
      </c>
      <c r="J50" s="11">
        <f t="shared" si="15"/>
        <v>201</v>
      </c>
      <c r="K50" s="11">
        <f t="shared" si="15"/>
        <v>177</v>
      </c>
      <c r="L50" s="11">
        <f t="shared" si="15"/>
        <v>208</v>
      </c>
      <c r="M50" s="11">
        <f t="shared" si="15"/>
        <v>227</v>
      </c>
      <c r="N50" s="11">
        <f t="shared" si="15"/>
        <v>202</v>
      </c>
      <c r="O50" s="11">
        <f t="shared" si="15"/>
        <v>184</v>
      </c>
      <c r="P50" s="11">
        <f t="shared" si="15"/>
        <v>236</v>
      </c>
      <c r="Q50" s="11">
        <f t="shared" si="15"/>
        <v>226</v>
      </c>
      <c r="R50" s="11">
        <f t="shared" si="15"/>
        <v>249</v>
      </c>
      <c r="S50" s="11">
        <f t="shared" si="15"/>
        <v>231</v>
      </c>
      <c r="T50" s="11">
        <f t="shared" si="15"/>
        <v>201</v>
      </c>
      <c r="U50" s="11">
        <f t="shared" si="15"/>
        <v>217</v>
      </c>
      <c r="V50" s="11">
        <f t="shared" si="15"/>
        <v>217</v>
      </c>
      <c r="W50" s="11">
        <f t="shared" si="15"/>
        <v>196</v>
      </c>
      <c r="X50" s="11">
        <f t="shared" si="15"/>
        <v>218</v>
      </c>
      <c r="Y50" s="11">
        <f t="shared" si="15"/>
        <v>221</v>
      </c>
      <c r="Z50" s="11">
        <f t="shared" si="15"/>
        <v>220</v>
      </c>
      <c r="AA50" s="11">
        <f t="shared" si="15"/>
        <v>187</v>
      </c>
      <c r="AB50" s="11">
        <f t="shared" si="15"/>
        <v>209</v>
      </c>
      <c r="AC50" s="11">
        <f t="shared" si="15"/>
        <v>226</v>
      </c>
      <c r="AD50" s="11">
        <f t="shared" si="15"/>
        <v>140</v>
      </c>
      <c r="AE50" s="11">
        <f t="shared" si="15"/>
        <v>138</v>
      </c>
      <c r="AF50" s="5">
        <f t="shared" ref="AF50:AF52" si="16">SUM(E50:AE50)</f>
        <v>5497</v>
      </c>
    </row>
    <row r="51" ht="12.75" customHeight="1">
      <c r="A51" s="32"/>
      <c r="B51" s="47" t="s">
        <v>73</v>
      </c>
      <c r="C51" s="48" t="s">
        <v>74</v>
      </c>
      <c r="D51" s="8"/>
      <c r="E51" s="11">
        <v>1.0</v>
      </c>
      <c r="F51" s="11">
        <v>2.0</v>
      </c>
      <c r="G51" s="11">
        <v>6.0</v>
      </c>
      <c r="H51" s="11">
        <v>2.0</v>
      </c>
      <c r="I51" s="11">
        <v>2.0</v>
      </c>
      <c r="J51" s="11">
        <v>5.0</v>
      </c>
      <c r="K51" s="11">
        <v>1.0</v>
      </c>
      <c r="L51" s="11">
        <v>0.0</v>
      </c>
      <c r="M51" s="11">
        <v>3.0</v>
      </c>
      <c r="N51" s="11">
        <v>1.0</v>
      </c>
      <c r="O51" s="11">
        <v>2.0</v>
      </c>
      <c r="P51" s="11">
        <v>4.0</v>
      </c>
      <c r="Q51" s="11">
        <v>1.0</v>
      </c>
      <c r="R51" s="11">
        <v>3.0</v>
      </c>
      <c r="S51" s="11">
        <v>5.0</v>
      </c>
      <c r="T51" s="11">
        <v>0.0</v>
      </c>
      <c r="U51" s="11">
        <v>0.0</v>
      </c>
      <c r="V51" s="11">
        <v>4.0</v>
      </c>
      <c r="W51" s="11">
        <v>0.0</v>
      </c>
      <c r="X51" s="11">
        <v>3.0</v>
      </c>
      <c r="Y51" s="11">
        <v>2.0</v>
      </c>
      <c r="Z51" s="11">
        <v>5.0</v>
      </c>
      <c r="AA51" s="11">
        <v>2.0</v>
      </c>
      <c r="AB51" s="11">
        <v>2.0</v>
      </c>
      <c r="AC51" s="11">
        <v>5.0</v>
      </c>
      <c r="AD51" s="11">
        <v>0.0</v>
      </c>
      <c r="AE51" s="11">
        <v>2.0</v>
      </c>
      <c r="AF51" s="5">
        <f t="shared" si="16"/>
        <v>63</v>
      </c>
    </row>
    <row r="52" ht="12.75" customHeight="1">
      <c r="A52" s="35"/>
      <c r="B52" s="47" t="s">
        <v>75</v>
      </c>
      <c r="C52" s="48" t="s">
        <v>76</v>
      </c>
      <c r="D52" s="8"/>
      <c r="E52" s="5">
        <f t="shared" ref="E52:AE52" si="17">SUM(E50:E51)</f>
        <v>216</v>
      </c>
      <c r="F52" s="5">
        <f t="shared" si="17"/>
        <v>198</v>
      </c>
      <c r="G52" s="5">
        <f t="shared" si="17"/>
        <v>196</v>
      </c>
      <c r="H52" s="5">
        <f t="shared" si="17"/>
        <v>185</v>
      </c>
      <c r="I52" s="5">
        <f t="shared" si="17"/>
        <v>184</v>
      </c>
      <c r="J52" s="5">
        <f t="shared" si="17"/>
        <v>206</v>
      </c>
      <c r="K52" s="5">
        <f t="shared" si="17"/>
        <v>178</v>
      </c>
      <c r="L52" s="5">
        <f t="shared" si="17"/>
        <v>208</v>
      </c>
      <c r="M52" s="5">
        <f t="shared" si="17"/>
        <v>230</v>
      </c>
      <c r="N52" s="5">
        <f t="shared" si="17"/>
        <v>203</v>
      </c>
      <c r="O52" s="5">
        <f t="shared" si="17"/>
        <v>186</v>
      </c>
      <c r="P52" s="5">
        <f t="shared" si="17"/>
        <v>240</v>
      </c>
      <c r="Q52" s="5">
        <f t="shared" si="17"/>
        <v>227</v>
      </c>
      <c r="R52" s="5">
        <f t="shared" si="17"/>
        <v>252</v>
      </c>
      <c r="S52" s="5">
        <f t="shared" si="17"/>
        <v>236</v>
      </c>
      <c r="T52" s="5">
        <f t="shared" si="17"/>
        <v>201</v>
      </c>
      <c r="U52" s="5">
        <f t="shared" si="17"/>
        <v>217</v>
      </c>
      <c r="V52" s="5">
        <f t="shared" si="17"/>
        <v>221</v>
      </c>
      <c r="W52" s="5">
        <f t="shared" si="17"/>
        <v>196</v>
      </c>
      <c r="X52" s="5">
        <f t="shared" si="17"/>
        <v>221</v>
      </c>
      <c r="Y52" s="5">
        <f t="shared" si="17"/>
        <v>223</v>
      </c>
      <c r="Z52" s="5">
        <f t="shared" si="17"/>
        <v>225</v>
      </c>
      <c r="AA52" s="5">
        <f t="shared" si="17"/>
        <v>189</v>
      </c>
      <c r="AB52" s="5">
        <f t="shared" si="17"/>
        <v>211</v>
      </c>
      <c r="AC52" s="5">
        <f t="shared" si="17"/>
        <v>231</v>
      </c>
      <c r="AD52" s="5">
        <f t="shared" si="17"/>
        <v>140</v>
      </c>
      <c r="AE52" s="5">
        <f t="shared" si="17"/>
        <v>140</v>
      </c>
      <c r="AF52" s="5">
        <f t="shared" si="16"/>
        <v>5560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AE12"/>
    <mergeCell ref="AF12:AF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34:T34">
    <cfRule type="expression" dxfId="0" priority="1">
      <formula>E34&lt;&gt;#REF!</formula>
    </cfRule>
  </conditionalFormatting>
  <conditionalFormatting sqref="E14:AE15 E45:AE47">
    <cfRule type="containsBlanks" dxfId="1" priority="2">
      <formula>LEN(TRIM(E14))=0</formula>
    </cfRule>
  </conditionalFormatting>
  <conditionalFormatting sqref="E19:AE20">
    <cfRule type="containsBlanks" dxfId="1" priority="3">
      <formula>LEN(TRIM(E19))=0</formula>
    </cfRule>
  </conditionalFormatting>
  <conditionalFormatting sqref="E22:AE23 E25:AE26 E33:AE33 E35:AE35 E39:AE40">
    <cfRule type="containsBlanks" dxfId="1" priority="4">
      <formula>LEN(TRIM(E22))=0</formula>
    </cfRule>
  </conditionalFormatting>
  <conditionalFormatting sqref="E30:AE30">
    <cfRule type="expression" dxfId="0" priority="5">
      <formula>E30&lt;&gt;E46</formula>
    </cfRule>
  </conditionalFormatting>
  <conditionalFormatting sqref="E30:AE30">
    <cfRule type="expression" dxfId="0" priority="6">
      <formula>E30&lt;&gt;E34</formula>
    </cfRule>
  </conditionalFormatting>
  <conditionalFormatting sqref="E34:AE34">
    <cfRule type="expression" dxfId="2" priority="7">
      <formula>E30&lt;&gt;E34</formula>
    </cfRule>
  </conditionalFormatting>
  <conditionalFormatting sqref="E34:AE34">
    <cfRule type="expression" dxfId="3" priority="8">
      <formula>E30=E34</formula>
    </cfRule>
  </conditionalFormatting>
  <conditionalFormatting sqref="E34:AE34">
    <cfRule type="expression" dxfId="0" priority="9">
      <formula>E34&lt;&gt;E30</formula>
    </cfRule>
  </conditionalFormatting>
  <conditionalFormatting sqref="E50:AE51">
    <cfRule type="containsBlanks" dxfId="1" priority="10">
      <formula>LEN(TRIM(E50))=0</formula>
    </cfRule>
  </conditionalFormatting>
  <conditionalFormatting sqref="U34:AE34">
    <cfRule type="expression" dxfId="0" priority="11">
      <formula>U34&lt;&gt;U46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1" width="8.71"/>
    <col customWidth="1" min="32" max="32" width="13.29"/>
  </cols>
  <sheetData>
    <row r="1" ht="12.75" customHeight="1"/>
    <row r="2" ht="12.75" customHeight="1">
      <c r="C2" s="1" t="s">
        <v>0</v>
      </c>
      <c r="D2" s="1" t="s">
        <v>1</v>
      </c>
    </row>
    <row r="3" ht="12.75" customHeight="1">
      <c r="C3" s="1" t="s">
        <v>2</v>
      </c>
      <c r="D3" s="1" t="s">
        <v>3</v>
      </c>
    </row>
    <row r="4" ht="12.75" customHeight="1">
      <c r="C4" s="1" t="s">
        <v>4</v>
      </c>
      <c r="D4" s="1" t="s">
        <v>5</v>
      </c>
    </row>
    <row r="5" ht="12.75" customHeight="1">
      <c r="C5" s="1"/>
      <c r="D5" s="1"/>
    </row>
    <row r="6" ht="12.75" customHeight="1">
      <c r="C6" s="1"/>
      <c r="D6" s="1"/>
    </row>
    <row r="7" ht="12.75" customHeight="1">
      <c r="C7" s="1"/>
      <c r="D7" s="1"/>
    </row>
    <row r="8" ht="12.75" customHeight="1">
      <c r="C8" s="1"/>
      <c r="D8" s="1"/>
    </row>
    <row r="9" ht="12.75" customHeight="1">
      <c r="C9" s="1" t="s">
        <v>6</v>
      </c>
      <c r="D9" s="1" t="s">
        <v>81</v>
      </c>
    </row>
    <row r="10" ht="12.75" customHeight="1"/>
    <row r="11" ht="12.75" customHeight="1">
      <c r="A11" s="2"/>
      <c r="B11" s="3"/>
      <c r="C11" s="3"/>
      <c r="D11" s="3"/>
      <c r="E11" s="2"/>
      <c r="F11" s="2"/>
      <c r="G11" s="2"/>
      <c r="H11" s="2"/>
      <c r="I11" s="2"/>
      <c r="J11" s="2"/>
      <c r="K11" s="2"/>
      <c r="L11" s="2"/>
      <c r="M11" s="2"/>
      <c r="N11" s="4"/>
    </row>
    <row r="12" ht="12.75" customHeight="1">
      <c r="A12" s="5" t="s">
        <v>7</v>
      </c>
      <c r="B12" s="6" t="s">
        <v>8</v>
      </c>
      <c r="C12" s="7"/>
      <c r="D12" s="8"/>
      <c r="E12" s="9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10" t="s">
        <v>9</v>
      </c>
    </row>
    <row r="13" ht="12.75" customHeight="1">
      <c r="A13" s="11" t="s">
        <v>10</v>
      </c>
      <c r="B13" s="12" t="s">
        <v>11</v>
      </c>
      <c r="C13" s="7"/>
      <c r="D13" s="8"/>
      <c r="E13" s="5" t="s">
        <v>12</v>
      </c>
      <c r="F13" s="5" t="s">
        <v>13</v>
      </c>
      <c r="G13" s="5" t="s">
        <v>14</v>
      </c>
      <c r="H13" s="5" t="s">
        <v>15</v>
      </c>
      <c r="I13" s="5" t="s">
        <v>16</v>
      </c>
      <c r="J13" s="5" t="s">
        <v>17</v>
      </c>
      <c r="K13" s="5" t="s">
        <v>18</v>
      </c>
      <c r="L13" s="5" t="s">
        <v>19</v>
      </c>
      <c r="M13" s="5" t="s">
        <v>20</v>
      </c>
      <c r="N13" s="5" t="s">
        <v>21</v>
      </c>
      <c r="O13" s="5" t="s">
        <v>22</v>
      </c>
      <c r="P13" s="5" t="s">
        <v>23</v>
      </c>
      <c r="Q13" s="5" t="s">
        <v>24</v>
      </c>
      <c r="R13" s="5" t="s">
        <v>25</v>
      </c>
      <c r="S13" s="5" t="s">
        <v>26</v>
      </c>
      <c r="T13" s="5" t="s">
        <v>27</v>
      </c>
      <c r="U13" s="5" t="s">
        <v>28</v>
      </c>
      <c r="V13" s="5" t="s">
        <v>29</v>
      </c>
      <c r="W13" s="5" t="s">
        <v>30</v>
      </c>
      <c r="X13" s="5" t="s">
        <v>31</v>
      </c>
      <c r="Y13" s="5" t="s">
        <v>32</v>
      </c>
      <c r="Z13" s="5" t="s">
        <v>33</v>
      </c>
      <c r="AA13" s="5" t="s">
        <v>34</v>
      </c>
      <c r="AB13" s="5" t="s">
        <v>35</v>
      </c>
      <c r="AC13" s="5" t="s">
        <v>36</v>
      </c>
      <c r="AD13" s="5" t="s">
        <v>37</v>
      </c>
      <c r="AE13" s="5" t="s">
        <v>38</v>
      </c>
      <c r="AF13" s="14"/>
    </row>
    <row r="14" ht="12.75" customHeight="1">
      <c r="A14" s="15"/>
      <c r="B14" s="16" t="s">
        <v>40</v>
      </c>
      <c r="C14" s="17"/>
      <c r="D14" s="11" t="s">
        <v>41</v>
      </c>
      <c r="E14" s="11">
        <v>154.0</v>
      </c>
      <c r="F14" s="11">
        <v>144.0</v>
      </c>
      <c r="G14" s="11">
        <v>142.0</v>
      </c>
      <c r="H14" s="11">
        <v>113.0</v>
      </c>
      <c r="I14" s="11">
        <v>124.0</v>
      </c>
      <c r="J14" s="11">
        <v>132.0</v>
      </c>
      <c r="K14" s="11">
        <v>113.0</v>
      </c>
      <c r="L14" s="11">
        <v>131.0</v>
      </c>
      <c r="M14" s="11">
        <v>131.0</v>
      </c>
      <c r="N14" s="11">
        <v>116.0</v>
      </c>
      <c r="O14" s="11">
        <v>138.0</v>
      </c>
      <c r="P14" s="11">
        <v>130.0</v>
      </c>
      <c r="Q14" s="11">
        <v>147.0</v>
      </c>
      <c r="R14" s="11">
        <v>152.0</v>
      </c>
      <c r="S14" s="11">
        <v>146.0</v>
      </c>
      <c r="T14" s="11">
        <v>121.0</v>
      </c>
      <c r="U14" s="11">
        <v>142.0</v>
      </c>
      <c r="V14" s="11">
        <v>144.0</v>
      </c>
      <c r="W14" s="11">
        <v>120.0</v>
      </c>
      <c r="X14" s="11">
        <v>113.0</v>
      </c>
      <c r="Y14" s="11">
        <v>139.0</v>
      </c>
      <c r="Z14" s="11">
        <v>129.0</v>
      </c>
      <c r="AA14" s="11">
        <v>138.0</v>
      </c>
      <c r="AB14" s="11">
        <v>150.0</v>
      </c>
      <c r="AC14" s="11">
        <v>136.0</v>
      </c>
      <c r="AD14" s="11">
        <v>131.0</v>
      </c>
      <c r="AE14" s="11">
        <v>137.0</v>
      </c>
      <c r="AF14" s="5">
        <f t="shared" ref="AF14:AF16" si="1">SUM(E14:AE14)</f>
        <v>3613</v>
      </c>
    </row>
    <row r="15" ht="12.75" customHeight="1">
      <c r="A15" s="15"/>
      <c r="B15" s="18"/>
      <c r="C15" s="19"/>
      <c r="D15" s="11" t="s">
        <v>42</v>
      </c>
      <c r="E15" s="11">
        <v>141.0</v>
      </c>
      <c r="F15" s="11">
        <v>136.0</v>
      </c>
      <c r="G15" s="11">
        <v>135.0</v>
      </c>
      <c r="H15" s="11">
        <v>116.0</v>
      </c>
      <c r="I15" s="11">
        <v>108.0</v>
      </c>
      <c r="J15" s="11">
        <v>134.0</v>
      </c>
      <c r="K15" s="11">
        <v>125.0</v>
      </c>
      <c r="L15" s="11">
        <v>148.0</v>
      </c>
      <c r="M15" s="11">
        <v>149.0</v>
      </c>
      <c r="N15" s="11">
        <v>115.0</v>
      </c>
      <c r="O15" s="11">
        <v>124.0</v>
      </c>
      <c r="P15" s="11">
        <v>132.0</v>
      </c>
      <c r="Q15" s="11">
        <v>139.0</v>
      </c>
      <c r="R15" s="11">
        <v>131.0</v>
      </c>
      <c r="S15" s="11">
        <v>138.0</v>
      </c>
      <c r="T15" s="11">
        <v>114.0</v>
      </c>
      <c r="U15" s="11">
        <v>139.0</v>
      </c>
      <c r="V15" s="11">
        <v>132.0</v>
      </c>
      <c r="W15" s="11">
        <v>118.0</v>
      </c>
      <c r="X15" s="11">
        <v>126.0</v>
      </c>
      <c r="Y15" s="11">
        <v>138.0</v>
      </c>
      <c r="Z15" s="11">
        <v>125.0</v>
      </c>
      <c r="AA15" s="11">
        <v>141.0</v>
      </c>
      <c r="AB15" s="11">
        <v>129.0</v>
      </c>
      <c r="AC15" s="11">
        <v>146.0</v>
      </c>
      <c r="AD15" s="11">
        <v>125.0</v>
      </c>
      <c r="AE15" s="11">
        <v>146.0</v>
      </c>
      <c r="AF15" s="5">
        <f t="shared" si="1"/>
        <v>3550</v>
      </c>
    </row>
    <row r="16" ht="12.75" customHeight="1">
      <c r="A16" s="21"/>
      <c r="B16" s="22"/>
      <c r="C16" s="23"/>
      <c r="D16" s="5" t="s">
        <v>43</v>
      </c>
      <c r="E16" s="5">
        <f t="shared" ref="E16:AE16" si="2">SUM(E14:E15)</f>
        <v>295</v>
      </c>
      <c r="F16" s="5">
        <f t="shared" si="2"/>
        <v>280</v>
      </c>
      <c r="G16" s="5">
        <f t="shared" si="2"/>
        <v>277</v>
      </c>
      <c r="H16" s="5">
        <f t="shared" si="2"/>
        <v>229</v>
      </c>
      <c r="I16" s="5">
        <f t="shared" si="2"/>
        <v>232</v>
      </c>
      <c r="J16" s="5">
        <f t="shared" si="2"/>
        <v>266</v>
      </c>
      <c r="K16" s="5">
        <f t="shared" si="2"/>
        <v>238</v>
      </c>
      <c r="L16" s="5">
        <f t="shared" si="2"/>
        <v>279</v>
      </c>
      <c r="M16" s="5">
        <f t="shared" si="2"/>
        <v>280</v>
      </c>
      <c r="N16" s="5">
        <f t="shared" si="2"/>
        <v>231</v>
      </c>
      <c r="O16" s="5">
        <f t="shared" si="2"/>
        <v>262</v>
      </c>
      <c r="P16" s="5">
        <f t="shared" si="2"/>
        <v>262</v>
      </c>
      <c r="Q16" s="5">
        <f t="shared" si="2"/>
        <v>286</v>
      </c>
      <c r="R16" s="5">
        <f t="shared" si="2"/>
        <v>283</v>
      </c>
      <c r="S16" s="5">
        <f t="shared" si="2"/>
        <v>284</v>
      </c>
      <c r="T16" s="5">
        <f t="shared" si="2"/>
        <v>235</v>
      </c>
      <c r="U16" s="5">
        <f t="shared" si="2"/>
        <v>281</v>
      </c>
      <c r="V16" s="5">
        <f t="shared" si="2"/>
        <v>276</v>
      </c>
      <c r="W16" s="5">
        <f t="shared" si="2"/>
        <v>238</v>
      </c>
      <c r="X16" s="5">
        <f t="shared" si="2"/>
        <v>239</v>
      </c>
      <c r="Y16" s="5">
        <f t="shared" si="2"/>
        <v>277</v>
      </c>
      <c r="Z16" s="5">
        <f t="shared" si="2"/>
        <v>254</v>
      </c>
      <c r="AA16" s="5">
        <f t="shared" si="2"/>
        <v>279</v>
      </c>
      <c r="AB16" s="5">
        <f t="shared" si="2"/>
        <v>279</v>
      </c>
      <c r="AC16" s="5">
        <f t="shared" si="2"/>
        <v>282</v>
      </c>
      <c r="AD16" s="5">
        <f t="shared" si="2"/>
        <v>256</v>
      </c>
      <c r="AE16" s="5">
        <f t="shared" si="2"/>
        <v>283</v>
      </c>
      <c r="AF16" s="5">
        <f t="shared" si="1"/>
        <v>7163</v>
      </c>
    </row>
    <row r="17" ht="12.75" customHeight="1">
      <c r="A17" s="24"/>
      <c r="B17" s="7"/>
      <c r="C17" s="7"/>
      <c r="D17" s="8"/>
      <c r="E17" s="11"/>
      <c r="F17" s="11"/>
      <c r="G17" s="11"/>
      <c r="H17" s="11"/>
      <c r="I17" s="11"/>
      <c r="J17" s="11"/>
      <c r="K17" s="11"/>
      <c r="L17" s="11"/>
      <c r="M17" s="11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6"/>
    </row>
    <row r="18" ht="12.75" customHeight="1">
      <c r="A18" s="27" t="s">
        <v>44</v>
      </c>
      <c r="B18" s="12" t="s">
        <v>45</v>
      </c>
      <c r="C18" s="7"/>
      <c r="D18" s="8"/>
      <c r="E18" s="11"/>
      <c r="F18" s="11"/>
      <c r="G18" s="11"/>
      <c r="H18" s="11"/>
      <c r="I18" s="11"/>
      <c r="J18" s="11"/>
      <c r="K18" s="11"/>
      <c r="L18" s="11"/>
      <c r="M18" s="11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6"/>
    </row>
    <row r="19" ht="12.75" customHeight="1">
      <c r="A19" s="27"/>
      <c r="B19" s="28" t="s">
        <v>46</v>
      </c>
      <c r="C19" s="29" t="s">
        <v>47</v>
      </c>
      <c r="D19" s="11" t="s">
        <v>41</v>
      </c>
      <c r="E19" s="11">
        <v>130.0</v>
      </c>
      <c r="F19" s="11">
        <v>127.0</v>
      </c>
      <c r="G19" s="11">
        <v>99.0</v>
      </c>
      <c r="H19" s="11">
        <v>92.0</v>
      </c>
      <c r="I19" s="11">
        <v>98.0</v>
      </c>
      <c r="J19" s="11">
        <v>107.0</v>
      </c>
      <c r="K19" s="11">
        <v>89.0</v>
      </c>
      <c r="L19" s="11">
        <v>92.0</v>
      </c>
      <c r="M19" s="11">
        <v>94.0</v>
      </c>
      <c r="N19" s="11">
        <v>79.0</v>
      </c>
      <c r="O19" s="11">
        <v>104.0</v>
      </c>
      <c r="P19" s="11">
        <v>95.0</v>
      </c>
      <c r="Q19" s="11">
        <v>110.0</v>
      </c>
      <c r="R19" s="11">
        <v>105.0</v>
      </c>
      <c r="S19" s="11">
        <v>99.0</v>
      </c>
      <c r="T19" s="11">
        <v>83.0</v>
      </c>
      <c r="U19" s="11">
        <v>98.0</v>
      </c>
      <c r="V19" s="11">
        <v>102.0</v>
      </c>
      <c r="W19" s="11">
        <v>102.0</v>
      </c>
      <c r="X19" s="11">
        <v>88.0</v>
      </c>
      <c r="Y19" s="11">
        <v>103.0</v>
      </c>
      <c r="Z19" s="11">
        <v>102.0</v>
      </c>
      <c r="AA19" s="11">
        <v>114.0</v>
      </c>
      <c r="AB19" s="11">
        <v>104.0</v>
      </c>
      <c r="AC19" s="11">
        <v>103.0</v>
      </c>
      <c r="AD19" s="11">
        <v>109.0</v>
      </c>
      <c r="AE19" s="11">
        <v>105.0</v>
      </c>
      <c r="AF19" s="5">
        <f t="shared" ref="AF19:AF30" si="3">SUM(E19:AE19)</f>
        <v>2733</v>
      </c>
    </row>
    <row r="20" ht="12.75" customHeight="1">
      <c r="A20" s="30"/>
      <c r="B20" s="19"/>
      <c r="C20" s="31"/>
      <c r="D20" s="11" t="s">
        <v>42</v>
      </c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5">
        <f t="shared" si="3"/>
        <v>0</v>
      </c>
    </row>
    <row r="21" ht="12.75" customHeight="1">
      <c r="A21" s="32"/>
      <c r="B21" s="23"/>
      <c r="C21" s="14"/>
      <c r="D21" s="5" t="s">
        <v>43</v>
      </c>
      <c r="E21" s="5">
        <f t="shared" ref="E21:AE21" si="4">SUM(E19:E20)</f>
        <v>130</v>
      </c>
      <c r="F21" s="5">
        <f t="shared" si="4"/>
        <v>127</v>
      </c>
      <c r="G21" s="5">
        <f t="shared" si="4"/>
        <v>99</v>
      </c>
      <c r="H21" s="5">
        <f t="shared" si="4"/>
        <v>92</v>
      </c>
      <c r="I21" s="5">
        <f t="shared" si="4"/>
        <v>98</v>
      </c>
      <c r="J21" s="5">
        <f t="shared" si="4"/>
        <v>107</v>
      </c>
      <c r="K21" s="5">
        <f t="shared" si="4"/>
        <v>89</v>
      </c>
      <c r="L21" s="5">
        <f t="shared" si="4"/>
        <v>92</v>
      </c>
      <c r="M21" s="5">
        <f t="shared" si="4"/>
        <v>94</v>
      </c>
      <c r="N21" s="5">
        <f t="shared" si="4"/>
        <v>79</v>
      </c>
      <c r="O21" s="5">
        <f t="shared" si="4"/>
        <v>104</v>
      </c>
      <c r="P21" s="5">
        <f t="shared" si="4"/>
        <v>95</v>
      </c>
      <c r="Q21" s="5">
        <f t="shared" si="4"/>
        <v>110</v>
      </c>
      <c r="R21" s="5">
        <f t="shared" si="4"/>
        <v>105</v>
      </c>
      <c r="S21" s="5">
        <f t="shared" si="4"/>
        <v>99</v>
      </c>
      <c r="T21" s="5">
        <f t="shared" si="4"/>
        <v>83</v>
      </c>
      <c r="U21" s="5">
        <f t="shared" si="4"/>
        <v>98</v>
      </c>
      <c r="V21" s="5">
        <f t="shared" si="4"/>
        <v>102</v>
      </c>
      <c r="W21" s="5">
        <f t="shared" si="4"/>
        <v>102</v>
      </c>
      <c r="X21" s="5">
        <f t="shared" si="4"/>
        <v>88</v>
      </c>
      <c r="Y21" s="5">
        <f t="shared" si="4"/>
        <v>103</v>
      </c>
      <c r="Z21" s="5">
        <f t="shared" si="4"/>
        <v>102</v>
      </c>
      <c r="AA21" s="5">
        <f t="shared" si="4"/>
        <v>114</v>
      </c>
      <c r="AB21" s="5">
        <f t="shared" si="4"/>
        <v>104</v>
      </c>
      <c r="AC21" s="5">
        <f t="shared" si="4"/>
        <v>103</v>
      </c>
      <c r="AD21" s="5">
        <f t="shared" si="4"/>
        <v>109</v>
      </c>
      <c r="AE21" s="5">
        <f t="shared" si="4"/>
        <v>105</v>
      </c>
      <c r="AF21" s="5">
        <f t="shared" si="3"/>
        <v>2733</v>
      </c>
    </row>
    <row r="22" ht="12.75" customHeight="1">
      <c r="A22" s="30"/>
      <c r="B22" s="28" t="s">
        <v>48</v>
      </c>
      <c r="C22" s="29" t="s">
        <v>49</v>
      </c>
      <c r="D22" s="11" t="s">
        <v>41</v>
      </c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5">
        <f t="shared" si="3"/>
        <v>0</v>
      </c>
    </row>
    <row r="23" ht="12.75" customHeight="1">
      <c r="A23" s="30"/>
      <c r="B23" s="19"/>
      <c r="C23" s="31"/>
      <c r="D23" s="11" t="s">
        <v>42</v>
      </c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5">
        <f t="shared" si="3"/>
        <v>0</v>
      </c>
    </row>
    <row r="24" ht="12.75" customHeight="1">
      <c r="A24" s="32"/>
      <c r="B24" s="23"/>
      <c r="C24" s="14"/>
      <c r="D24" s="5" t="s">
        <v>43</v>
      </c>
      <c r="E24" s="5">
        <f t="shared" ref="E24:AE24" si="5">SUM(E22:E23)</f>
        <v>0</v>
      </c>
      <c r="F24" s="5">
        <f t="shared" si="5"/>
        <v>0</v>
      </c>
      <c r="G24" s="5">
        <f t="shared" si="5"/>
        <v>0</v>
      </c>
      <c r="H24" s="5">
        <f t="shared" si="5"/>
        <v>0</v>
      </c>
      <c r="I24" s="5">
        <f t="shared" si="5"/>
        <v>0</v>
      </c>
      <c r="J24" s="5">
        <f t="shared" si="5"/>
        <v>0</v>
      </c>
      <c r="K24" s="5">
        <f t="shared" si="5"/>
        <v>0</v>
      </c>
      <c r="L24" s="5">
        <f t="shared" si="5"/>
        <v>0</v>
      </c>
      <c r="M24" s="5">
        <f t="shared" si="5"/>
        <v>0</v>
      </c>
      <c r="N24" s="5">
        <f t="shared" si="5"/>
        <v>0</v>
      </c>
      <c r="O24" s="5">
        <f t="shared" si="5"/>
        <v>0</v>
      </c>
      <c r="P24" s="5">
        <f t="shared" si="5"/>
        <v>0</v>
      </c>
      <c r="Q24" s="5">
        <f t="shared" si="5"/>
        <v>0</v>
      </c>
      <c r="R24" s="5">
        <f t="shared" si="5"/>
        <v>0</v>
      </c>
      <c r="S24" s="5">
        <f t="shared" si="5"/>
        <v>0</v>
      </c>
      <c r="T24" s="5">
        <f t="shared" si="5"/>
        <v>0</v>
      </c>
      <c r="U24" s="5">
        <f t="shared" si="5"/>
        <v>0</v>
      </c>
      <c r="V24" s="5">
        <f t="shared" si="5"/>
        <v>0</v>
      </c>
      <c r="W24" s="5">
        <f t="shared" si="5"/>
        <v>0</v>
      </c>
      <c r="X24" s="5">
        <f t="shared" si="5"/>
        <v>0</v>
      </c>
      <c r="Y24" s="5">
        <f t="shared" si="5"/>
        <v>0</v>
      </c>
      <c r="Z24" s="5">
        <f t="shared" si="5"/>
        <v>0</v>
      </c>
      <c r="AA24" s="5">
        <f t="shared" si="5"/>
        <v>0</v>
      </c>
      <c r="AB24" s="5">
        <f t="shared" si="5"/>
        <v>0</v>
      </c>
      <c r="AC24" s="5">
        <f t="shared" si="5"/>
        <v>0</v>
      </c>
      <c r="AD24" s="5">
        <f t="shared" si="5"/>
        <v>0</v>
      </c>
      <c r="AE24" s="5">
        <f t="shared" si="5"/>
        <v>0</v>
      </c>
      <c r="AF24" s="5">
        <f t="shared" si="3"/>
        <v>0</v>
      </c>
    </row>
    <row r="25" ht="12.75" customHeight="1">
      <c r="A25" s="30"/>
      <c r="B25" s="28" t="s">
        <v>50</v>
      </c>
      <c r="C25" s="29" t="s">
        <v>51</v>
      </c>
      <c r="D25" s="11" t="s">
        <v>41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5">
        <f t="shared" si="3"/>
        <v>0</v>
      </c>
    </row>
    <row r="26" ht="12.75" customHeight="1">
      <c r="A26" s="30"/>
      <c r="B26" s="19"/>
      <c r="C26" s="31"/>
      <c r="D26" s="11" t="s">
        <v>42</v>
      </c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5">
        <f t="shared" si="3"/>
        <v>0</v>
      </c>
    </row>
    <row r="27" ht="12.75" customHeight="1">
      <c r="A27" s="32"/>
      <c r="B27" s="23"/>
      <c r="C27" s="14"/>
      <c r="D27" s="5" t="s">
        <v>43</v>
      </c>
      <c r="E27" s="5">
        <f t="shared" ref="E27:AE27" si="6">SUM(E25:E26)</f>
        <v>0</v>
      </c>
      <c r="F27" s="5">
        <f t="shared" si="6"/>
        <v>0</v>
      </c>
      <c r="G27" s="5">
        <f t="shared" si="6"/>
        <v>0</v>
      </c>
      <c r="H27" s="5">
        <f t="shared" si="6"/>
        <v>0</v>
      </c>
      <c r="I27" s="5">
        <f t="shared" si="6"/>
        <v>0</v>
      </c>
      <c r="J27" s="5">
        <f t="shared" si="6"/>
        <v>0</v>
      </c>
      <c r="K27" s="5">
        <f t="shared" si="6"/>
        <v>0</v>
      </c>
      <c r="L27" s="5">
        <f t="shared" si="6"/>
        <v>0</v>
      </c>
      <c r="M27" s="5">
        <f t="shared" si="6"/>
        <v>0</v>
      </c>
      <c r="N27" s="5">
        <f t="shared" si="6"/>
        <v>0</v>
      </c>
      <c r="O27" s="5">
        <f t="shared" si="6"/>
        <v>0</v>
      </c>
      <c r="P27" s="5">
        <f t="shared" si="6"/>
        <v>0</v>
      </c>
      <c r="Q27" s="5">
        <f t="shared" si="6"/>
        <v>0</v>
      </c>
      <c r="R27" s="5">
        <f t="shared" si="6"/>
        <v>0</v>
      </c>
      <c r="S27" s="5">
        <f t="shared" si="6"/>
        <v>0</v>
      </c>
      <c r="T27" s="5">
        <f t="shared" si="6"/>
        <v>0</v>
      </c>
      <c r="U27" s="5">
        <f t="shared" si="6"/>
        <v>0</v>
      </c>
      <c r="V27" s="5">
        <f t="shared" si="6"/>
        <v>0</v>
      </c>
      <c r="W27" s="5">
        <f t="shared" si="6"/>
        <v>0</v>
      </c>
      <c r="X27" s="5">
        <f t="shared" si="6"/>
        <v>0</v>
      </c>
      <c r="Y27" s="5">
        <f t="shared" si="6"/>
        <v>0</v>
      </c>
      <c r="Z27" s="5">
        <f t="shared" si="6"/>
        <v>0</v>
      </c>
      <c r="AA27" s="5">
        <f t="shared" si="6"/>
        <v>0</v>
      </c>
      <c r="AB27" s="5">
        <f t="shared" si="6"/>
        <v>0</v>
      </c>
      <c r="AC27" s="5">
        <f t="shared" si="6"/>
        <v>0</v>
      </c>
      <c r="AD27" s="5">
        <f t="shared" si="6"/>
        <v>0</v>
      </c>
      <c r="AE27" s="5">
        <f t="shared" si="6"/>
        <v>0</v>
      </c>
      <c r="AF27" s="5">
        <f t="shared" si="3"/>
        <v>0</v>
      </c>
    </row>
    <row r="28" ht="12.75" customHeight="1">
      <c r="A28" s="32"/>
      <c r="B28" s="33" t="s">
        <v>52</v>
      </c>
      <c r="C28" s="34" t="s">
        <v>53</v>
      </c>
      <c r="D28" s="5" t="s">
        <v>41</v>
      </c>
      <c r="E28" s="5">
        <f t="shared" ref="E28:AE28" si="7">SUM(E19,E22,E25)</f>
        <v>130</v>
      </c>
      <c r="F28" s="5">
        <f t="shared" si="7"/>
        <v>127</v>
      </c>
      <c r="G28" s="5">
        <f t="shared" si="7"/>
        <v>99</v>
      </c>
      <c r="H28" s="5">
        <f t="shared" si="7"/>
        <v>92</v>
      </c>
      <c r="I28" s="5">
        <f t="shared" si="7"/>
        <v>98</v>
      </c>
      <c r="J28" s="5">
        <f t="shared" si="7"/>
        <v>107</v>
      </c>
      <c r="K28" s="5">
        <f t="shared" si="7"/>
        <v>89</v>
      </c>
      <c r="L28" s="5">
        <f t="shared" si="7"/>
        <v>92</v>
      </c>
      <c r="M28" s="5">
        <f t="shared" si="7"/>
        <v>94</v>
      </c>
      <c r="N28" s="5">
        <f t="shared" si="7"/>
        <v>79</v>
      </c>
      <c r="O28" s="5">
        <f t="shared" si="7"/>
        <v>104</v>
      </c>
      <c r="P28" s="5">
        <f t="shared" si="7"/>
        <v>95</v>
      </c>
      <c r="Q28" s="5">
        <f t="shared" si="7"/>
        <v>110</v>
      </c>
      <c r="R28" s="5">
        <f t="shared" si="7"/>
        <v>105</v>
      </c>
      <c r="S28" s="5">
        <f t="shared" si="7"/>
        <v>99</v>
      </c>
      <c r="T28" s="5">
        <f t="shared" si="7"/>
        <v>83</v>
      </c>
      <c r="U28" s="5">
        <f t="shared" si="7"/>
        <v>98</v>
      </c>
      <c r="V28" s="5">
        <f t="shared" si="7"/>
        <v>102</v>
      </c>
      <c r="W28" s="5">
        <f t="shared" si="7"/>
        <v>102</v>
      </c>
      <c r="X28" s="5">
        <f t="shared" si="7"/>
        <v>88</v>
      </c>
      <c r="Y28" s="5">
        <f t="shared" si="7"/>
        <v>103</v>
      </c>
      <c r="Z28" s="5">
        <f t="shared" si="7"/>
        <v>102</v>
      </c>
      <c r="AA28" s="5">
        <f t="shared" si="7"/>
        <v>114</v>
      </c>
      <c r="AB28" s="5">
        <f t="shared" si="7"/>
        <v>104</v>
      </c>
      <c r="AC28" s="5">
        <f t="shared" si="7"/>
        <v>103</v>
      </c>
      <c r="AD28" s="5">
        <f t="shared" si="7"/>
        <v>109</v>
      </c>
      <c r="AE28" s="5">
        <f t="shared" si="7"/>
        <v>105</v>
      </c>
      <c r="AF28" s="5">
        <f t="shared" si="3"/>
        <v>2733</v>
      </c>
    </row>
    <row r="29" ht="12.75" customHeight="1">
      <c r="A29" s="32"/>
      <c r="B29" s="19"/>
      <c r="C29" s="31"/>
      <c r="D29" s="5" t="s">
        <v>42</v>
      </c>
      <c r="E29" s="5">
        <f t="shared" ref="E29:AE29" si="8">SUM(E20,E23,E26)</f>
        <v>0</v>
      </c>
      <c r="F29" s="5">
        <f t="shared" si="8"/>
        <v>0</v>
      </c>
      <c r="G29" s="5">
        <f t="shared" si="8"/>
        <v>0</v>
      </c>
      <c r="H29" s="5">
        <f t="shared" si="8"/>
        <v>0</v>
      </c>
      <c r="I29" s="5">
        <f t="shared" si="8"/>
        <v>0</v>
      </c>
      <c r="J29" s="5">
        <f t="shared" si="8"/>
        <v>0</v>
      </c>
      <c r="K29" s="5">
        <f t="shared" si="8"/>
        <v>0</v>
      </c>
      <c r="L29" s="5">
        <f t="shared" si="8"/>
        <v>0</v>
      </c>
      <c r="M29" s="5">
        <f t="shared" si="8"/>
        <v>0</v>
      </c>
      <c r="N29" s="5">
        <f t="shared" si="8"/>
        <v>0</v>
      </c>
      <c r="O29" s="5">
        <f t="shared" si="8"/>
        <v>0</v>
      </c>
      <c r="P29" s="5">
        <f t="shared" si="8"/>
        <v>0</v>
      </c>
      <c r="Q29" s="5">
        <f t="shared" si="8"/>
        <v>0</v>
      </c>
      <c r="R29" s="5">
        <f t="shared" si="8"/>
        <v>0</v>
      </c>
      <c r="S29" s="5">
        <f t="shared" si="8"/>
        <v>0</v>
      </c>
      <c r="T29" s="5">
        <f t="shared" si="8"/>
        <v>0</v>
      </c>
      <c r="U29" s="5">
        <f t="shared" si="8"/>
        <v>0</v>
      </c>
      <c r="V29" s="5">
        <f t="shared" si="8"/>
        <v>0</v>
      </c>
      <c r="W29" s="5">
        <f t="shared" si="8"/>
        <v>0</v>
      </c>
      <c r="X29" s="5">
        <f t="shared" si="8"/>
        <v>0</v>
      </c>
      <c r="Y29" s="5">
        <f t="shared" si="8"/>
        <v>0</v>
      </c>
      <c r="Z29" s="5">
        <f t="shared" si="8"/>
        <v>0</v>
      </c>
      <c r="AA29" s="5">
        <f t="shared" si="8"/>
        <v>0</v>
      </c>
      <c r="AB29" s="5">
        <f t="shared" si="8"/>
        <v>0</v>
      </c>
      <c r="AC29" s="5">
        <f t="shared" si="8"/>
        <v>0</v>
      </c>
      <c r="AD29" s="5">
        <f t="shared" si="8"/>
        <v>0</v>
      </c>
      <c r="AE29" s="5">
        <f t="shared" si="8"/>
        <v>0</v>
      </c>
      <c r="AF29" s="5">
        <f t="shared" si="3"/>
        <v>0</v>
      </c>
    </row>
    <row r="30" ht="12.75" customHeight="1">
      <c r="A30" s="32"/>
      <c r="B30" s="23"/>
      <c r="C30" s="14"/>
      <c r="D30" s="5" t="s">
        <v>43</v>
      </c>
      <c r="E30" s="5">
        <f t="shared" ref="E30:AE30" si="9">SUM(E28:E29)</f>
        <v>130</v>
      </c>
      <c r="F30" s="5">
        <f t="shared" si="9"/>
        <v>127</v>
      </c>
      <c r="G30" s="5">
        <f t="shared" si="9"/>
        <v>99</v>
      </c>
      <c r="H30" s="5">
        <f t="shared" si="9"/>
        <v>92</v>
      </c>
      <c r="I30" s="5">
        <f t="shared" si="9"/>
        <v>98</v>
      </c>
      <c r="J30" s="5">
        <f t="shared" si="9"/>
        <v>107</v>
      </c>
      <c r="K30" s="5">
        <f t="shared" si="9"/>
        <v>89</v>
      </c>
      <c r="L30" s="5">
        <f t="shared" si="9"/>
        <v>92</v>
      </c>
      <c r="M30" s="5">
        <f t="shared" si="9"/>
        <v>94</v>
      </c>
      <c r="N30" s="5">
        <f t="shared" si="9"/>
        <v>79</v>
      </c>
      <c r="O30" s="5">
        <f t="shared" si="9"/>
        <v>104</v>
      </c>
      <c r="P30" s="5">
        <f t="shared" si="9"/>
        <v>95</v>
      </c>
      <c r="Q30" s="5">
        <f t="shared" si="9"/>
        <v>110</v>
      </c>
      <c r="R30" s="5">
        <f t="shared" si="9"/>
        <v>105</v>
      </c>
      <c r="S30" s="5">
        <f t="shared" si="9"/>
        <v>99</v>
      </c>
      <c r="T30" s="5">
        <f t="shared" si="9"/>
        <v>83</v>
      </c>
      <c r="U30" s="5">
        <f t="shared" si="9"/>
        <v>98</v>
      </c>
      <c r="V30" s="5">
        <f t="shared" si="9"/>
        <v>102</v>
      </c>
      <c r="W30" s="5">
        <f t="shared" si="9"/>
        <v>102</v>
      </c>
      <c r="X30" s="5">
        <f t="shared" si="9"/>
        <v>88</v>
      </c>
      <c r="Y30" s="5">
        <f t="shared" si="9"/>
        <v>103</v>
      </c>
      <c r="Z30" s="5">
        <f t="shared" si="9"/>
        <v>102</v>
      </c>
      <c r="AA30" s="5">
        <f t="shared" si="9"/>
        <v>114</v>
      </c>
      <c r="AB30" s="5">
        <f t="shared" si="9"/>
        <v>104</v>
      </c>
      <c r="AC30" s="5">
        <f t="shared" si="9"/>
        <v>103</v>
      </c>
      <c r="AD30" s="5">
        <f t="shared" si="9"/>
        <v>109</v>
      </c>
      <c r="AE30" s="5">
        <f t="shared" si="9"/>
        <v>105</v>
      </c>
      <c r="AF30" s="5">
        <f t="shared" si="3"/>
        <v>2733</v>
      </c>
    </row>
    <row r="31" ht="12.75" customHeight="1">
      <c r="A31" s="24"/>
      <c r="B31" s="7"/>
      <c r="C31" s="7"/>
      <c r="D31" s="8"/>
      <c r="E31" s="11"/>
      <c r="F31" s="11"/>
      <c r="G31" s="11"/>
      <c r="H31" s="11"/>
      <c r="I31" s="11"/>
      <c r="J31" s="11"/>
      <c r="K31" s="11"/>
      <c r="L31" s="11"/>
      <c r="M31" s="11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6"/>
    </row>
    <row r="32" ht="12.75" customHeight="1">
      <c r="A32" s="35" t="s">
        <v>54</v>
      </c>
      <c r="B32" s="6" t="s">
        <v>55</v>
      </c>
      <c r="C32" s="7"/>
      <c r="D32" s="8"/>
      <c r="E32" s="5"/>
      <c r="F32" s="5"/>
      <c r="G32" s="5"/>
      <c r="H32" s="5"/>
      <c r="I32" s="5"/>
      <c r="J32" s="5"/>
      <c r="K32" s="5"/>
      <c r="L32" s="5"/>
      <c r="M32" s="5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26"/>
    </row>
    <row r="33" ht="12.75" customHeight="1">
      <c r="A33" s="11">
        <v>1.0</v>
      </c>
      <c r="B33" s="12" t="s">
        <v>56</v>
      </c>
      <c r="C33" s="7"/>
      <c r="D33" s="8"/>
      <c r="E33" s="11">
        <v>300.0</v>
      </c>
      <c r="F33" s="11">
        <v>288.0</v>
      </c>
      <c r="G33" s="11">
        <v>283.0</v>
      </c>
      <c r="H33" s="11">
        <v>233.0</v>
      </c>
      <c r="I33" s="11">
        <v>250.0</v>
      </c>
      <c r="J33" s="11">
        <v>272.0</v>
      </c>
      <c r="K33" s="11">
        <v>243.0</v>
      </c>
      <c r="L33" s="11">
        <v>285.0</v>
      </c>
      <c r="M33" s="11">
        <v>286.0</v>
      </c>
      <c r="N33" s="11">
        <v>236.0</v>
      </c>
      <c r="O33" s="11">
        <v>268.0</v>
      </c>
      <c r="P33" s="11">
        <v>268.0</v>
      </c>
      <c r="Q33" s="11">
        <v>291.0</v>
      </c>
      <c r="R33" s="11">
        <v>289.0</v>
      </c>
      <c r="S33" s="11">
        <v>290.0</v>
      </c>
      <c r="T33" s="11">
        <v>290.0</v>
      </c>
      <c r="U33" s="11">
        <v>288.0</v>
      </c>
      <c r="V33" s="11">
        <v>276.0</v>
      </c>
      <c r="W33" s="11">
        <v>243.0</v>
      </c>
      <c r="X33" s="11">
        <v>244.0</v>
      </c>
      <c r="Y33" s="11">
        <v>283.0</v>
      </c>
      <c r="Z33" s="11">
        <v>260.0</v>
      </c>
      <c r="AA33" s="11">
        <v>290.0</v>
      </c>
      <c r="AB33" s="11">
        <v>285.0</v>
      </c>
      <c r="AC33" s="11">
        <v>295.0</v>
      </c>
      <c r="AD33" s="11">
        <v>264.0</v>
      </c>
      <c r="AE33" s="11">
        <v>289.0</v>
      </c>
      <c r="AF33" s="5">
        <f t="shared" ref="AF33:AF36" si="10">SUM(E33:AE33)</f>
        <v>7389</v>
      </c>
    </row>
    <row r="34" ht="12.75" customHeight="1">
      <c r="A34" s="11">
        <v>2.0</v>
      </c>
      <c r="B34" s="12" t="s">
        <v>57</v>
      </c>
      <c r="C34" s="7"/>
      <c r="D34" s="8"/>
      <c r="E34" s="5">
        <v>242.0</v>
      </c>
      <c r="F34" s="5">
        <v>243.0</v>
      </c>
      <c r="G34" s="5">
        <v>218.0</v>
      </c>
      <c r="H34" s="5">
        <v>187.0</v>
      </c>
      <c r="I34" s="5">
        <v>187.0</v>
      </c>
      <c r="J34" s="5">
        <v>215.0</v>
      </c>
      <c r="K34" s="5">
        <v>192.0</v>
      </c>
      <c r="L34" s="5">
        <v>215.0</v>
      </c>
      <c r="M34" s="5">
        <v>215.0</v>
      </c>
      <c r="N34" s="5">
        <v>172.0</v>
      </c>
      <c r="O34" s="5">
        <v>202.0</v>
      </c>
      <c r="P34" s="5">
        <v>191.0</v>
      </c>
      <c r="Q34" s="5">
        <v>221.0</v>
      </c>
      <c r="R34" s="5">
        <v>205.0</v>
      </c>
      <c r="S34" s="5">
        <v>202.0</v>
      </c>
      <c r="T34" s="5">
        <v>167.0</v>
      </c>
      <c r="U34" s="5">
        <v>200.0</v>
      </c>
      <c r="V34" s="5">
        <v>197.0</v>
      </c>
      <c r="W34" s="5">
        <v>200.0</v>
      </c>
      <c r="X34" s="5">
        <v>185.0</v>
      </c>
      <c r="Y34" s="5">
        <v>215.0</v>
      </c>
      <c r="Z34" s="5">
        <v>207.0</v>
      </c>
      <c r="AA34" s="5">
        <v>236.0</v>
      </c>
      <c r="AB34" s="5">
        <v>212.0</v>
      </c>
      <c r="AC34" s="5">
        <v>224.0</v>
      </c>
      <c r="AD34" s="5">
        <v>217.0</v>
      </c>
      <c r="AE34" s="5">
        <v>214.0</v>
      </c>
      <c r="AF34" s="5">
        <f t="shared" si="10"/>
        <v>5581</v>
      </c>
    </row>
    <row r="35" ht="12.75" customHeight="1">
      <c r="A35" s="11">
        <v>3.0</v>
      </c>
      <c r="B35" s="12" t="s">
        <v>58</v>
      </c>
      <c r="C35" s="7"/>
      <c r="D35" s="8"/>
      <c r="E35" s="11">
        <v>3.0</v>
      </c>
      <c r="F35" s="11">
        <v>0.0</v>
      </c>
      <c r="G35" s="11">
        <v>0.0</v>
      </c>
      <c r="H35" s="11">
        <v>0.0</v>
      </c>
      <c r="I35" s="11">
        <v>0.0</v>
      </c>
      <c r="J35" s="11">
        <v>3.0</v>
      </c>
      <c r="K35" s="11">
        <v>3.0</v>
      </c>
      <c r="L35" s="11">
        <v>0.0</v>
      </c>
      <c r="M35" s="11">
        <v>0.0</v>
      </c>
      <c r="N35" s="11">
        <v>2.0</v>
      </c>
      <c r="O35" s="11">
        <v>0.0</v>
      </c>
      <c r="P35" s="11">
        <v>0.0</v>
      </c>
      <c r="Q35" s="11">
        <v>0.0</v>
      </c>
      <c r="R35" s="11">
        <v>0.0</v>
      </c>
      <c r="S35" s="11">
        <v>0.0</v>
      </c>
      <c r="T35" s="11">
        <v>1.0</v>
      </c>
      <c r="U35" s="11">
        <v>0.0</v>
      </c>
      <c r="V35" s="11">
        <v>0.0</v>
      </c>
      <c r="W35" s="11">
        <v>0.0</v>
      </c>
      <c r="X35" s="11">
        <v>0.0</v>
      </c>
      <c r="Y35" s="11">
        <v>0.0</v>
      </c>
      <c r="Z35" s="11">
        <v>0.0</v>
      </c>
      <c r="AA35" s="11">
        <v>0.0</v>
      </c>
      <c r="AB35" s="11">
        <v>0.0</v>
      </c>
      <c r="AC35" s="11">
        <v>0.0</v>
      </c>
      <c r="AD35" s="11">
        <v>0.0</v>
      </c>
      <c r="AE35" s="11">
        <v>0.0</v>
      </c>
      <c r="AF35" s="5">
        <f t="shared" si="10"/>
        <v>12</v>
      </c>
    </row>
    <row r="36" ht="12.75" customHeight="1">
      <c r="A36" s="11">
        <v>4.0</v>
      </c>
      <c r="B36" s="12" t="s">
        <v>59</v>
      </c>
      <c r="C36" s="7"/>
      <c r="D36" s="8"/>
      <c r="E36" s="5">
        <f t="shared" ref="E36:AE36" si="11">E33-(E34+E35)</f>
        <v>55</v>
      </c>
      <c r="F36" s="5">
        <f t="shared" si="11"/>
        <v>45</v>
      </c>
      <c r="G36" s="5">
        <f t="shared" si="11"/>
        <v>65</v>
      </c>
      <c r="H36" s="5">
        <f t="shared" si="11"/>
        <v>46</v>
      </c>
      <c r="I36" s="5">
        <f t="shared" si="11"/>
        <v>63</v>
      </c>
      <c r="J36" s="5">
        <f t="shared" si="11"/>
        <v>54</v>
      </c>
      <c r="K36" s="5">
        <f t="shared" si="11"/>
        <v>48</v>
      </c>
      <c r="L36" s="5">
        <f t="shared" si="11"/>
        <v>70</v>
      </c>
      <c r="M36" s="5">
        <f t="shared" si="11"/>
        <v>71</v>
      </c>
      <c r="N36" s="5">
        <f t="shared" si="11"/>
        <v>62</v>
      </c>
      <c r="O36" s="5">
        <f t="shared" si="11"/>
        <v>66</v>
      </c>
      <c r="P36" s="5">
        <f t="shared" si="11"/>
        <v>77</v>
      </c>
      <c r="Q36" s="5">
        <f t="shared" si="11"/>
        <v>70</v>
      </c>
      <c r="R36" s="5">
        <f t="shared" si="11"/>
        <v>84</v>
      </c>
      <c r="S36" s="5">
        <f t="shared" si="11"/>
        <v>88</v>
      </c>
      <c r="T36" s="5">
        <f t="shared" si="11"/>
        <v>122</v>
      </c>
      <c r="U36" s="5">
        <f t="shared" si="11"/>
        <v>88</v>
      </c>
      <c r="V36" s="5">
        <f t="shared" si="11"/>
        <v>79</v>
      </c>
      <c r="W36" s="5">
        <f t="shared" si="11"/>
        <v>43</v>
      </c>
      <c r="X36" s="5">
        <f t="shared" si="11"/>
        <v>59</v>
      </c>
      <c r="Y36" s="5">
        <f t="shared" si="11"/>
        <v>68</v>
      </c>
      <c r="Z36" s="5">
        <f t="shared" si="11"/>
        <v>53</v>
      </c>
      <c r="AA36" s="5">
        <f t="shared" si="11"/>
        <v>54</v>
      </c>
      <c r="AB36" s="5">
        <f t="shared" si="11"/>
        <v>73</v>
      </c>
      <c r="AC36" s="5">
        <f t="shared" si="11"/>
        <v>71</v>
      </c>
      <c r="AD36" s="5">
        <f t="shared" si="11"/>
        <v>47</v>
      </c>
      <c r="AE36" s="5">
        <f t="shared" si="11"/>
        <v>75</v>
      </c>
      <c r="AF36" s="5">
        <f t="shared" si="10"/>
        <v>1796</v>
      </c>
    </row>
    <row r="37" ht="12.75" customHeight="1">
      <c r="A37" s="24"/>
      <c r="B37" s="7"/>
      <c r="C37" s="7"/>
      <c r="D37" s="7"/>
      <c r="E37" s="24"/>
      <c r="F37" s="7"/>
      <c r="G37" s="7"/>
      <c r="H37" s="7"/>
      <c r="I37" s="8"/>
      <c r="J37" s="11"/>
      <c r="K37" s="11"/>
      <c r="L37" s="11"/>
      <c r="M37" s="11"/>
      <c r="N37" s="25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26"/>
    </row>
    <row r="38" ht="12.75" customHeight="1">
      <c r="A38" s="39" t="s">
        <v>60</v>
      </c>
      <c r="B38" s="6" t="s">
        <v>61</v>
      </c>
      <c r="C38" s="7"/>
      <c r="D38" s="8"/>
      <c r="E38" s="5"/>
      <c r="F38" s="5"/>
      <c r="G38" s="5"/>
      <c r="H38" s="5"/>
      <c r="I38" s="5"/>
      <c r="J38" s="5"/>
      <c r="K38" s="5"/>
      <c r="L38" s="5"/>
      <c r="M38" s="5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26"/>
    </row>
    <row r="39" ht="12.75" customHeight="1">
      <c r="A39" s="27"/>
      <c r="B39" s="40" t="s">
        <v>62</v>
      </c>
      <c r="C39" s="17"/>
      <c r="D39" s="11" t="s">
        <v>41</v>
      </c>
      <c r="E39" s="11">
        <v>0.0</v>
      </c>
      <c r="F39" s="11">
        <v>1.0</v>
      </c>
      <c r="G39" s="11">
        <v>0.0</v>
      </c>
      <c r="H39" s="11">
        <v>0.0</v>
      </c>
      <c r="I39" s="11">
        <v>0.0</v>
      </c>
      <c r="J39" s="11">
        <v>0.0</v>
      </c>
      <c r="K39" s="11">
        <v>0.0</v>
      </c>
      <c r="L39" s="11">
        <v>0.0</v>
      </c>
      <c r="M39" s="11">
        <v>0.0</v>
      </c>
      <c r="N39" s="11">
        <v>0.0</v>
      </c>
      <c r="O39" s="11">
        <v>0.0</v>
      </c>
      <c r="P39" s="11">
        <v>0.0</v>
      </c>
      <c r="Q39" s="11">
        <v>0.0</v>
      </c>
      <c r="R39" s="11">
        <v>0.0</v>
      </c>
      <c r="S39" s="11">
        <v>0.0</v>
      </c>
      <c r="T39" s="11">
        <v>0.0</v>
      </c>
      <c r="U39" s="11">
        <v>0.0</v>
      </c>
      <c r="V39" s="11">
        <v>1.0</v>
      </c>
      <c r="W39" s="11">
        <v>0.0</v>
      </c>
      <c r="X39" s="11">
        <v>0.0</v>
      </c>
      <c r="Y39" s="11">
        <v>0.0</v>
      </c>
      <c r="Z39" s="11">
        <v>0.0</v>
      </c>
      <c r="AA39" s="11">
        <v>0.0</v>
      </c>
      <c r="AB39" s="11">
        <v>0.0</v>
      </c>
      <c r="AC39" s="11">
        <v>1.0</v>
      </c>
      <c r="AD39" s="11">
        <v>0.0</v>
      </c>
      <c r="AE39" s="11">
        <v>0.0</v>
      </c>
      <c r="AF39" s="5">
        <f t="shared" ref="AF39:AF41" si="12">SUM(E39:AE39)</f>
        <v>3</v>
      </c>
    </row>
    <row r="40" ht="12.75" customHeight="1">
      <c r="A40" s="30"/>
      <c r="C40" s="19"/>
      <c r="D40" s="11" t="s">
        <v>42</v>
      </c>
      <c r="E40" s="11">
        <v>1.0</v>
      </c>
      <c r="F40" s="11">
        <v>0.0</v>
      </c>
      <c r="G40" s="11">
        <v>0.0</v>
      </c>
      <c r="H40" s="11">
        <v>0.0</v>
      </c>
      <c r="I40" s="11">
        <v>0.0</v>
      </c>
      <c r="J40" s="11">
        <v>0.0</v>
      </c>
      <c r="K40" s="11">
        <v>0.0</v>
      </c>
      <c r="L40" s="11">
        <v>0.0</v>
      </c>
      <c r="M40" s="11">
        <v>0.0</v>
      </c>
      <c r="N40" s="11">
        <v>0.0</v>
      </c>
      <c r="O40" s="11">
        <v>0.0</v>
      </c>
      <c r="P40" s="11">
        <v>0.0</v>
      </c>
      <c r="Q40" s="11">
        <v>0.0</v>
      </c>
      <c r="R40" s="11">
        <v>0.0</v>
      </c>
      <c r="S40" s="11">
        <v>0.0</v>
      </c>
      <c r="T40" s="11">
        <v>0.0</v>
      </c>
      <c r="U40" s="11">
        <v>0.0</v>
      </c>
      <c r="V40" s="11">
        <v>0.0</v>
      </c>
      <c r="W40" s="11">
        <v>0.0</v>
      </c>
      <c r="X40" s="11">
        <v>0.0</v>
      </c>
      <c r="Y40" s="11">
        <v>0.0</v>
      </c>
      <c r="Z40" s="11">
        <v>0.0</v>
      </c>
      <c r="AA40" s="11">
        <v>0.0</v>
      </c>
      <c r="AB40" s="11">
        <v>0.0</v>
      </c>
      <c r="AC40" s="11">
        <v>0.0</v>
      </c>
      <c r="AD40" s="11">
        <v>0.0</v>
      </c>
      <c r="AE40" s="11">
        <v>1.0</v>
      </c>
      <c r="AF40" s="5">
        <f t="shared" si="12"/>
        <v>2</v>
      </c>
    </row>
    <row r="41" ht="12.75" customHeight="1">
      <c r="A41" s="35"/>
      <c r="B41" s="41"/>
      <c r="C41" s="23"/>
      <c r="D41" s="5" t="s">
        <v>43</v>
      </c>
      <c r="E41" s="5">
        <f t="shared" ref="E41:AE41" si="13">SUM(E39:E40)</f>
        <v>1</v>
      </c>
      <c r="F41" s="5">
        <f t="shared" si="13"/>
        <v>1</v>
      </c>
      <c r="G41" s="5">
        <f t="shared" si="13"/>
        <v>0</v>
      </c>
      <c r="H41" s="5">
        <f t="shared" si="13"/>
        <v>0</v>
      </c>
      <c r="I41" s="5">
        <f t="shared" si="13"/>
        <v>0</v>
      </c>
      <c r="J41" s="5">
        <f t="shared" si="13"/>
        <v>0</v>
      </c>
      <c r="K41" s="5">
        <f t="shared" si="13"/>
        <v>0</v>
      </c>
      <c r="L41" s="5">
        <f t="shared" si="13"/>
        <v>0</v>
      </c>
      <c r="M41" s="5">
        <f t="shared" si="13"/>
        <v>0</v>
      </c>
      <c r="N41" s="5">
        <f t="shared" si="13"/>
        <v>0</v>
      </c>
      <c r="O41" s="5">
        <f t="shared" si="13"/>
        <v>0</v>
      </c>
      <c r="P41" s="5">
        <f t="shared" si="13"/>
        <v>0</v>
      </c>
      <c r="Q41" s="5">
        <f t="shared" si="13"/>
        <v>0</v>
      </c>
      <c r="R41" s="5">
        <f t="shared" si="13"/>
        <v>0</v>
      </c>
      <c r="S41" s="5">
        <f t="shared" si="13"/>
        <v>0</v>
      </c>
      <c r="T41" s="5">
        <f t="shared" si="13"/>
        <v>0</v>
      </c>
      <c r="U41" s="5">
        <f t="shared" si="13"/>
        <v>0</v>
      </c>
      <c r="V41" s="5">
        <f t="shared" si="13"/>
        <v>1</v>
      </c>
      <c r="W41" s="5">
        <f t="shared" si="13"/>
        <v>0</v>
      </c>
      <c r="X41" s="5">
        <f t="shared" si="13"/>
        <v>0</v>
      </c>
      <c r="Y41" s="5">
        <f t="shared" si="13"/>
        <v>0</v>
      </c>
      <c r="Z41" s="5">
        <f t="shared" si="13"/>
        <v>0</v>
      </c>
      <c r="AA41" s="5">
        <f t="shared" si="13"/>
        <v>0</v>
      </c>
      <c r="AB41" s="5">
        <f t="shared" si="13"/>
        <v>0</v>
      </c>
      <c r="AC41" s="5">
        <f t="shared" si="13"/>
        <v>1</v>
      </c>
      <c r="AD41" s="5">
        <f t="shared" si="13"/>
        <v>0</v>
      </c>
      <c r="AE41" s="5">
        <f t="shared" si="13"/>
        <v>1</v>
      </c>
      <c r="AF41" s="5">
        <f t="shared" si="12"/>
        <v>5</v>
      </c>
    </row>
    <row r="42" ht="12.75" customHeight="1">
      <c r="A42" s="42"/>
      <c r="B42" s="41"/>
      <c r="C42" s="41"/>
      <c r="D42" s="23"/>
      <c r="E42" s="24"/>
      <c r="F42" s="7"/>
      <c r="G42" s="7"/>
      <c r="H42" s="7"/>
      <c r="I42" s="8"/>
      <c r="J42" s="11"/>
      <c r="K42" s="11"/>
      <c r="L42" s="11"/>
      <c r="M42" s="11"/>
      <c r="N42" s="25"/>
      <c r="O42" s="11"/>
      <c r="P42" s="25"/>
      <c r="Q42" s="11"/>
      <c r="R42" s="25"/>
      <c r="S42" s="11"/>
      <c r="T42" s="25"/>
      <c r="U42" s="11"/>
      <c r="V42" s="25"/>
      <c r="W42" s="11"/>
      <c r="X42" s="25"/>
      <c r="Y42" s="11"/>
      <c r="Z42" s="25"/>
      <c r="AA42" s="11"/>
      <c r="AB42" s="25"/>
      <c r="AC42" s="11"/>
      <c r="AD42" s="25"/>
      <c r="AE42" s="11"/>
      <c r="AF42" s="5"/>
    </row>
    <row r="43" ht="12.75" customHeight="1">
      <c r="A43" s="39" t="s">
        <v>63</v>
      </c>
      <c r="B43" s="6" t="s">
        <v>64</v>
      </c>
      <c r="C43" s="7"/>
      <c r="D43" s="8"/>
      <c r="E43" s="9"/>
      <c r="F43" s="5"/>
      <c r="G43" s="5"/>
      <c r="H43" s="5"/>
      <c r="I43" s="5"/>
      <c r="J43" s="5"/>
      <c r="K43" s="5"/>
      <c r="L43" s="5"/>
      <c r="M43" s="5"/>
      <c r="N43" s="36"/>
      <c r="O43" s="5"/>
      <c r="P43" s="36"/>
      <c r="Q43" s="5"/>
      <c r="R43" s="36"/>
      <c r="S43" s="5"/>
      <c r="T43" s="36"/>
      <c r="U43" s="5"/>
      <c r="V43" s="36"/>
      <c r="W43" s="5"/>
      <c r="X43" s="36"/>
      <c r="Y43" s="5"/>
      <c r="Z43" s="36"/>
      <c r="AA43" s="5"/>
      <c r="AB43" s="36"/>
      <c r="AC43" s="5"/>
      <c r="AD43" s="36"/>
      <c r="AE43" s="5"/>
      <c r="AF43" s="5"/>
    </row>
    <row r="44" ht="12.75" customHeight="1">
      <c r="A44" s="40" t="s">
        <v>65</v>
      </c>
      <c r="B44" s="43"/>
      <c r="C44" s="43"/>
      <c r="D44" s="17"/>
      <c r="E44" s="24"/>
      <c r="F44" s="11"/>
      <c r="G44" s="11"/>
      <c r="H44" s="11"/>
      <c r="I44" s="11"/>
      <c r="J44" s="11"/>
      <c r="K44" s="11"/>
      <c r="L44" s="11"/>
      <c r="M44" s="11"/>
      <c r="N44" s="25"/>
      <c r="O44" s="11"/>
      <c r="P44" s="25"/>
      <c r="Q44" s="11"/>
      <c r="R44" s="25"/>
      <c r="S44" s="11"/>
      <c r="T44" s="25"/>
      <c r="U44" s="11"/>
      <c r="V44" s="25"/>
      <c r="W44" s="11"/>
      <c r="X44" s="25"/>
      <c r="Y44" s="11"/>
      <c r="Z44" s="25"/>
      <c r="AA44" s="11"/>
      <c r="AB44" s="25"/>
      <c r="AC44" s="11"/>
      <c r="AD44" s="25"/>
      <c r="AE44" s="11"/>
      <c r="AF44" s="5"/>
    </row>
    <row r="45" ht="12.75" customHeight="1">
      <c r="A45" s="44"/>
      <c r="B45" s="45">
        <v>1.0</v>
      </c>
      <c r="C45" s="46" t="s">
        <v>66</v>
      </c>
      <c r="D45" s="8"/>
      <c r="E45" s="11">
        <v>17.0</v>
      </c>
      <c r="F45" s="11">
        <v>26.0</v>
      </c>
      <c r="G45" s="11">
        <v>35.0</v>
      </c>
      <c r="H45" s="11">
        <v>24.0</v>
      </c>
      <c r="I45" s="11">
        <v>2.0</v>
      </c>
      <c r="J45" s="11">
        <v>14.0</v>
      </c>
      <c r="K45" s="11">
        <v>16.0</v>
      </c>
      <c r="L45" s="11">
        <v>17.0</v>
      </c>
      <c r="M45" s="11">
        <v>13.0</v>
      </c>
      <c r="N45" s="11">
        <v>16.0</v>
      </c>
      <c r="O45" s="11">
        <v>8.0</v>
      </c>
      <c r="P45" s="11">
        <v>8.0</v>
      </c>
      <c r="Q45" s="11">
        <v>17.0</v>
      </c>
      <c r="R45" s="11">
        <v>16.0</v>
      </c>
      <c r="S45" s="11">
        <v>12.0</v>
      </c>
      <c r="T45" s="11">
        <v>11.0</v>
      </c>
      <c r="U45" s="11">
        <v>21.0</v>
      </c>
      <c r="V45" s="11">
        <v>19.0</v>
      </c>
      <c r="W45" s="11">
        <v>14.0</v>
      </c>
      <c r="X45" s="11">
        <v>30.0</v>
      </c>
      <c r="Y45" s="11">
        <v>19.0</v>
      </c>
      <c r="Z45" s="11">
        <v>33.0</v>
      </c>
      <c r="AA45" s="11">
        <v>32.0</v>
      </c>
      <c r="AB45" s="11">
        <v>12.0</v>
      </c>
      <c r="AC45" s="11">
        <v>8.0</v>
      </c>
      <c r="AD45" s="11">
        <v>6.0</v>
      </c>
      <c r="AE45" s="11">
        <v>9.0</v>
      </c>
      <c r="AF45" s="5">
        <f t="shared" ref="AF45:AF47" si="14">SUM(E45:AE45)</f>
        <v>455</v>
      </c>
    </row>
    <row r="46" ht="12.75" customHeight="1">
      <c r="A46" s="15"/>
      <c r="B46" s="45">
        <v>2.0</v>
      </c>
      <c r="C46" s="46" t="s">
        <v>67</v>
      </c>
      <c r="D46" s="8"/>
      <c r="E46" s="11">
        <v>181.0</v>
      </c>
      <c r="F46" s="11">
        <v>173.0</v>
      </c>
      <c r="G46" s="11">
        <v>137.0</v>
      </c>
      <c r="H46" s="11">
        <v>130.0</v>
      </c>
      <c r="I46" s="11">
        <v>173.0</v>
      </c>
      <c r="J46" s="11">
        <v>172.0</v>
      </c>
      <c r="K46" s="11">
        <v>136.0</v>
      </c>
      <c r="L46" s="11">
        <v>160.0</v>
      </c>
      <c r="M46" s="11">
        <v>173.0</v>
      </c>
      <c r="N46" s="11">
        <v>135.0</v>
      </c>
      <c r="O46" s="11">
        <v>158.0</v>
      </c>
      <c r="P46" s="11">
        <v>143.0</v>
      </c>
      <c r="Q46" s="11">
        <v>153.0</v>
      </c>
      <c r="R46" s="11">
        <v>142.0</v>
      </c>
      <c r="S46" s="11">
        <v>144.0</v>
      </c>
      <c r="T46" s="11">
        <v>118.0</v>
      </c>
      <c r="U46" s="11">
        <v>157.0</v>
      </c>
      <c r="V46" s="11">
        <v>131.0</v>
      </c>
      <c r="W46" s="11">
        <v>166.0</v>
      </c>
      <c r="X46" s="11">
        <v>119.0</v>
      </c>
      <c r="Y46" s="11">
        <v>140.0</v>
      </c>
      <c r="Z46" s="11">
        <v>122.0</v>
      </c>
      <c r="AA46" s="11">
        <v>140.0</v>
      </c>
      <c r="AB46" s="11">
        <v>153.0</v>
      </c>
      <c r="AC46" s="11">
        <v>163.0</v>
      </c>
      <c r="AD46" s="11">
        <v>158.0</v>
      </c>
      <c r="AE46" s="11">
        <v>151.0</v>
      </c>
      <c r="AF46" s="5">
        <f t="shared" si="14"/>
        <v>4028</v>
      </c>
    </row>
    <row r="47" ht="12.75" customHeight="1">
      <c r="A47" s="42"/>
      <c r="B47" s="45">
        <v>3.0</v>
      </c>
      <c r="C47" s="46" t="s">
        <v>68</v>
      </c>
      <c r="D47" s="8"/>
      <c r="E47" s="11">
        <v>42.0</v>
      </c>
      <c r="F47" s="11">
        <v>44.0</v>
      </c>
      <c r="G47" s="11">
        <v>46.0</v>
      </c>
      <c r="H47" s="11">
        <v>31.0</v>
      </c>
      <c r="I47" s="11">
        <v>10.0</v>
      </c>
      <c r="J47" s="11">
        <v>29.0</v>
      </c>
      <c r="K47" s="11">
        <v>39.0</v>
      </c>
      <c r="L47" s="11">
        <v>34.0</v>
      </c>
      <c r="M47" s="11">
        <v>29.0</v>
      </c>
      <c r="N47" s="11">
        <v>19.0</v>
      </c>
      <c r="O47" s="11">
        <v>35.0</v>
      </c>
      <c r="P47" s="11">
        <v>35.0</v>
      </c>
      <c r="Q47" s="11">
        <v>50.0</v>
      </c>
      <c r="R47" s="11">
        <v>45.0</v>
      </c>
      <c r="S47" s="11">
        <v>40.0</v>
      </c>
      <c r="T47" s="11">
        <v>33.0</v>
      </c>
      <c r="U47" s="11">
        <v>20.0</v>
      </c>
      <c r="V47" s="11">
        <v>45.0</v>
      </c>
      <c r="W47" s="11">
        <v>19.0</v>
      </c>
      <c r="X47" s="11">
        <v>35.0</v>
      </c>
      <c r="Y47" s="11">
        <v>54.0</v>
      </c>
      <c r="Z47" s="11">
        <v>51.0</v>
      </c>
      <c r="AA47" s="11">
        <v>63.0</v>
      </c>
      <c r="AB47" s="11">
        <v>45.0</v>
      </c>
      <c r="AC47" s="11">
        <v>44.0</v>
      </c>
      <c r="AD47" s="11">
        <v>49.0</v>
      </c>
      <c r="AE47" s="11">
        <v>49.0</v>
      </c>
      <c r="AF47" s="5">
        <f t="shared" si="14"/>
        <v>1035</v>
      </c>
    </row>
    <row r="48" ht="12.75" customHeight="1"/>
    <row r="49" ht="12.75" customHeight="1">
      <c r="A49" s="39" t="s">
        <v>69</v>
      </c>
      <c r="B49" s="6" t="s">
        <v>70</v>
      </c>
      <c r="C49" s="7"/>
      <c r="D49" s="8"/>
      <c r="E49" s="5"/>
      <c r="F49" s="5"/>
      <c r="G49" s="5"/>
      <c r="H49" s="5"/>
      <c r="I49" s="5"/>
      <c r="J49" s="5"/>
      <c r="K49" s="5"/>
      <c r="L49" s="5"/>
      <c r="M49" s="5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5"/>
    </row>
    <row r="50" ht="12.75" customHeight="1">
      <c r="A50" s="39"/>
      <c r="B50" s="47" t="s">
        <v>71</v>
      </c>
      <c r="C50" s="48" t="s">
        <v>72</v>
      </c>
      <c r="D50" s="8"/>
      <c r="E50" s="11">
        <f t="shared" ref="E50:AE50" si="15">SUM(E45:E47)</f>
        <v>240</v>
      </c>
      <c r="F50" s="11">
        <f t="shared" si="15"/>
        <v>243</v>
      </c>
      <c r="G50" s="11">
        <f t="shared" si="15"/>
        <v>218</v>
      </c>
      <c r="H50" s="11">
        <f t="shared" si="15"/>
        <v>185</v>
      </c>
      <c r="I50" s="11">
        <f t="shared" si="15"/>
        <v>185</v>
      </c>
      <c r="J50" s="11">
        <f t="shared" si="15"/>
        <v>215</v>
      </c>
      <c r="K50" s="11">
        <f t="shared" si="15"/>
        <v>191</v>
      </c>
      <c r="L50" s="11">
        <f t="shared" si="15"/>
        <v>211</v>
      </c>
      <c r="M50" s="11">
        <f t="shared" si="15"/>
        <v>215</v>
      </c>
      <c r="N50" s="11">
        <f t="shared" si="15"/>
        <v>170</v>
      </c>
      <c r="O50" s="11">
        <f t="shared" si="15"/>
        <v>201</v>
      </c>
      <c r="P50" s="11">
        <f t="shared" si="15"/>
        <v>186</v>
      </c>
      <c r="Q50" s="11">
        <f t="shared" si="15"/>
        <v>220</v>
      </c>
      <c r="R50" s="11">
        <f t="shared" si="15"/>
        <v>203</v>
      </c>
      <c r="S50" s="11">
        <f t="shared" si="15"/>
        <v>196</v>
      </c>
      <c r="T50" s="11">
        <f t="shared" si="15"/>
        <v>162</v>
      </c>
      <c r="U50" s="11">
        <f t="shared" si="15"/>
        <v>198</v>
      </c>
      <c r="V50" s="11">
        <f t="shared" si="15"/>
        <v>195</v>
      </c>
      <c r="W50" s="11">
        <f t="shared" si="15"/>
        <v>199</v>
      </c>
      <c r="X50" s="11">
        <f t="shared" si="15"/>
        <v>184</v>
      </c>
      <c r="Y50" s="11">
        <f t="shared" si="15"/>
        <v>213</v>
      </c>
      <c r="Z50" s="11">
        <f t="shared" si="15"/>
        <v>206</v>
      </c>
      <c r="AA50" s="11">
        <f t="shared" si="15"/>
        <v>235</v>
      </c>
      <c r="AB50" s="11">
        <f t="shared" si="15"/>
        <v>210</v>
      </c>
      <c r="AC50" s="11">
        <f t="shared" si="15"/>
        <v>215</v>
      </c>
      <c r="AD50" s="11">
        <f t="shared" si="15"/>
        <v>213</v>
      </c>
      <c r="AE50" s="11">
        <f t="shared" si="15"/>
        <v>209</v>
      </c>
      <c r="AF50" s="5">
        <f t="shared" ref="AF50:AF52" si="16">SUM(E50:AE50)</f>
        <v>5518</v>
      </c>
    </row>
    <row r="51" ht="12.75" customHeight="1">
      <c r="A51" s="32"/>
      <c r="B51" s="47" t="s">
        <v>73</v>
      </c>
      <c r="C51" s="48" t="s">
        <v>74</v>
      </c>
      <c r="D51" s="8"/>
      <c r="E51" s="11">
        <v>2.0</v>
      </c>
      <c r="F51" s="11">
        <v>0.0</v>
      </c>
      <c r="G51" s="11">
        <v>0.0</v>
      </c>
      <c r="H51" s="11">
        <v>2.0</v>
      </c>
      <c r="I51" s="11">
        <v>2.0</v>
      </c>
      <c r="J51" s="11">
        <v>0.0</v>
      </c>
      <c r="K51" s="11">
        <v>1.0</v>
      </c>
      <c r="L51" s="11">
        <v>4.0</v>
      </c>
      <c r="M51" s="11">
        <v>0.0</v>
      </c>
      <c r="N51" s="11">
        <v>2.0</v>
      </c>
      <c r="O51" s="11">
        <v>1.0</v>
      </c>
      <c r="P51" s="11">
        <v>5.0</v>
      </c>
      <c r="Q51" s="11">
        <v>1.0</v>
      </c>
      <c r="R51" s="11">
        <v>2.0</v>
      </c>
      <c r="S51" s="11">
        <v>6.0</v>
      </c>
      <c r="T51" s="11">
        <v>5.0</v>
      </c>
      <c r="U51" s="11">
        <v>2.0</v>
      </c>
      <c r="V51" s="11">
        <v>2.0</v>
      </c>
      <c r="W51" s="11">
        <v>1.0</v>
      </c>
      <c r="X51" s="11">
        <v>1.0</v>
      </c>
      <c r="Y51" s="11">
        <v>2.0</v>
      </c>
      <c r="Z51" s="11">
        <v>1.0</v>
      </c>
      <c r="AA51" s="11">
        <v>1.0</v>
      </c>
      <c r="AB51" s="11">
        <v>2.0</v>
      </c>
      <c r="AC51" s="11">
        <v>9.0</v>
      </c>
      <c r="AD51" s="11">
        <v>4.0</v>
      </c>
      <c r="AE51" s="11">
        <v>5.0</v>
      </c>
      <c r="AF51" s="5">
        <f t="shared" si="16"/>
        <v>63</v>
      </c>
    </row>
    <row r="52" ht="12.75" customHeight="1">
      <c r="A52" s="35"/>
      <c r="B52" s="47" t="s">
        <v>75</v>
      </c>
      <c r="C52" s="48" t="s">
        <v>76</v>
      </c>
      <c r="D52" s="8"/>
      <c r="E52" s="5">
        <f t="shared" ref="E52:AE52" si="17">SUM(E50:E51)</f>
        <v>242</v>
      </c>
      <c r="F52" s="5">
        <f t="shared" si="17"/>
        <v>243</v>
      </c>
      <c r="G52" s="5">
        <f t="shared" si="17"/>
        <v>218</v>
      </c>
      <c r="H52" s="5">
        <f t="shared" si="17"/>
        <v>187</v>
      </c>
      <c r="I52" s="5">
        <f t="shared" si="17"/>
        <v>187</v>
      </c>
      <c r="J52" s="5">
        <f t="shared" si="17"/>
        <v>215</v>
      </c>
      <c r="K52" s="5">
        <f t="shared" si="17"/>
        <v>192</v>
      </c>
      <c r="L52" s="5">
        <f t="shared" si="17"/>
        <v>215</v>
      </c>
      <c r="M52" s="5">
        <f t="shared" si="17"/>
        <v>215</v>
      </c>
      <c r="N52" s="5">
        <f t="shared" si="17"/>
        <v>172</v>
      </c>
      <c r="O52" s="5">
        <f t="shared" si="17"/>
        <v>202</v>
      </c>
      <c r="P52" s="5">
        <f t="shared" si="17"/>
        <v>191</v>
      </c>
      <c r="Q52" s="5">
        <f t="shared" si="17"/>
        <v>221</v>
      </c>
      <c r="R52" s="5">
        <f t="shared" si="17"/>
        <v>205</v>
      </c>
      <c r="S52" s="5">
        <f t="shared" si="17"/>
        <v>202</v>
      </c>
      <c r="T52" s="5">
        <f t="shared" si="17"/>
        <v>167</v>
      </c>
      <c r="U52" s="5">
        <f t="shared" si="17"/>
        <v>200</v>
      </c>
      <c r="V52" s="5">
        <f t="shared" si="17"/>
        <v>197</v>
      </c>
      <c r="W52" s="5">
        <f t="shared" si="17"/>
        <v>200</v>
      </c>
      <c r="X52" s="5">
        <f t="shared" si="17"/>
        <v>185</v>
      </c>
      <c r="Y52" s="5">
        <f t="shared" si="17"/>
        <v>215</v>
      </c>
      <c r="Z52" s="5">
        <f t="shared" si="17"/>
        <v>207</v>
      </c>
      <c r="AA52" s="5">
        <f t="shared" si="17"/>
        <v>236</v>
      </c>
      <c r="AB52" s="5">
        <f t="shared" si="17"/>
        <v>212</v>
      </c>
      <c r="AC52" s="5">
        <f t="shared" si="17"/>
        <v>224</v>
      </c>
      <c r="AD52" s="5">
        <f t="shared" si="17"/>
        <v>217</v>
      </c>
      <c r="AE52" s="5">
        <f t="shared" si="17"/>
        <v>214</v>
      </c>
      <c r="AF52" s="5">
        <f t="shared" si="16"/>
        <v>5581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AE12"/>
    <mergeCell ref="AF12:AF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34:T34">
    <cfRule type="expression" dxfId="0" priority="1">
      <formula>E34&lt;&gt;#REF!</formula>
    </cfRule>
  </conditionalFormatting>
  <conditionalFormatting sqref="E14:AE15 E45:AE47">
    <cfRule type="containsBlanks" dxfId="1" priority="2">
      <formula>LEN(TRIM(E14))=0</formula>
    </cfRule>
  </conditionalFormatting>
  <conditionalFormatting sqref="E19:AE20">
    <cfRule type="containsBlanks" dxfId="1" priority="3">
      <formula>LEN(TRIM(E19))=0</formula>
    </cfRule>
  </conditionalFormatting>
  <conditionalFormatting sqref="E22:AE23 E25:AE26 E33:AE33 E35:AE35 E39:AE40">
    <cfRule type="containsBlanks" dxfId="1" priority="4">
      <formula>LEN(TRIM(E22))=0</formula>
    </cfRule>
  </conditionalFormatting>
  <conditionalFormatting sqref="E30:AE30">
    <cfRule type="expression" dxfId="0" priority="5">
      <formula>E30&lt;&gt;E46</formula>
    </cfRule>
  </conditionalFormatting>
  <conditionalFormatting sqref="E30:AE30">
    <cfRule type="expression" dxfId="0" priority="6">
      <formula>E30&lt;&gt;E34</formula>
    </cfRule>
  </conditionalFormatting>
  <conditionalFormatting sqref="E34:AE34">
    <cfRule type="expression" dxfId="2" priority="7">
      <formula>E30&lt;&gt;E34</formula>
    </cfRule>
  </conditionalFormatting>
  <conditionalFormatting sqref="E34:AE34">
    <cfRule type="expression" dxfId="3" priority="8">
      <formula>E30=E34</formula>
    </cfRule>
  </conditionalFormatting>
  <conditionalFormatting sqref="E34:AE34">
    <cfRule type="expression" dxfId="0" priority="9">
      <formula>E34&lt;&gt;E30</formula>
    </cfRule>
  </conditionalFormatting>
  <conditionalFormatting sqref="E50:AE51">
    <cfRule type="containsBlanks" dxfId="1" priority="10">
      <formula>LEN(TRIM(E50))=0</formula>
    </cfRule>
  </conditionalFormatting>
  <conditionalFormatting sqref="U34:AE34">
    <cfRule type="expression" dxfId="0" priority="11">
      <formula>U34&lt;&gt;U46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7" width="8.71"/>
    <col customWidth="1" min="28" max="28" width="13.29"/>
  </cols>
  <sheetData>
    <row r="1" ht="12.75" customHeight="1"/>
    <row r="2" ht="12.75" customHeight="1">
      <c r="C2" s="1" t="s">
        <v>0</v>
      </c>
      <c r="D2" s="1" t="s">
        <v>1</v>
      </c>
    </row>
    <row r="3" ht="12.75" customHeight="1">
      <c r="C3" s="1" t="s">
        <v>2</v>
      </c>
      <c r="D3" s="1" t="s">
        <v>3</v>
      </c>
    </row>
    <row r="4" ht="12.75" customHeight="1">
      <c r="C4" s="1" t="s">
        <v>4</v>
      </c>
      <c r="D4" s="1" t="s">
        <v>5</v>
      </c>
    </row>
    <row r="5" ht="12.75" customHeight="1">
      <c r="C5" s="1"/>
      <c r="D5" s="1"/>
    </row>
    <row r="6" ht="12.75" customHeight="1">
      <c r="C6" s="1"/>
      <c r="D6" s="1"/>
    </row>
    <row r="7" ht="12.75" customHeight="1">
      <c r="C7" s="1"/>
      <c r="D7" s="1"/>
    </row>
    <row r="8" ht="12.75" customHeight="1">
      <c r="C8" s="1"/>
      <c r="D8" s="1"/>
    </row>
    <row r="9" ht="12.75" customHeight="1">
      <c r="C9" s="1" t="s">
        <v>6</v>
      </c>
      <c r="D9" s="1" t="s">
        <v>82</v>
      </c>
    </row>
    <row r="10" ht="12.75" customHeight="1"/>
    <row r="11" ht="12.75" customHeight="1">
      <c r="A11" s="2"/>
      <c r="B11" s="3"/>
      <c r="C11" s="3"/>
      <c r="D11" s="3"/>
      <c r="E11" s="2"/>
      <c r="F11" s="2"/>
      <c r="G11" s="2"/>
      <c r="H11" s="2"/>
      <c r="I11" s="2"/>
      <c r="J11" s="2"/>
      <c r="K11" s="2"/>
      <c r="L11" s="2"/>
      <c r="M11" s="2"/>
      <c r="N11" s="4"/>
    </row>
    <row r="12" ht="12.75" customHeight="1">
      <c r="A12" s="5" t="s">
        <v>7</v>
      </c>
      <c r="B12" s="6" t="s">
        <v>8</v>
      </c>
      <c r="C12" s="7"/>
      <c r="D12" s="8"/>
      <c r="E12" s="9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10" t="s">
        <v>9</v>
      </c>
    </row>
    <row r="13" ht="12.75" customHeight="1">
      <c r="A13" s="11" t="s">
        <v>10</v>
      </c>
      <c r="B13" s="12" t="s">
        <v>11</v>
      </c>
      <c r="C13" s="7"/>
      <c r="D13" s="8"/>
      <c r="E13" s="5" t="s">
        <v>12</v>
      </c>
      <c r="F13" s="5" t="s">
        <v>13</v>
      </c>
      <c r="G13" s="5" t="s">
        <v>14</v>
      </c>
      <c r="H13" s="5" t="s">
        <v>15</v>
      </c>
      <c r="I13" s="5" t="s">
        <v>16</v>
      </c>
      <c r="J13" s="5" t="s">
        <v>17</v>
      </c>
      <c r="K13" s="5" t="s">
        <v>18</v>
      </c>
      <c r="L13" s="5" t="s">
        <v>19</v>
      </c>
      <c r="M13" s="5" t="s">
        <v>20</v>
      </c>
      <c r="N13" s="5" t="s">
        <v>21</v>
      </c>
      <c r="O13" s="5" t="s">
        <v>22</v>
      </c>
      <c r="P13" s="5" t="s">
        <v>23</v>
      </c>
      <c r="Q13" s="5" t="s">
        <v>24</v>
      </c>
      <c r="R13" s="5" t="s">
        <v>25</v>
      </c>
      <c r="S13" s="5" t="s">
        <v>26</v>
      </c>
      <c r="T13" s="5" t="s">
        <v>27</v>
      </c>
      <c r="U13" s="5" t="s">
        <v>28</v>
      </c>
      <c r="V13" s="5" t="s">
        <v>29</v>
      </c>
      <c r="W13" s="5" t="s">
        <v>30</v>
      </c>
      <c r="X13" s="5" t="s">
        <v>31</v>
      </c>
      <c r="Y13" s="5" t="s">
        <v>32</v>
      </c>
      <c r="Z13" s="5" t="s">
        <v>33</v>
      </c>
      <c r="AA13" s="5" t="s">
        <v>34</v>
      </c>
      <c r="AB13" s="14"/>
    </row>
    <row r="14" ht="12.75" customHeight="1">
      <c r="A14" s="15"/>
      <c r="B14" s="16" t="s">
        <v>40</v>
      </c>
      <c r="C14" s="17"/>
      <c r="D14" s="11" t="s">
        <v>41</v>
      </c>
      <c r="E14" s="11">
        <v>148.0</v>
      </c>
      <c r="F14" s="11">
        <v>141.0</v>
      </c>
      <c r="G14" s="11">
        <v>141.0</v>
      </c>
      <c r="H14" s="11">
        <v>107.0</v>
      </c>
      <c r="I14" s="11">
        <v>110.0</v>
      </c>
      <c r="J14" s="11">
        <v>133.0</v>
      </c>
      <c r="K14" s="11">
        <v>127.0</v>
      </c>
      <c r="L14" s="11">
        <v>115.0</v>
      </c>
      <c r="M14" s="11">
        <v>105.0</v>
      </c>
      <c r="N14" s="11">
        <v>128.0</v>
      </c>
      <c r="O14" s="11">
        <v>145.0</v>
      </c>
      <c r="P14" s="11">
        <v>157.0</v>
      </c>
      <c r="Q14" s="11">
        <v>141.0</v>
      </c>
      <c r="R14" s="11">
        <v>151.0</v>
      </c>
      <c r="S14" s="11">
        <v>132.0</v>
      </c>
      <c r="T14" s="11">
        <v>141.0</v>
      </c>
      <c r="U14" s="11">
        <v>153.0</v>
      </c>
      <c r="V14" s="11">
        <v>151.0</v>
      </c>
      <c r="W14" s="11">
        <v>137.0</v>
      </c>
      <c r="X14" s="11">
        <v>155.0</v>
      </c>
      <c r="Y14" s="11">
        <v>146.0</v>
      </c>
      <c r="Z14" s="11">
        <v>147.0</v>
      </c>
      <c r="AA14" s="11">
        <v>144.0</v>
      </c>
      <c r="AB14" s="5">
        <f t="shared" ref="AB14:AB16" si="1">SUM(E14:AA14)</f>
        <v>3155</v>
      </c>
    </row>
    <row r="15" ht="12.75" customHeight="1">
      <c r="A15" s="15"/>
      <c r="B15" s="18"/>
      <c r="C15" s="19"/>
      <c r="D15" s="11" t="s">
        <v>42</v>
      </c>
      <c r="E15" s="11">
        <v>131.0</v>
      </c>
      <c r="F15" s="11">
        <v>149.0</v>
      </c>
      <c r="G15" s="11">
        <v>143.0</v>
      </c>
      <c r="H15" s="11">
        <v>100.0</v>
      </c>
      <c r="I15" s="11">
        <v>107.0</v>
      </c>
      <c r="J15" s="11">
        <v>132.0</v>
      </c>
      <c r="K15" s="11">
        <v>127.0</v>
      </c>
      <c r="L15" s="11">
        <v>102.0</v>
      </c>
      <c r="M15" s="11">
        <v>112.0</v>
      </c>
      <c r="N15" s="11">
        <v>122.0</v>
      </c>
      <c r="O15" s="11">
        <v>149.0</v>
      </c>
      <c r="P15" s="11">
        <v>133.0</v>
      </c>
      <c r="Q15" s="11">
        <v>143.0</v>
      </c>
      <c r="R15" s="11">
        <v>135.0</v>
      </c>
      <c r="S15" s="11">
        <v>122.0</v>
      </c>
      <c r="T15" s="11">
        <v>140.0</v>
      </c>
      <c r="U15" s="11">
        <v>139.0</v>
      </c>
      <c r="V15" s="11">
        <v>139.0</v>
      </c>
      <c r="W15" s="11">
        <v>156.0</v>
      </c>
      <c r="X15" s="11">
        <v>127.0</v>
      </c>
      <c r="Y15" s="11">
        <v>147.0</v>
      </c>
      <c r="Z15" s="11">
        <v>143.0</v>
      </c>
      <c r="AA15" s="11">
        <v>147.0</v>
      </c>
      <c r="AB15" s="5">
        <f t="shared" si="1"/>
        <v>3045</v>
      </c>
    </row>
    <row r="16" ht="12.75" customHeight="1">
      <c r="A16" s="21"/>
      <c r="B16" s="22"/>
      <c r="C16" s="23"/>
      <c r="D16" s="5" t="s">
        <v>43</v>
      </c>
      <c r="E16" s="5">
        <f t="shared" ref="E16:AA16" si="2">SUM(E14:E15)</f>
        <v>279</v>
      </c>
      <c r="F16" s="5">
        <f t="shared" si="2"/>
        <v>290</v>
      </c>
      <c r="G16" s="5">
        <f t="shared" si="2"/>
        <v>284</v>
      </c>
      <c r="H16" s="5">
        <f t="shared" si="2"/>
        <v>207</v>
      </c>
      <c r="I16" s="5">
        <f t="shared" si="2"/>
        <v>217</v>
      </c>
      <c r="J16" s="5">
        <f t="shared" si="2"/>
        <v>265</v>
      </c>
      <c r="K16" s="5">
        <f t="shared" si="2"/>
        <v>254</v>
      </c>
      <c r="L16" s="5">
        <f t="shared" si="2"/>
        <v>217</v>
      </c>
      <c r="M16" s="5">
        <f t="shared" si="2"/>
        <v>217</v>
      </c>
      <c r="N16" s="5">
        <f t="shared" si="2"/>
        <v>250</v>
      </c>
      <c r="O16" s="5">
        <f t="shared" si="2"/>
        <v>294</v>
      </c>
      <c r="P16" s="5">
        <f t="shared" si="2"/>
        <v>290</v>
      </c>
      <c r="Q16" s="5">
        <f t="shared" si="2"/>
        <v>284</v>
      </c>
      <c r="R16" s="5">
        <f t="shared" si="2"/>
        <v>286</v>
      </c>
      <c r="S16" s="5">
        <f t="shared" si="2"/>
        <v>254</v>
      </c>
      <c r="T16" s="5">
        <f t="shared" si="2"/>
        <v>281</v>
      </c>
      <c r="U16" s="5">
        <f t="shared" si="2"/>
        <v>292</v>
      </c>
      <c r="V16" s="5">
        <f t="shared" si="2"/>
        <v>290</v>
      </c>
      <c r="W16" s="5">
        <f t="shared" si="2"/>
        <v>293</v>
      </c>
      <c r="X16" s="5">
        <f t="shared" si="2"/>
        <v>282</v>
      </c>
      <c r="Y16" s="5">
        <f t="shared" si="2"/>
        <v>293</v>
      </c>
      <c r="Z16" s="5">
        <f t="shared" si="2"/>
        <v>290</v>
      </c>
      <c r="AA16" s="5">
        <f t="shared" si="2"/>
        <v>291</v>
      </c>
      <c r="AB16" s="5">
        <f t="shared" si="1"/>
        <v>6200</v>
      </c>
    </row>
    <row r="17" ht="12.75" customHeight="1">
      <c r="A17" s="24"/>
      <c r="B17" s="7"/>
      <c r="C17" s="7"/>
      <c r="D17" s="8"/>
      <c r="E17" s="11"/>
      <c r="F17" s="11"/>
      <c r="G17" s="11"/>
      <c r="H17" s="11"/>
      <c r="I17" s="11"/>
      <c r="J17" s="11"/>
      <c r="K17" s="11"/>
      <c r="L17" s="11"/>
      <c r="M17" s="11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6"/>
    </row>
    <row r="18" ht="12.75" customHeight="1">
      <c r="A18" s="27" t="s">
        <v>44</v>
      </c>
      <c r="B18" s="12" t="s">
        <v>45</v>
      </c>
      <c r="C18" s="7"/>
      <c r="D18" s="8"/>
      <c r="E18" s="11"/>
      <c r="F18" s="11"/>
      <c r="G18" s="11"/>
      <c r="H18" s="11"/>
      <c r="I18" s="11"/>
      <c r="J18" s="11"/>
      <c r="K18" s="11"/>
      <c r="L18" s="11"/>
      <c r="M18" s="11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6"/>
    </row>
    <row r="19" ht="12.75" customHeight="1">
      <c r="A19" s="27"/>
      <c r="B19" s="28" t="s">
        <v>46</v>
      </c>
      <c r="C19" s="29" t="s">
        <v>47</v>
      </c>
      <c r="D19" s="11" t="s">
        <v>41</v>
      </c>
      <c r="E19" s="11">
        <v>105.0</v>
      </c>
      <c r="F19" s="11">
        <v>112.0</v>
      </c>
      <c r="G19" s="11">
        <v>116.0</v>
      </c>
      <c r="H19" s="11">
        <v>90.0</v>
      </c>
      <c r="I19" s="11">
        <v>76.0</v>
      </c>
      <c r="J19" s="11">
        <v>104.0</v>
      </c>
      <c r="K19" s="11">
        <v>96.0</v>
      </c>
      <c r="L19" s="11">
        <v>88.0</v>
      </c>
      <c r="M19" s="11">
        <v>82.0</v>
      </c>
      <c r="N19" s="11">
        <v>109.0</v>
      </c>
      <c r="O19" s="11">
        <v>125.0</v>
      </c>
      <c r="P19" s="11">
        <v>109.0</v>
      </c>
      <c r="Q19" s="11">
        <v>102.0</v>
      </c>
      <c r="R19" s="11">
        <v>107.0</v>
      </c>
      <c r="S19" s="11">
        <v>105.0</v>
      </c>
      <c r="T19" s="11">
        <v>103.0</v>
      </c>
      <c r="U19" s="11">
        <v>115.0</v>
      </c>
      <c r="V19" s="11">
        <v>120.0</v>
      </c>
      <c r="W19" s="11">
        <v>104.0</v>
      </c>
      <c r="X19" s="11">
        <v>114.0</v>
      </c>
      <c r="Y19" s="11">
        <v>118.0</v>
      </c>
      <c r="Z19" s="11">
        <v>122.0</v>
      </c>
      <c r="AA19" s="11">
        <v>102.0</v>
      </c>
      <c r="AB19" s="5">
        <f t="shared" ref="AB19:AB30" si="3">SUM(E19:AA19)</f>
        <v>2424</v>
      </c>
    </row>
    <row r="20" ht="12.75" customHeight="1">
      <c r="A20" s="30"/>
      <c r="B20" s="19"/>
      <c r="C20" s="31"/>
      <c r="D20" s="11" t="s">
        <v>42</v>
      </c>
      <c r="E20" s="11">
        <v>107.0</v>
      </c>
      <c r="F20" s="11">
        <v>122.0</v>
      </c>
      <c r="G20" s="11">
        <v>121.0</v>
      </c>
      <c r="H20" s="11">
        <v>78.0</v>
      </c>
      <c r="I20" s="11">
        <v>78.0</v>
      </c>
      <c r="J20" s="11">
        <v>106.0</v>
      </c>
      <c r="K20" s="11">
        <v>109.0</v>
      </c>
      <c r="L20" s="11">
        <v>81.0</v>
      </c>
      <c r="M20" s="11">
        <v>84.0</v>
      </c>
      <c r="N20" s="11">
        <v>103.0</v>
      </c>
      <c r="O20" s="11">
        <v>122.0</v>
      </c>
      <c r="P20" s="11">
        <v>102.0</v>
      </c>
      <c r="Q20" s="11">
        <v>111.0</v>
      </c>
      <c r="R20" s="11">
        <v>110.0</v>
      </c>
      <c r="S20" s="11">
        <v>103.0</v>
      </c>
      <c r="T20" s="11">
        <v>118.0</v>
      </c>
      <c r="U20" s="11">
        <v>118.0</v>
      </c>
      <c r="V20" s="11">
        <v>122.0</v>
      </c>
      <c r="W20" s="11">
        <v>120.0</v>
      </c>
      <c r="X20" s="11">
        <v>116.0</v>
      </c>
      <c r="Y20" s="11">
        <v>126.0</v>
      </c>
      <c r="Z20" s="11">
        <v>120.0</v>
      </c>
      <c r="AA20" s="11">
        <v>113.0</v>
      </c>
      <c r="AB20" s="5">
        <f t="shared" si="3"/>
        <v>2490</v>
      </c>
    </row>
    <row r="21" ht="12.75" customHeight="1">
      <c r="A21" s="32"/>
      <c r="B21" s="23"/>
      <c r="C21" s="14"/>
      <c r="D21" s="5" t="s">
        <v>43</v>
      </c>
      <c r="E21" s="5">
        <f t="shared" ref="E21:AA21" si="4">SUM(E19:E20)</f>
        <v>212</v>
      </c>
      <c r="F21" s="5">
        <f t="shared" si="4"/>
        <v>234</v>
      </c>
      <c r="G21" s="5">
        <f t="shared" si="4"/>
        <v>237</v>
      </c>
      <c r="H21" s="5">
        <f t="shared" si="4"/>
        <v>168</v>
      </c>
      <c r="I21" s="5">
        <f t="shared" si="4"/>
        <v>154</v>
      </c>
      <c r="J21" s="5">
        <f t="shared" si="4"/>
        <v>210</v>
      </c>
      <c r="K21" s="5">
        <f t="shared" si="4"/>
        <v>205</v>
      </c>
      <c r="L21" s="5">
        <f t="shared" si="4"/>
        <v>169</v>
      </c>
      <c r="M21" s="5">
        <f t="shared" si="4"/>
        <v>166</v>
      </c>
      <c r="N21" s="5">
        <f t="shared" si="4"/>
        <v>212</v>
      </c>
      <c r="O21" s="5">
        <f t="shared" si="4"/>
        <v>247</v>
      </c>
      <c r="P21" s="5">
        <f t="shared" si="4"/>
        <v>211</v>
      </c>
      <c r="Q21" s="5">
        <f t="shared" si="4"/>
        <v>213</v>
      </c>
      <c r="R21" s="5">
        <f t="shared" si="4"/>
        <v>217</v>
      </c>
      <c r="S21" s="5">
        <f t="shared" si="4"/>
        <v>208</v>
      </c>
      <c r="T21" s="5">
        <f t="shared" si="4"/>
        <v>221</v>
      </c>
      <c r="U21" s="5">
        <f t="shared" si="4"/>
        <v>233</v>
      </c>
      <c r="V21" s="5">
        <f t="shared" si="4"/>
        <v>242</v>
      </c>
      <c r="W21" s="5">
        <f t="shared" si="4"/>
        <v>224</v>
      </c>
      <c r="X21" s="5">
        <f t="shared" si="4"/>
        <v>230</v>
      </c>
      <c r="Y21" s="5">
        <f t="shared" si="4"/>
        <v>244</v>
      </c>
      <c r="Z21" s="5">
        <f t="shared" si="4"/>
        <v>242</v>
      </c>
      <c r="AA21" s="5">
        <f t="shared" si="4"/>
        <v>215</v>
      </c>
      <c r="AB21" s="5">
        <f t="shared" si="3"/>
        <v>4914</v>
      </c>
    </row>
    <row r="22" ht="12.75" customHeight="1">
      <c r="A22" s="30"/>
      <c r="B22" s="28" t="s">
        <v>48</v>
      </c>
      <c r="C22" s="29" t="s">
        <v>49</v>
      </c>
      <c r="D22" s="11" t="s">
        <v>41</v>
      </c>
      <c r="E22" s="11">
        <v>0.0</v>
      </c>
      <c r="F22" s="11">
        <v>6.0</v>
      </c>
      <c r="G22" s="11">
        <v>0.0</v>
      </c>
      <c r="H22" s="11">
        <v>2.0</v>
      </c>
      <c r="I22" s="11">
        <v>0.0</v>
      </c>
      <c r="J22" s="11">
        <v>0.0</v>
      </c>
      <c r="K22" s="11">
        <v>0.0</v>
      </c>
      <c r="L22" s="11">
        <v>0.0</v>
      </c>
      <c r="M22" s="11">
        <v>0.0</v>
      </c>
      <c r="N22" s="11">
        <v>0.0</v>
      </c>
      <c r="O22" s="11">
        <v>0.0</v>
      </c>
      <c r="P22" s="11">
        <v>0.0</v>
      </c>
      <c r="Q22" s="11">
        <v>0.0</v>
      </c>
      <c r="R22" s="11">
        <v>0.0</v>
      </c>
      <c r="S22" s="11">
        <v>0.0</v>
      </c>
      <c r="T22" s="11">
        <v>1.0</v>
      </c>
      <c r="U22" s="11">
        <v>0.0</v>
      </c>
      <c r="V22" s="11">
        <v>0.0</v>
      </c>
      <c r="W22" s="11">
        <v>0.0</v>
      </c>
      <c r="X22" s="11">
        <v>0.0</v>
      </c>
      <c r="Y22" s="11">
        <v>0.0</v>
      </c>
      <c r="Z22" s="11">
        <v>0.0</v>
      </c>
      <c r="AA22" s="11">
        <v>0.0</v>
      </c>
      <c r="AB22" s="5">
        <f t="shared" si="3"/>
        <v>9</v>
      </c>
    </row>
    <row r="23" ht="12.75" customHeight="1">
      <c r="A23" s="30"/>
      <c r="B23" s="19"/>
      <c r="C23" s="31"/>
      <c r="D23" s="11" t="s">
        <v>42</v>
      </c>
      <c r="E23" s="11">
        <v>0.0</v>
      </c>
      <c r="F23" s="11">
        <v>2.0</v>
      </c>
      <c r="G23" s="11">
        <v>0.0</v>
      </c>
      <c r="H23" s="11">
        <v>0.0</v>
      </c>
      <c r="I23" s="11">
        <v>0.0</v>
      </c>
      <c r="J23" s="11">
        <v>0.0</v>
      </c>
      <c r="K23" s="11">
        <v>0.0</v>
      </c>
      <c r="L23" s="11">
        <v>0.0</v>
      </c>
      <c r="M23" s="11">
        <v>0.0</v>
      </c>
      <c r="N23" s="11">
        <v>0.0</v>
      </c>
      <c r="O23" s="11">
        <v>0.0</v>
      </c>
      <c r="P23" s="11">
        <v>0.0</v>
      </c>
      <c r="Q23" s="11">
        <v>0.0</v>
      </c>
      <c r="R23" s="11">
        <v>0.0</v>
      </c>
      <c r="S23" s="11">
        <v>0.0</v>
      </c>
      <c r="T23" s="11">
        <v>0.0</v>
      </c>
      <c r="U23" s="11">
        <v>0.0</v>
      </c>
      <c r="V23" s="11">
        <v>0.0</v>
      </c>
      <c r="W23" s="11">
        <v>0.0</v>
      </c>
      <c r="X23" s="11">
        <v>0.0</v>
      </c>
      <c r="Y23" s="11">
        <v>0.0</v>
      </c>
      <c r="Z23" s="11">
        <v>0.0</v>
      </c>
      <c r="AA23" s="11">
        <v>0.0</v>
      </c>
      <c r="AB23" s="5">
        <f t="shared" si="3"/>
        <v>2</v>
      </c>
    </row>
    <row r="24" ht="12.75" customHeight="1">
      <c r="A24" s="32"/>
      <c r="B24" s="23"/>
      <c r="C24" s="14"/>
      <c r="D24" s="5" t="s">
        <v>43</v>
      </c>
      <c r="E24" s="5">
        <f t="shared" ref="E24:AA24" si="5">SUM(E22:E23)</f>
        <v>0</v>
      </c>
      <c r="F24" s="5">
        <f t="shared" si="5"/>
        <v>8</v>
      </c>
      <c r="G24" s="5">
        <f t="shared" si="5"/>
        <v>0</v>
      </c>
      <c r="H24" s="5">
        <f t="shared" si="5"/>
        <v>2</v>
      </c>
      <c r="I24" s="5">
        <f t="shared" si="5"/>
        <v>0</v>
      </c>
      <c r="J24" s="5">
        <f t="shared" si="5"/>
        <v>0</v>
      </c>
      <c r="K24" s="5">
        <f t="shared" si="5"/>
        <v>0</v>
      </c>
      <c r="L24" s="5">
        <f t="shared" si="5"/>
        <v>0</v>
      </c>
      <c r="M24" s="5">
        <f t="shared" si="5"/>
        <v>0</v>
      </c>
      <c r="N24" s="5">
        <f t="shared" si="5"/>
        <v>0</v>
      </c>
      <c r="O24" s="5">
        <f t="shared" si="5"/>
        <v>0</v>
      </c>
      <c r="P24" s="5">
        <f t="shared" si="5"/>
        <v>0</v>
      </c>
      <c r="Q24" s="5">
        <f t="shared" si="5"/>
        <v>0</v>
      </c>
      <c r="R24" s="5">
        <f t="shared" si="5"/>
        <v>0</v>
      </c>
      <c r="S24" s="5">
        <f t="shared" si="5"/>
        <v>0</v>
      </c>
      <c r="T24" s="5">
        <f t="shared" si="5"/>
        <v>1</v>
      </c>
      <c r="U24" s="5">
        <f t="shared" si="5"/>
        <v>0</v>
      </c>
      <c r="V24" s="5">
        <f t="shared" si="5"/>
        <v>0</v>
      </c>
      <c r="W24" s="5">
        <f t="shared" si="5"/>
        <v>0</v>
      </c>
      <c r="X24" s="5">
        <f t="shared" si="5"/>
        <v>0</v>
      </c>
      <c r="Y24" s="5">
        <f t="shared" si="5"/>
        <v>0</v>
      </c>
      <c r="Z24" s="5">
        <f t="shared" si="5"/>
        <v>0</v>
      </c>
      <c r="AA24" s="5">
        <f t="shared" si="5"/>
        <v>0</v>
      </c>
      <c r="AB24" s="5">
        <f t="shared" si="3"/>
        <v>11</v>
      </c>
    </row>
    <row r="25" ht="12.75" customHeight="1">
      <c r="A25" s="30"/>
      <c r="B25" s="28" t="s">
        <v>50</v>
      </c>
      <c r="C25" s="29" t="s">
        <v>51</v>
      </c>
      <c r="D25" s="11" t="s">
        <v>41</v>
      </c>
      <c r="E25" s="11">
        <v>0.0</v>
      </c>
      <c r="F25" s="11">
        <v>1.0</v>
      </c>
      <c r="G25" s="11">
        <v>0.0</v>
      </c>
      <c r="H25" s="11">
        <v>2.0</v>
      </c>
      <c r="I25" s="11">
        <v>0.0</v>
      </c>
      <c r="J25" s="11">
        <v>2.0</v>
      </c>
      <c r="K25" s="11">
        <v>0.0</v>
      </c>
      <c r="L25" s="11">
        <v>0.0</v>
      </c>
      <c r="M25" s="11">
        <v>0.0</v>
      </c>
      <c r="N25" s="11">
        <v>2.0</v>
      </c>
      <c r="O25" s="11">
        <v>3.0</v>
      </c>
      <c r="P25" s="11">
        <v>1.0</v>
      </c>
      <c r="Q25" s="11">
        <v>0.0</v>
      </c>
      <c r="R25" s="11">
        <v>0.0</v>
      </c>
      <c r="S25" s="11">
        <v>0.0</v>
      </c>
      <c r="T25" s="11">
        <v>0.0</v>
      </c>
      <c r="U25" s="11">
        <v>0.0</v>
      </c>
      <c r="V25" s="11">
        <v>0.0</v>
      </c>
      <c r="W25" s="11">
        <v>1.0</v>
      </c>
      <c r="X25" s="11">
        <v>0.0</v>
      </c>
      <c r="Y25" s="11">
        <v>0.0</v>
      </c>
      <c r="Z25" s="11">
        <v>1.0</v>
      </c>
      <c r="AA25" s="11">
        <v>1.0</v>
      </c>
      <c r="AB25" s="5">
        <f t="shared" si="3"/>
        <v>14</v>
      </c>
    </row>
    <row r="26" ht="12.75" customHeight="1">
      <c r="A26" s="30"/>
      <c r="B26" s="19"/>
      <c r="C26" s="31"/>
      <c r="D26" s="11" t="s">
        <v>42</v>
      </c>
      <c r="E26" s="11">
        <v>0.0</v>
      </c>
      <c r="F26" s="11">
        <v>2.0</v>
      </c>
      <c r="G26" s="11">
        <v>0.0</v>
      </c>
      <c r="H26" s="11">
        <v>3.0</v>
      </c>
      <c r="I26" s="11">
        <v>3.0</v>
      </c>
      <c r="J26" s="11">
        <v>0.0</v>
      </c>
      <c r="K26" s="11">
        <v>0.0</v>
      </c>
      <c r="L26" s="11">
        <v>2.0</v>
      </c>
      <c r="M26" s="11">
        <v>0.0</v>
      </c>
      <c r="N26" s="11">
        <v>5.0</v>
      </c>
      <c r="O26" s="11">
        <v>6.0</v>
      </c>
      <c r="P26" s="11">
        <v>2.0</v>
      </c>
      <c r="Q26" s="11">
        <v>0.0</v>
      </c>
      <c r="R26" s="11">
        <v>1.0</v>
      </c>
      <c r="S26" s="11">
        <v>0.0</v>
      </c>
      <c r="T26" s="11">
        <v>0.0</v>
      </c>
      <c r="U26" s="11">
        <v>0.0</v>
      </c>
      <c r="V26" s="11">
        <v>0.0</v>
      </c>
      <c r="W26" s="11">
        <v>1.0</v>
      </c>
      <c r="X26" s="11">
        <v>0.0</v>
      </c>
      <c r="Y26" s="11">
        <v>0.0</v>
      </c>
      <c r="Z26" s="11">
        <v>2.0</v>
      </c>
      <c r="AA26" s="11">
        <v>1.0</v>
      </c>
      <c r="AB26" s="5">
        <f t="shared" si="3"/>
        <v>28</v>
      </c>
    </row>
    <row r="27" ht="12.75" customHeight="1">
      <c r="A27" s="32"/>
      <c r="B27" s="23"/>
      <c r="C27" s="14"/>
      <c r="D27" s="5" t="s">
        <v>43</v>
      </c>
      <c r="E27" s="5">
        <f t="shared" ref="E27:AA27" si="6">SUM(E25:E26)</f>
        <v>0</v>
      </c>
      <c r="F27" s="5">
        <f t="shared" si="6"/>
        <v>3</v>
      </c>
      <c r="G27" s="5">
        <f t="shared" si="6"/>
        <v>0</v>
      </c>
      <c r="H27" s="5">
        <f t="shared" si="6"/>
        <v>5</v>
      </c>
      <c r="I27" s="5">
        <f t="shared" si="6"/>
        <v>3</v>
      </c>
      <c r="J27" s="5">
        <f t="shared" si="6"/>
        <v>2</v>
      </c>
      <c r="K27" s="5">
        <f t="shared" si="6"/>
        <v>0</v>
      </c>
      <c r="L27" s="5">
        <f t="shared" si="6"/>
        <v>2</v>
      </c>
      <c r="M27" s="5">
        <f t="shared" si="6"/>
        <v>0</v>
      </c>
      <c r="N27" s="5">
        <f t="shared" si="6"/>
        <v>7</v>
      </c>
      <c r="O27" s="5">
        <f t="shared" si="6"/>
        <v>9</v>
      </c>
      <c r="P27" s="5">
        <f t="shared" si="6"/>
        <v>3</v>
      </c>
      <c r="Q27" s="5">
        <f t="shared" si="6"/>
        <v>0</v>
      </c>
      <c r="R27" s="5">
        <f t="shared" si="6"/>
        <v>1</v>
      </c>
      <c r="S27" s="5">
        <f t="shared" si="6"/>
        <v>0</v>
      </c>
      <c r="T27" s="5">
        <f t="shared" si="6"/>
        <v>0</v>
      </c>
      <c r="U27" s="5">
        <f t="shared" si="6"/>
        <v>0</v>
      </c>
      <c r="V27" s="5">
        <f t="shared" si="6"/>
        <v>0</v>
      </c>
      <c r="W27" s="5">
        <f t="shared" si="6"/>
        <v>2</v>
      </c>
      <c r="X27" s="5">
        <f t="shared" si="6"/>
        <v>0</v>
      </c>
      <c r="Y27" s="5">
        <f t="shared" si="6"/>
        <v>0</v>
      </c>
      <c r="Z27" s="5">
        <f t="shared" si="6"/>
        <v>3</v>
      </c>
      <c r="AA27" s="5">
        <f t="shared" si="6"/>
        <v>2</v>
      </c>
      <c r="AB27" s="5">
        <f t="shared" si="3"/>
        <v>42</v>
      </c>
    </row>
    <row r="28" ht="12.75" customHeight="1">
      <c r="A28" s="32"/>
      <c r="B28" s="33" t="s">
        <v>52</v>
      </c>
      <c r="C28" s="34" t="s">
        <v>53</v>
      </c>
      <c r="D28" s="5" t="s">
        <v>41</v>
      </c>
      <c r="E28" s="5">
        <f t="shared" ref="E28:AA28" si="7">SUM(E19,E22,E25)</f>
        <v>105</v>
      </c>
      <c r="F28" s="5">
        <f t="shared" si="7"/>
        <v>119</v>
      </c>
      <c r="G28" s="5">
        <f t="shared" si="7"/>
        <v>116</v>
      </c>
      <c r="H28" s="5">
        <f t="shared" si="7"/>
        <v>94</v>
      </c>
      <c r="I28" s="5">
        <f t="shared" si="7"/>
        <v>76</v>
      </c>
      <c r="J28" s="5">
        <f t="shared" si="7"/>
        <v>106</v>
      </c>
      <c r="K28" s="5">
        <f t="shared" si="7"/>
        <v>96</v>
      </c>
      <c r="L28" s="5">
        <f t="shared" si="7"/>
        <v>88</v>
      </c>
      <c r="M28" s="5">
        <f t="shared" si="7"/>
        <v>82</v>
      </c>
      <c r="N28" s="5">
        <f t="shared" si="7"/>
        <v>111</v>
      </c>
      <c r="O28" s="5">
        <f t="shared" si="7"/>
        <v>128</v>
      </c>
      <c r="P28" s="5">
        <f t="shared" si="7"/>
        <v>110</v>
      </c>
      <c r="Q28" s="5">
        <f t="shared" si="7"/>
        <v>102</v>
      </c>
      <c r="R28" s="5">
        <f t="shared" si="7"/>
        <v>107</v>
      </c>
      <c r="S28" s="5">
        <f t="shared" si="7"/>
        <v>105</v>
      </c>
      <c r="T28" s="5">
        <f t="shared" si="7"/>
        <v>104</v>
      </c>
      <c r="U28" s="5">
        <f t="shared" si="7"/>
        <v>115</v>
      </c>
      <c r="V28" s="5">
        <f t="shared" si="7"/>
        <v>120</v>
      </c>
      <c r="W28" s="5">
        <f t="shared" si="7"/>
        <v>105</v>
      </c>
      <c r="X28" s="5">
        <f t="shared" si="7"/>
        <v>114</v>
      </c>
      <c r="Y28" s="5">
        <f t="shared" si="7"/>
        <v>118</v>
      </c>
      <c r="Z28" s="5">
        <f t="shared" si="7"/>
        <v>123</v>
      </c>
      <c r="AA28" s="5">
        <f t="shared" si="7"/>
        <v>103</v>
      </c>
      <c r="AB28" s="5">
        <f t="shared" si="3"/>
        <v>2447</v>
      </c>
    </row>
    <row r="29" ht="12.75" customHeight="1">
      <c r="A29" s="32"/>
      <c r="B29" s="19"/>
      <c r="C29" s="31"/>
      <c r="D29" s="5" t="s">
        <v>42</v>
      </c>
      <c r="E29" s="5">
        <f t="shared" ref="E29:AA29" si="8">SUM(E20,E23,E26)</f>
        <v>107</v>
      </c>
      <c r="F29" s="5">
        <f t="shared" si="8"/>
        <v>126</v>
      </c>
      <c r="G29" s="5">
        <f t="shared" si="8"/>
        <v>121</v>
      </c>
      <c r="H29" s="5">
        <f t="shared" si="8"/>
        <v>81</v>
      </c>
      <c r="I29" s="5">
        <f t="shared" si="8"/>
        <v>81</v>
      </c>
      <c r="J29" s="5">
        <f t="shared" si="8"/>
        <v>106</v>
      </c>
      <c r="K29" s="5">
        <f t="shared" si="8"/>
        <v>109</v>
      </c>
      <c r="L29" s="5">
        <f t="shared" si="8"/>
        <v>83</v>
      </c>
      <c r="M29" s="5">
        <f t="shared" si="8"/>
        <v>84</v>
      </c>
      <c r="N29" s="5">
        <f t="shared" si="8"/>
        <v>108</v>
      </c>
      <c r="O29" s="5">
        <f t="shared" si="8"/>
        <v>128</v>
      </c>
      <c r="P29" s="5">
        <f t="shared" si="8"/>
        <v>104</v>
      </c>
      <c r="Q29" s="5">
        <f t="shared" si="8"/>
        <v>111</v>
      </c>
      <c r="R29" s="5">
        <f t="shared" si="8"/>
        <v>111</v>
      </c>
      <c r="S29" s="5">
        <f t="shared" si="8"/>
        <v>103</v>
      </c>
      <c r="T29" s="5">
        <f t="shared" si="8"/>
        <v>118</v>
      </c>
      <c r="U29" s="5">
        <f t="shared" si="8"/>
        <v>118</v>
      </c>
      <c r="V29" s="5">
        <f t="shared" si="8"/>
        <v>122</v>
      </c>
      <c r="W29" s="5">
        <f t="shared" si="8"/>
        <v>121</v>
      </c>
      <c r="X29" s="5">
        <f t="shared" si="8"/>
        <v>116</v>
      </c>
      <c r="Y29" s="5">
        <f t="shared" si="8"/>
        <v>126</v>
      </c>
      <c r="Z29" s="5">
        <f t="shared" si="8"/>
        <v>122</v>
      </c>
      <c r="AA29" s="5">
        <f t="shared" si="8"/>
        <v>114</v>
      </c>
      <c r="AB29" s="5">
        <f t="shared" si="3"/>
        <v>2520</v>
      </c>
    </row>
    <row r="30" ht="12.75" customHeight="1">
      <c r="A30" s="32"/>
      <c r="B30" s="23"/>
      <c r="C30" s="14"/>
      <c r="D30" s="5" t="s">
        <v>43</v>
      </c>
      <c r="E30" s="5">
        <f t="shared" ref="E30:AA30" si="9">SUM(E28:E29)</f>
        <v>212</v>
      </c>
      <c r="F30" s="5">
        <f t="shared" si="9"/>
        <v>245</v>
      </c>
      <c r="G30" s="5">
        <f t="shared" si="9"/>
        <v>237</v>
      </c>
      <c r="H30" s="5">
        <f t="shared" si="9"/>
        <v>175</v>
      </c>
      <c r="I30" s="5">
        <f t="shared" si="9"/>
        <v>157</v>
      </c>
      <c r="J30" s="5">
        <f t="shared" si="9"/>
        <v>212</v>
      </c>
      <c r="K30" s="5">
        <f t="shared" si="9"/>
        <v>205</v>
      </c>
      <c r="L30" s="5">
        <f t="shared" si="9"/>
        <v>171</v>
      </c>
      <c r="M30" s="5">
        <f t="shared" si="9"/>
        <v>166</v>
      </c>
      <c r="N30" s="5">
        <f t="shared" si="9"/>
        <v>219</v>
      </c>
      <c r="O30" s="5">
        <f t="shared" si="9"/>
        <v>256</v>
      </c>
      <c r="P30" s="5">
        <f t="shared" si="9"/>
        <v>214</v>
      </c>
      <c r="Q30" s="5">
        <f t="shared" si="9"/>
        <v>213</v>
      </c>
      <c r="R30" s="5">
        <f t="shared" si="9"/>
        <v>218</v>
      </c>
      <c r="S30" s="5">
        <f t="shared" si="9"/>
        <v>208</v>
      </c>
      <c r="T30" s="5">
        <f t="shared" si="9"/>
        <v>222</v>
      </c>
      <c r="U30" s="5">
        <f t="shared" si="9"/>
        <v>233</v>
      </c>
      <c r="V30" s="5">
        <f t="shared" si="9"/>
        <v>242</v>
      </c>
      <c r="W30" s="5">
        <f t="shared" si="9"/>
        <v>226</v>
      </c>
      <c r="X30" s="5">
        <f t="shared" si="9"/>
        <v>230</v>
      </c>
      <c r="Y30" s="5">
        <f t="shared" si="9"/>
        <v>244</v>
      </c>
      <c r="Z30" s="5">
        <f t="shared" si="9"/>
        <v>245</v>
      </c>
      <c r="AA30" s="5">
        <f t="shared" si="9"/>
        <v>217</v>
      </c>
      <c r="AB30" s="5">
        <f t="shared" si="3"/>
        <v>4967</v>
      </c>
    </row>
    <row r="31" ht="12.75" customHeight="1">
      <c r="A31" s="24"/>
      <c r="B31" s="7"/>
      <c r="C31" s="7"/>
      <c r="D31" s="8"/>
      <c r="E31" s="11"/>
      <c r="F31" s="11"/>
      <c r="G31" s="11"/>
      <c r="H31" s="11"/>
      <c r="I31" s="11"/>
      <c r="J31" s="11"/>
      <c r="K31" s="11"/>
      <c r="L31" s="11"/>
      <c r="M31" s="11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6"/>
    </row>
    <row r="32" ht="12.75" customHeight="1">
      <c r="A32" s="35" t="s">
        <v>54</v>
      </c>
      <c r="B32" s="6" t="s">
        <v>55</v>
      </c>
      <c r="C32" s="7"/>
      <c r="D32" s="8"/>
      <c r="E32" s="5"/>
      <c r="F32" s="5"/>
      <c r="G32" s="5"/>
      <c r="H32" s="5"/>
      <c r="I32" s="5"/>
      <c r="J32" s="5"/>
      <c r="K32" s="5"/>
      <c r="L32" s="5"/>
      <c r="M32" s="5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26"/>
    </row>
    <row r="33" ht="12.75" customHeight="1">
      <c r="A33" s="11">
        <v>1.0</v>
      </c>
      <c r="B33" s="12" t="s">
        <v>56</v>
      </c>
      <c r="C33" s="7"/>
      <c r="D33" s="8"/>
      <c r="E33" s="11">
        <v>285.0</v>
      </c>
      <c r="F33" s="11">
        <v>296.0</v>
      </c>
      <c r="G33" s="11">
        <v>290.0</v>
      </c>
      <c r="H33" s="11">
        <v>212.0</v>
      </c>
      <c r="I33" s="11">
        <v>221.0</v>
      </c>
      <c r="J33" s="11">
        <v>270.0</v>
      </c>
      <c r="K33" s="11">
        <v>259.0</v>
      </c>
      <c r="L33" s="11">
        <v>221.0</v>
      </c>
      <c r="M33" s="11">
        <v>221.0</v>
      </c>
      <c r="N33" s="11">
        <v>255.0</v>
      </c>
      <c r="O33" s="11">
        <v>300.0</v>
      </c>
      <c r="P33" s="11">
        <v>296.0</v>
      </c>
      <c r="Q33" s="11">
        <v>290.0</v>
      </c>
      <c r="R33" s="11">
        <v>292.0</v>
      </c>
      <c r="S33" s="11">
        <v>260.0</v>
      </c>
      <c r="T33" s="11">
        <v>287.0</v>
      </c>
      <c r="U33" s="11">
        <v>298.0</v>
      </c>
      <c r="V33" s="11">
        <v>296.0</v>
      </c>
      <c r="W33" s="11">
        <v>299.0</v>
      </c>
      <c r="X33" s="11">
        <v>288.0</v>
      </c>
      <c r="Y33" s="11">
        <v>299.0</v>
      </c>
      <c r="Z33" s="11">
        <v>296.0</v>
      </c>
      <c r="AA33" s="11">
        <v>297.0</v>
      </c>
      <c r="AB33" s="5">
        <f t="shared" ref="AB33:AB36" si="10">SUM(E33:AA33)</f>
        <v>6328</v>
      </c>
    </row>
    <row r="34" ht="12.75" customHeight="1">
      <c r="A34" s="11">
        <v>2.0</v>
      </c>
      <c r="B34" s="12" t="s">
        <v>57</v>
      </c>
      <c r="C34" s="7"/>
      <c r="D34" s="8"/>
      <c r="E34" s="5">
        <v>212.0</v>
      </c>
      <c r="F34" s="5">
        <v>245.0</v>
      </c>
      <c r="G34" s="5">
        <v>237.0</v>
      </c>
      <c r="H34" s="5">
        <v>175.0</v>
      </c>
      <c r="I34" s="5">
        <v>157.0</v>
      </c>
      <c r="J34" s="5">
        <v>212.0</v>
      </c>
      <c r="K34" s="5">
        <v>205.0</v>
      </c>
      <c r="L34" s="5">
        <v>171.0</v>
      </c>
      <c r="M34" s="5">
        <v>166.0</v>
      </c>
      <c r="N34" s="5">
        <v>219.0</v>
      </c>
      <c r="O34" s="5">
        <v>256.0</v>
      </c>
      <c r="P34" s="5">
        <v>214.0</v>
      </c>
      <c r="Q34" s="5">
        <v>213.0</v>
      </c>
      <c r="R34" s="5">
        <v>218.0</v>
      </c>
      <c r="S34" s="5">
        <v>208.0</v>
      </c>
      <c r="T34" s="5">
        <v>222.0</v>
      </c>
      <c r="U34" s="5">
        <v>233.0</v>
      </c>
      <c r="V34" s="5">
        <v>242.0</v>
      </c>
      <c r="W34" s="5">
        <v>226.0</v>
      </c>
      <c r="X34" s="5">
        <v>230.0</v>
      </c>
      <c r="Y34" s="5">
        <v>244.0</v>
      </c>
      <c r="Z34" s="5">
        <v>245.0</v>
      </c>
      <c r="AA34" s="5">
        <v>217.0</v>
      </c>
      <c r="AB34" s="5">
        <f t="shared" si="10"/>
        <v>4967</v>
      </c>
    </row>
    <row r="35" ht="12.75" customHeight="1">
      <c r="A35" s="11">
        <v>3.0</v>
      </c>
      <c r="B35" s="12" t="s">
        <v>58</v>
      </c>
      <c r="C35" s="7"/>
      <c r="D35" s="8"/>
      <c r="E35" s="11">
        <v>0.0</v>
      </c>
      <c r="F35" s="11">
        <v>0.0</v>
      </c>
      <c r="G35" s="11">
        <v>0.0</v>
      </c>
      <c r="H35" s="11">
        <v>0.0</v>
      </c>
      <c r="I35" s="11">
        <v>0.0</v>
      </c>
      <c r="J35" s="11">
        <v>0.0</v>
      </c>
      <c r="K35" s="11">
        <v>0.0</v>
      </c>
      <c r="L35" s="11">
        <v>0.0</v>
      </c>
      <c r="M35" s="11">
        <v>0.0</v>
      </c>
      <c r="N35" s="11">
        <v>0.0</v>
      </c>
      <c r="O35" s="11">
        <v>0.0</v>
      </c>
      <c r="P35" s="11">
        <v>0.0</v>
      </c>
      <c r="Q35" s="11">
        <v>0.0</v>
      </c>
      <c r="R35" s="11">
        <v>5.0</v>
      </c>
      <c r="S35" s="11">
        <v>0.0</v>
      </c>
      <c r="T35" s="11">
        <v>0.0</v>
      </c>
      <c r="U35" s="11">
        <v>0.0</v>
      </c>
      <c r="V35" s="11">
        <v>1.0</v>
      </c>
      <c r="W35" s="11">
        <v>0.0</v>
      </c>
      <c r="X35" s="11">
        <v>0.0</v>
      </c>
      <c r="Y35" s="11">
        <v>0.0</v>
      </c>
      <c r="Z35" s="11">
        <v>0.0</v>
      </c>
      <c r="AA35" s="11">
        <v>0.0</v>
      </c>
      <c r="AB35" s="5">
        <f t="shared" si="10"/>
        <v>6</v>
      </c>
    </row>
    <row r="36" ht="12.75" customHeight="1">
      <c r="A36" s="11">
        <v>4.0</v>
      </c>
      <c r="B36" s="12" t="s">
        <v>59</v>
      </c>
      <c r="C36" s="7"/>
      <c r="D36" s="8"/>
      <c r="E36" s="5">
        <f t="shared" ref="E36:AA36" si="11">E33-(E34+E35)</f>
        <v>73</v>
      </c>
      <c r="F36" s="5">
        <f t="shared" si="11"/>
        <v>51</v>
      </c>
      <c r="G36" s="5">
        <f t="shared" si="11"/>
        <v>53</v>
      </c>
      <c r="H36" s="5">
        <f t="shared" si="11"/>
        <v>37</v>
      </c>
      <c r="I36" s="5">
        <f t="shared" si="11"/>
        <v>64</v>
      </c>
      <c r="J36" s="5">
        <f t="shared" si="11"/>
        <v>58</v>
      </c>
      <c r="K36" s="5">
        <f t="shared" si="11"/>
        <v>54</v>
      </c>
      <c r="L36" s="5">
        <f t="shared" si="11"/>
        <v>50</v>
      </c>
      <c r="M36" s="5">
        <f t="shared" si="11"/>
        <v>55</v>
      </c>
      <c r="N36" s="5">
        <f t="shared" si="11"/>
        <v>36</v>
      </c>
      <c r="O36" s="5">
        <f t="shared" si="11"/>
        <v>44</v>
      </c>
      <c r="P36" s="5">
        <f t="shared" si="11"/>
        <v>82</v>
      </c>
      <c r="Q36" s="5">
        <f t="shared" si="11"/>
        <v>77</v>
      </c>
      <c r="R36" s="5">
        <f t="shared" si="11"/>
        <v>69</v>
      </c>
      <c r="S36" s="5">
        <f t="shared" si="11"/>
        <v>52</v>
      </c>
      <c r="T36" s="5">
        <f t="shared" si="11"/>
        <v>65</v>
      </c>
      <c r="U36" s="5">
        <f t="shared" si="11"/>
        <v>65</v>
      </c>
      <c r="V36" s="5">
        <f t="shared" si="11"/>
        <v>53</v>
      </c>
      <c r="W36" s="5">
        <f t="shared" si="11"/>
        <v>73</v>
      </c>
      <c r="X36" s="5">
        <f t="shared" si="11"/>
        <v>58</v>
      </c>
      <c r="Y36" s="5">
        <f t="shared" si="11"/>
        <v>55</v>
      </c>
      <c r="Z36" s="5">
        <f t="shared" si="11"/>
        <v>51</v>
      </c>
      <c r="AA36" s="5">
        <f t="shared" si="11"/>
        <v>80</v>
      </c>
      <c r="AB36" s="5">
        <f t="shared" si="10"/>
        <v>1355</v>
      </c>
    </row>
    <row r="37" ht="12.75" customHeight="1">
      <c r="A37" s="24"/>
      <c r="B37" s="7"/>
      <c r="C37" s="7"/>
      <c r="D37" s="7"/>
      <c r="E37" s="24"/>
      <c r="F37" s="7"/>
      <c r="G37" s="7"/>
      <c r="H37" s="7"/>
      <c r="I37" s="8"/>
      <c r="J37" s="11"/>
      <c r="K37" s="11"/>
      <c r="L37" s="11"/>
      <c r="M37" s="11"/>
      <c r="N37" s="25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26"/>
    </row>
    <row r="38" ht="12.75" customHeight="1">
      <c r="A38" s="39" t="s">
        <v>60</v>
      </c>
      <c r="B38" s="6" t="s">
        <v>61</v>
      </c>
      <c r="C38" s="7"/>
      <c r="D38" s="8"/>
      <c r="E38" s="5"/>
      <c r="F38" s="5"/>
      <c r="G38" s="5"/>
      <c r="H38" s="5"/>
      <c r="I38" s="5"/>
      <c r="J38" s="5"/>
      <c r="K38" s="5"/>
      <c r="L38" s="5"/>
      <c r="M38" s="5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26"/>
    </row>
    <row r="39" ht="12.75" customHeight="1">
      <c r="A39" s="27"/>
      <c r="B39" s="40" t="s">
        <v>62</v>
      </c>
      <c r="C39" s="17"/>
      <c r="D39" s="11" t="s">
        <v>41</v>
      </c>
      <c r="E39" s="11">
        <v>0.0</v>
      </c>
      <c r="F39" s="11">
        <v>0.0</v>
      </c>
      <c r="G39" s="11">
        <v>0.0</v>
      </c>
      <c r="H39" s="11">
        <v>3.0</v>
      </c>
      <c r="I39" s="11">
        <v>0.0</v>
      </c>
      <c r="J39" s="11">
        <v>0.0</v>
      </c>
      <c r="K39" s="11">
        <v>0.0</v>
      </c>
      <c r="L39" s="11">
        <v>0.0</v>
      </c>
      <c r="M39" s="11">
        <v>0.0</v>
      </c>
      <c r="N39" s="11">
        <v>0.0</v>
      </c>
      <c r="O39" s="11">
        <v>0.0</v>
      </c>
      <c r="P39" s="11">
        <v>0.0</v>
      </c>
      <c r="Q39" s="11">
        <v>0.0</v>
      </c>
      <c r="R39" s="11">
        <v>0.0</v>
      </c>
      <c r="S39" s="11">
        <v>0.0</v>
      </c>
      <c r="T39" s="11">
        <v>0.0</v>
      </c>
      <c r="U39" s="11">
        <v>0.0</v>
      </c>
      <c r="V39" s="11">
        <v>0.0</v>
      </c>
      <c r="W39" s="11">
        <v>0.0</v>
      </c>
      <c r="X39" s="11">
        <v>0.0</v>
      </c>
      <c r="Y39" s="11">
        <v>0.0</v>
      </c>
      <c r="Z39" s="11">
        <v>0.0</v>
      </c>
      <c r="AA39" s="11">
        <v>0.0</v>
      </c>
      <c r="AB39" s="5">
        <f t="shared" ref="AB39:AB41" si="12">SUM(E39:AA39)</f>
        <v>3</v>
      </c>
    </row>
    <row r="40" ht="12.75" customHeight="1">
      <c r="A40" s="30"/>
      <c r="C40" s="19"/>
      <c r="D40" s="11" t="s">
        <v>42</v>
      </c>
      <c r="E40" s="11">
        <v>0.0</v>
      </c>
      <c r="F40" s="11">
        <v>0.0</v>
      </c>
      <c r="G40" s="11">
        <v>0.0</v>
      </c>
      <c r="H40" s="11">
        <v>0.0</v>
      </c>
      <c r="I40" s="11">
        <v>0.0</v>
      </c>
      <c r="J40" s="11">
        <v>0.0</v>
      </c>
      <c r="K40" s="11">
        <v>0.0</v>
      </c>
      <c r="L40" s="11">
        <v>0.0</v>
      </c>
      <c r="M40" s="11">
        <v>0.0</v>
      </c>
      <c r="N40" s="11">
        <v>0.0</v>
      </c>
      <c r="O40" s="11">
        <v>0.0</v>
      </c>
      <c r="P40" s="11">
        <v>0.0</v>
      </c>
      <c r="Q40" s="11">
        <v>0.0</v>
      </c>
      <c r="R40" s="11">
        <v>0.0</v>
      </c>
      <c r="S40" s="11">
        <v>0.0</v>
      </c>
      <c r="T40" s="11">
        <v>0.0</v>
      </c>
      <c r="U40" s="11">
        <v>0.0</v>
      </c>
      <c r="V40" s="11">
        <v>0.0</v>
      </c>
      <c r="W40" s="11">
        <v>0.0</v>
      </c>
      <c r="X40" s="11">
        <v>0.0</v>
      </c>
      <c r="Y40" s="11">
        <v>0.0</v>
      </c>
      <c r="Z40" s="11">
        <v>0.0</v>
      </c>
      <c r="AA40" s="11">
        <v>0.0</v>
      </c>
      <c r="AB40" s="5">
        <f t="shared" si="12"/>
        <v>0</v>
      </c>
    </row>
    <row r="41" ht="12.75" customHeight="1">
      <c r="A41" s="35"/>
      <c r="B41" s="41"/>
      <c r="C41" s="23"/>
      <c r="D41" s="5" t="s">
        <v>43</v>
      </c>
      <c r="E41" s="5">
        <f t="shared" ref="E41:AA41" si="13">SUM(E39:E40)</f>
        <v>0</v>
      </c>
      <c r="F41" s="5">
        <f t="shared" si="13"/>
        <v>0</v>
      </c>
      <c r="G41" s="5">
        <f t="shared" si="13"/>
        <v>0</v>
      </c>
      <c r="H41" s="5">
        <f t="shared" si="13"/>
        <v>3</v>
      </c>
      <c r="I41" s="5">
        <f t="shared" si="13"/>
        <v>0</v>
      </c>
      <c r="J41" s="5">
        <f t="shared" si="13"/>
        <v>0</v>
      </c>
      <c r="K41" s="5">
        <f t="shared" si="13"/>
        <v>0</v>
      </c>
      <c r="L41" s="5">
        <f t="shared" si="13"/>
        <v>0</v>
      </c>
      <c r="M41" s="5">
        <f t="shared" si="13"/>
        <v>0</v>
      </c>
      <c r="N41" s="5">
        <f t="shared" si="13"/>
        <v>0</v>
      </c>
      <c r="O41" s="5">
        <f t="shared" si="13"/>
        <v>0</v>
      </c>
      <c r="P41" s="5">
        <f t="shared" si="13"/>
        <v>0</v>
      </c>
      <c r="Q41" s="5">
        <f t="shared" si="13"/>
        <v>0</v>
      </c>
      <c r="R41" s="5">
        <f t="shared" si="13"/>
        <v>0</v>
      </c>
      <c r="S41" s="5">
        <f t="shared" si="13"/>
        <v>0</v>
      </c>
      <c r="T41" s="5">
        <f t="shared" si="13"/>
        <v>0</v>
      </c>
      <c r="U41" s="5">
        <f t="shared" si="13"/>
        <v>0</v>
      </c>
      <c r="V41" s="5">
        <f t="shared" si="13"/>
        <v>0</v>
      </c>
      <c r="W41" s="5">
        <f t="shared" si="13"/>
        <v>0</v>
      </c>
      <c r="X41" s="5">
        <f t="shared" si="13"/>
        <v>0</v>
      </c>
      <c r="Y41" s="5">
        <f t="shared" si="13"/>
        <v>0</v>
      </c>
      <c r="Z41" s="5">
        <f t="shared" si="13"/>
        <v>0</v>
      </c>
      <c r="AA41" s="5">
        <f t="shared" si="13"/>
        <v>0</v>
      </c>
      <c r="AB41" s="5">
        <f t="shared" si="12"/>
        <v>3</v>
      </c>
    </row>
    <row r="42" ht="12.75" customHeight="1">
      <c r="A42" s="42"/>
      <c r="B42" s="41"/>
      <c r="C42" s="41"/>
      <c r="D42" s="23"/>
      <c r="E42" s="24"/>
      <c r="F42" s="7"/>
      <c r="G42" s="7"/>
      <c r="H42" s="7"/>
      <c r="I42" s="8"/>
      <c r="J42" s="11"/>
      <c r="K42" s="11"/>
      <c r="L42" s="11"/>
      <c r="M42" s="11"/>
      <c r="N42" s="25"/>
      <c r="O42" s="11"/>
      <c r="P42" s="25"/>
      <c r="Q42" s="11"/>
      <c r="R42" s="25"/>
      <c r="S42" s="11"/>
      <c r="T42" s="25"/>
      <c r="U42" s="11"/>
      <c r="V42" s="25"/>
      <c r="W42" s="11"/>
      <c r="X42" s="25"/>
      <c r="Y42" s="11"/>
      <c r="Z42" s="25"/>
      <c r="AA42" s="11"/>
      <c r="AB42" s="5"/>
    </row>
    <row r="43" ht="12.75" customHeight="1">
      <c r="A43" s="39" t="s">
        <v>63</v>
      </c>
      <c r="B43" s="6" t="s">
        <v>64</v>
      </c>
      <c r="C43" s="7"/>
      <c r="D43" s="8"/>
      <c r="E43" s="9"/>
      <c r="F43" s="5"/>
      <c r="G43" s="5"/>
      <c r="H43" s="5"/>
      <c r="I43" s="5"/>
      <c r="J43" s="5"/>
      <c r="K43" s="5"/>
      <c r="L43" s="5"/>
      <c r="M43" s="5"/>
      <c r="N43" s="36"/>
      <c r="O43" s="5"/>
      <c r="P43" s="36"/>
      <c r="Q43" s="5"/>
      <c r="R43" s="36"/>
      <c r="S43" s="5"/>
      <c r="T43" s="36"/>
      <c r="U43" s="5"/>
      <c r="V43" s="36"/>
      <c r="W43" s="5"/>
      <c r="X43" s="36"/>
      <c r="Y43" s="5"/>
      <c r="Z43" s="36"/>
      <c r="AA43" s="5"/>
      <c r="AB43" s="5"/>
    </row>
    <row r="44" ht="12.75" customHeight="1">
      <c r="A44" s="40" t="s">
        <v>65</v>
      </c>
      <c r="B44" s="43"/>
      <c r="C44" s="43"/>
      <c r="D44" s="17"/>
      <c r="E44" s="24"/>
      <c r="F44" s="11"/>
      <c r="G44" s="11"/>
      <c r="H44" s="11"/>
      <c r="I44" s="11"/>
      <c r="J44" s="11"/>
      <c r="K44" s="11"/>
      <c r="L44" s="11"/>
      <c r="M44" s="11"/>
      <c r="N44" s="25"/>
      <c r="O44" s="11"/>
      <c r="P44" s="25"/>
      <c r="Q44" s="11"/>
      <c r="R44" s="25"/>
      <c r="S44" s="11"/>
      <c r="T44" s="25"/>
      <c r="U44" s="11"/>
      <c r="V44" s="25"/>
      <c r="W44" s="11"/>
      <c r="X44" s="25"/>
      <c r="Y44" s="11"/>
      <c r="Z44" s="25"/>
      <c r="AA44" s="11"/>
      <c r="AB44" s="5"/>
    </row>
    <row r="45" ht="12.75" customHeight="1">
      <c r="A45" s="44"/>
      <c r="B45" s="45">
        <v>1.0</v>
      </c>
      <c r="C45" s="46" t="s">
        <v>66</v>
      </c>
      <c r="D45" s="8"/>
      <c r="E45" s="11">
        <v>32.0</v>
      </c>
      <c r="F45" s="11">
        <v>29.0</v>
      </c>
      <c r="G45" s="11">
        <v>37.0</v>
      </c>
      <c r="H45" s="11">
        <v>22.0</v>
      </c>
      <c r="I45" s="11">
        <v>17.0</v>
      </c>
      <c r="J45" s="11">
        <v>13.0</v>
      </c>
      <c r="K45" s="11">
        <v>26.0</v>
      </c>
      <c r="L45" s="11">
        <v>19.0</v>
      </c>
      <c r="M45" s="11">
        <v>9.0</v>
      </c>
      <c r="N45" s="11">
        <v>40.0</v>
      </c>
      <c r="O45" s="11">
        <v>20.0</v>
      </c>
      <c r="P45" s="11">
        <v>9.0</v>
      </c>
      <c r="Q45" s="11">
        <v>6.0</v>
      </c>
      <c r="R45" s="11">
        <v>12.0</v>
      </c>
      <c r="S45" s="11">
        <v>13.0</v>
      </c>
      <c r="T45" s="11">
        <v>19.0</v>
      </c>
      <c r="U45" s="11">
        <v>24.0</v>
      </c>
      <c r="V45" s="11">
        <v>21.0</v>
      </c>
      <c r="W45" s="11">
        <v>18.0</v>
      </c>
      <c r="X45" s="11">
        <v>20.0</v>
      </c>
      <c r="Y45" s="11">
        <v>11.0</v>
      </c>
      <c r="Z45" s="11">
        <v>19.0</v>
      </c>
      <c r="AA45" s="11">
        <v>17.0</v>
      </c>
      <c r="AB45" s="5">
        <f t="shared" ref="AB45:AB47" si="14">SUM(E45:AA45)</f>
        <v>453</v>
      </c>
    </row>
    <row r="46" ht="12.75" customHeight="1">
      <c r="A46" s="15"/>
      <c r="B46" s="45">
        <v>2.0</v>
      </c>
      <c r="C46" s="46" t="s">
        <v>67</v>
      </c>
      <c r="D46" s="8"/>
      <c r="E46" s="11">
        <v>139.0</v>
      </c>
      <c r="F46" s="11">
        <v>176.0</v>
      </c>
      <c r="G46" s="11">
        <v>145.0</v>
      </c>
      <c r="H46" s="11">
        <v>124.0</v>
      </c>
      <c r="I46" s="11">
        <v>106.0</v>
      </c>
      <c r="J46" s="11">
        <v>150.0</v>
      </c>
      <c r="K46" s="11">
        <v>148.0</v>
      </c>
      <c r="L46" s="11">
        <v>116.0</v>
      </c>
      <c r="M46" s="11">
        <v>106.0</v>
      </c>
      <c r="N46" s="11">
        <v>117.0</v>
      </c>
      <c r="O46" s="11">
        <v>180.0</v>
      </c>
      <c r="P46" s="11">
        <v>116.0</v>
      </c>
      <c r="Q46" s="11">
        <v>140.0</v>
      </c>
      <c r="R46" s="11">
        <v>130.0</v>
      </c>
      <c r="S46" s="11">
        <v>113.0</v>
      </c>
      <c r="T46" s="11">
        <v>145.0</v>
      </c>
      <c r="U46" s="11">
        <v>170.0</v>
      </c>
      <c r="V46" s="11">
        <v>150.0</v>
      </c>
      <c r="W46" s="11">
        <v>134.0</v>
      </c>
      <c r="X46" s="11">
        <v>137.0</v>
      </c>
      <c r="Y46" s="11">
        <v>182.0</v>
      </c>
      <c r="Z46" s="11">
        <v>180.0</v>
      </c>
      <c r="AA46" s="11">
        <v>144.0</v>
      </c>
      <c r="AB46" s="5">
        <f t="shared" si="14"/>
        <v>3248</v>
      </c>
    </row>
    <row r="47" ht="12.75" customHeight="1">
      <c r="A47" s="42"/>
      <c r="B47" s="45">
        <v>3.0</v>
      </c>
      <c r="C47" s="46" t="s">
        <v>68</v>
      </c>
      <c r="D47" s="8"/>
      <c r="E47" s="11">
        <v>40.0</v>
      </c>
      <c r="F47" s="11">
        <v>33.0</v>
      </c>
      <c r="G47" s="11">
        <v>49.0</v>
      </c>
      <c r="H47" s="11">
        <v>27.0</v>
      </c>
      <c r="I47" s="11">
        <v>32.0</v>
      </c>
      <c r="J47" s="11">
        <v>47.0</v>
      </c>
      <c r="K47" s="11">
        <v>30.0</v>
      </c>
      <c r="L47" s="11">
        <v>36.0</v>
      </c>
      <c r="M47" s="11">
        <v>49.0</v>
      </c>
      <c r="N47" s="11">
        <v>58.0</v>
      </c>
      <c r="O47" s="11">
        <v>51.0</v>
      </c>
      <c r="P47" s="11">
        <v>83.0</v>
      </c>
      <c r="Q47" s="11">
        <v>62.0</v>
      </c>
      <c r="R47" s="11">
        <v>71.0</v>
      </c>
      <c r="S47" s="11">
        <v>81.0</v>
      </c>
      <c r="T47" s="11">
        <v>56.0</v>
      </c>
      <c r="U47" s="11">
        <v>36.0</v>
      </c>
      <c r="V47" s="11">
        <v>68.0</v>
      </c>
      <c r="W47" s="11">
        <v>71.0</v>
      </c>
      <c r="X47" s="11">
        <v>72.0</v>
      </c>
      <c r="Y47" s="11">
        <v>47.0</v>
      </c>
      <c r="Z47" s="11">
        <v>46.0</v>
      </c>
      <c r="AA47" s="11">
        <v>55.0</v>
      </c>
      <c r="AB47" s="5">
        <f t="shared" si="14"/>
        <v>1200</v>
      </c>
    </row>
    <row r="48" ht="12.75" customHeight="1"/>
    <row r="49" ht="12.75" customHeight="1">
      <c r="A49" s="39" t="s">
        <v>69</v>
      </c>
      <c r="B49" s="6" t="s">
        <v>70</v>
      </c>
      <c r="C49" s="7"/>
      <c r="D49" s="8"/>
      <c r="E49" s="5"/>
      <c r="F49" s="5"/>
      <c r="G49" s="5"/>
      <c r="H49" s="5"/>
      <c r="I49" s="5"/>
      <c r="J49" s="5"/>
      <c r="K49" s="5"/>
      <c r="L49" s="5"/>
      <c r="M49" s="5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5"/>
    </row>
    <row r="50" ht="12.75" customHeight="1">
      <c r="A50" s="39"/>
      <c r="B50" s="47" t="s">
        <v>71</v>
      </c>
      <c r="C50" s="48" t="s">
        <v>72</v>
      </c>
      <c r="D50" s="8"/>
      <c r="E50" s="11">
        <f t="shared" ref="E50:AA50" si="15">SUM(E45:E47)</f>
        <v>211</v>
      </c>
      <c r="F50" s="11">
        <f t="shared" si="15"/>
        <v>238</v>
      </c>
      <c r="G50" s="11">
        <f t="shared" si="15"/>
        <v>231</v>
      </c>
      <c r="H50" s="11">
        <f t="shared" si="15"/>
        <v>173</v>
      </c>
      <c r="I50" s="11">
        <f t="shared" si="15"/>
        <v>155</v>
      </c>
      <c r="J50" s="11">
        <f t="shared" si="15"/>
        <v>210</v>
      </c>
      <c r="K50" s="11">
        <f t="shared" si="15"/>
        <v>204</v>
      </c>
      <c r="L50" s="11">
        <f t="shared" si="15"/>
        <v>171</v>
      </c>
      <c r="M50" s="11">
        <f t="shared" si="15"/>
        <v>164</v>
      </c>
      <c r="N50" s="11">
        <f t="shared" si="15"/>
        <v>215</v>
      </c>
      <c r="O50" s="11">
        <f t="shared" si="15"/>
        <v>251</v>
      </c>
      <c r="P50" s="11">
        <f t="shared" si="15"/>
        <v>208</v>
      </c>
      <c r="Q50" s="11">
        <f t="shared" si="15"/>
        <v>208</v>
      </c>
      <c r="R50" s="11">
        <f t="shared" si="15"/>
        <v>213</v>
      </c>
      <c r="S50" s="11">
        <f t="shared" si="15"/>
        <v>207</v>
      </c>
      <c r="T50" s="11">
        <f t="shared" si="15"/>
        <v>220</v>
      </c>
      <c r="U50" s="11">
        <f t="shared" si="15"/>
        <v>230</v>
      </c>
      <c r="V50" s="11">
        <f t="shared" si="15"/>
        <v>239</v>
      </c>
      <c r="W50" s="11">
        <f t="shared" si="15"/>
        <v>223</v>
      </c>
      <c r="X50" s="11">
        <f t="shared" si="15"/>
        <v>229</v>
      </c>
      <c r="Y50" s="11">
        <f t="shared" si="15"/>
        <v>240</v>
      </c>
      <c r="Z50" s="11">
        <f t="shared" si="15"/>
        <v>245</v>
      </c>
      <c r="AA50" s="11">
        <f t="shared" si="15"/>
        <v>216</v>
      </c>
      <c r="AB50" s="5">
        <f t="shared" ref="AB50:AB52" si="16">SUM(E50:AA50)</f>
        <v>4901</v>
      </c>
    </row>
    <row r="51" ht="12.75" customHeight="1">
      <c r="A51" s="32"/>
      <c r="B51" s="47" t="s">
        <v>73</v>
      </c>
      <c r="C51" s="48" t="s">
        <v>74</v>
      </c>
      <c r="D51" s="8"/>
      <c r="E51" s="11">
        <v>1.0</v>
      </c>
      <c r="F51" s="11">
        <v>7.0</v>
      </c>
      <c r="G51" s="11">
        <v>6.0</v>
      </c>
      <c r="H51" s="11">
        <v>2.0</v>
      </c>
      <c r="I51" s="11">
        <v>2.0</v>
      </c>
      <c r="J51" s="11">
        <v>2.0</v>
      </c>
      <c r="K51" s="11">
        <v>1.0</v>
      </c>
      <c r="L51" s="11">
        <v>0.0</v>
      </c>
      <c r="M51" s="11">
        <v>2.0</v>
      </c>
      <c r="N51" s="11">
        <v>4.0</v>
      </c>
      <c r="O51" s="11">
        <v>5.0</v>
      </c>
      <c r="P51" s="11">
        <v>6.0</v>
      </c>
      <c r="Q51" s="11">
        <v>5.0</v>
      </c>
      <c r="R51" s="11">
        <v>5.0</v>
      </c>
      <c r="S51" s="11">
        <v>1.0</v>
      </c>
      <c r="T51" s="11">
        <v>2.0</v>
      </c>
      <c r="U51" s="11">
        <v>3.0</v>
      </c>
      <c r="V51" s="11">
        <v>3.0</v>
      </c>
      <c r="W51" s="11">
        <v>3.0</v>
      </c>
      <c r="X51" s="11">
        <v>1.0</v>
      </c>
      <c r="Y51" s="11">
        <v>4.0</v>
      </c>
      <c r="Z51" s="11">
        <v>0.0</v>
      </c>
      <c r="AA51" s="11">
        <v>1.0</v>
      </c>
      <c r="AB51" s="5">
        <f t="shared" si="16"/>
        <v>66</v>
      </c>
    </row>
    <row r="52" ht="12.75" customHeight="1">
      <c r="A52" s="35"/>
      <c r="B52" s="47" t="s">
        <v>75</v>
      </c>
      <c r="C52" s="48" t="s">
        <v>76</v>
      </c>
      <c r="D52" s="8"/>
      <c r="E52" s="5">
        <f t="shared" ref="E52:AA52" si="17">SUM(E50:E51)</f>
        <v>212</v>
      </c>
      <c r="F52" s="5">
        <f t="shared" si="17"/>
        <v>245</v>
      </c>
      <c r="G52" s="5">
        <f t="shared" si="17"/>
        <v>237</v>
      </c>
      <c r="H52" s="5">
        <f t="shared" si="17"/>
        <v>175</v>
      </c>
      <c r="I52" s="5">
        <f t="shared" si="17"/>
        <v>157</v>
      </c>
      <c r="J52" s="5">
        <f t="shared" si="17"/>
        <v>212</v>
      </c>
      <c r="K52" s="5">
        <f t="shared" si="17"/>
        <v>205</v>
      </c>
      <c r="L52" s="5">
        <f t="shared" si="17"/>
        <v>171</v>
      </c>
      <c r="M52" s="5">
        <f t="shared" si="17"/>
        <v>166</v>
      </c>
      <c r="N52" s="5">
        <f t="shared" si="17"/>
        <v>219</v>
      </c>
      <c r="O52" s="5">
        <f t="shared" si="17"/>
        <v>256</v>
      </c>
      <c r="P52" s="5">
        <f t="shared" si="17"/>
        <v>214</v>
      </c>
      <c r="Q52" s="5">
        <f t="shared" si="17"/>
        <v>213</v>
      </c>
      <c r="R52" s="5">
        <f t="shared" si="17"/>
        <v>218</v>
      </c>
      <c r="S52" s="5">
        <f t="shared" si="17"/>
        <v>208</v>
      </c>
      <c r="T52" s="5">
        <f t="shared" si="17"/>
        <v>222</v>
      </c>
      <c r="U52" s="5">
        <f t="shared" si="17"/>
        <v>233</v>
      </c>
      <c r="V52" s="5">
        <f t="shared" si="17"/>
        <v>242</v>
      </c>
      <c r="W52" s="5">
        <f t="shared" si="17"/>
        <v>226</v>
      </c>
      <c r="X52" s="5">
        <f t="shared" si="17"/>
        <v>230</v>
      </c>
      <c r="Y52" s="5">
        <f t="shared" si="17"/>
        <v>244</v>
      </c>
      <c r="Z52" s="5">
        <f t="shared" si="17"/>
        <v>245</v>
      </c>
      <c r="AA52" s="5">
        <f t="shared" si="17"/>
        <v>217</v>
      </c>
      <c r="AB52" s="5">
        <f t="shared" si="16"/>
        <v>4967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AA12"/>
    <mergeCell ref="AB12:AB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34:T34">
    <cfRule type="expression" dxfId="0" priority="1">
      <formula>E34&lt;&gt;#REF!</formula>
    </cfRule>
  </conditionalFormatting>
  <conditionalFormatting sqref="E14:AA15 E45:AA47">
    <cfRule type="containsBlanks" dxfId="1" priority="2">
      <formula>LEN(TRIM(E14))=0</formula>
    </cfRule>
  </conditionalFormatting>
  <conditionalFormatting sqref="E19:AA20">
    <cfRule type="containsBlanks" dxfId="1" priority="3">
      <formula>LEN(TRIM(E19))=0</formula>
    </cfRule>
  </conditionalFormatting>
  <conditionalFormatting sqref="E22:AA23 E25:AA26 E33:AA33 E35:AA35 E39:AA40">
    <cfRule type="containsBlanks" dxfId="1" priority="4">
      <formula>LEN(TRIM(E22))=0</formula>
    </cfRule>
  </conditionalFormatting>
  <conditionalFormatting sqref="E30:AA30">
    <cfRule type="expression" dxfId="0" priority="5">
      <formula>E30&lt;&gt;E46</formula>
    </cfRule>
  </conditionalFormatting>
  <conditionalFormatting sqref="E30:AA30">
    <cfRule type="expression" dxfId="0" priority="6">
      <formula>E30&lt;&gt;E34</formula>
    </cfRule>
  </conditionalFormatting>
  <conditionalFormatting sqref="E34:AA34">
    <cfRule type="expression" dxfId="2" priority="7">
      <formula>E30&lt;&gt;E34</formula>
    </cfRule>
  </conditionalFormatting>
  <conditionalFormatting sqref="E34:AA34">
    <cfRule type="expression" dxfId="3" priority="8">
      <formula>E30=E34</formula>
    </cfRule>
  </conditionalFormatting>
  <conditionalFormatting sqref="E34:AA34">
    <cfRule type="expression" dxfId="0" priority="9">
      <formula>E34&lt;&gt;E30</formula>
    </cfRule>
  </conditionalFormatting>
  <conditionalFormatting sqref="E50:AA51">
    <cfRule type="containsBlanks" dxfId="1" priority="10">
      <formula>LEN(TRIM(E50))=0</formula>
    </cfRule>
  </conditionalFormatting>
  <conditionalFormatting sqref="U34:AA34">
    <cfRule type="expression" dxfId="0" priority="11">
      <formula>U34&lt;&gt;U46</formula>
    </cfRule>
  </conditionalFormatting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46" width="8.71"/>
    <col customWidth="1" min="47" max="47" width="13.29"/>
  </cols>
  <sheetData>
    <row r="1" ht="12.75" customHeight="1"/>
    <row r="2" ht="12.75" customHeight="1">
      <c r="C2" s="1" t="s">
        <v>0</v>
      </c>
      <c r="D2" s="1" t="s">
        <v>1</v>
      </c>
    </row>
    <row r="3" ht="12.75" customHeight="1">
      <c r="C3" s="1" t="s">
        <v>2</v>
      </c>
      <c r="D3" s="1" t="s">
        <v>3</v>
      </c>
    </row>
    <row r="4" ht="12.75" customHeight="1">
      <c r="C4" s="1" t="s">
        <v>4</v>
      </c>
      <c r="D4" s="1" t="s">
        <v>5</v>
      </c>
    </row>
    <row r="5" ht="12.75" customHeight="1">
      <c r="C5" s="1"/>
      <c r="D5" s="1"/>
    </row>
    <row r="6" ht="12.75" customHeight="1">
      <c r="C6" s="1"/>
      <c r="D6" s="1"/>
    </row>
    <row r="7" ht="12.75" customHeight="1">
      <c r="C7" s="1"/>
      <c r="D7" s="1"/>
    </row>
    <row r="8" ht="12.75" customHeight="1">
      <c r="C8" s="1"/>
      <c r="D8" s="1"/>
    </row>
    <row r="9" ht="12.75" customHeight="1">
      <c r="C9" s="1" t="s">
        <v>6</v>
      </c>
      <c r="D9" s="1" t="s">
        <v>83</v>
      </c>
    </row>
    <row r="10" ht="12.75" customHeight="1"/>
    <row r="11" ht="12.75" customHeight="1">
      <c r="A11" s="2"/>
      <c r="B11" s="3"/>
      <c r="C11" s="3"/>
      <c r="D11" s="3"/>
      <c r="E11" s="2"/>
      <c r="F11" s="2"/>
      <c r="G11" s="2"/>
      <c r="H11" s="2"/>
      <c r="I11" s="2"/>
      <c r="J11" s="2"/>
      <c r="K11" s="2"/>
      <c r="L11" s="2"/>
      <c r="M11" s="2"/>
      <c r="N11" s="4"/>
    </row>
    <row r="12" ht="12.75" customHeight="1">
      <c r="A12" s="5" t="s">
        <v>7</v>
      </c>
      <c r="B12" s="6" t="s">
        <v>8</v>
      </c>
      <c r="C12" s="7"/>
      <c r="D12" s="8"/>
      <c r="E12" s="9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0" t="s">
        <v>9</v>
      </c>
    </row>
    <row r="13" ht="12.75" customHeight="1">
      <c r="A13" s="11" t="s">
        <v>10</v>
      </c>
      <c r="B13" s="12" t="s">
        <v>11</v>
      </c>
      <c r="C13" s="7"/>
      <c r="D13" s="8"/>
      <c r="E13" s="5" t="s">
        <v>12</v>
      </c>
      <c r="F13" s="5" t="s">
        <v>13</v>
      </c>
      <c r="G13" s="5" t="s">
        <v>14</v>
      </c>
      <c r="H13" s="5" t="s">
        <v>15</v>
      </c>
      <c r="I13" s="5" t="s">
        <v>16</v>
      </c>
      <c r="J13" s="5" t="s">
        <v>17</v>
      </c>
      <c r="K13" s="5" t="s">
        <v>18</v>
      </c>
      <c r="L13" s="5" t="s">
        <v>19</v>
      </c>
      <c r="M13" s="5" t="s">
        <v>20</v>
      </c>
      <c r="N13" s="5" t="s">
        <v>21</v>
      </c>
      <c r="O13" s="5" t="s">
        <v>22</v>
      </c>
      <c r="P13" s="5" t="s">
        <v>23</v>
      </c>
      <c r="Q13" s="5" t="s">
        <v>24</v>
      </c>
      <c r="R13" s="5" t="s">
        <v>25</v>
      </c>
      <c r="S13" s="5" t="s">
        <v>26</v>
      </c>
      <c r="T13" s="5" t="s">
        <v>27</v>
      </c>
      <c r="U13" s="5" t="s">
        <v>28</v>
      </c>
      <c r="V13" s="5" t="s">
        <v>29</v>
      </c>
      <c r="W13" s="5" t="s">
        <v>30</v>
      </c>
      <c r="X13" s="5" t="s">
        <v>31</v>
      </c>
      <c r="Y13" s="5" t="s">
        <v>32</v>
      </c>
      <c r="Z13" s="5" t="s">
        <v>33</v>
      </c>
      <c r="AA13" s="5" t="s">
        <v>34</v>
      </c>
      <c r="AB13" s="5" t="s">
        <v>35</v>
      </c>
      <c r="AC13" s="5" t="s">
        <v>36</v>
      </c>
      <c r="AD13" s="5" t="s">
        <v>37</v>
      </c>
      <c r="AE13" s="5" t="s">
        <v>38</v>
      </c>
      <c r="AF13" s="5" t="s">
        <v>39</v>
      </c>
      <c r="AG13" s="5" t="s">
        <v>78</v>
      </c>
      <c r="AH13" s="5" t="s">
        <v>84</v>
      </c>
      <c r="AI13" s="5" t="s">
        <v>85</v>
      </c>
      <c r="AJ13" s="5" t="s">
        <v>86</v>
      </c>
      <c r="AK13" s="5" t="s">
        <v>87</v>
      </c>
      <c r="AL13" s="5" t="s">
        <v>88</v>
      </c>
      <c r="AM13" s="5" t="s">
        <v>89</v>
      </c>
      <c r="AN13" s="5" t="s">
        <v>90</v>
      </c>
      <c r="AO13" s="5" t="s">
        <v>91</v>
      </c>
      <c r="AP13" s="5" t="s">
        <v>92</v>
      </c>
      <c r="AQ13" s="5" t="s">
        <v>93</v>
      </c>
      <c r="AR13" s="5" t="s">
        <v>94</v>
      </c>
      <c r="AS13" s="5" t="s">
        <v>95</v>
      </c>
      <c r="AT13" s="5" t="s">
        <v>96</v>
      </c>
      <c r="AU13" s="14"/>
    </row>
    <row r="14" ht="12.75" customHeight="1">
      <c r="A14" s="15"/>
      <c r="B14" s="16" t="s">
        <v>40</v>
      </c>
      <c r="C14" s="17"/>
      <c r="D14" s="11" t="s">
        <v>41</v>
      </c>
      <c r="E14" s="11">
        <v>130.0</v>
      </c>
      <c r="F14" s="11">
        <v>135.0</v>
      </c>
      <c r="G14" s="11">
        <v>130.0</v>
      </c>
      <c r="H14" s="11">
        <v>112.0</v>
      </c>
      <c r="I14" s="11">
        <v>128.0</v>
      </c>
      <c r="J14" s="11">
        <v>138.0</v>
      </c>
      <c r="K14" s="11">
        <v>106.0</v>
      </c>
      <c r="L14" s="11">
        <v>144.0</v>
      </c>
      <c r="M14" s="11">
        <v>139.0</v>
      </c>
      <c r="N14" s="11">
        <v>122.0</v>
      </c>
      <c r="O14" s="11">
        <v>136.0</v>
      </c>
      <c r="P14" s="11">
        <v>137.0</v>
      </c>
      <c r="Q14" s="11">
        <v>129.0</v>
      </c>
      <c r="R14" s="11">
        <v>148.0</v>
      </c>
      <c r="S14" s="11">
        <v>138.0</v>
      </c>
      <c r="T14" s="11">
        <v>133.0</v>
      </c>
      <c r="U14" s="11">
        <v>149.0</v>
      </c>
      <c r="V14" s="11">
        <v>122.0</v>
      </c>
      <c r="W14" s="11">
        <v>137.0</v>
      </c>
      <c r="X14" s="11">
        <v>126.0</v>
      </c>
      <c r="Y14" s="11">
        <v>115.0</v>
      </c>
      <c r="Z14" s="11">
        <v>133.0</v>
      </c>
      <c r="AA14" s="11">
        <v>124.0</v>
      </c>
      <c r="AB14" s="11">
        <v>121.0</v>
      </c>
      <c r="AC14" s="11">
        <v>137.0</v>
      </c>
      <c r="AD14" s="11">
        <v>130.0</v>
      </c>
      <c r="AE14" s="11">
        <v>142.0</v>
      </c>
      <c r="AF14" s="11">
        <v>129.0</v>
      </c>
      <c r="AG14" s="11">
        <v>116.0</v>
      </c>
      <c r="AH14" s="11">
        <v>128.0</v>
      </c>
      <c r="AI14" s="11">
        <v>141.0</v>
      </c>
      <c r="AJ14" s="11">
        <v>110.0</v>
      </c>
      <c r="AK14" s="11">
        <v>104.0</v>
      </c>
      <c r="AL14" s="11">
        <v>124.0</v>
      </c>
      <c r="AM14" s="11">
        <v>122.0</v>
      </c>
      <c r="AN14" s="11">
        <v>127.0</v>
      </c>
      <c r="AO14" s="11">
        <v>130.0</v>
      </c>
      <c r="AP14" s="11">
        <v>122.0</v>
      </c>
      <c r="AQ14" s="11">
        <v>136.0</v>
      </c>
      <c r="AR14" s="11">
        <v>132.0</v>
      </c>
      <c r="AS14" s="11">
        <v>127.0</v>
      </c>
      <c r="AT14" s="11">
        <v>132.0</v>
      </c>
      <c r="AU14" s="5">
        <f t="shared" ref="AU14:AU16" si="1">SUM(E14:AT14)</f>
        <v>5421</v>
      </c>
    </row>
    <row r="15" ht="12.75" customHeight="1">
      <c r="A15" s="15"/>
      <c r="B15" s="18"/>
      <c r="C15" s="19"/>
      <c r="D15" s="11" t="s">
        <v>42</v>
      </c>
      <c r="E15" s="11">
        <v>133.0</v>
      </c>
      <c r="F15" s="11">
        <v>137.0</v>
      </c>
      <c r="G15" s="11">
        <v>144.0</v>
      </c>
      <c r="H15" s="11">
        <v>108.0</v>
      </c>
      <c r="I15" s="11">
        <v>123.0</v>
      </c>
      <c r="J15" s="11">
        <v>135.0</v>
      </c>
      <c r="K15" s="11">
        <v>112.0</v>
      </c>
      <c r="L15" s="11">
        <v>141.0</v>
      </c>
      <c r="M15" s="11">
        <v>143.0</v>
      </c>
      <c r="N15" s="11">
        <v>114.0</v>
      </c>
      <c r="O15" s="11">
        <v>133.0</v>
      </c>
      <c r="P15" s="11">
        <v>133.0</v>
      </c>
      <c r="Q15" s="11">
        <v>124.0</v>
      </c>
      <c r="R15" s="11">
        <v>133.0</v>
      </c>
      <c r="S15" s="11">
        <v>126.0</v>
      </c>
      <c r="T15" s="11">
        <v>138.0</v>
      </c>
      <c r="U15" s="11">
        <v>136.0</v>
      </c>
      <c r="V15" s="11">
        <v>124.0</v>
      </c>
      <c r="W15" s="11">
        <v>147.0</v>
      </c>
      <c r="X15" s="11">
        <v>120.0</v>
      </c>
      <c r="Y15" s="11">
        <v>122.0</v>
      </c>
      <c r="Z15" s="11">
        <v>106.0</v>
      </c>
      <c r="AA15" s="11">
        <v>137.0</v>
      </c>
      <c r="AB15" s="11">
        <v>128.0</v>
      </c>
      <c r="AC15" s="11">
        <v>141.0</v>
      </c>
      <c r="AD15" s="11">
        <v>136.0</v>
      </c>
      <c r="AE15" s="11">
        <v>126.0</v>
      </c>
      <c r="AF15" s="11">
        <v>130.0</v>
      </c>
      <c r="AG15" s="11">
        <v>105.0</v>
      </c>
      <c r="AH15" s="11">
        <v>129.0</v>
      </c>
      <c r="AI15" s="11">
        <v>136.0</v>
      </c>
      <c r="AJ15" s="11">
        <v>108.0</v>
      </c>
      <c r="AK15" s="11">
        <v>102.0</v>
      </c>
      <c r="AL15" s="11">
        <v>128.0</v>
      </c>
      <c r="AM15" s="11">
        <v>131.0</v>
      </c>
      <c r="AN15" s="11">
        <v>138.0</v>
      </c>
      <c r="AO15" s="11">
        <v>133.0</v>
      </c>
      <c r="AP15" s="11">
        <v>137.0</v>
      </c>
      <c r="AQ15" s="11">
        <v>128.0</v>
      </c>
      <c r="AR15" s="11">
        <v>127.0</v>
      </c>
      <c r="AS15" s="11">
        <v>113.0</v>
      </c>
      <c r="AT15" s="11">
        <v>130.0</v>
      </c>
      <c r="AU15" s="5">
        <f t="shared" si="1"/>
        <v>5375</v>
      </c>
    </row>
    <row r="16" ht="12.75" customHeight="1">
      <c r="A16" s="21"/>
      <c r="B16" s="22"/>
      <c r="C16" s="23"/>
      <c r="D16" s="5" t="s">
        <v>43</v>
      </c>
      <c r="E16" s="5">
        <f t="shared" ref="E16:AT16" si="2">SUM(E14:E15)</f>
        <v>263</v>
      </c>
      <c r="F16" s="5">
        <f t="shared" si="2"/>
        <v>272</v>
      </c>
      <c r="G16" s="5">
        <f t="shared" si="2"/>
        <v>274</v>
      </c>
      <c r="H16" s="5">
        <f t="shared" si="2"/>
        <v>220</v>
      </c>
      <c r="I16" s="5">
        <f t="shared" si="2"/>
        <v>251</v>
      </c>
      <c r="J16" s="5">
        <f t="shared" si="2"/>
        <v>273</v>
      </c>
      <c r="K16" s="5">
        <f t="shared" si="2"/>
        <v>218</v>
      </c>
      <c r="L16" s="5">
        <f t="shared" si="2"/>
        <v>285</v>
      </c>
      <c r="M16" s="5">
        <f t="shared" si="2"/>
        <v>282</v>
      </c>
      <c r="N16" s="5">
        <f t="shared" si="2"/>
        <v>236</v>
      </c>
      <c r="O16" s="5">
        <f t="shared" si="2"/>
        <v>269</v>
      </c>
      <c r="P16" s="5">
        <f t="shared" si="2"/>
        <v>270</v>
      </c>
      <c r="Q16" s="5">
        <f t="shared" si="2"/>
        <v>253</v>
      </c>
      <c r="R16" s="5">
        <f t="shared" si="2"/>
        <v>281</v>
      </c>
      <c r="S16" s="5">
        <f t="shared" si="2"/>
        <v>264</v>
      </c>
      <c r="T16" s="5">
        <f t="shared" si="2"/>
        <v>271</v>
      </c>
      <c r="U16" s="5">
        <f t="shared" si="2"/>
        <v>285</v>
      </c>
      <c r="V16" s="5">
        <f t="shared" si="2"/>
        <v>246</v>
      </c>
      <c r="W16" s="5">
        <f t="shared" si="2"/>
        <v>284</v>
      </c>
      <c r="X16" s="5">
        <f t="shared" si="2"/>
        <v>246</v>
      </c>
      <c r="Y16" s="5">
        <f t="shared" si="2"/>
        <v>237</v>
      </c>
      <c r="Z16" s="5">
        <f t="shared" si="2"/>
        <v>239</v>
      </c>
      <c r="AA16" s="5">
        <f t="shared" si="2"/>
        <v>261</v>
      </c>
      <c r="AB16" s="5">
        <f t="shared" si="2"/>
        <v>249</v>
      </c>
      <c r="AC16" s="5">
        <f t="shared" si="2"/>
        <v>278</v>
      </c>
      <c r="AD16" s="5">
        <f t="shared" si="2"/>
        <v>266</v>
      </c>
      <c r="AE16" s="5">
        <f t="shared" si="2"/>
        <v>268</v>
      </c>
      <c r="AF16" s="5">
        <f t="shared" si="2"/>
        <v>259</v>
      </c>
      <c r="AG16" s="5">
        <f t="shared" si="2"/>
        <v>221</v>
      </c>
      <c r="AH16" s="5">
        <f t="shared" si="2"/>
        <v>257</v>
      </c>
      <c r="AI16" s="5">
        <f t="shared" si="2"/>
        <v>277</v>
      </c>
      <c r="AJ16" s="5">
        <f t="shared" si="2"/>
        <v>218</v>
      </c>
      <c r="AK16" s="5">
        <f t="shared" si="2"/>
        <v>206</v>
      </c>
      <c r="AL16" s="5">
        <f t="shared" si="2"/>
        <v>252</v>
      </c>
      <c r="AM16" s="5">
        <f t="shared" si="2"/>
        <v>253</v>
      </c>
      <c r="AN16" s="5">
        <f t="shared" si="2"/>
        <v>265</v>
      </c>
      <c r="AO16" s="5">
        <f t="shared" si="2"/>
        <v>263</v>
      </c>
      <c r="AP16" s="5">
        <f t="shared" si="2"/>
        <v>259</v>
      </c>
      <c r="AQ16" s="5">
        <f t="shared" si="2"/>
        <v>264</v>
      </c>
      <c r="AR16" s="5">
        <f t="shared" si="2"/>
        <v>259</v>
      </c>
      <c r="AS16" s="5">
        <f t="shared" si="2"/>
        <v>240</v>
      </c>
      <c r="AT16" s="5">
        <f t="shared" si="2"/>
        <v>262</v>
      </c>
      <c r="AU16" s="5">
        <f t="shared" si="1"/>
        <v>10796</v>
      </c>
    </row>
    <row r="17" ht="12.75" customHeight="1">
      <c r="A17" s="24"/>
      <c r="B17" s="7"/>
      <c r="C17" s="7"/>
      <c r="D17" s="8"/>
      <c r="E17" s="11"/>
      <c r="F17" s="11"/>
      <c r="G17" s="11"/>
      <c r="H17" s="11"/>
      <c r="I17" s="11"/>
      <c r="J17" s="11"/>
      <c r="K17" s="11"/>
      <c r="L17" s="11"/>
      <c r="M17" s="11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6"/>
    </row>
    <row r="18" ht="12.75" customHeight="1">
      <c r="A18" s="27" t="s">
        <v>44</v>
      </c>
      <c r="B18" s="12" t="s">
        <v>45</v>
      </c>
      <c r="C18" s="7"/>
      <c r="D18" s="8"/>
      <c r="E18" s="11"/>
      <c r="F18" s="11"/>
      <c r="G18" s="11"/>
      <c r="H18" s="11"/>
      <c r="I18" s="11"/>
      <c r="J18" s="11"/>
      <c r="K18" s="11"/>
      <c r="L18" s="11"/>
      <c r="M18" s="11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6"/>
    </row>
    <row r="19" ht="12.75" customHeight="1">
      <c r="A19" s="27"/>
      <c r="B19" s="28" t="s">
        <v>46</v>
      </c>
      <c r="C19" s="29" t="s">
        <v>47</v>
      </c>
      <c r="D19" s="11" t="s">
        <v>41</v>
      </c>
      <c r="E19" s="11">
        <v>114.0</v>
      </c>
      <c r="F19" s="11">
        <v>105.0</v>
      </c>
      <c r="G19" s="11">
        <v>110.0</v>
      </c>
      <c r="H19" s="11">
        <v>99.0</v>
      </c>
      <c r="I19" s="11">
        <v>102.0</v>
      </c>
      <c r="J19" s="11">
        <v>119.0</v>
      </c>
      <c r="K19" s="11">
        <v>78.0</v>
      </c>
      <c r="L19" s="11">
        <v>114.0</v>
      </c>
      <c r="M19" s="11">
        <v>129.0</v>
      </c>
      <c r="N19" s="11">
        <v>116.0</v>
      </c>
      <c r="O19" s="11">
        <v>105.0</v>
      </c>
      <c r="P19" s="11">
        <v>114.0</v>
      </c>
      <c r="Q19" s="11">
        <v>104.0</v>
      </c>
      <c r="R19" s="11">
        <v>121.0</v>
      </c>
      <c r="S19" s="11">
        <v>120.0</v>
      </c>
      <c r="T19" s="11">
        <v>110.0</v>
      </c>
      <c r="U19" s="11">
        <v>117.0</v>
      </c>
      <c r="V19" s="11">
        <v>93.0</v>
      </c>
      <c r="W19" s="11">
        <v>111.0</v>
      </c>
      <c r="X19" s="11">
        <v>94.0</v>
      </c>
      <c r="Y19" s="11">
        <v>91.0</v>
      </c>
      <c r="Z19" s="11">
        <v>105.0</v>
      </c>
      <c r="AA19" s="11">
        <v>92.0</v>
      </c>
      <c r="AB19" s="11">
        <v>96.0</v>
      </c>
      <c r="AC19" s="11">
        <v>109.0</v>
      </c>
      <c r="AD19" s="11">
        <v>100.0</v>
      </c>
      <c r="AE19" s="11">
        <v>106.0</v>
      </c>
      <c r="AF19" s="11">
        <v>97.0</v>
      </c>
      <c r="AG19" s="11">
        <v>78.0</v>
      </c>
      <c r="AH19" s="11">
        <v>95.0</v>
      </c>
      <c r="AI19" s="11">
        <v>104.0</v>
      </c>
      <c r="AJ19" s="11">
        <v>85.0</v>
      </c>
      <c r="AK19" s="11">
        <v>77.0</v>
      </c>
      <c r="AL19" s="11">
        <v>84.0</v>
      </c>
      <c r="AM19" s="11">
        <v>92.0</v>
      </c>
      <c r="AN19" s="11">
        <v>93.0</v>
      </c>
      <c r="AO19" s="11">
        <v>104.0</v>
      </c>
      <c r="AP19" s="11">
        <v>102.0</v>
      </c>
      <c r="AQ19" s="11">
        <v>116.0</v>
      </c>
      <c r="AR19" s="11">
        <v>111.0</v>
      </c>
      <c r="AS19" s="11">
        <v>95.0</v>
      </c>
      <c r="AT19" s="11">
        <v>98.0</v>
      </c>
      <c r="AU19" s="5">
        <f t="shared" ref="AU19:AU30" si="3">SUM(E19:AT19)</f>
        <v>4305</v>
      </c>
    </row>
    <row r="20" ht="12.75" customHeight="1">
      <c r="A20" s="30"/>
      <c r="B20" s="19"/>
      <c r="C20" s="31"/>
      <c r="D20" s="11" t="s">
        <v>42</v>
      </c>
      <c r="E20" s="11">
        <v>112.0</v>
      </c>
      <c r="F20" s="11">
        <v>104.0</v>
      </c>
      <c r="G20" s="11">
        <v>122.0</v>
      </c>
      <c r="H20" s="11">
        <v>92.0</v>
      </c>
      <c r="I20" s="11">
        <v>110.0</v>
      </c>
      <c r="J20" s="11">
        <v>107.0</v>
      </c>
      <c r="K20" s="11">
        <v>90.0</v>
      </c>
      <c r="L20" s="11">
        <v>117.0</v>
      </c>
      <c r="M20" s="11">
        <v>129.0</v>
      </c>
      <c r="N20" s="11">
        <v>107.0</v>
      </c>
      <c r="O20" s="11">
        <v>119.0</v>
      </c>
      <c r="P20" s="11">
        <v>117.0</v>
      </c>
      <c r="Q20" s="11">
        <v>99.0</v>
      </c>
      <c r="R20" s="11">
        <v>115.0</v>
      </c>
      <c r="S20" s="11">
        <v>105.0</v>
      </c>
      <c r="T20" s="11">
        <v>119.0</v>
      </c>
      <c r="U20" s="11">
        <v>106.0</v>
      </c>
      <c r="V20" s="11">
        <v>99.0</v>
      </c>
      <c r="W20" s="11">
        <v>122.0</v>
      </c>
      <c r="X20" s="11">
        <v>94.0</v>
      </c>
      <c r="Y20" s="11">
        <v>98.0</v>
      </c>
      <c r="Z20" s="11">
        <v>97.0</v>
      </c>
      <c r="AA20" s="11">
        <v>95.0</v>
      </c>
      <c r="AB20" s="11">
        <v>91.0</v>
      </c>
      <c r="AC20" s="11">
        <v>121.0</v>
      </c>
      <c r="AD20" s="11">
        <v>110.0</v>
      </c>
      <c r="AE20" s="11">
        <v>109.0</v>
      </c>
      <c r="AF20" s="11">
        <v>97.0</v>
      </c>
      <c r="AG20" s="11">
        <v>76.0</v>
      </c>
      <c r="AH20" s="11">
        <v>91.0</v>
      </c>
      <c r="AI20" s="11">
        <v>117.0</v>
      </c>
      <c r="AJ20" s="11">
        <v>93.0</v>
      </c>
      <c r="AK20" s="11">
        <v>86.0</v>
      </c>
      <c r="AL20" s="11">
        <v>99.0</v>
      </c>
      <c r="AM20" s="11">
        <v>98.0</v>
      </c>
      <c r="AN20" s="11">
        <v>111.0</v>
      </c>
      <c r="AO20" s="11">
        <v>114.0</v>
      </c>
      <c r="AP20" s="11">
        <v>113.0</v>
      </c>
      <c r="AQ20" s="11">
        <v>110.0</v>
      </c>
      <c r="AR20" s="11">
        <v>109.0</v>
      </c>
      <c r="AS20" s="11">
        <v>94.0</v>
      </c>
      <c r="AT20" s="11">
        <v>106.0</v>
      </c>
      <c r="AU20" s="5">
        <f t="shared" si="3"/>
        <v>4420</v>
      </c>
    </row>
    <row r="21" ht="12.75" customHeight="1">
      <c r="A21" s="32"/>
      <c r="B21" s="23"/>
      <c r="C21" s="14"/>
      <c r="D21" s="5" t="s">
        <v>43</v>
      </c>
      <c r="E21" s="5">
        <f t="shared" ref="E21:AT21" si="4">SUM(E19:E20)</f>
        <v>226</v>
      </c>
      <c r="F21" s="5">
        <f t="shared" si="4"/>
        <v>209</v>
      </c>
      <c r="G21" s="5">
        <f t="shared" si="4"/>
        <v>232</v>
      </c>
      <c r="H21" s="5">
        <f t="shared" si="4"/>
        <v>191</v>
      </c>
      <c r="I21" s="5">
        <f t="shared" si="4"/>
        <v>212</v>
      </c>
      <c r="J21" s="5">
        <f t="shared" si="4"/>
        <v>226</v>
      </c>
      <c r="K21" s="5">
        <f t="shared" si="4"/>
        <v>168</v>
      </c>
      <c r="L21" s="5">
        <f t="shared" si="4"/>
        <v>231</v>
      </c>
      <c r="M21" s="5">
        <f t="shared" si="4"/>
        <v>258</v>
      </c>
      <c r="N21" s="5">
        <f t="shared" si="4"/>
        <v>223</v>
      </c>
      <c r="O21" s="5">
        <f t="shared" si="4"/>
        <v>224</v>
      </c>
      <c r="P21" s="5">
        <f t="shared" si="4"/>
        <v>231</v>
      </c>
      <c r="Q21" s="5">
        <f t="shared" si="4"/>
        <v>203</v>
      </c>
      <c r="R21" s="5">
        <f t="shared" si="4"/>
        <v>236</v>
      </c>
      <c r="S21" s="5">
        <f t="shared" si="4"/>
        <v>225</v>
      </c>
      <c r="T21" s="5">
        <f t="shared" si="4"/>
        <v>229</v>
      </c>
      <c r="U21" s="5">
        <f t="shared" si="4"/>
        <v>223</v>
      </c>
      <c r="V21" s="5">
        <f t="shared" si="4"/>
        <v>192</v>
      </c>
      <c r="W21" s="5">
        <f t="shared" si="4"/>
        <v>233</v>
      </c>
      <c r="X21" s="5">
        <f t="shared" si="4"/>
        <v>188</v>
      </c>
      <c r="Y21" s="5">
        <f t="shared" si="4"/>
        <v>189</v>
      </c>
      <c r="Z21" s="5">
        <f t="shared" si="4"/>
        <v>202</v>
      </c>
      <c r="AA21" s="5">
        <f t="shared" si="4"/>
        <v>187</v>
      </c>
      <c r="AB21" s="5">
        <f t="shared" si="4"/>
        <v>187</v>
      </c>
      <c r="AC21" s="5">
        <f t="shared" si="4"/>
        <v>230</v>
      </c>
      <c r="AD21" s="5">
        <f t="shared" si="4"/>
        <v>210</v>
      </c>
      <c r="AE21" s="5">
        <f t="shared" si="4"/>
        <v>215</v>
      </c>
      <c r="AF21" s="5">
        <f t="shared" si="4"/>
        <v>194</v>
      </c>
      <c r="AG21" s="5">
        <f t="shared" si="4"/>
        <v>154</v>
      </c>
      <c r="AH21" s="5">
        <f t="shared" si="4"/>
        <v>186</v>
      </c>
      <c r="AI21" s="5">
        <f t="shared" si="4"/>
        <v>221</v>
      </c>
      <c r="AJ21" s="5">
        <f t="shared" si="4"/>
        <v>178</v>
      </c>
      <c r="AK21" s="5">
        <f t="shared" si="4"/>
        <v>163</v>
      </c>
      <c r="AL21" s="5">
        <f t="shared" si="4"/>
        <v>183</v>
      </c>
      <c r="AM21" s="5">
        <f t="shared" si="4"/>
        <v>190</v>
      </c>
      <c r="AN21" s="5">
        <f t="shared" si="4"/>
        <v>204</v>
      </c>
      <c r="AO21" s="5">
        <f t="shared" si="4"/>
        <v>218</v>
      </c>
      <c r="AP21" s="5">
        <f t="shared" si="4"/>
        <v>215</v>
      </c>
      <c r="AQ21" s="5">
        <f t="shared" si="4"/>
        <v>226</v>
      </c>
      <c r="AR21" s="5">
        <f t="shared" si="4"/>
        <v>220</v>
      </c>
      <c r="AS21" s="5">
        <f t="shared" si="4"/>
        <v>189</v>
      </c>
      <c r="AT21" s="5">
        <f t="shared" si="4"/>
        <v>204</v>
      </c>
      <c r="AU21" s="5">
        <f t="shared" si="3"/>
        <v>8725</v>
      </c>
    </row>
    <row r="22" ht="12.75" customHeight="1">
      <c r="A22" s="30"/>
      <c r="B22" s="28" t="s">
        <v>48</v>
      </c>
      <c r="C22" s="29" t="s">
        <v>49</v>
      </c>
      <c r="D22" s="11" t="s">
        <v>41</v>
      </c>
      <c r="E22" s="11">
        <v>0.0</v>
      </c>
      <c r="F22" s="11">
        <v>0.0</v>
      </c>
      <c r="G22" s="11">
        <v>0.0</v>
      </c>
      <c r="H22" s="11">
        <v>0.0</v>
      </c>
      <c r="I22" s="11">
        <v>0.0</v>
      </c>
      <c r="J22" s="11">
        <v>1.0</v>
      </c>
      <c r="K22" s="11">
        <v>0.0</v>
      </c>
      <c r="L22" s="11">
        <v>0.0</v>
      </c>
      <c r="M22" s="11">
        <v>0.0</v>
      </c>
      <c r="N22" s="11">
        <v>0.0</v>
      </c>
      <c r="O22" s="11">
        <v>0.0</v>
      </c>
      <c r="P22" s="11">
        <v>0.0</v>
      </c>
      <c r="Q22" s="11">
        <v>0.0</v>
      </c>
      <c r="R22" s="11">
        <v>0.0</v>
      </c>
      <c r="S22" s="11">
        <v>0.0</v>
      </c>
      <c r="T22" s="11">
        <v>0.0</v>
      </c>
      <c r="U22" s="11">
        <v>1.0</v>
      </c>
      <c r="V22" s="11">
        <v>0.0</v>
      </c>
      <c r="W22" s="11">
        <v>1.0</v>
      </c>
      <c r="X22" s="11">
        <v>0.0</v>
      </c>
      <c r="Y22" s="11">
        <v>0.0</v>
      </c>
      <c r="Z22" s="11">
        <v>0.0</v>
      </c>
      <c r="AA22" s="11">
        <v>1.0</v>
      </c>
      <c r="AB22" s="11">
        <v>0.0</v>
      </c>
      <c r="AC22" s="11">
        <v>0.0</v>
      </c>
      <c r="AD22" s="11">
        <v>0.0</v>
      </c>
      <c r="AE22" s="11">
        <v>0.0</v>
      </c>
      <c r="AF22" s="11">
        <v>0.0</v>
      </c>
      <c r="AG22" s="11">
        <v>1.0</v>
      </c>
      <c r="AH22" s="11">
        <v>0.0</v>
      </c>
      <c r="AI22" s="11">
        <v>0.0</v>
      </c>
      <c r="AJ22" s="11">
        <v>1.0</v>
      </c>
      <c r="AK22" s="11">
        <v>0.0</v>
      </c>
      <c r="AL22" s="11">
        <v>0.0</v>
      </c>
      <c r="AM22" s="11">
        <v>2.0</v>
      </c>
      <c r="AN22" s="11">
        <v>0.0</v>
      </c>
      <c r="AO22" s="11">
        <v>0.0</v>
      </c>
      <c r="AP22" s="11">
        <v>0.0</v>
      </c>
      <c r="AQ22" s="11">
        <v>0.0</v>
      </c>
      <c r="AR22" s="11">
        <v>0.0</v>
      </c>
      <c r="AS22" s="11">
        <v>0.0</v>
      </c>
      <c r="AT22" s="11">
        <v>0.0</v>
      </c>
      <c r="AU22" s="5">
        <f t="shared" si="3"/>
        <v>8</v>
      </c>
    </row>
    <row r="23" ht="12.75" customHeight="1">
      <c r="A23" s="30"/>
      <c r="B23" s="19"/>
      <c r="C23" s="31"/>
      <c r="D23" s="11" t="s">
        <v>42</v>
      </c>
      <c r="E23" s="11">
        <v>0.0</v>
      </c>
      <c r="F23" s="11">
        <v>0.0</v>
      </c>
      <c r="G23" s="11">
        <v>0.0</v>
      </c>
      <c r="H23" s="11">
        <v>0.0</v>
      </c>
      <c r="I23" s="11">
        <v>0.0</v>
      </c>
      <c r="J23" s="11">
        <v>0.0</v>
      </c>
      <c r="K23" s="11">
        <v>0.0</v>
      </c>
      <c r="L23" s="11">
        <v>0.0</v>
      </c>
      <c r="M23" s="11">
        <v>0.0</v>
      </c>
      <c r="N23" s="11">
        <v>0.0</v>
      </c>
      <c r="O23" s="11">
        <v>0.0</v>
      </c>
      <c r="P23" s="11">
        <v>0.0</v>
      </c>
      <c r="Q23" s="11">
        <v>1.0</v>
      </c>
      <c r="R23" s="11">
        <v>2.0</v>
      </c>
      <c r="S23" s="11">
        <v>0.0</v>
      </c>
      <c r="T23" s="11">
        <v>1.0</v>
      </c>
      <c r="U23" s="11">
        <v>0.0</v>
      </c>
      <c r="V23" s="11">
        <v>0.0</v>
      </c>
      <c r="W23" s="11">
        <v>0.0</v>
      </c>
      <c r="X23" s="11">
        <v>0.0</v>
      </c>
      <c r="Y23" s="11">
        <v>0.0</v>
      </c>
      <c r="Z23" s="11">
        <v>0.0</v>
      </c>
      <c r="AA23" s="11">
        <v>0.0</v>
      </c>
      <c r="AB23" s="11">
        <v>0.0</v>
      </c>
      <c r="AC23" s="11">
        <v>0.0</v>
      </c>
      <c r="AD23" s="11">
        <v>0.0</v>
      </c>
      <c r="AE23" s="11">
        <v>0.0</v>
      </c>
      <c r="AF23" s="11">
        <v>0.0</v>
      </c>
      <c r="AG23" s="11">
        <v>0.0</v>
      </c>
      <c r="AH23" s="11">
        <v>0.0</v>
      </c>
      <c r="AI23" s="11">
        <v>0.0</v>
      </c>
      <c r="AJ23" s="11">
        <v>1.0</v>
      </c>
      <c r="AK23" s="11">
        <v>0.0</v>
      </c>
      <c r="AL23" s="11">
        <v>0.0</v>
      </c>
      <c r="AM23" s="11">
        <v>2.0</v>
      </c>
      <c r="AN23" s="11">
        <v>0.0</v>
      </c>
      <c r="AO23" s="11">
        <v>1.0</v>
      </c>
      <c r="AP23" s="11">
        <v>0.0</v>
      </c>
      <c r="AQ23" s="11">
        <v>0.0</v>
      </c>
      <c r="AR23" s="11">
        <v>0.0</v>
      </c>
      <c r="AS23" s="11">
        <v>0.0</v>
      </c>
      <c r="AT23" s="11">
        <v>0.0</v>
      </c>
      <c r="AU23" s="5">
        <f t="shared" si="3"/>
        <v>8</v>
      </c>
    </row>
    <row r="24" ht="12.75" customHeight="1">
      <c r="A24" s="32"/>
      <c r="B24" s="23"/>
      <c r="C24" s="14"/>
      <c r="D24" s="5" t="s">
        <v>43</v>
      </c>
      <c r="E24" s="5">
        <f t="shared" ref="E24:AT24" si="5">SUM(E22:E23)</f>
        <v>0</v>
      </c>
      <c r="F24" s="5">
        <f t="shared" si="5"/>
        <v>0</v>
      </c>
      <c r="G24" s="5">
        <f t="shared" si="5"/>
        <v>0</v>
      </c>
      <c r="H24" s="5">
        <f t="shared" si="5"/>
        <v>0</v>
      </c>
      <c r="I24" s="5">
        <f t="shared" si="5"/>
        <v>0</v>
      </c>
      <c r="J24" s="5">
        <f t="shared" si="5"/>
        <v>1</v>
      </c>
      <c r="K24" s="5">
        <f t="shared" si="5"/>
        <v>0</v>
      </c>
      <c r="L24" s="5">
        <f t="shared" si="5"/>
        <v>0</v>
      </c>
      <c r="M24" s="5">
        <f t="shared" si="5"/>
        <v>0</v>
      </c>
      <c r="N24" s="5">
        <f t="shared" si="5"/>
        <v>0</v>
      </c>
      <c r="O24" s="5">
        <f t="shared" si="5"/>
        <v>0</v>
      </c>
      <c r="P24" s="5">
        <f t="shared" si="5"/>
        <v>0</v>
      </c>
      <c r="Q24" s="5">
        <f t="shared" si="5"/>
        <v>1</v>
      </c>
      <c r="R24" s="5">
        <f t="shared" si="5"/>
        <v>2</v>
      </c>
      <c r="S24" s="5">
        <f t="shared" si="5"/>
        <v>0</v>
      </c>
      <c r="T24" s="5">
        <f t="shared" si="5"/>
        <v>1</v>
      </c>
      <c r="U24" s="5">
        <f t="shared" si="5"/>
        <v>1</v>
      </c>
      <c r="V24" s="5">
        <f t="shared" si="5"/>
        <v>0</v>
      </c>
      <c r="W24" s="5">
        <f t="shared" si="5"/>
        <v>1</v>
      </c>
      <c r="X24" s="5">
        <f t="shared" si="5"/>
        <v>0</v>
      </c>
      <c r="Y24" s="5">
        <f t="shared" si="5"/>
        <v>0</v>
      </c>
      <c r="Z24" s="5">
        <f t="shared" si="5"/>
        <v>0</v>
      </c>
      <c r="AA24" s="5">
        <f t="shared" si="5"/>
        <v>1</v>
      </c>
      <c r="AB24" s="5">
        <f t="shared" si="5"/>
        <v>0</v>
      </c>
      <c r="AC24" s="5">
        <f t="shared" si="5"/>
        <v>0</v>
      </c>
      <c r="AD24" s="5">
        <f t="shared" si="5"/>
        <v>0</v>
      </c>
      <c r="AE24" s="5">
        <f t="shared" si="5"/>
        <v>0</v>
      </c>
      <c r="AF24" s="5">
        <f t="shared" si="5"/>
        <v>0</v>
      </c>
      <c r="AG24" s="5">
        <f t="shared" si="5"/>
        <v>1</v>
      </c>
      <c r="AH24" s="5">
        <f t="shared" si="5"/>
        <v>0</v>
      </c>
      <c r="AI24" s="5">
        <f t="shared" si="5"/>
        <v>0</v>
      </c>
      <c r="AJ24" s="5">
        <f t="shared" si="5"/>
        <v>2</v>
      </c>
      <c r="AK24" s="5">
        <f t="shared" si="5"/>
        <v>0</v>
      </c>
      <c r="AL24" s="5">
        <f t="shared" si="5"/>
        <v>0</v>
      </c>
      <c r="AM24" s="5">
        <f t="shared" si="5"/>
        <v>4</v>
      </c>
      <c r="AN24" s="5">
        <f t="shared" si="5"/>
        <v>0</v>
      </c>
      <c r="AO24" s="5">
        <f t="shared" si="5"/>
        <v>1</v>
      </c>
      <c r="AP24" s="5">
        <f t="shared" si="5"/>
        <v>0</v>
      </c>
      <c r="AQ24" s="5">
        <f t="shared" si="5"/>
        <v>0</v>
      </c>
      <c r="AR24" s="5">
        <f t="shared" si="5"/>
        <v>0</v>
      </c>
      <c r="AS24" s="5">
        <f t="shared" si="5"/>
        <v>0</v>
      </c>
      <c r="AT24" s="5">
        <f t="shared" si="5"/>
        <v>0</v>
      </c>
      <c r="AU24" s="5">
        <f t="shared" si="3"/>
        <v>16</v>
      </c>
    </row>
    <row r="25" ht="12.75" customHeight="1">
      <c r="A25" s="30"/>
      <c r="B25" s="28" t="s">
        <v>50</v>
      </c>
      <c r="C25" s="29" t="s">
        <v>51</v>
      </c>
      <c r="D25" s="11" t="s">
        <v>41</v>
      </c>
      <c r="E25" s="11">
        <v>3.0</v>
      </c>
      <c r="F25" s="11">
        <v>0.0</v>
      </c>
      <c r="G25" s="11">
        <v>0.0</v>
      </c>
      <c r="H25" s="11">
        <v>0.0</v>
      </c>
      <c r="I25" s="11">
        <v>0.0</v>
      </c>
      <c r="J25" s="11">
        <v>0.0</v>
      </c>
      <c r="K25" s="11">
        <v>0.0</v>
      </c>
      <c r="L25" s="11">
        <v>0.0</v>
      </c>
      <c r="M25" s="11">
        <v>1.0</v>
      </c>
      <c r="N25" s="11">
        <v>0.0</v>
      </c>
      <c r="O25" s="11">
        <v>0.0</v>
      </c>
      <c r="P25" s="11">
        <v>0.0</v>
      </c>
      <c r="Q25" s="11">
        <v>0.0</v>
      </c>
      <c r="R25" s="11">
        <v>0.0</v>
      </c>
      <c r="S25" s="11">
        <v>0.0</v>
      </c>
      <c r="T25" s="11">
        <v>0.0</v>
      </c>
      <c r="U25" s="11">
        <v>1.0</v>
      </c>
      <c r="V25" s="11">
        <v>0.0</v>
      </c>
      <c r="W25" s="11">
        <v>0.0</v>
      </c>
      <c r="X25" s="11">
        <v>1.0</v>
      </c>
      <c r="Y25" s="11">
        <v>0.0</v>
      </c>
      <c r="Z25" s="11">
        <v>0.0</v>
      </c>
      <c r="AA25" s="11">
        <v>0.0</v>
      </c>
      <c r="AB25" s="11">
        <v>0.0</v>
      </c>
      <c r="AC25" s="11">
        <v>2.0</v>
      </c>
      <c r="AD25" s="11">
        <v>9.0</v>
      </c>
      <c r="AE25" s="11">
        <v>0.0</v>
      </c>
      <c r="AF25" s="11">
        <v>1.0</v>
      </c>
      <c r="AG25" s="11">
        <v>0.0</v>
      </c>
      <c r="AH25" s="11">
        <v>0.0</v>
      </c>
      <c r="AI25" s="11">
        <v>2.0</v>
      </c>
      <c r="AJ25" s="11">
        <v>0.0</v>
      </c>
      <c r="AK25" s="11">
        <v>3.0</v>
      </c>
      <c r="AL25" s="11">
        <v>5.0</v>
      </c>
      <c r="AM25" s="11">
        <v>4.0</v>
      </c>
      <c r="AN25" s="11">
        <v>2.0</v>
      </c>
      <c r="AO25" s="11">
        <v>2.0</v>
      </c>
      <c r="AP25" s="11">
        <v>1.0</v>
      </c>
      <c r="AQ25" s="11">
        <v>0.0</v>
      </c>
      <c r="AR25" s="11">
        <v>2.0</v>
      </c>
      <c r="AS25" s="11">
        <v>1.0</v>
      </c>
      <c r="AT25" s="11">
        <v>0.0</v>
      </c>
      <c r="AU25" s="5">
        <f t="shared" si="3"/>
        <v>40</v>
      </c>
    </row>
    <row r="26" ht="12.75" customHeight="1">
      <c r="A26" s="30"/>
      <c r="B26" s="19"/>
      <c r="C26" s="31"/>
      <c r="D26" s="11" t="s">
        <v>42</v>
      </c>
      <c r="E26" s="11">
        <v>1.0</v>
      </c>
      <c r="F26" s="11">
        <v>0.0</v>
      </c>
      <c r="G26" s="11">
        <v>0.0</v>
      </c>
      <c r="H26" s="11">
        <v>0.0</v>
      </c>
      <c r="I26" s="11">
        <v>0.0</v>
      </c>
      <c r="J26" s="11">
        <v>0.0</v>
      </c>
      <c r="K26" s="11">
        <v>0.0</v>
      </c>
      <c r="L26" s="11">
        <v>0.0</v>
      </c>
      <c r="M26" s="11">
        <v>0.0</v>
      </c>
      <c r="N26" s="11">
        <v>0.0</v>
      </c>
      <c r="O26" s="11">
        <v>0.0</v>
      </c>
      <c r="P26" s="11">
        <v>0.0</v>
      </c>
      <c r="Q26" s="11">
        <v>0.0</v>
      </c>
      <c r="R26" s="11">
        <v>0.0</v>
      </c>
      <c r="S26" s="11">
        <v>0.0</v>
      </c>
      <c r="T26" s="11">
        <v>0.0</v>
      </c>
      <c r="U26" s="11">
        <v>2.0</v>
      </c>
      <c r="V26" s="11">
        <v>0.0</v>
      </c>
      <c r="W26" s="11">
        <v>2.0</v>
      </c>
      <c r="X26" s="11">
        <v>1.0</v>
      </c>
      <c r="Y26" s="11">
        <v>0.0</v>
      </c>
      <c r="Z26" s="11">
        <v>0.0</v>
      </c>
      <c r="AA26" s="11">
        <v>0.0</v>
      </c>
      <c r="AB26" s="11">
        <v>0.0</v>
      </c>
      <c r="AC26" s="11">
        <v>2.0</v>
      </c>
      <c r="AD26" s="11">
        <v>4.0</v>
      </c>
      <c r="AE26" s="11">
        <v>0.0</v>
      </c>
      <c r="AF26" s="11">
        <v>1.0</v>
      </c>
      <c r="AG26" s="11">
        <v>0.0</v>
      </c>
      <c r="AH26" s="11">
        <v>2.0</v>
      </c>
      <c r="AI26" s="11">
        <v>1.0</v>
      </c>
      <c r="AJ26" s="11">
        <v>0.0</v>
      </c>
      <c r="AK26" s="11">
        <v>4.0</v>
      </c>
      <c r="AL26" s="11">
        <v>3.0</v>
      </c>
      <c r="AM26" s="11">
        <v>7.0</v>
      </c>
      <c r="AN26" s="11">
        <v>2.0</v>
      </c>
      <c r="AO26" s="11">
        <v>6.0</v>
      </c>
      <c r="AP26" s="11">
        <v>3.0</v>
      </c>
      <c r="AQ26" s="11">
        <v>0.0</v>
      </c>
      <c r="AR26" s="11">
        <v>2.0</v>
      </c>
      <c r="AS26" s="11">
        <v>0.0</v>
      </c>
      <c r="AT26" s="11">
        <v>4.0</v>
      </c>
      <c r="AU26" s="5">
        <f t="shared" si="3"/>
        <v>47</v>
      </c>
    </row>
    <row r="27" ht="12.75" customHeight="1">
      <c r="A27" s="32"/>
      <c r="B27" s="23"/>
      <c r="C27" s="14"/>
      <c r="D27" s="5" t="s">
        <v>43</v>
      </c>
      <c r="E27" s="5">
        <f t="shared" ref="E27:AT27" si="6">SUM(E25:E26)</f>
        <v>4</v>
      </c>
      <c r="F27" s="5">
        <f t="shared" si="6"/>
        <v>0</v>
      </c>
      <c r="G27" s="5">
        <f t="shared" si="6"/>
        <v>0</v>
      </c>
      <c r="H27" s="5">
        <f t="shared" si="6"/>
        <v>0</v>
      </c>
      <c r="I27" s="5">
        <f t="shared" si="6"/>
        <v>0</v>
      </c>
      <c r="J27" s="5">
        <f t="shared" si="6"/>
        <v>0</v>
      </c>
      <c r="K27" s="5">
        <f t="shared" si="6"/>
        <v>0</v>
      </c>
      <c r="L27" s="5">
        <f t="shared" si="6"/>
        <v>0</v>
      </c>
      <c r="M27" s="5">
        <f t="shared" si="6"/>
        <v>1</v>
      </c>
      <c r="N27" s="5">
        <f t="shared" si="6"/>
        <v>0</v>
      </c>
      <c r="O27" s="5">
        <f t="shared" si="6"/>
        <v>0</v>
      </c>
      <c r="P27" s="5">
        <f t="shared" si="6"/>
        <v>0</v>
      </c>
      <c r="Q27" s="5">
        <f t="shared" si="6"/>
        <v>0</v>
      </c>
      <c r="R27" s="5">
        <f t="shared" si="6"/>
        <v>0</v>
      </c>
      <c r="S27" s="5">
        <f t="shared" si="6"/>
        <v>0</v>
      </c>
      <c r="T27" s="5">
        <f t="shared" si="6"/>
        <v>0</v>
      </c>
      <c r="U27" s="5">
        <f t="shared" si="6"/>
        <v>3</v>
      </c>
      <c r="V27" s="5">
        <f t="shared" si="6"/>
        <v>0</v>
      </c>
      <c r="W27" s="5">
        <f t="shared" si="6"/>
        <v>2</v>
      </c>
      <c r="X27" s="5">
        <f t="shared" si="6"/>
        <v>2</v>
      </c>
      <c r="Y27" s="5">
        <f t="shared" si="6"/>
        <v>0</v>
      </c>
      <c r="Z27" s="5">
        <f t="shared" si="6"/>
        <v>0</v>
      </c>
      <c r="AA27" s="5">
        <f t="shared" si="6"/>
        <v>0</v>
      </c>
      <c r="AB27" s="5">
        <f t="shared" si="6"/>
        <v>0</v>
      </c>
      <c r="AC27" s="5">
        <f t="shared" si="6"/>
        <v>4</v>
      </c>
      <c r="AD27" s="5">
        <f t="shared" si="6"/>
        <v>13</v>
      </c>
      <c r="AE27" s="5">
        <f t="shared" si="6"/>
        <v>0</v>
      </c>
      <c r="AF27" s="5">
        <f t="shared" si="6"/>
        <v>2</v>
      </c>
      <c r="AG27" s="5">
        <f t="shared" si="6"/>
        <v>0</v>
      </c>
      <c r="AH27" s="5">
        <f t="shared" si="6"/>
        <v>2</v>
      </c>
      <c r="AI27" s="5">
        <f t="shared" si="6"/>
        <v>3</v>
      </c>
      <c r="AJ27" s="5">
        <f t="shared" si="6"/>
        <v>0</v>
      </c>
      <c r="AK27" s="5">
        <f t="shared" si="6"/>
        <v>7</v>
      </c>
      <c r="AL27" s="5">
        <f t="shared" si="6"/>
        <v>8</v>
      </c>
      <c r="AM27" s="5">
        <f t="shared" si="6"/>
        <v>11</v>
      </c>
      <c r="AN27" s="5">
        <f t="shared" si="6"/>
        <v>4</v>
      </c>
      <c r="AO27" s="5">
        <f t="shared" si="6"/>
        <v>8</v>
      </c>
      <c r="AP27" s="5">
        <f t="shared" si="6"/>
        <v>4</v>
      </c>
      <c r="AQ27" s="5">
        <f t="shared" si="6"/>
        <v>0</v>
      </c>
      <c r="AR27" s="5">
        <f t="shared" si="6"/>
        <v>4</v>
      </c>
      <c r="AS27" s="5">
        <f t="shared" si="6"/>
        <v>1</v>
      </c>
      <c r="AT27" s="5">
        <f t="shared" si="6"/>
        <v>4</v>
      </c>
      <c r="AU27" s="5">
        <f t="shared" si="3"/>
        <v>87</v>
      </c>
    </row>
    <row r="28" ht="12.75" customHeight="1">
      <c r="A28" s="32"/>
      <c r="B28" s="33" t="s">
        <v>52</v>
      </c>
      <c r="C28" s="34" t="s">
        <v>53</v>
      </c>
      <c r="D28" s="5" t="s">
        <v>41</v>
      </c>
      <c r="E28" s="5">
        <f t="shared" ref="E28:AT28" si="7">SUM(E19,E22,E25)</f>
        <v>117</v>
      </c>
      <c r="F28" s="5">
        <f t="shared" si="7"/>
        <v>105</v>
      </c>
      <c r="G28" s="5">
        <f t="shared" si="7"/>
        <v>110</v>
      </c>
      <c r="H28" s="5">
        <f t="shared" si="7"/>
        <v>99</v>
      </c>
      <c r="I28" s="5">
        <f t="shared" si="7"/>
        <v>102</v>
      </c>
      <c r="J28" s="5">
        <f t="shared" si="7"/>
        <v>120</v>
      </c>
      <c r="K28" s="5">
        <f t="shared" si="7"/>
        <v>78</v>
      </c>
      <c r="L28" s="5">
        <f t="shared" si="7"/>
        <v>114</v>
      </c>
      <c r="M28" s="5">
        <f t="shared" si="7"/>
        <v>130</v>
      </c>
      <c r="N28" s="5">
        <f t="shared" si="7"/>
        <v>116</v>
      </c>
      <c r="O28" s="5">
        <f t="shared" si="7"/>
        <v>105</v>
      </c>
      <c r="P28" s="5">
        <f t="shared" si="7"/>
        <v>114</v>
      </c>
      <c r="Q28" s="5">
        <f t="shared" si="7"/>
        <v>104</v>
      </c>
      <c r="R28" s="5">
        <f t="shared" si="7"/>
        <v>121</v>
      </c>
      <c r="S28" s="5">
        <f t="shared" si="7"/>
        <v>120</v>
      </c>
      <c r="T28" s="5">
        <f t="shared" si="7"/>
        <v>110</v>
      </c>
      <c r="U28" s="5">
        <f t="shared" si="7"/>
        <v>119</v>
      </c>
      <c r="V28" s="5">
        <f t="shared" si="7"/>
        <v>93</v>
      </c>
      <c r="W28" s="5">
        <f t="shared" si="7"/>
        <v>112</v>
      </c>
      <c r="X28" s="5">
        <f t="shared" si="7"/>
        <v>95</v>
      </c>
      <c r="Y28" s="5">
        <f t="shared" si="7"/>
        <v>91</v>
      </c>
      <c r="Z28" s="5">
        <f t="shared" si="7"/>
        <v>105</v>
      </c>
      <c r="AA28" s="5">
        <f t="shared" si="7"/>
        <v>93</v>
      </c>
      <c r="AB28" s="5">
        <f t="shared" si="7"/>
        <v>96</v>
      </c>
      <c r="AC28" s="5">
        <f t="shared" si="7"/>
        <v>111</v>
      </c>
      <c r="AD28" s="5">
        <f t="shared" si="7"/>
        <v>109</v>
      </c>
      <c r="AE28" s="5">
        <f t="shared" si="7"/>
        <v>106</v>
      </c>
      <c r="AF28" s="5">
        <f t="shared" si="7"/>
        <v>98</v>
      </c>
      <c r="AG28" s="5">
        <f t="shared" si="7"/>
        <v>79</v>
      </c>
      <c r="AH28" s="5">
        <f t="shared" si="7"/>
        <v>95</v>
      </c>
      <c r="AI28" s="5">
        <f t="shared" si="7"/>
        <v>106</v>
      </c>
      <c r="AJ28" s="5">
        <f t="shared" si="7"/>
        <v>86</v>
      </c>
      <c r="AK28" s="5">
        <f t="shared" si="7"/>
        <v>80</v>
      </c>
      <c r="AL28" s="5">
        <f t="shared" si="7"/>
        <v>89</v>
      </c>
      <c r="AM28" s="5">
        <f t="shared" si="7"/>
        <v>98</v>
      </c>
      <c r="AN28" s="5">
        <f t="shared" si="7"/>
        <v>95</v>
      </c>
      <c r="AO28" s="5">
        <f t="shared" si="7"/>
        <v>106</v>
      </c>
      <c r="AP28" s="5">
        <f t="shared" si="7"/>
        <v>103</v>
      </c>
      <c r="AQ28" s="5">
        <f t="shared" si="7"/>
        <v>116</v>
      </c>
      <c r="AR28" s="5">
        <f t="shared" si="7"/>
        <v>113</v>
      </c>
      <c r="AS28" s="5">
        <f t="shared" si="7"/>
        <v>96</v>
      </c>
      <c r="AT28" s="5">
        <f t="shared" si="7"/>
        <v>98</v>
      </c>
      <c r="AU28" s="5">
        <f t="shared" si="3"/>
        <v>4353</v>
      </c>
    </row>
    <row r="29" ht="12.75" customHeight="1">
      <c r="A29" s="32"/>
      <c r="B29" s="19"/>
      <c r="C29" s="31"/>
      <c r="D29" s="5" t="s">
        <v>42</v>
      </c>
      <c r="E29" s="5">
        <f t="shared" ref="E29:AT29" si="8">SUM(E20,E23,E26)</f>
        <v>113</v>
      </c>
      <c r="F29" s="5">
        <f t="shared" si="8"/>
        <v>104</v>
      </c>
      <c r="G29" s="5">
        <f t="shared" si="8"/>
        <v>122</v>
      </c>
      <c r="H29" s="5">
        <f t="shared" si="8"/>
        <v>92</v>
      </c>
      <c r="I29" s="5">
        <f t="shared" si="8"/>
        <v>110</v>
      </c>
      <c r="J29" s="5">
        <f t="shared" si="8"/>
        <v>107</v>
      </c>
      <c r="K29" s="5">
        <f t="shared" si="8"/>
        <v>90</v>
      </c>
      <c r="L29" s="5">
        <f t="shared" si="8"/>
        <v>117</v>
      </c>
      <c r="M29" s="5">
        <f t="shared" si="8"/>
        <v>129</v>
      </c>
      <c r="N29" s="5">
        <f t="shared" si="8"/>
        <v>107</v>
      </c>
      <c r="O29" s="5">
        <f t="shared" si="8"/>
        <v>119</v>
      </c>
      <c r="P29" s="5">
        <f t="shared" si="8"/>
        <v>117</v>
      </c>
      <c r="Q29" s="5">
        <f t="shared" si="8"/>
        <v>100</v>
      </c>
      <c r="R29" s="5">
        <f t="shared" si="8"/>
        <v>117</v>
      </c>
      <c r="S29" s="5">
        <f t="shared" si="8"/>
        <v>105</v>
      </c>
      <c r="T29" s="5">
        <f t="shared" si="8"/>
        <v>120</v>
      </c>
      <c r="U29" s="5">
        <f t="shared" si="8"/>
        <v>108</v>
      </c>
      <c r="V29" s="5">
        <f t="shared" si="8"/>
        <v>99</v>
      </c>
      <c r="W29" s="5">
        <f t="shared" si="8"/>
        <v>124</v>
      </c>
      <c r="X29" s="5">
        <f t="shared" si="8"/>
        <v>95</v>
      </c>
      <c r="Y29" s="5">
        <f t="shared" si="8"/>
        <v>98</v>
      </c>
      <c r="Z29" s="5">
        <f t="shared" si="8"/>
        <v>97</v>
      </c>
      <c r="AA29" s="5">
        <f t="shared" si="8"/>
        <v>95</v>
      </c>
      <c r="AB29" s="5">
        <f t="shared" si="8"/>
        <v>91</v>
      </c>
      <c r="AC29" s="5">
        <f t="shared" si="8"/>
        <v>123</v>
      </c>
      <c r="AD29" s="5">
        <f t="shared" si="8"/>
        <v>114</v>
      </c>
      <c r="AE29" s="5">
        <f t="shared" si="8"/>
        <v>109</v>
      </c>
      <c r="AF29" s="5">
        <f t="shared" si="8"/>
        <v>98</v>
      </c>
      <c r="AG29" s="5">
        <f t="shared" si="8"/>
        <v>76</v>
      </c>
      <c r="AH29" s="5">
        <f t="shared" si="8"/>
        <v>93</v>
      </c>
      <c r="AI29" s="5">
        <f t="shared" si="8"/>
        <v>118</v>
      </c>
      <c r="AJ29" s="5">
        <f t="shared" si="8"/>
        <v>94</v>
      </c>
      <c r="AK29" s="5">
        <f t="shared" si="8"/>
        <v>90</v>
      </c>
      <c r="AL29" s="5">
        <f t="shared" si="8"/>
        <v>102</v>
      </c>
      <c r="AM29" s="5">
        <f t="shared" si="8"/>
        <v>107</v>
      </c>
      <c r="AN29" s="5">
        <f t="shared" si="8"/>
        <v>113</v>
      </c>
      <c r="AO29" s="5">
        <f t="shared" si="8"/>
        <v>121</v>
      </c>
      <c r="AP29" s="5">
        <f t="shared" si="8"/>
        <v>116</v>
      </c>
      <c r="AQ29" s="5">
        <f t="shared" si="8"/>
        <v>110</v>
      </c>
      <c r="AR29" s="5">
        <f t="shared" si="8"/>
        <v>111</v>
      </c>
      <c r="AS29" s="5">
        <f t="shared" si="8"/>
        <v>94</v>
      </c>
      <c r="AT29" s="5">
        <f t="shared" si="8"/>
        <v>110</v>
      </c>
      <c r="AU29" s="5">
        <f t="shared" si="3"/>
        <v>4475</v>
      </c>
    </row>
    <row r="30" ht="12.75" customHeight="1">
      <c r="A30" s="32"/>
      <c r="B30" s="23"/>
      <c r="C30" s="14"/>
      <c r="D30" s="5" t="s">
        <v>43</v>
      </c>
      <c r="E30" s="5">
        <f t="shared" ref="E30:AT30" si="9">SUM(E28:E29)</f>
        <v>230</v>
      </c>
      <c r="F30" s="5">
        <f t="shared" si="9"/>
        <v>209</v>
      </c>
      <c r="G30" s="5">
        <f t="shared" si="9"/>
        <v>232</v>
      </c>
      <c r="H30" s="5">
        <f t="shared" si="9"/>
        <v>191</v>
      </c>
      <c r="I30" s="5">
        <f t="shared" si="9"/>
        <v>212</v>
      </c>
      <c r="J30" s="5">
        <f t="shared" si="9"/>
        <v>227</v>
      </c>
      <c r="K30" s="5">
        <f t="shared" si="9"/>
        <v>168</v>
      </c>
      <c r="L30" s="5">
        <f t="shared" si="9"/>
        <v>231</v>
      </c>
      <c r="M30" s="5">
        <f t="shared" si="9"/>
        <v>259</v>
      </c>
      <c r="N30" s="5">
        <f t="shared" si="9"/>
        <v>223</v>
      </c>
      <c r="O30" s="5">
        <f t="shared" si="9"/>
        <v>224</v>
      </c>
      <c r="P30" s="5">
        <f t="shared" si="9"/>
        <v>231</v>
      </c>
      <c r="Q30" s="5">
        <f t="shared" si="9"/>
        <v>204</v>
      </c>
      <c r="R30" s="5">
        <f t="shared" si="9"/>
        <v>238</v>
      </c>
      <c r="S30" s="5">
        <f t="shared" si="9"/>
        <v>225</v>
      </c>
      <c r="T30" s="5">
        <f t="shared" si="9"/>
        <v>230</v>
      </c>
      <c r="U30" s="5">
        <f t="shared" si="9"/>
        <v>227</v>
      </c>
      <c r="V30" s="5">
        <f t="shared" si="9"/>
        <v>192</v>
      </c>
      <c r="W30" s="5">
        <f t="shared" si="9"/>
        <v>236</v>
      </c>
      <c r="X30" s="5">
        <f t="shared" si="9"/>
        <v>190</v>
      </c>
      <c r="Y30" s="5">
        <f t="shared" si="9"/>
        <v>189</v>
      </c>
      <c r="Z30" s="5">
        <f t="shared" si="9"/>
        <v>202</v>
      </c>
      <c r="AA30" s="5">
        <f t="shared" si="9"/>
        <v>188</v>
      </c>
      <c r="AB30" s="5">
        <f t="shared" si="9"/>
        <v>187</v>
      </c>
      <c r="AC30" s="5">
        <f t="shared" si="9"/>
        <v>234</v>
      </c>
      <c r="AD30" s="5">
        <f t="shared" si="9"/>
        <v>223</v>
      </c>
      <c r="AE30" s="5">
        <f t="shared" si="9"/>
        <v>215</v>
      </c>
      <c r="AF30" s="5">
        <f t="shared" si="9"/>
        <v>196</v>
      </c>
      <c r="AG30" s="5">
        <f t="shared" si="9"/>
        <v>155</v>
      </c>
      <c r="AH30" s="5">
        <f t="shared" si="9"/>
        <v>188</v>
      </c>
      <c r="AI30" s="5">
        <f t="shared" si="9"/>
        <v>224</v>
      </c>
      <c r="AJ30" s="5">
        <f t="shared" si="9"/>
        <v>180</v>
      </c>
      <c r="AK30" s="5">
        <f t="shared" si="9"/>
        <v>170</v>
      </c>
      <c r="AL30" s="5">
        <f t="shared" si="9"/>
        <v>191</v>
      </c>
      <c r="AM30" s="5">
        <f t="shared" si="9"/>
        <v>205</v>
      </c>
      <c r="AN30" s="5">
        <f t="shared" si="9"/>
        <v>208</v>
      </c>
      <c r="AO30" s="5">
        <f t="shared" si="9"/>
        <v>227</v>
      </c>
      <c r="AP30" s="5">
        <f t="shared" si="9"/>
        <v>219</v>
      </c>
      <c r="AQ30" s="5">
        <f t="shared" si="9"/>
        <v>226</v>
      </c>
      <c r="AR30" s="5">
        <f t="shared" si="9"/>
        <v>224</v>
      </c>
      <c r="AS30" s="5">
        <f t="shared" si="9"/>
        <v>190</v>
      </c>
      <c r="AT30" s="5">
        <f t="shared" si="9"/>
        <v>208</v>
      </c>
      <c r="AU30" s="5">
        <f t="shared" si="3"/>
        <v>8828</v>
      </c>
    </row>
    <row r="31" ht="12.75" customHeight="1">
      <c r="A31" s="24"/>
      <c r="B31" s="7"/>
      <c r="C31" s="7"/>
      <c r="D31" s="8"/>
      <c r="E31" s="11"/>
      <c r="F31" s="11"/>
      <c r="G31" s="11"/>
      <c r="H31" s="11"/>
      <c r="I31" s="11"/>
      <c r="J31" s="11"/>
      <c r="K31" s="11"/>
      <c r="L31" s="11"/>
      <c r="M31" s="11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6"/>
    </row>
    <row r="32" ht="12.75" customHeight="1">
      <c r="A32" s="35" t="s">
        <v>54</v>
      </c>
      <c r="B32" s="6" t="s">
        <v>55</v>
      </c>
      <c r="C32" s="7"/>
      <c r="D32" s="8"/>
      <c r="E32" s="5"/>
      <c r="F32" s="5"/>
      <c r="G32" s="5"/>
      <c r="H32" s="5"/>
      <c r="I32" s="5"/>
      <c r="J32" s="5"/>
      <c r="K32" s="5"/>
      <c r="L32" s="5"/>
      <c r="M32" s="5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26"/>
    </row>
    <row r="33" ht="12.75" customHeight="1">
      <c r="A33" s="11">
        <v>1.0</v>
      </c>
      <c r="B33" s="12" t="s">
        <v>56</v>
      </c>
      <c r="C33" s="7"/>
      <c r="D33" s="8"/>
      <c r="E33" s="11">
        <v>272.0</v>
      </c>
      <c r="F33" s="11">
        <v>278.0</v>
      </c>
      <c r="G33" s="11">
        <v>284.0</v>
      </c>
      <c r="H33" s="11">
        <v>225.0</v>
      </c>
      <c r="I33" s="11">
        <v>257.0</v>
      </c>
      <c r="J33" s="11">
        <v>278.0</v>
      </c>
      <c r="K33" s="11">
        <v>223.0</v>
      </c>
      <c r="L33" s="11">
        <v>291.0</v>
      </c>
      <c r="M33" s="11">
        <v>288.0</v>
      </c>
      <c r="N33" s="11">
        <v>241.0</v>
      </c>
      <c r="O33" s="11">
        <v>287.0</v>
      </c>
      <c r="P33" s="11">
        <v>276.0</v>
      </c>
      <c r="Q33" s="11">
        <v>257.0</v>
      </c>
      <c r="R33" s="11">
        <v>287.0</v>
      </c>
      <c r="S33" s="11">
        <v>270.0</v>
      </c>
      <c r="T33" s="11">
        <v>277.0</v>
      </c>
      <c r="U33" s="11">
        <v>293.0</v>
      </c>
      <c r="V33" s="11">
        <v>253.0</v>
      </c>
      <c r="W33" s="11">
        <v>289.0</v>
      </c>
      <c r="X33" s="11">
        <v>250.0</v>
      </c>
      <c r="Y33" s="11">
        <v>241.0</v>
      </c>
      <c r="Z33" s="11">
        <v>244.0</v>
      </c>
      <c r="AA33" s="11">
        <v>267.0</v>
      </c>
      <c r="AB33" s="11">
        <v>254.0</v>
      </c>
      <c r="AC33" s="11">
        <v>284.0</v>
      </c>
      <c r="AD33" s="11">
        <v>272.0</v>
      </c>
      <c r="AE33" s="11">
        <v>274.0</v>
      </c>
      <c r="AF33" s="11">
        <v>259.0</v>
      </c>
      <c r="AG33" s="11">
        <v>224.0</v>
      </c>
      <c r="AH33" s="11">
        <v>275.0</v>
      </c>
      <c r="AI33" s="11">
        <v>309.0</v>
      </c>
      <c r="AJ33" s="11">
        <v>223.0</v>
      </c>
      <c r="AK33" s="11">
        <v>213.0</v>
      </c>
      <c r="AL33" s="11">
        <v>258.0</v>
      </c>
      <c r="AM33" s="11">
        <v>261.0</v>
      </c>
      <c r="AN33" s="11">
        <v>270.0</v>
      </c>
      <c r="AO33" s="11">
        <v>268.0</v>
      </c>
      <c r="AP33" s="11">
        <v>269.0</v>
      </c>
      <c r="AQ33" s="11">
        <v>270.0</v>
      </c>
      <c r="AR33" s="11">
        <v>265.0</v>
      </c>
      <c r="AS33" s="11">
        <v>247.0</v>
      </c>
      <c r="AT33" s="11">
        <v>238.0</v>
      </c>
      <c r="AU33" s="5">
        <f t="shared" ref="AU33:AU36" si="10">SUM(E33:AT33)</f>
        <v>11061</v>
      </c>
    </row>
    <row r="34" ht="12.75" customHeight="1">
      <c r="A34" s="11">
        <v>2.0</v>
      </c>
      <c r="B34" s="12" t="s">
        <v>57</v>
      </c>
      <c r="C34" s="7"/>
      <c r="D34" s="8"/>
      <c r="E34" s="5">
        <v>230.0</v>
      </c>
      <c r="F34" s="5">
        <v>209.0</v>
      </c>
      <c r="G34" s="5">
        <v>232.0</v>
      </c>
      <c r="H34" s="5">
        <v>191.0</v>
      </c>
      <c r="I34" s="5">
        <v>212.0</v>
      </c>
      <c r="J34" s="5">
        <v>227.0</v>
      </c>
      <c r="K34" s="5">
        <v>168.0</v>
      </c>
      <c r="L34" s="5">
        <v>231.0</v>
      </c>
      <c r="M34" s="5">
        <v>259.0</v>
      </c>
      <c r="N34" s="5">
        <v>223.0</v>
      </c>
      <c r="O34" s="5">
        <v>224.0</v>
      </c>
      <c r="P34" s="5">
        <v>231.0</v>
      </c>
      <c r="Q34" s="5">
        <v>203.0</v>
      </c>
      <c r="R34" s="5">
        <v>236.0</v>
      </c>
      <c r="S34" s="5">
        <v>225.0</v>
      </c>
      <c r="T34" s="5">
        <v>230.0</v>
      </c>
      <c r="U34" s="5">
        <v>229.0</v>
      </c>
      <c r="V34" s="5">
        <v>192.0</v>
      </c>
      <c r="W34" s="5">
        <v>237.0</v>
      </c>
      <c r="X34" s="5">
        <v>190.0</v>
      </c>
      <c r="Y34" s="5">
        <v>189.0</v>
      </c>
      <c r="Z34" s="5">
        <v>202.0</v>
      </c>
      <c r="AA34" s="5">
        <v>188.0</v>
      </c>
      <c r="AB34" s="5">
        <v>187.0</v>
      </c>
      <c r="AC34" s="5">
        <v>234.0</v>
      </c>
      <c r="AD34" s="5">
        <v>223.0</v>
      </c>
      <c r="AE34" s="5">
        <v>215.0</v>
      </c>
      <c r="AF34" s="5">
        <v>196.0</v>
      </c>
      <c r="AG34" s="5">
        <v>155.0</v>
      </c>
      <c r="AH34" s="5">
        <v>188.0</v>
      </c>
      <c r="AI34" s="5">
        <v>224.0</v>
      </c>
      <c r="AJ34" s="5">
        <v>180.0</v>
      </c>
      <c r="AK34" s="5">
        <v>170.0</v>
      </c>
      <c r="AL34" s="5">
        <v>191.0</v>
      </c>
      <c r="AM34" s="5">
        <v>205.0</v>
      </c>
      <c r="AN34" s="5">
        <v>208.0</v>
      </c>
      <c r="AO34" s="5">
        <v>227.0</v>
      </c>
      <c r="AP34" s="5">
        <v>219.0</v>
      </c>
      <c r="AQ34" s="5">
        <v>226.0</v>
      </c>
      <c r="AR34" s="5">
        <v>224.0</v>
      </c>
      <c r="AS34" s="5">
        <v>190.0</v>
      </c>
      <c r="AT34" s="5">
        <v>208.0</v>
      </c>
      <c r="AU34" s="5">
        <f t="shared" si="10"/>
        <v>8828</v>
      </c>
    </row>
    <row r="35" ht="12.75" customHeight="1">
      <c r="A35" s="11">
        <v>3.0</v>
      </c>
      <c r="B35" s="12" t="s">
        <v>58</v>
      </c>
      <c r="C35" s="7"/>
      <c r="D35" s="8"/>
      <c r="E35" s="11">
        <v>0.0</v>
      </c>
      <c r="F35" s="11">
        <v>0.0</v>
      </c>
      <c r="G35" s="11">
        <v>4.0</v>
      </c>
      <c r="H35" s="11">
        <v>0.0</v>
      </c>
      <c r="I35" s="11">
        <v>0.0</v>
      </c>
      <c r="J35" s="11">
        <v>1.0</v>
      </c>
      <c r="K35" s="11">
        <v>0.0</v>
      </c>
      <c r="L35" s="11">
        <v>0.0</v>
      </c>
      <c r="M35" s="11">
        <v>0.0</v>
      </c>
      <c r="N35" s="11">
        <v>0.0</v>
      </c>
      <c r="O35" s="11">
        <v>3.0</v>
      </c>
      <c r="P35" s="11">
        <v>0.0</v>
      </c>
      <c r="Q35" s="11">
        <v>0.0</v>
      </c>
      <c r="R35" s="11">
        <v>0.0</v>
      </c>
      <c r="S35" s="11">
        <v>0.0</v>
      </c>
      <c r="T35" s="11">
        <v>0.0</v>
      </c>
      <c r="U35" s="11">
        <v>3.0</v>
      </c>
      <c r="V35" s="11">
        <v>0.0</v>
      </c>
      <c r="W35" s="11">
        <v>0.0</v>
      </c>
      <c r="X35" s="11">
        <v>0.0</v>
      </c>
      <c r="Y35" s="11">
        <v>0.0</v>
      </c>
      <c r="Z35" s="11">
        <v>0.0</v>
      </c>
      <c r="AA35" s="11">
        <v>0.0</v>
      </c>
      <c r="AB35" s="11">
        <v>0.0</v>
      </c>
      <c r="AC35" s="11">
        <v>3.0</v>
      </c>
      <c r="AD35" s="11">
        <v>0.0</v>
      </c>
      <c r="AE35" s="11">
        <v>0.0</v>
      </c>
      <c r="AF35" s="11">
        <v>0.0</v>
      </c>
      <c r="AG35" s="11">
        <v>0.0</v>
      </c>
      <c r="AH35" s="11">
        <v>1.0</v>
      </c>
      <c r="AI35" s="11">
        <v>0.0</v>
      </c>
      <c r="AJ35" s="11">
        <v>0.0</v>
      </c>
      <c r="AK35" s="11">
        <v>0.0</v>
      </c>
      <c r="AL35" s="11">
        <v>0.0</v>
      </c>
      <c r="AM35" s="11">
        <v>0.0</v>
      </c>
      <c r="AN35" s="11">
        <v>0.0</v>
      </c>
      <c r="AO35" s="11">
        <v>0.0</v>
      </c>
      <c r="AP35" s="11">
        <v>0.0</v>
      </c>
      <c r="AQ35" s="11">
        <v>1.0</v>
      </c>
      <c r="AR35" s="11">
        <v>2.0</v>
      </c>
      <c r="AS35" s="11">
        <v>0.0</v>
      </c>
      <c r="AT35" s="11">
        <v>0.0</v>
      </c>
      <c r="AU35" s="5">
        <f t="shared" si="10"/>
        <v>18</v>
      </c>
    </row>
    <row r="36" ht="12.75" customHeight="1">
      <c r="A36" s="11">
        <v>4.0</v>
      </c>
      <c r="B36" s="12" t="s">
        <v>59</v>
      </c>
      <c r="C36" s="7"/>
      <c r="D36" s="8"/>
      <c r="E36" s="5">
        <f t="shared" ref="E36:AT36" si="11">E33-(E34+E35)</f>
        <v>42</v>
      </c>
      <c r="F36" s="5">
        <f t="shared" si="11"/>
        <v>69</v>
      </c>
      <c r="G36" s="5">
        <f t="shared" si="11"/>
        <v>48</v>
      </c>
      <c r="H36" s="5">
        <f t="shared" si="11"/>
        <v>34</v>
      </c>
      <c r="I36" s="5">
        <f t="shared" si="11"/>
        <v>45</v>
      </c>
      <c r="J36" s="5">
        <f t="shared" si="11"/>
        <v>50</v>
      </c>
      <c r="K36" s="5">
        <f t="shared" si="11"/>
        <v>55</v>
      </c>
      <c r="L36" s="5">
        <f t="shared" si="11"/>
        <v>60</v>
      </c>
      <c r="M36" s="5">
        <f t="shared" si="11"/>
        <v>29</v>
      </c>
      <c r="N36" s="5">
        <f t="shared" si="11"/>
        <v>18</v>
      </c>
      <c r="O36" s="5">
        <f t="shared" si="11"/>
        <v>60</v>
      </c>
      <c r="P36" s="5">
        <f t="shared" si="11"/>
        <v>45</v>
      </c>
      <c r="Q36" s="5">
        <f t="shared" si="11"/>
        <v>54</v>
      </c>
      <c r="R36" s="5">
        <f t="shared" si="11"/>
        <v>51</v>
      </c>
      <c r="S36" s="5">
        <f t="shared" si="11"/>
        <v>45</v>
      </c>
      <c r="T36" s="5">
        <f t="shared" si="11"/>
        <v>47</v>
      </c>
      <c r="U36" s="5">
        <f t="shared" si="11"/>
        <v>61</v>
      </c>
      <c r="V36" s="5">
        <f t="shared" si="11"/>
        <v>61</v>
      </c>
      <c r="W36" s="5">
        <f t="shared" si="11"/>
        <v>52</v>
      </c>
      <c r="X36" s="5">
        <f t="shared" si="11"/>
        <v>60</v>
      </c>
      <c r="Y36" s="5">
        <f t="shared" si="11"/>
        <v>52</v>
      </c>
      <c r="Z36" s="5">
        <f t="shared" si="11"/>
        <v>42</v>
      </c>
      <c r="AA36" s="5">
        <f t="shared" si="11"/>
        <v>79</v>
      </c>
      <c r="AB36" s="5">
        <f t="shared" si="11"/>
        <v>67</v>
      </c>
      <c r="AC36" s="5">
        <f t="shared" si="11"/>
        <v>47</v>
      </c>
      <c r="AD36" s="5">
        <f t="shared" si="11"/>
        <v>49</v>
      </c>
      <c r="AE36" s="5">
        <f t="shared" si="11"/>
        <v>59</v>
      </c>
      <c r="AF36" s="5">
        <f t="shared" si="11"/>
        <v>63</v>
      </c>
      <c r="AG36" s="5">
        <f t="shared" si="11"/>
        <v>69</v>
      </c>
      <c r="AH36" s="5">
        <f t="shared" si="11"/>
        <v>86</v>
      </c>
      <c r="AI36" s="5">
        <f t="shared" si="11"/>
        <v>85</v>
      </c>
      <c r="AJ36" s="5">
        <f t="shared" si="11"/>
        <v>43</v>
      </c>
      <c r="AK36" s="5">
        <f t="shared" si="11"/>
        <v>43</v>
      </c>
      <c r="AL36" s="5">
        <f t="shared" si="11"/>
        <v>67</v>
      </c>
      <c r="AM36" s="5">
        <f t="shared" si="11"/>
        <v>56</v>
      </c>
      <c r="AN36" s="5">
        <f t="shared" si="11"/>
        <v>62</v>
      </c>
      <c r="AO36" s="5">
        <f t="shared" si="11"/>
        <v>41</v>
      </c>
      <c r="AP36" s="5">
        <f t="shared" si="11"/>
        <v>50</v>
      </c>
      <c r="AQ36" s="5">
        <f t="shared" si="11"/>
        <v>43</v>
      </c>
      <c r="AR36" s="5">
        <f t="shared" si="11"/>
        <v>39</v>
      </c>
      <c r="AS36" s="5">
        <f t="shared" si="11"/>
        <v>57</v>
      </c>
      <c r="AT36" s="5">
        <f t="shared" si="11"/>
        <v>30</v>
      </c>
      <c r="AU36" s="5">
        <f t="shared" si="10"/>
        <v>2215</v>
      </c>
    </row>
    <row r="37" ht="12.75" customHeight="1">
      <c r="A37" s="24"/>
      <c r="B37" s="7"/>
      <c r="C37" s="7"/>
      <c r="D37" s="7"/>
      <c r="E37" s="24"/>
      <c r="F37" s="7"/>
      <c r="G37" s="7"/>
      <c r="H37" s="7"/>
      <c r="I37" s="8"/>
      <c r="J37" s="11"/>
      <c r="K37" s="11"/>
      <c r="L37" s="11"/>
      <c r="M37" s="11"/>
      <c r="N37" s="25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26"/>
    </row>
    <row r="38" ht="12.75" customHeight="1">
      <c r="A38" s="39" t="s">
        <v>60</v>
      </c>
      <c r="B38" s="6" t="s">
        <v>61</v>
      </c>
      <c r="C38" s="7"/>
      <c r="D38" s="8"/>
      <c r="E38" s="5"/>
      <c r="F38" s="5"/>
      <c r="G38" s="5"/>
      <c r="H38" s="5"/>
      <c r="I38" s="5"/>
      <c r="J38" s="5"/>
      <c r="K38" s="5"/>
      <c r="L38" s="5"/>
      <c r="M38" s="5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26"/>
    </row>
    <row r="39" ht="12.75" customHeight="1">
      <c r="A39" s="27"/>
      <c r="B39" s="40" t="s">
        <v>62</v>
      </c>
      <c r="C39" s="17"/>
      <c r="D39" s="11" t="s">
        <v>41</v>
      </c>
      <c r="E39" s="11">
        <v>0.0</v>
      </c>
      <c r="F39" s="11">
        <v>0.0</v>
      </c>
      <c r="G39" s="11">
        <v>0.0</v>
      </c>
      <c r="H39" s="11">
        <v>0.0</v>
      </c>
      <c r="I39" s="11">
        <v>0.0</v>
      </c>
      <c r="J39" s="11">
        <v>0.0</v>
      </c>
      <c r="K39" s="11">
        <v>0.0</v>
      </c>
      <c r="L39" s="11">
        <v>0.0</v>
      </c>
      <c r="M39" s="11">
        <v>0.0</v>
      </c>
      <c r="N39" s="11">
        <v>0.0</v>
      </c>
      <c r="O39" s="11">
        <v>0.0</v>
      </c>
      <c r="P39" s="11">
        <v>0.0</v>
      </c>
      <c r="Q39" s="11">
        <v>0.0</v>
      </c>
      <c r="R39" s="11">
        <v>1.0</v>
      </c>
      <c r="S39" s="11">
        <v>0.0</v>
      </c>
      <c r="T39" s="11">
        <v>0.0</v>
      </c>
      <c r="U39" s="11">
        <v>0.0</v>
      </c>
      <c r="V39" s="11">
        <v>3.0</v>
      </c>
      <c r="W39" s="11">
        <v>0.0</v>
      </c>
      <c r="X39" s="11">
        <v>0.0</v>
      </c>
      <c r="Y39" s="11">
        <v>0.0</v>
      </c>
      <c r="Z39" s="11">
        <v>0.0</v>
      </c>
      <c r="AA39" s="11">
        <v>0.0</v>
      </c>
      <c r="AB39" s="11">
        <v>0.0</v>
      </c>
      <c r="AC39" s="11">
        <v>0.0</v>
      </c>
      <c r="AD39" s="11">
        <v>0.0</v>
      </c>
      <c r="AE39" s="11">
        <v>0.0</v>
      </c>
      <c r="AF39" s="11">
        <v>1.0</v>
      </c>
      <c r="AG39" s="11">
        <v>0.0</v>
      </c>
      <c r="AH39" s="11">
        <v>0.0</v>
      </c>
      <c r="AI39" s="11">
        <v>0.0</v>
      </c>
      <c r="AJ39" s="11">
        <v>0.0</v>
      </c>
      <c r="AK39" s="11">
        <v>0.0</v>
      </c>
      <c r="AL39" s="11">
        <v>0.0</v>
      </c>
      <c r="AM39" s="11">
        <v>0.0</v>
      </c>
      <c r="AN39" s="11">
        <v>0.0</v>
      </c>
      <c r="AO39" s="11">
        <v>0.0</v>
      </c>
      <c r="AP39" s="11">
        <v>1.0</v>
      </c>
      <c r="AQ39" s="11">
        <v>0.0</v>
      </c>
      <c r="AR39" s="11">
        <v>0.0</v>
      </c>
      <c r="AS39" s="11">
        <v>0.0</v>
      </c>
      <c r="AT39" s="11">
        <v>0.0</v>
      </c>
      <c r="AU39" s="5">
        <f t="shared" ref="AU39:AU41" si="12">SUM(E39:AT39)</f>
        <v>6</v>
      </c>
    </row>
    <row r="40" ht="12.75" customHeight="1">
      <c r="A40" s="30"/>
      <c r="C40" s="19"/>
      <c r="D40" s="11" t="s">
        <v>42</v>
      </c>
      <c r="E40" s="11">
        <v>0.0</v>
      </c>
      <c r="F40" s="11">
        <v>0.0</v>
      </c>
      <c r="G40" s="11">
        <v>0.0</v>
      </c>
      <c r="H40" s="11">
        <v>0.0</v>
      </c>
      <c r="I40" s="11">
        <v>0.0</v>
      </c>
      <c r="J40" s="11">
        <v>0.0</v>
      </c>
      <c r="K40" s="11">
        <v>0.0</v>
      </c>
      <c r="L40" s="11">
        <v>0.0</v>
      </c>
      <c r="M40" s="11">
        <v>0.0</v>
      </c>
      <c r="N40" s="11">
        <v>0.0</v>
      </c>
      <c r="O40" s="11">
        <v>0.0</v>
      </c>
      <c r="P40" s="11">
        <v>0.0</v>
      </c>
      <c r="Q40" s="11">
        <v>0.0</v>
      </c>
      <c r="R40" s="11">
        <v>1.0</v>
      </c>
      <c r="S40" s="11">
        <v>0.0</v>
      </c>
      <c r="T40" s="11">
        <v>0.0</v>
      </c>
      <c r="U40" s="11">
        <v>0.0</v>
      </c>
      <c r="V40" s="11">
        <v>8.0</v>
      </c>
      <c r="W40" s="11">
        <v>0.0</v>
      </c>
      <c r="X40" s="11">
        <v>1.0</v>
      </c>
      <c r="Y40" s="11">
        <v>0.0</v>
      </c>
      <c r="Z40" s="11">
        <v>0.0</v>
      </c>
      <c r="AA40" s="11">
        <v>0.0</v>
      </c>
      <c r="AB40" s="11">
        <v>0.0</v>
      </c>
      <c r="AC40" s="11">
        <v>0.0</v>
      </c>
      <c r="AD40" s="11">
        <v>0.0</v>
      </c>
      <c r="AE40" s="11">
        <v>0.0</v>
      </c>
      <c r="AF40" s="11">
        <v>1.0</v>
      </c>
      <c r="AG40" s="11">
        <v>0.0</v>
      </c>
      <c r="AH40" s="11">
        <v>0.0</v>
      </c>
      <c r="AI40" s="11">
        <v>0.0</v>
      </c>
      <c r="AJ40" s="11">
        <v>0.0</v>
      </c>
      <c r="AK40" s="11">
        <v>0.0</v>
      </c>
      <c r="AL40" s="11">
        <v>0.0</v>
      </c>
      <c r="AM40" s="11">
        <v>0.0</v>
      </c>
      <c r="AN40" s="11">
        <v>0.0</v>
      </c>
      <c r="AO40" s="11">
        <v>0.0</v>
      </c>
      <c r="AP40" s="11">
        <v>1.0</v>
      </c>
      <c r="AQ40" s="11">
        <v>0.0</v>
      </c>
      <c r="AR40" s="11">
        <v>0.0</v>
      </c>
      <c r="AS40" s="11">
        <v>0.0</v>
      </c>
      <c r="AT40" s="11">
        <v>0.0</v>
      </c>
      <c r="AU40" s="5">
        <f t="shared" si="12"/>
        <v>12</v>
      </c>
    </row>
    <row r="41" ht="12.75" customHeight="1">
      <c r="A41" s="35"/>
      <c r="B41" s="41"/>
      <c r="C41" s="23"/>
      <c r="D41" s="5" t="s">
        <v>43</v>
      </c>
      <c r="E41" s="5">
        <f t="shared" ref="E41:AT41" si="13">SUM(E39:E40)</f>
        <v>0</v>
      </c>
      <c r="F41" s="5">
        <f t="shared" si="13"/>
        <v>0</v>
      </c>
      <c r="G41" s="5">
        <f t="shared" si="13"/>
        <v>0</v>
      </c>
      <c r="H41" s="5">
        <f t="shared" si="13"/>
        <v>0</v>
      </c>
      <c r="I41" s="5">
        <f t="shared" si="13"/>
        <v>0</v>
      </c>
      <c r="J41" s="5">
        <f t="shared" si="13"/>
        <v>0</v>
      </c>
      <c r="K41" s="5">
        <f t="shared" si="13"/>
        <v>0</v>
      </c>
      <c r="L41" s="5">
        <f t="shared" si="13"/>
        <v>0</v>
      </c>
      <c r="M41" s="5">
        <f t="shared" si="13"/>
        <v>0</v>
      </c>
      <c r="N41" s="5">
        <f t="shared" si="13"/>
        <v>0</v>
      </c>
      <c r="O41" s="5">
        <f t="shared" si="13"/>
        <v>0</v>
      </c>
      <c r="P41" s="5">
        <f t="shared" si="13"/>
        <v>0</v>
      </c>
      <c r="Q41" s="5">
        <f t="shared" si="13"/>
        <v>0</v>
      </c>
      <c r="R41" s="5">
        <f t="shared" si="13"/>
        <v>2</v>
      </c>
      <c r="S41" s="5">
        <f t="shared" si="13"/>
        <v>0</v>
      </c>
      <c r="T41" s="5">
        <f t="shared" si="13"/>
        <v>0</v>
      </c>
      <c r="U41" s="5">
        <f t="shared" si="13"/>
        <v>0</v>
      </c>
      <c r="V41" s="5">
        <f t="shared" si="13"/>
        <v>11</v>
      </c>
      <c r="W41" s="5">
        <f t="shared" si="13"/>
        <v>0</v>
      </c>
      <c r="X41" s="5">
        <f t="shared" si="13"/>
        <v>1</v>
      </c>
      <c r="Y41" s="5">
        <f t="shared" si="13"/>
        <v>0</v>
      </c>
      <c r="Z41" s="5">
        <f t="shared" si="13"/>
        <v>0</v>
      </c>
      <c r="AA41" s="5">
        <f t="shared" si="13"/>
        <v>0</v>
      </c>
      <c r="AB41" s="5">
        <f t="shared" si="13"/>
        <v>0</v>
      </c>
      <c r="AC41" s="5">
        <f t="shared" si="13"/>
        <v>0</v>
      </c>
      <c r="AD41" s="5">
        <f t="shared" si="13"/>
        <v>0</v>
      </c>
      <c r="AE41" s="5">
        <f t="shared" si="13"/>
        <v>0</v>
      </c>
      <c r="AF41" s="5">
        <f t="shared" si="13"/>
        <v>2</v>
      </c>
      <c r="AG41" s="5">
        <f t="shared" si="13"/>
        <v>0</v>
      </c>
      <c r="AH41" s="5">
        <f t="shared" si="13"/>
        <v>0</v>
      </c>
      <c r="AI41" s="5">
        <f t="shared" si="13"/>
        <v>0</v>
      </c>
      <c r="AJ41" s="5">
        <f t="shared" si="13"/>
        <v>0</v>
      </c>
      <c r="AK41" s="5">
        <f t="shared" si="13"/>
        <v>0</v>
      </c>
      <c r="AL41" s="5">
        <f t="shared" si="13"/>
        <v>0</v>
      </c>
      <c r="AM41" s="5">
        <f t="shared" si="13"/>
        <v>0</v>
      </c>
      <c r="AN41" s="5">
        <f t="shared" si="13"/>
        <v>0</v>
      </c>
      <c r="AO41" s="5">
        <f t="shared" si="13"/>
        <v>0</v>
      </c>
      <c r="AP41" s="5">
        <f t="shared" si="13"/>
        <v>2</v>
      </c>
      <c r="AQ41" s="5">
        <f t="shared" si="13"/>
        <v>0</v>
      </c>
      <c r="AR41" s="5">
        <f t="shared" si="13"/>
        <v>0</v>
      </c>
      <c r="AS41" s="5">
        <f t="shared" si="13"/>
        <v>0</v>
      </c>
      <c r="AT41" s="5">
        <f t="shared" si="13"/>
        <v>0</v>
      </c>
      <c r="AU41" s="5">
        <f t="shared" si="12"/>
        <v>18</v>
      </c>
    </row>
    <row r="42" ht="12.75" customHeight="1">
      <c r="A42" s="42"/>
      <c r="B42" s="41"/>
      <c r="C42" s="41"/>
      <c r="D42" s="23"/>
      <c r="E42" s="24"/>
      <c r="F42" s="7"/>
      <c r="G42" s="7"/>
      <c r="H42" s="7"/>
      <c r="I42" s="8"/>
      <c r="J42" s="11"/>
      <c r="K42" s="11"/>
      <c r="L42" s="11"/>
      <c r="M42" s="11"/>
      <c r="N42" s="25"/>
      <c r="O42" s="11"/>
      <c r="P42" s="25"/>
      <c r="Q42" s="11"/>
      <c r="R42" s="25"/>
      <c r="S42" s="11"/>
      <c r="T42" s="25"/>
      <c r="U42" s="11"/>
      <c r="V42" s="25"/>
      <c r="W42" s="11"/>
      <c r="X42" s="25"/>
      <c r="Y42" s="11"/>
      <c r="Z42" s="25"/>
      <c r="AA42" s="11"/>
      <c r="AB42" s="25"/>
      <c r="AC42" s="11"/>
      <c r="AD42" s="25"/>
      <c r="AE42" s="11"/>
      <c r="AF42" s="25"/>
      <c r="AG42" s="11"/>
      <c r="AH42" s="25"/>
      <c r="AI42" s="11"/>
      <c r="AJ42" s="25"/>
      <c r="AK42" s="11"/>
      <c r="AL42" s="25"/>
      <c r="AM42" s="11"/>
      <c r="AN42" s="25"/>
      <c r="AO42" s="11"/>
      <c r="AP42" s="25"/>
      <c r="AQ42" s="11"/>
      <c r="AR42" s="25"/>
      <c r="AS42" s="11"/>
      <c r="AT42" s="25"/>
      <c r="AU42" s="5"/>
    </row>
    <row r="43" ht="12.75" customHeight="1">
      <c r="A43" s="39" t="s">
        <v>63</v>
      </c>
      <c r="B43" s="6" t="s">
        <v>64</v>
      </c>
      <c r="C43" s="7"/>
      <c r="D43" s="8"/>
      <c r="E43" s="9"/>
      <c r="F43" s="5"/>
      <c r="G43" s="5"/>
      <c r="H43" s="5"/>
      <c r="I43" s="5"/>
      <c r="J43" s="5"/>
      <c r="K43" s="5"/>
      <c r="L43" s="5"/>
      <c r="M43" s="5"/>
      <c r="N43" s="36"/>
      <c r="O43" s="5"/>
      <c r="P43" s="36"/>
      <c r="Q43" s="5"/>
      <c r="R43" s="36"/>
      <c r="S43" s="5"/>
      <c r="T43" s="36"/>
      <c r="U43" s="5"/>
      <c r="V43" s="36"/>
      <c r="W43" s="5"/>
      <c r="X43" s="36"/>
      <c r="Y43" s="5"/>
      <c r="Z43" s="36"/>
      <c r="AA43" s="5"/>
      <c r="AB43" s="36"/>
      <c r="AC43" s="5"/>
      <c r="AD43" s="36"/>
      <c r="AE43" s="5"/>
      <c r="AF43" s="36"/>
      <c r="AG43" s="5"/>
      <c r="AH43" s="36"/>
      <c r="AI43" s="5"/>
      <c r="AJ43" s="36"/>
      <c r="AK43" s="5"/>
      <c r="AL43" s="36"/>
      <c r="AM43" s="5"/>
      <c r="AN43" s="36"/>
      <c r="AO43" s="5"/>
      <c r="AP43" s="36"/>
      <c r="AQ43" s="5"/>
      <c r="AR43" s="36"/>
      <c r="AS43" s="5"/>
      <c r="AT43" s="36"/>
      <c r="AU43" s="5"/>
    </row>
    <row r="44" ht="12.75" customHeight="1">
      <c r="A44" s="40" t="s">
        <v>65</v>
      </c>
      <c r="B44" s="43"/>
      <c r="C44" s="43"/>
      <c r="D44" s="17"/>
      <c r="E44" s="24"/>
      <c r="F44" s="11"/>
      <c r="G44" s="11"/>
      <c r="H44" s="11"/>
      <c r="I44" s="11"/>
      <c r="J44" s="11"/>
      <c r="K44" s="11"/>
      <c r="L44" s="11"/>
      <c r="M44" s="11"/>
      <c r="N44" s="25"/>
      <c r="O44" s="11"/>
      <c r="P44" s="25"/>
      <c r="Q44" s="11"/>
      <c r="R44" s="25"/>
      <c r="S44" s="11"/>
      <c r="T44" s="25"/>
      <c r="U44" s="11"/>
      <c r="V44" s="25"/>
      <c r="W44" s="11"/>
      <c r="X44" s="25"/>
      <c r="Y44" s="11"/>
      <c r="Z44" s="25"/>
      <c r="AA44" s="11"/>
      <c r="AB44" s="25"/>
      <c r="AC44" s="11"/>
      <c r="AD44" s="25"/>
      <c r="AE44" s="11"/>
      <c r="AF44" s="25"/>
      <c r="AG44" s="11"/>
      <c r="AH44" s="25"/>
      <c r="AI44" s="11"/>
      <c r="AJ44" s="25"/>
      <c r="AK44" s="11"/>
      <c r="AL44" s="25"/>
      <c r="AM44" s="11"/>
      <c r="AN44" s="25"/>
      <c r="AO44" s="11"/>
      <c r="AP44" s="25"/>
      <c r="AQ44" s="11"/>
      <c r="AR44" s="25"/>
      <c r="AS44" s="11"/>
      <c r="AT44" s="25"/>
      <c r="AU44" s="5"/>
    </row>
    <row r="45" ht="12.75" customHeight="1">
      <c r="A45" s="44"/>
      <c r="B45" s="45">
        <v>1.0</v>
      </c>
      <c r="C45" s="46" t="s">
        <v>66</v>
      </c>
      <c r="D45" s="8"/>
      <c r="E45" s="11">
        <v>11.0</v>
      </c>
      <c r="F45" s="11">
        <v>19.0</v>
      </c>
      <c r="G45" s="11">
        <v>31.0</v>
      </c>
      <c r="H45" s="11">
        <v>11.0</v>
      </c>
      <c r="I45" s="11">
        <v>6.0</v>
      </c>
      <c r="J45" s="11">
        <v>3.0</v>
      </c>
      <c r="K45" s="11">
        <v>3.0</v>
      </c>
      <c r="L45" s="11">
        <v>6.0</v>
      </c>
      <c r="M45" s="11">
        <v>5.0</v>
      </c>
      <c r="N45" s="11">
        <v>10.0</v>
      </c>
      <c r="O45" s="11">
        <v>1.0</v>
      </c>
      <c r="P45" s="11">
        <v>2.0</v>
      </c>
      <c r="Q45" s="11">
        <v>35.0</v>
      </c>
      <c r="R45" s="11">
        <v>14.0</v>
      </c>
      <c r="S45" s="11">
        <v>19.0</v>
      </c>
      <c r="T45" s="11">
        <v>10.0</v>
      </c>
      <c r="U45" s="11">
        <v>6.0</v>
      </c>
      <c r="V45" s="11">
        <v>9.0</v>
      </c>
      <c r="W45" s="11">
        <v>10.0</v>
      </c>
      <c r="X45" s="11">
        <v>32.0</v>
      </c>
      <c r="Y45" s="11">
        <v>35.0</v>
      </c>
      <c r="Z45" s="11">
        <v>9.0</v>
      </c>
      <c r="AA45" s="11">
        <v>21.0</v>
      </c>
      <c r="AB45" s="11">
        <v>8.0</v>
      </c>
      <c r="AC45" s="11">
        <v>17.0</v>
      </c>
      <c r="AD45" s="11">
        <v>28.0</v>
      </c>
      <c r="AE45" s="11">
        <v>27.0</v>
      </c>
      <c r="AF45" s="11">
        <v>15.0</v>
      </c>
      <c r="AG45" s="11">
        <v>11.0</v>
      </c>
      <c r="AH45" s="11">
        <v>11.0</v>
      </c>
      <c r="AI45" s="11">
        <v>43.0</v>
      </c>
      <c r="AJ45" s="11">
        <v>18.0</v>
      </c>
      <c r="AK45" s="11">
        <v>31.0</v>
      </c>
      <c r="AL45" s="11">
        <v>19.0</v>
      </c>
      <c r="AM45" s="11">
        <v>20.0</v>
      </c>
      <c r="AN45" s="11">
        <v>26.0</v>
      </c>
      <c r="AO45" s="11">
        <v>19.0</v>
      </c>
      <c r="AP45" s="11">
        <v>5.0</v>
      </c>
      <c r="AQ45" s="11">
        <v>9.0</v>
      </c>
      <c r="AR45" s="11">
        <v>6.0</v>
      </c>
      <c r="AS45" s="11">
        <v>3.0</v>
      </c>
      <c r="AT45" s="11">
        <v>6.0</v>
      </c>
      <c r="AU45" s="5">
        <f t="shared" ref="AU45:AU47" si="14">SUM(E45:AT45)</f>
        <v>630</v>
      </c>
    </row>
    <row r="46" ht="12.75" customHeight="1">
      <c r="A46" s="15"/>
      <c r="B46" s="45">
        <v>2.0</v>
      </c>
      <c r="C46" s="46" t="s">
        <v>67</v>
      </c>
      <c r="D46" s="8"/>
      <c r="E46" s="11">
        <v>172.0</v>
      </c>
      <c r="F46" s="11">
        <v>145.0</v>
      </c>
      <c r="G46" s="11">
        <v>136.0</v>
      </c>
      <c r="H46" s="11">
        <v>148.0</v>
      </c>
      <c r="I46" s="11">
        <v>154.0</v>
      </c>
      <c r="J46" s="11">
        <v>153.0</v>
      </c>
      <c r="K46" s="11">
        <v>106.0</v>
      </c>
      <c r="L46" s="11">
        <v>190.0</v>
      </c>
      <c r="M46" s="11">
        <v>235.0</v>
      </c>
      <c r="N46" s="11">
        <v>180.0</v>
      </c>
      <c r="O46" s="11">
        <v>180.0</v>
      </c>
      <c r="P46" s="11">
        <v>187.0</v>
      </c>
      <c r="Q46" s="11">
        <v>134.0</v>
      </c>
      <c r="R46" s="11">
        <v>163.0</v>
      </c>
      <c r="S46" s="11">
        <v>125.0</v>
      </c>
      <c r="T46" s="11">
        <v>158.0</v>
      </c>
      <c r="U46" s="11">
        <v>150.0</v>
      </c>
      <c r="V46" s="11">
        <v>97.0</v>
      </c>
      <c r="W46" s="11">
        <v>153.0</v>
      </c>
      <c r="X46" s="11">
        <v>128.0</v>
      </c>
      <c r="Y46" s="11">
        <v>126.0</v>
      </c>
      <c r="Z46" s="11">
        <v>164.0</v>
      </c>
      <c r="AA46" s="11">
        <v>128.0</v>
      </c>
      <c r="AB46" s="11">
        <v>140.0</v>
      </c>
      <c r="AC46" s="11">
        <v>156.0</v>
      </c>
      <c r="AD46" s="11">
        <v>147.0</v>
      </c>
      <c r="AE46" s="11">
        <v>157.0</v>
      </c>
      <c r="AF46" s="11">
        <v>144.0</v>
      </c>
      <c r="AG46" s="11">
        <v>107.0</v>
      </c>
      <c r="AH46" s="11">
        <v>140.0</v>
      </c>
      <c r="AI46" s="11">
        <v>149.0</v>
      </c>
      <c r="AJ46" s="11">
        <v>111.0</v>
      </c>
      <c r="AK46" s="11">
        <v>110.0</v>
      </c>
      <c r="AL46" s="11">
        <v>124.0</v>
      </c>
      <c r="AM46" s="11">
        <v>132.0</v>
      </c>
      <c r="AN46" s="11">
        <v>136.0</v>
      </c>
      <c r="AO46" s="11">
        <v>145.0</v>
      </c>
      <c r="AP46" s="11">
        <v>167.0</v>
      </c>
      <c r="AQ46" s="11">
        <v>158.0</v>
      </c>
      <c r="AR46" s="11">
        <v>144.0</v>
      </c>
      <c r="AS46" s="11">
        <v>117.0</v>
      </c>
      <c r="AT46" s="11">
        <v>169.0</v>
      </c>
      <c r="AU46" s="5">
        <f t="shared" si="14"/>
        <v>6165</v>
      </c>
    </row>
    <row r="47" ht="12.75" customHeight="1">
      <c r="A47" s="42"/>
      <c r="B47" s="45">
        <v>3.0</v>
      </c>
      <c r="C47" s="46" t="s">
        <v>68</v>
      </c>
      <c r="D47" s="8"/>
      <c r="E47" s="11">
        <v>46.0</v>
      </c>
      <c r="F47" s="11">
        <v>39.0</v>
      </c>
      <c r="G47" s="11">
        <v>62.0</v>
      </c>
      <c r="H47" s="11">
        <v>29.0</v>
      </c>
      <c r="I47" s="11">
        <v>49.0</v>
      </c>
      <c r="J47" s="11">
        <v>71.0</v>
      </c>
      <c r="K47" s="11">
        <v>55.0</v>
      </c>
      <c r="L47" s="11">
        <v>34.0</v>
      </c>
      <c r="M47" s="11">
        <v>19.0</v>
      </c>
      <c r="N47" s="11">
        <v>32.0</v>
      </c>
      <c r="O47" s="11">
        <v>42.0</v>
      </c>
      <c r="P47" s="11">
        <v>39.0</v>
      </c>
      <c r="Q47" s="11">
        <v>32.0</v>
      </c>
      <c r="R47" s="11">
        <v>53.0</v>
      </c>
      <c r="S47" s="11">
        <v>76.0</v>
      </c>
      <c r="T47" s="11">
        <v>61.0</v>
      </c>
      <c r="U47" s="11">
        <v>71.0</v>
      </c>
      <c r="V47" s="11">
        <v>82.0</v>
      </c>
      <c r="W47" s="11">
        <v>68.0</v>
      </c>
      <c r="X47" s="11">
        <v>27.0</v>
      </c>
      <c r="Y47" s="11">
        <v>27.0</v>
      </c>
      <c r="Z47" s="11">
        <v>26.0</v>
      </c>
      <c r="AA47" s="11">
        <v>39.0</v>
      </c>
      <c r="AB47" s="11">
        <v>36.0</v>
      </c>
      <c r="AC47" s="11">
        <v>54.0</v>
      </c>
      <c r="AD47" s="11">
        <v>47.0</v>
      </c>
      <c r="AE47" s="11">
        <v>29.0</v>
      </c>
      <c r="AF47" s="11">
        <v>34.0</v>
      </c>
      <c r="AG47" s="11">
        <v>35.0</v>
      </c>
      <c r="AH47" s="11">
        <v>36.0</v>
      </c>
      <c r="AI47" s="11">
        <v>25.0</v>
      </c>
      <c r="AJ47" s="11">
        <v>50.0</v>
      </c>
      <c r="AK47" s="11">
        <v>28.0</v>
      </c>
      <c r="AL47" s="11">
        <v>47.0</v>
      </c>
      <c r="AM47" s="11">
        <v>51.0</v>
      </c>
      <c r="AN47" s="11">
        <v>45.0</v>
      </c>
      <c r="AO47" s="11">
        <v>62.0</v>
      </c>
      <c r="AP47" s="11">
        <v>46.0</v>
      </c>
      <c r="AQ47" s="11">
        <v>58.0</v>
      </c>
      <c r="AR47" s="11">
        <v>71.0</v>
      </c>
      <c r="AS47" s="11">
        <v>70.0</v>
      </c>
      <c r="AT47" s="11">
        <v>32.0</v>
      </c>
      <c r="AU47" s="5">
        <f t="shared" si="14"/>
        <v>1935</v>
      </c>
    </row>
    <row r="48" ht="12.75" customHeight="1"/>
    <row r="49" ht="12.75" customHeight="1">
      <c r="A49" s="39" t="s">
        <v>69</v>
      </c>
      <c r="B49" s="6" t="s">
        <v>70</v>
      </c>
      <c r="C49" s="7"/>
      <c r="D49" s="8"/>
      <c r="E49" s="5"/>
      <c r="F49" s="5"/>
      <c r="G49" s="5"/>
      <c r="H49" s="5"/>
      <c r="I49" s="5"/>
      <c r="J49" s="5"/>
      <c r="K49" s="5"/>
      <c r="L49" s="5"/>
      <c r="M49" s="5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5"/>
    </row>
    <row r="50" ht="12.75" customHeight="1">
      <c r="A50" s="39"/>
      <c r="B50" s="47" t="s">
        <v>71</v>
      </c>
      <c r="C50" s="48" t="s">
        <v>72</v>
      </c>
      <c r="D50" s="8"/>
      <c r="E50" s="11">
        <f t="shared" ref="E50:AT50" si="15">SUM(E45:E47)</f>
        <v>229</v>
      </c>
      <c r="F50" s="11">
        <f t="shared" si="15"/>
        <v>203</v>
      </c>
      <c r="G50" s="11">
        <f t="shared" si="15"/>
        <v>229</v>
      </c>
      <c r="H50" s="11">
        <f t="shared" si="15"/>
        <v>188</v>
      </c>
      <c r="I50" s="11">
        <f t="shared" si="15"/>
        <v>209</v>
      </c>
      <c r="J50" s="11">
        <f t="shared" si="15"/>
        <v>227</v>
      </c>
      <c r="K50" s="11">
        <f t="shared" si="15"/>
        <v>164</v>
      </c>
      <c r="L50" s="11">
        <f t="shared" si="15"/>
        <v>230</v>
      </c>
      <c r="M50" s="11">
        <f t="shared" si="15"/>
        <v>259</v>
      </c>
      <c r="N50" s="11">
        <f t="shared" si="15"/>
        <v>222</v>
      </c>
      <c r="O50" s="11">
        <f t="shared" si="15"/>
        <v>223</v>
      </c>
      <c r="P50" s="11">
        <f t="shared" si="15"/>
        <v>228</v>
      </c>
      <c r="Q50" s="11">
        <f t="shared" si="15"/>
        <v>201</v>
      </c>
      <c r="R50" s="11">
        <f t="shared" si="15"/>
        <v>230</v>
      </c>
      <c r="S50" s="11">
        <f t="shared" si="15"/>
        <v>220</v>
      </c>
      <c r="T50" s="11">
        <f t="shared" si="15"/>
        <v>229</v>
      </c>
      <c r="U50" s="11">
        <f t="shared" si="15"/>
        <v>227</v>
      </c>
      <c r="V50" s="11">
        <f t="shared" si="15"/>
        <v>188</v>
      </c>
      <c r="W50" s="11">
        <f t="shared" si="15"/>
        <v>231</v>
      </c>
      <c r="X50" s="11">
        <f t="shared" si="15"/>
        <v>187</v>
      </c>
      <c r="Y50" s="11">
        <f t="shared" si="15"/>
        <v>188</v>
      </c>
      <c r="Z50" s="11">
        <f t="shared" si="15"/>
        <v>199</v>
      </c>
      <c r="AA50" s="11">
        <f t="shared" si="15"/>
        <v>188</v>
      </c>
      <c r="AB50" s="11">
        <f t="shared" si="15"/>
        <v>184</v>
      </c>
      <c r="AC50" s="11">
        <f t="shared" si="15"/>
        <v>227</v>
      </c>
      <c r="AD50" s="11">
        <f t="shared" si="15"/>
        <v>222</v>
      </c>
      <c r="AE50" s="11">
        <f t="shared" si="15"/>
        <v>213</v>
      </c>
      <c r="AF50" s="11">
        <f t="shared" si="15"/>
        <v>193</v>
      </c>
      <c r="AG50" s="11">
        <f t="shared" si="15"/>
        <v>153</v>
      </c>
      <c r="AH50" s="11">
        <f t="shared" si="15"/>
        <v>187</v>
      </c>
      <c r="AI50" s="11">
        <f t="shared" si="15"/>
        <v>217</v>
      </c>
      <c r="AJ50" s="11">
        <f t="shared" si="15"/>
        <v>179</v>
      </c>
      <c r="AK50" s="11">
        <f t="shared" si="15"/>
        <v>169</v>
      </c>
      <c r="AL50" s="11">
        <f t="shared" si="15"/>
        <v>190</v>
      </c>
      <c r="AM50" s="11">
        <f t="shared" si="15"/>
        <v>203</v>
      </c>
      <c r="AN50" s="11">
        <f t="shared" si="15"/>
        <v>207</v>
      </c>
      <c r="AO50" s="11">
        <f t="shared" si="15"/>
        <v>226</v>
      </c>
      <c r="AP50" s="11">
        <f t="shared" si="15"/>
        <v>218</v>
      </c>
      <c r="AQ50" s="11">
        <f t="shared" si="15"/>
        <v>225</v>
      </c>
      <c r="AR50" s="11">
        <f t="shared" si="15"/>
        <v>221</v>
      </c>
      <c r="AS50" s="11">
        <f t="shared" si="15"/>
        <v>190</v>
      </c>
      <c r="AT50" s="11">
        <f t="shared" si="15"/>
        <v>207</v>
      </c>
      <c r="AU50" s="5">
        <f t="shared" ref="AU50:AU52" si="16">SUM(E50:AT50)</f>
        <v>8730</v>
      </c>
    </row>
    <row r="51" ht="12.75" customHeight="1">
      <c r="A51" s="32"/>
      <c r="B51" s="47" t="s">
        <v>73</v>
      </c>
      <c r="C51" s="48" t="s">
        <v>74</v>
      </c>
      <c r="D51" s="8"/>
      <c r="E51" s="11">
        <v>1.0</v>
      </c>
      <c r="F51" s="11">
        <v>6.0</v>
      </c>
      <c r="G51" s="11">
        <v>3.0</v>
      </c>
      <c r="H51" s="11">
        <v>3.0</v>
      </c>
      <c r="I51" s="11">
        <v>3.0</v>
      </c>
      <c r="J51" s="11">
        <v>0.0</v>
      </c>
      <c r="K51" s="11">
        <v>4.0</v>
      </c>
      <c r="L51" s="11">
        <v>1.0</v>
      </c>
      <c r="M51" s="11">
        <v>0.0</v>
      </c>
      <c r="N51" s="11">
        <v>1.0</v>
      </c>
      <c r="O51" s="11">
        <v>1.0</v>
      </c>
      <c r="P51" s="11">
        <v>3.0</v>
      </c>
      <c r="Q51" s="11">
        <v>2.0</v>
      </c>
      <c r="R51" s="11">
        <v>6.0</v>
      </c>
      <c r="S51" s="11">
        <v>5.0</v>
      </c>
      <c r="T51" s="11">
        <v>1.0</v>
      </c>
      <c r="U51" s="11">
        <v>2.0</v>
      </c>
      <c r="V51" s="11">
        <v>4.0</v>
      </c>
      <c r="W51" s="11">
        <v>6.0</v>
      </c>
      <c r="X51" s="11">
        <v>3.0</v>
      </c>
      <c r="Y51" s="11">
        <v>1.0</v>
      </c>
      <c r="Z51" s="11">
        <v>3.0</v>
      </c>
      <c r="AA51" s="11">
        <v>0.0</v>
      </c>
      <c r="AB51" s="11">
        <v>3.0</v>
      </c>
      <c r="AC51" s="11">
        <v>7.0</v>
      </c>
      <c r="AD51" s="11">
        <v>1.0</v>
      </c>
      <c r="AE51" s="11">
        <v>2.0</v>
      </c>
      <c r="AF51" s="11">
        <v>3.0</v>
      </c>
      <c r="AG51" s="11">
        <v>2.0</v>
      </c>
      <c r="AH51" s="11">
        <v>1.0</v>
      </c>
      <c r="AI51" s="11">
        <v>7.0</v>
      </c>
      <c r="AJ51" s="11">
        <v>1.0</v>
      </c>
      <c r="AK51" s="11">
        <v>1.0</v>
      </c>
      <c r="AL51" s="11">
        <v>1.0</v>
      </c>
      <c r="AM51" s="11">
        <v>2.0</v>
      </c>
      <c r="AN51" s="11">
        <v>1.0</v>
      </c>
      <c r="AO51" s="11">
        <v>1.0</v>
      </c>
      <c r="AP51" s="11">
        <v>1.0</v>
      </c>
      <c r="AQ51" s="11">
        <v>1.0</v>
      </c>
      <c r="AR51" s="11">
        <v>3.0</v>
      </c>
      <c r="AS51" s="11">
        <v>0.0</v>
      </c>
      <c r="AT51" s="11">
        <v>1.0</v>
      </c>
      <c r="AU51" s="5">
        <f t="shared" si="16"/>
        <v>98</v>
      </c>
    </row>
    <row r="52" ht="12.75" customHeight="1">
      <c r="A52" s="35"/>
      <c r="B52" s="47" t="s">
        <v>75</v>
      </c>
      <c r="C52" s="48" t="s">
        <v>76</v>
      </c>
      <c r="D52" s="8"/>
      <c r="E52" s="5">
        <f t="shared" ref="E52:AT52" si="17">SUM(E50:E51)</f>
        <v>230</v>
      </c>
      <c r="F52" s="5">
        <f t="shared" si="17"/>
        <v>209</v>
      </c>
      <c r="G52" s="5">
        <f t="shared" si="17"/>
        <v>232</v>
      </c>
      <c r="H52" s="5">
        <f t="shared" si="17"/>
        <v>191</v>
      </c>
      <c r="I52" s="5">
        <f t="shared" si="17"/>
        <v>212</v>
      </c>
      <c r="J52" s="5">
        <f t="shared" si="17"/>
        <v>227</v>
      </c>
      <c r="K52" s="5">
        <f t="shared" si="17"/>
        <v>168</v>
      </c>
      <c r="L52" s="5">
        <f t="shared" si="17"/>
        <v>231</v>
      </c>
      <c r="M52" s="5">
        <f t="shared" si="17"/>
        <v>259</v>
      </c>
      <c r="N52" s="5">
        <f t="shared" si="17"/>
        <v>223</v>
      </c>
      <c r="O52" s="5">
        <f t="shared" si="17"/>
        <v>224</v>
      </c>
      <c r="P52" s="5">
        <f t="shared" si="17"/>
        <v>231</v>
      </c>
      <c r="Q52" s="5">
        <f t="shared" si="17"/>
        <v>203</v>
      </c>
      <c r="R52" s="5">
        <f t="shared" si="17"/>
        <v>236</v>
      </c>
      <c r="S52" s="5">
        <f t="shared" si="17"/>
        <v>225</v>
      </c>
      <c r="T52" s="5">
        <f t="shared" si="17"/>
        <v>230</v>
      </c>
      <c r="U52" s="5">
        <f t="shared" si="17"/>
        <v>229</v>
      </c>
      <c r="V52" s="5">
        <f t="shared" si="17"/>
        <v>192</v>
      </c>
      <c r="W52" s="5">
        <f t="shared" si="17"/>
        <v>237</v>
      </c>
      <c r="X52" s="5">
        <f t="shared" si="17"/>
        <v>190</v>
      </c>
      <c r="Y52" s="5">
        <f t="shared" si="17"/>
        <v>189</v>
      </c>
      <c r="Z52" s="5">
        <f t="shared" si="17"/>
        <v>202</v>
      </c>
      <c r="AA52" s="5">
        <f t="shared" si="17"/>
        <v>188</v>
      </c>
      <c r="AB52" s="5">
        <f t="shared" si="17"/>
        <v>187</v>
      </c>
      <c r="AC52" s="5">
        <f t="shared" si="17"/>
        <v>234</v>
      </c>
      <c r="AD52" s="5">
        <f t="shared" si="17"/>
        <v>223</v>
      </c>
      <c r="AE52" s="5">
        <f t="shared" si="17"/>
        <v>215</v>
      </c>
      <c r="AF52" s="5">
        <f t="shared" si="17"/>
        <v>196</v>
      </c>
      <c r="AG52" s="5">
        <f t="shared" si="17"/>
        <v>155</v>
      </c>
      <c r="AH52" s="5">
        <f t="shared" si="17"/>
        <v>188</v>
      </c>
      <c r="AI52" s="5">
        <f t="shared" si="17"/>
        <v>224</v>
      </c>
      <c r="AJ52" s="5">
        <f t="shared" si="17"/>
        <v>180</v>
      </c>
      <c r="AK52" s="5">
        <f t="shared" si="17"/>
        <v>170</v>
      </c>
      <c r="AL52" s="5">
        <f t="shared" si="17"/>
        <v>191</v>
      </c>
      <c r="AM52" s="5">
        <f t="shared" si="17"/>
        <v>205</v>
      </c>
      <c r="AN52" s="5">
        <f t="shared" si="17"/>
        <v>208</v>
      </c>
      <c r="AO52" s="5">
        <f t="shared" si="17"/>
        <v>227</v>
      </c>
      <c r="AP52" s="5">
        <f t="shared" si="17"/>
        <v>219</v>
      </c>
      <c r="AQ52" s="5">
        <f t="shared" si="17"/>
        <v>226</v>
      </c>
      <c r="AR52" s="5">
        <f t="shared" si="17"/>
        <v>224</v>
      </c>
      <c r="AS52" s="5">
        <f t="shared" si="17"/>
        <v>190</v>
      </c>
      <c r="AT52" s="5">
        <f t="shared" si="17"/>
        <v>208</v>
      </c>
      <c r="AU52" s="5">
        <f t="shared" si="16"/>
        <v>8828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AT12"/>
    <mergeCell ref="AU12:AU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34:T34">
    <cfRule type="expression" dxfId="0" priority="1">
      <formula>E34&lt;&gt;#REF!</formula>
    </cfRule>
  </conditionalFormatting>
  <conditionalFormatting sqref="E14:AT15 E45:AT47">
    <cfRule type="containsBlanks" dxfId="1" priority="2">
      <formula>LEN(TRIM(E14))=0</formula>
    </cfRule>
  </conditionalFormatting>
  <conditionalFormatting sqref="E19:AT20">
    <cfRule type="containsBlanks" dxfId="1" priority="3">
      <formula>LEN(TRIM(E19))=0</formula>
    </cfRule>
  </conditionalFormatting>
  <conditionalFormatting sqref="E22:AT23 E25:AT26 E33:AT33 E35:AT35 E39:AT40">
    <cfRule type="containsBlanks" dxfId="1" priority="4">
      <formula>LEN(TRIM(E22))=0</formula>
    </cfRule>
  </conditionalFormatting>
  <conditionalFormatting sqref="E30:AT30">
    <cfRule type="expression" dxfId="0" priority="5">
      <formula>E30&lt;&gt;E46</formula>
    </cfRule>
  </conditionalFormatting>
  <conditionalFormatting sqref="E30:AT30">
    <cfRule type="expression" dxfId="0" priority="6">
      <formula>E30&lt;&gt;E34</formula>
    </cfRule>
  </conditionalFormatting>
  <conditionalFormatting sqref="E34:AT34">
    <cfRule type="expression" dxfId="2" priority="7">
      <formula>E30&lt;&gt;E34</formula>
    </cfRule>
  </conditionalFormatting>
  <conditionalFormatting sqref="E34:AT34">
    <cfRule type="expression" dxfId="3" priority="8">
      <formula>E30=E34</formula>
    </cfRule>
  </conditionalFormatting>
  <conditionalFormatting sqref="E34:AT34">
    <cfRule type="expression" dxfId="0" priority="9">
      <formula>E34&lt;&gt;E30</formula>
    </cfRule>
  </conditionalFormatting>
  <conditionalFormatting sqref="E50:AT51">
    <cfRule type="containsBlanks" dxfId="1" priority="10">
      <formula>LEN(TRIM(E50))=0</formula>
    </cfRule>
  </conditionalFormatting>
  <conditionalFormatting sqref="U34:AT34">
    <cfRule type="expression" dxfId="0" priority="11">
      <formula>U34&lt;&gt;U46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2026-01-14T02:26:01Z</dcterms:created>
  <dc:creator>TEKHUM KPU BWI</dc:creator>
</cp:coreProperties>
</file>