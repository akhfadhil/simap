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KAMPUNGMANDAR" sheetId="2" r:id="rId5"/>
    <sheet state="visible" name="KAMPUNGMELAYU" sheetId="3" r:id="rId6"/>
    <sheet state="visible" name="KARANGREJO" sheetId="4" r:id="rId7"/>
    <sheet state="visible" name="KEBALENAN" sheetId="5" r:id="rId8"/>
    <sheet state="visible" name="KEPATIHAN" sheetId="6" r:id="rId9"/>
    <sheet state="visible" name="KERTOSARI" sheetId="7" r:id="rId10"/>
    <sheet state="visible" name="LATENG" sheetId="8" r:id="rId11"/>
    <sheet state="visible" name="PAKIS" sheetId="9" r:id="rId12"/>
    <sheet state="visible" name="PANDEREJO" sheetId="10" r:id="rId13"/>
    <sheet state="visible" name="PENGANJURAN" sheetId="11" r:id="rId14"/>
    <sheet state="visible" name="PENGANTIGAN" sheetId="12" r:id="rId15"/>
    <sheet state="visible" name="SINGONEGARAN" sheetId="13" r:id="rId16"/>
    <sheet state="visible" name="SINGOTRUNAN" sheetId="14" r:id="rId17"/>
    <sheet state="visible" name="SOBO" sheetId="15" r:id="rId18"/>
    <sheet state="visible" name="SUMBERREJO" sheetId="16" r:id="rId19"/>
    <sheet state="visible" name="TAMANBARU" sheetId="17" r:id="rId20"/>
    <sheet state="visible" name="TEMENGGUNGAN" sheetId="18" r:id="rId21"/>
    <sheet state="visible" name="TUKANGKAYU" sheetId="19" r:id="rId22"/>
  </sheets>
  <definedNames/>
  <calcPr/>
  <extLst>
    <ext uri="GoogleSheetsCustomDataVersion2">
      <go:sheetsCustomData xmlns:go="http://customooxmlschemas.google.com/" r:id="rId23" roundtripDataChecksum="350QQZjLNzDVY1A5+BhZDtJV3UivmlY7sTrKt1hhoLk="/>
    </ext>
  </extLst>
</workbook>
</file>

<file path=xl/sharedStrings.xml><?xml version="1.0" encoding="utf-8"?>
<sst xmlns="http://schemas.openxmlformats.org/spreadsheetml/2006/main" count="1569" uniqueCount="99">
  <si>
    <t>Kecamatan</t>
  </si>
  <si>
    <t>BANYUWANGI</t>
  </si>
  <si>
    <t>Kabupaten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</si>
  <si>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</si>
  <si>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</si>
  <si>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</si>
  <si>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</si>
  <si>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</si>
  <si>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</si>
  <si>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</si>
  <si>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</si>
  <si>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</si>
  <si>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</si>
  <si>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</si>
  <si>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</si>
  <si>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</si>
  <si>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</si>
  <si>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</si>
  <si>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</si>
  <si>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</si>
  <si>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</si>
  <si>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</si>
  <si>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</si>
  <si>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</si>
  <si>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</si>
  <si>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</si>
  <si>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</si>
  <si>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</si>
  <si>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</si>
  <si>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</si>
  <si>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</si>
  <si>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</si>
  <si>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</si>
  <si>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</si>
  <si>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</si>
  <si>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</si>
  <si>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</si>
  <si>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</si>
  <si>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</si>
  <si>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</si>
  <si>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</si>
  <si>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</si>
  <si>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</si>
  <si>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</si>
  <si>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</si>
  <si>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</si>
  <si>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</si>
  <si>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</si>
  <si>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KAMPUNGMANDAR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</si>
  <si>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</si>
  <si>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</si>
  <si>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</si>
  <si>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</si>
  <si>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</si>
  <si>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</si>
  <si>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</si>
  <si>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</si>
  <si>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</si>
  <si>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</si>
  <si>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</si>
  <si>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Jumlah surat suara yang diterima, termasuk surat suara cadangan 2% dari DPT</t>
  </si>
  <si>
    <t>KAMPUNGMELAYU</t>
  </si>
  <si>
    <t>KARANGREJO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</si>
  <si>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</si>
  <si>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</si>
  <si>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</si>
  <si>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</si>
  <si>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</si>
  <si>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</si>
  <si>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</si>
  <si>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</si>
  <si>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</si>
  <si>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</si>
  <si>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</si>
  <si>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</si>
  <si>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</si>
  <si>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</si>
  <si>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</si>
  <si>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</si>
  <si>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</si>
  <si>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</si>
  <si>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</si>
  <si>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KEBALENAN</t>
  </si>
  <si>
    <t>KEPATIHAN</t>
  </si>
  <si>
    <t>DATA RINCIAN PEROLEHAN SUARA PASANGAN CALON PRESIDEN DAN WAKIL PRESIDEN</t>
  </si>
  <si>
    <t>KERTOSARI</t>
  </si>
  <si>
    <t>DATA RINCIAN PEROLEHAN SUARA PASANGAN CALON PRESIDEN DAN WAKIL BUPATI</t>
  </si>
  <si>
    <t>LATENG</t>
  </si>
  <si>
    <t>PAKIS</t>
  </si>
  <si>
    <t>PANDEREJO</t>
  </si>
  <si>
    <t>PENGANJURAN</t>
  </si>
  <si>
    <t>PENGANTIGAN</t>
  </si>
  <si>
    <t>SINGONEGARAN</t>
  </si>
  <si>
    <t>SINGOTRUNAN</t>
  </si>
  <si>
    <t>SOBO</t>
  </si>
  <si>
    <t>SUMBERREJO</t>
  </si>
  <si>
    <t>TAMANBARU</t>
  </si>
  <si>
    <t>TEMENGGUNGAN</t>
  </si>
  <si>
    <t>TUKANGKAYU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</si>
</sst>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b/>
      <color theme="1"/>
      <name val="Bookman Old Style"/>
    </font>
    <font>
      <sz val="27.0"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1" fillId="3" fontId="9" numFmtId="0" xfId="0" applyAlignment="1" applyBorder="1" applyFill="1" applyFont="1">
      <alignment horizontal="center"/>
    </xf>
    <xf borderId="1" fillId="0" fontId="10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3</v>
      </c>
      <c r="D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5</v>
      </c>
      <c r="B12" s="14" t="s">
        <v>6</v>
      </c>
      <c r="C12" s="15"/>
      <c r="D12" s="16"/>
      <c r="E12" s="17" t="s">
        <v>7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8</v>
      </c>
      <c r="B13" s="20" t="s">
        <v>9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10</v>
      </c>
      <c r="C14" s="23"/>
      <c r="D14" s="19" t="s">
        <v>11</v>
      </c>
      <c r="E14" s="24">
        <f>KAMPUNGMANDAR!P14+KAMPUNGMELAYU!M14+KARANGREJO!AI14+KEBALENAN!AH14+KEPATIHAN!S14+KERTOSARI!AB14+LATENG!AD14+PAKIS!T14+PANDEREJO!R14+PENGANJURAN!T14+PENGANTIGAN!X14+SINGONEGARAN!U14+SINGOTRUNAN!AE14+SOBO!AB14+SUMBERREJO!U14+TAMANBARU!Z14+TEMENGGUNGAN!L14+TUKANGKAYU!AD14</f>
        <v>43113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12</v>
      </c>
      <c r="E15" s="24">
        <f>KAMPUNGMANDAR!P15+KAMPUNGMELAYU!M15+KARANGREJO!AI15+KEBALENAN!AH15+KEPATIHAN!S15+KERTOSARI!AB15+LATENG!AD15+PAKIS!T15+PANDEREJO!R15+PENGANJURAN!T15+PENGANTIGAN!X15+SINGONEGARAN!U15+SINGOTRUNAN!AE15+SOBO!AB15+SUMBERREJO!U15+TAMANBARU!Z15+TEMENGGUNGAN!L15+TUKANGKAYU!AD15</f>
        <v>45913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13</v>
      </c>
      <c r="E16" s="29">
        <f>SUM(E14:E15)</f>
        <v>89026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14</v>
      </c>
      <c r="B18" s="20" t="s">
        <v>15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16</v>
      </c>
      <c r="C19" s="32" t="s">
        <v>17</v>
      </c>
      <c r="D19" s="19" t="s">
        <v>11</v>
      </c>
      <c r="E19" s="24">
        <f>KAMPUNGMANDAR!P19+KAMPUNGMELAYU!M19+KARANGREJO!AI19+KEBALENAN!AH19+KEPATIHAN!S19+KERTOSARI!AB19+LATENG!AD19+PAKIS!T19+PANDEREJO!R19+PENGANJURAN!T19+PENGANTIGAN!X19+SINGONEGARAN!U19+SINGOTRUNAN!AE19+SOBO!AB19+SUMBERREJO!U19+TAMANBARU!Z19+TEMENGGUNGAN!L19+TUKANGKAYU!AD19</f>
        <v>31083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12</v>
      </c>
      <c r="E20" s="24">
        <f>KAMPUNGMANDAR!P20+KAMPUNGMELAYU!M20+KARANGREJO!AI20+KEBALENAN!AH20+KEPATIHAN!S20+KERTOSARI!AB20+LATENG!AD20+PAKIS!T20+PANDEREJO!R20+PENGANJURAN!T20+PENGANTIGAN!X20+SINGONEGARAN!U20+SINGOTRUNAN!AE20+SOBO!AB20+SUMBERREJO!U20+TAMANBARU!Z20+TEMENGGUNGAN!L20+TUKANGKAYU!AD20</f>
        <v>36199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13</v>
      </c>
      <c r="E21" s="29">
        <f>SUM(E19:E20)</f>
        <v>67282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18</v>
      </c>
      <c r="C22" s="32" t="s">
        <v>19</v>
      </c>
      <c r="D22" s="19" t="s">
        <v>11</v>
      </c>
      <c r="E22" s="24">
        <f>KAMPUNGMANDAR!P22+KAMPUNGMELAYU!M22+KARANGREJO!AI22+KEBALENAN!AH22+KEPATIHAN!S22+KERTOSARI!AB22+LATENG!AD22+PAKIS!T22+PANDEREJO!R22+PENGANJURAN!T22+PENGANTIGAN!X22+SINGONEGARAN!U22+SINGOTRUNAN!AE22+SOBO!AB22+SUMBERREJO!U22+TAMANBARU!Z22+TEMENGGUNGAN!L22+TUKANGKAYU!AD22</f>
        <v>222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12</v>
      </c>
      <c r="E23" s="24">
        <f>KAMPUNGMANDAR!P23+KAMPUNGMELAYU!M23+KARANGREJO!AI23+KEBALENAN!AH23+KEPATIHAN!S23+KERTOSARI!AB23+LATENG!AD23+PAKIS!T23+PANDEREJO!R23+PENGANJURAN!T23+PENGANTIGAN!X23+SINGONEGARAN!U23+SINGOTRUNAN!AE23+SOBO!AB23+SUMBERREJO!U23+TAMANBARU!Z23+TEMENGGUNGAN!L23+TUKANGKAYU!AD23</f>
        <v>233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13</v>
      </c>
      <c r="E24" s="29">
        <f>SUM(E22:E23)</f>
        <v>455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20</v>
      </c>
      <c r="C25" s="32" t="s">
        <v>21</v>
      </c>
      <c r="D25" s="19" t="s">
        <v>11</v>
      </c>
      <c r="E25" s="24">
        <f>KAMPUNGMANDAR!P25+KAMPUNGMELAYU!M25+KARANGREJO!AI25+KEBALENAN!AH25+KEPATIHAN!S25+KERTOSARI!AB25+LATENG!AD25+PAKIS!T25+PANDEREJO!R25+PENGANJURAN!T25+PENGANTIGAN!X25+SINGONEGARAN!U25+SINGOTRUNAN!AE25+SOBO!AB25+SUMBERREJO!U25+TAMANBARU!Z25+TEMENGGUNGAN!L25+TUKANGKAYU!AD25</f>
        <v>548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12</v>
      </c>
      <c r="E26" s="24">
        <f>KAMPUNGMANDAR!P26+KAMPUNGMELAYU!M26+KARANGREJO!AI26+KEBALENAN!AH26+KEPATIHAN!S26+KERTOSARI!AB26+LATENG!AD26+PAKIS!T26+PANDEREJO!R26+PENGANJURAN!T26+PENGANTIGAN!X26+SINGONEGARAN!U26+SINGOTRUNAN!AE26+SOBO!AB26+SUMBERREJO!U26+TAMANBARU!Z26+TEMENGGUNGAN!L26+TUKANGKAYU!AD26</f>
        <v>712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13</v>
      </c>
      <c r="E27" s="29">
        <f>SUM(E25:E26)</f>
        <v>1260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22</v>
      </c>
      <c r="C28" s="38" t="s">
        <v>23</v>
      </c>
      <c r="D28" s="13" t="s">
        <v>11</v>
      </c>
      <c r="E28" s="29">
        <f t="shared" ref="E28:E29" si="1">E19+E22+E25</f>
        <v>31853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12</v>
      </c>
      <c r="E29" s="29">
        <f t="shared" si="1"/>
        <v>37144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13</v>
      </c>
      <c r="E30" s="29">
        <f>SUM(E28:E29)</f>
        <v>68997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24</v>
      </c>
      <c r="B32" s="14" t="s">
        <v>25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26</v>
      </c>
      <c r="C33" s="15"/>
      <c r="D33" s="16"/>
      <c r="E33" s="24">
        <f>KAMPUNGMANDAR!P33+KAMPUNGMELAYU!M33+KARANGREJO!AI33+KEBALENAN!AH33+KEPATIHAN!S33+KERTOSARI!AB33+LATENG!AD33+PAKIS!T33+PANDEREJO!R33+PENGANJURAN!T33+PENGANTIGAN!X33+SINGONEGARAN!U33+SINGOTRUNAN!AE33+SOBO!AB33+SUMBERREJO!U33+TAMANBARU!Z33+TEMENGGUNGAN!L33+TUKANGKAYU!AD33</f>
        <v>90826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27</v>
      </c>
      <c r="C34" s="15"/>
      <c r="D34" s="16"/>
      <c r="E34" s="24">
        <f>KAMPUNGMANDAR!P34+KAMPUNGMELAYU!M34+KARANGREJO!AI34+KEBALENAN!AH34+KEPATIHAN!S34+KERTOSARI!AB34+LATENG!AD34+PAKIS!T34+PANDEREJO!R34+PENGANJURAN!T34+PENGANTIGAN!X34+SINGONEGARAN!U34+SINGOTRUNAN!AE34+SOBO!AB34+SUMBERREJO!U34+TAMANBARU!Z34+TEMENGGUNGAN!L34+TUKANGKAYU!AD34</f>
        <v>68997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28</v>
      </c>
      <c r="C35" s="15"/>
      <c r="D35" s="16"/>
      <c r="E35" s="24">
        <f>KAMPUNGMANDAR!P35+KAMPUNGMELAYU!M35+KARANGREJO!AI35+KEBALENAN!AH35+KEPATIHAN!S35+KERTOSARI!AB35+LATENG!AD35+PAKIS!T35+PANDEREJO!R35+PENGANJURAN!T35+PENGANTIGAN!X35+SINGONEGARAN!U35+SINGOTRUNAN!AE35+SOBO!AB35+SUMBERREJO!U35+TAMANBARU!Z35+TEMENGGUNGAN!L35+TUKANGKAYU!AD35</f>
        <v>129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29</v>
      </c>
      <c r="C36" s="15"/>
      <c r="D36" s="16"/>
      <c r="E36" s="29">
        <f>E33-(E34+E35)</f>
        <v>21700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30</v>
      </c>
      <c r="B38" s="14" t="s">
        <v>31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32</v>
      </c>
      <c r="C39" s="23"/>
      <c r="D39" s="19" t="s">
        <v>11</v>
      </c>
      <c r="E39" s="24">
        <f>KAMPUNGMANDAR!P39+KAMPUNGMELAYU!M39+KARANGREJO!AI39+KEBALENAN!AH39+KEPATIHAN!S39+KERTOSARI!AB39+LATENG!AD39+PAKIS!T39+PANDEREJO!R39+PENGANJURAN!T39+PENGANTIGAN!X39+SINGONEGARAN!U39+SINGOTRUNAN!AE39+SOBO!AB39+SUMBERREJO!U39+TAMANBARU!Z39+TEMENGGUNGAN!L39+TUKANGKAYU!AD39</f>
        <v>90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12</v>
      </c>
      <c r="E40" s="24">
        <f>KAMPUNGMANDAR!P40+KAMPUNGMELAYU!M40+KARANGREJO!AI40+KEBALENAN!AH40+KEPATIHAN!S40+KERTOSARI!AB40+LATENG!AD40+PAKIS!T40+PANDEREJO!R40+PENGANJURAN!T40+PENGANTIGAN!X40+SINGONEGARAN!U40+SINGOTRUNAN!AE40+SOBO!AB40+SUMBERREJO!U40+TAMANBARU!Z40+TEMENGGUNGAN!L40+TUKANGKAYU!AD40</f>
        <v>78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13</v>
      </c>
      <c r="E41" s="29">
        <f>SUM(E39:E40)</f>
        <v>168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33</v>
      </c>
      <c r="B43" s="14" t="s">
        <v>34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35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36</v>
      </c>
      <c r="D45" s="16"/>
      <c r="E45" s="24">
        <f>KAMPUNGMANDAR!P45+KAMPUNGMELAYU!M45+KARANGREJO!AI45+KEBALENAN!AH45+KEPATIHAN!S45+KERTOSARI!AB45+LATENG!AD45+PAKIS!T45+PANDEREJO!R45+PENGANJURAN!T45+PENGANTIGAN!X45+SINGONEGARAN!U45+SINGOTRUNAN!AE45+SOBO!AB45+SUMBERREJO!U45+TAMANBARU!Z45+TEMENGGUNGAN!L45+TUKANGKAYU!AD45</f>
        <v>13257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37</v>
      </c>
      <c r="D46" s="16"/>
      <c r="E46" s="24">
        <f>KAMPUNGMANDAR!P46+KAMPUNGMELAYU!M46+KARANGREJO!AI46+KEBALENAN!AH46+KEPATIHAN!S46+KERTOSARI!AB46+LATENG!AD46+PAKIS!T46+PANDEREJO!R46+PENGANJURAN!T46+PENGANTIGAN!X46+SINGONEGARAN!U46+SINGOTRUNAN!AE46+SOBO!AB46+SUMBERREJO!U46+TAMANBARU!Z46+TEMENGGUNGAN!L46+TUKANGKAYU!AD46</f>
        <v>43176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38</v>
      </c>
      <c r="D47" s="16"/>
      <c r="E47" s="24">
        <f>KAMPUNGMANDAR!P47+KAMPUNGMELAYU!M47+KARANGREJO!AI47+KEBALENAN!AH47+KEPATIHAN!S47+KERTOSARI!AB47+LATENG!AD47+PAKIS!T47+PANDEREJO!R47+PENGANJURAN!T47+PENGANTIGAN!X47+SINGONEGARAN!U47+SINGOTRUNAN!AE47+SOBO!AB47+SUMBERREJO!U47+TAMANBARU!Z47+TEMENGGUNGAN!L47+TUKANGKAYU!AD47</f>
        <v>11151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39</v>
      </c>
      <c r="B49" s="14" t="s">
        <v>40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41</v>
      </c>
      <c r="C50" s="55" t="s">
        <v>42</v>
      </c>
      <c r="D50" s="16"/>
      <c r="E50" s="24">
        <f>KAMPUNGMANDAR!P50+KAMPUNGMELAYU!M50+KARANGREJO!AI50+KEBALENAN!AH50+KEPATIHAN!S50+KERTOSARI!AB50+LATENG!AD50+PAKIS!T50+PANDEREJO!R50+PENGANJURAN!T50+PENGANTIGAN!X50+SINGONEGARAN!U50+SINGOTRUNAN!AE50+SOBO!AB50+SUMBERREJO!U50+TAMANBARU!Z50+TEMENGGUNGAN!L50+TUKANGKAYU!AD50</f>
        <v>67584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43</v>
      </c>
      <c r="C51" s="55" t="s">
        <v>44</v>
      </c>
      <c r="D51" s="16"/>
      <c r="E51" s="24">
        <f>KAMPUNGMANDAR!P51+KAMPUNGMELAYU!M51+KARANGREJO!AI51+KEBALENAN!AH51+KEPATIHAN!S51+KERTOSARI!AB51+LATENG!AD51+PAKIS!T51+PANDEREJO!R51+PENGANJURAN!T51+PENGANTIGAN!X51+SINGONEGARAN!U51+SINGOTRUNAN!AE51+SOBO!AB51+SUMBERREJO!U51+TAMANBARU!Z51+TEMENGGUNGAN!L51+TUKANGKAYU!AD51</f>
        <v>1413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45</v>
      </c>
      <c r="C52" s="55" t="s">
        <v>46</v>
      </c>
      <c r="D52" s="16"/>
      <c r="E52" s="13">
        <f>SUM(E50:E51)</f>
        <v>68997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36"/>
    </row>
    <row r="14" ht="12.75" customHeight="1">
      <c r="A14" s="18"/>
      <c r="B14" s="22" t="s">
        <v>10</v>
      </c>
      <c r="C14" s="23"/>
      <c r="D14" s="19" t="s">
        <v>11</v>
      </c>
      <c r="E14" s="19">
        <v>136.0</v>
      </c>
      <c r="F14" s="19">
        <v>117.0</v>
      </c>
      <c r="G14" s="19">
        <v>134.0</v>
      </c>
      <c r="H14" s="19">
        <v>137.0</v>
      </c>
      <c r="I14" s="19">
        <v>136.0</v>
      </c>
      <c r="J14" s="19">
        <v>103.0</v>
      </c>
      <c r="K14" s="19">
        <v>131.0</v>
      </c>
      <c r="L14" s="19">
        <v>126.0</v>
      </c>
      <c r="M14" s="19">
        <v>100.0</v>
      </c>
      <c r="N14" s="19">
        <v>130.0</v>
      </c>
      <c r="O14" s="19">
        <v>146.0</v>
      </c>
      <c r="P14" s="13">
        <f t="shared" ref="P14:P16" si="1">SUM(E14:O14)</f>
        <v>1396</v>
      </c>
    </row>
    <row r="15" ht="12.75" customHeight="1">
      <c r="A15" s="18"/>
      <c r="B15" s="26"/>
      <c r="C15" s="27"/>
      <c r="D15" s="19" t="s">
        <v>12</v>
      </c>
      <c r="E15" s="19">
        <v>136.0</v>
      </c>
      <c r="F15" s="19">
        <v>131.0</v>
      </c>
      <c r="G15" s="19">
        <v>135.0</v>
      </c>
      <c r="H15" s="19">
        <v>131.0</v>
      </c>
      <c r="I15" s="19">
        <v>142.0</v>
      </c>
      <c r="J15" s="19">
        <v>98.0</v>
      </c>
      <c r="K15" s="19">
        <v>148.0</v>
      </c>
      <c r="L15" s="19">
        <v>98.0</v>
      </c>
      <c r="M15" s="19">
        <v>122.0</v>
      </c>
      <c r="N15" s="19">
        <v>151.0</v>
      </c>
      <c r="O15" s="19">
        <v>142.0</v>
      </c>
      <c r="P15" s="13">
        <f t="shared" si="1"/>
        <v>1434</v>
      </c>
    </row>
    <row r="16" ht="12.75" customHeight="1">
      <c r="A16" s="25"/>
      <c r="B16" s="21"/>
      <c r="C16" s="28"/>
      <c r="D16" s="13" t="s">
        <v>13</v>
      </c>
      <c r="E16" s="13">
        <f t="shared" ref="E16:O16" si="2">SUM(E14:E15)</f>
        <v>272</v>
      </c>
      <c r="F16" s="13">
        <f t="shared" si="2"/>
        <v>248</v>
      </c>
      <c r="G16" s="13">
        <f t="shared" si="2"/>
        <v>269</v>
      </c>
      <c r="H16" s="13">
        <f t="shared" si="2"/>
        <v>268</v>
      </c>
      <c r="I16" s="13">
        <f t="shared" si="2"/>
        <v>278</v>
      </c>
      <c r="J16" s="13">
        <f t="shared" si="2"/>
        <v>201</v>
      </c>
      <c r="K16" s="13">
        <f t="shared" si="2"/>
        <v>279</v>
      </c>
      <c r="L16" s="13">
        <f t="shared" si="2"/>
        <v>224</v>
      </c>
      <c r="M16" s="13">
        <f t="shared" si="2"/>
        <v>222</v>
      </c>
      <c r="N16" s="13">
        <f t="shared" si="2"/>
        <v>281</v>
      </c>
      <c r="O16" s="13">
        <f t="shared" si="2"/>
        <v>288</v>
      </c>
      <c r="P16" s="13">
        <f t="shared" si="1"/>
        <v>2830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82.0</v>
      </c>
      <c r="F19" s="19">
        <v>79.0</v>
      </c>
      <c r="G19" s="19">
        <v>87.0</v>
      </c>
      <c r="H19" s="19">
        <v>101.0</v>
      </c>
      <c r="I19" s="19">
        <v>98.0</v>
      </c>
      <c r="J19" s="19">
        <v>86.0</v>
      </c>
      <c r="K19" s="19">
        <v>99.0</v>
      </c>
      <c r="L19" s="19">
        <v>93.0</v>
      </c>
      <c r="M19" s="19">
        <v>76.0</v>
      </c>
      <c r="N19" s="19">
        <v>88.0</v>
      </c>
      <c r="O19" s="19">
        <v>106.0</v>
      </c>
      <c r="P19" s="13">
        <f t="shared" ref="P19:P30" si="3">SUM(E19:O19)</f>
        <v>995</v>
      </c>
    </row>
    <row r="20" ht="12.75" customHeight="1">
      <c r="A20" s="33"/>
      <c r="B20" s="27"/>
      <c r="C20" s="34"/>
      <c r="D20" s="19" t="s">
        <v>12</v>
      </c>
      <c r="E20" s="19">
        <v>90.0</v>
      </c>
      <c r="F20" s="19">
        <v>102.0</v>
      </c>
      <c r="G20" s="19">
        <v>111.0</v>
      </c>
      <c r="H20" s="19">
        <v>102.0</v>
      </c>
      <c r="I20" s="19">
        <v>105.0</v>
      </c>
      <c r="J20" s="19">
        <v>85.0</v>
      </c>
      <c r="K20" s="19">
        <v>122.0</v>
      </c>
      <c r="L20" s="19">
        <v>80.0</v>
      </c>
      <c r="M20" s="19">
        <v>95.0</v>
      </c>
      <c r="N20" s="19">
        <v>122.0</v>
      </c>
      <c r="O20" s="19">
        <v>114.0</v>
      </c>
      <c r="P20" s="13">
        <f t="shared" si="3"/>
        <v>1128</v>
      </c>
    </row>
    <row r="21" ht="12.75" customHeight="1">
      <c r="A21" s="35"/>
      <c r="B21" s="28"/>
      <c r="C21" s="36"/>
      <c r="D21" s="13" t="s">
        <v>13</v>
      </c>
      <c r="E21" s="13">
        <f t="shared" ref="E21:O21" si="4">SUM(E19:E20)</f>
        <v>172</v>
      </c>
      <c r="F21" s="13">
        <f t="shared" si="4"/>
        <v>181</v>
      </c>
      <c r="G21" s="13">
        <f t="shared" si="4"/>
        <v>198</v>
      </c>
      <c r="H21" s="13">
        <f t="shared" si="4"/>
        <v>203</v>
      </c>
      <c r="I21" s="13">
        <f t="shared" si="4"/>
        <v>203</v>
      </c>
      <c r="J21" s="13">
        <f t="shared" si="4"/>
        <v>171</v>
      </c>
      <c r="K21" s="13">
        <f t="shared" si="4"/>
        <v>221</v>
      </c>
      <c r="L21" s="13">
        <f t="shared" si="4"/>
        <v>173</v>
      </c>
      <c r="M21" s="13">
        <f t="shared" si="4"/>
        <v>171</v>
      </c>
      <c r="N21" s="13">
        <f t="shared" si="4"/>
        <v>210</v>
      </c>
      <c r="O21" s="13">
        <f t="shared" si="4"/>
        <v>220</v>
      </c>
      <c r="P21" s="13">
        <f t="shared" si="3"/>
        <v>2123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3.0</v>
      </c>
      <c r="F25" s="19">
        <v>1.0</v>
      </c>
      <c r="G25" s="19">
        <v>2.0</v>
      </c>
      <c r="H25" s="19">
        <v>1.0</v>
      </c>
      <c r="I25" s="19">
        <v>3.0</v>
      </c>
      <c r="J25" s="19">
        <v>0.0</v>
      </c>
      <c r="K25" s="19">
        <v>2.0</v>
      </c>
      <c r="L25" s="19">
        <v>0.0</v>
      </c>
      <c r="M25" s="19">
        <v>6.0</v>
      </c>
      <c r="N25" s="19">
        <v>5.0</v>
      </c>
      <c r="O25" s="19">
        <v>6.0</v>
      </c>
      <c r="P25" s="13">
        <f t="shared" si="3"/>
        <v>29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1.0</v>
      </c>
      <c r="G26" s="19">
        <v>2.0</v>
      </c>
      <c r="H26" s="19">
        <v>1.0</v>
      </c>
      <c r="I26" s="19">
        <v>4.0</v>
      </c>
      <c r="J26" s="19">
        <v>0.0</v>
      </c>
      <c r="K26" s="19">
        <v>1.0</v>
      </c>
      <c r="L26" s="19">
        <v>0.0</v>
      </c>
      <c r="M26" s="19">
        <v>3.0</v>
      </c>
      <c r="N26" s="19">
        <v>8.0</v>
      </c>
      <c r="O26" s="19">
        <v>2.0</v>
      </c>
      <c r="P26" s="13">
        <f t="shared" si="3"/>
        <v>23</v>
      </c>
    </row>
    <row r="27" ht="12.75" customHeight="1">
      <c r="A27" s="35"/>
      <c r="B27" s="28"/>
      <c r="C27" s="36"/>
      <c r="D27" s="13" t="s">
        <v>13</v>
      </c>
      <c r="E27" s="13">
        <f t="shared" ref="E27:O27" si="6">SUM(E25:E26)</f>
        <v>4</v>
      </c>
      <c r="F27" s="13">
        <f t="shared" si="6"/>
        <v>2</v>
      </c>
      <c r="G27" s="13">
        <f t="shared" si="6"/>
        <v>4</v>
      </c>
      <c r="H27" s="13">
        <f t="shared" si="6"/>
        <v>2</v>
      </c>
      <c r="I27" s="13">
        <f t="shared" si="6"/>
        <v>7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9</v>
      </c>
      <c r="N27" s="13">
        <f t="shared" si="6"/>
        <v>13</v>
      </c>
      <c r="O27" s="13">
        <f t="shared" si="6"/>
        <v>8</v>
      </c>
      <c r="P27" s="13">
        <f t="shared" si="3"/>
        <v>52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O28" si="7">SUM(E19,E22,E25)</f>
        <v>85</v>
      </c>
      <c r="F28" s="13">
        <f t="shared" si="7"/>
        <v>80</v>
      </c>
      <c r="G28" s="13">
        <f t="shared" si="7"/>
        <v>89</v>
      </c>
      <c r="H28" s="13">
        <f t="shared" si="7"/>
        <v>103</v>
      </c>
      <c r="I28" s="13">
        <f t="shared" si="7"/>
        <v>101</v>
      </c>
      <c r="J28" s="13">
        <f t="shared" si="7"/>
        <v>86</v>
      </c>
      <c r="K28" s="13">
        <f t="shared" si="7"/>
        <v>101</v>
      </c>
      <c r="L28" s="13">
        <f t="shared" si="7"/>
        <v>93</v>
      </c>
      <c r="M28" s="13">
        <f t="shared" si="7"/>
        <v>82</v>
      </c>
      <c r="N28" s="13">
        <f t="shared" si="7"/>
        <v>93</v>
      </c>
      <c r="O28" s="13">
        <f t="shared" si="7"/>
        <v>112</v>
      </c>
      <c r="P28" s="13">
        <f t="shared" si="3"/>
        <v>1025</v>
      </c>
    </row>
    <row r="29" ht="12.75" customHeight="1">
      <c r="A29" s="35"/>
      <c r="B29" s="27"/>
      <c r="C29" s="34"/>
      <c r="D29" s="13" t="s">
        <v>12</v>
      </c>
      <c r="E29" s="13">
        <f t="shared" ref="E29:O29" si="8">SUM(E20,E23,E26)</f>
        <v>91</v>
      </c>
      <c r="F29" s="13">
        <f t="shared" si="8"/>
        <v>103</v>
      </c>
      <c r="G29" s="13">
        <f t="shared" si="8"/>
        <v>113</v>
      </c>
      <c r="H29" s="13">
        <f t="shared" si="8"/>
        <v>104</v>
      </c>
      <c r="I29" s="13">
        <f t="shared" si="8"/>
        <v>109</v>
      </c>
      <c r="J29" s="13">
        <f t="shared" si="8"/>
        <v>85</v>
      </c>
      <c r="K29" s="13">
        <f t="shared" si="8"/>
        <v>123</v>
      </c>
      <c r="L29" s="13">
        <f t="shared" si="8"/>
        <v>80</v>
      </c>
      <c r="M29" s="13">
        <f t="shared" si="8"/>
        <v>98</v>
      </c>
      <c r="N29" s="13">
        <f t="shared" si="8"/>
        <v>130</v>
      </c>
      <c r="O29" s="13">
        <f t="shared" si="8"/>
        <v>116</v>
      </c>
      <c r="P29" s="13">
        <f t="shared" si="3"/>
        <v>1152</v>
      </c>
    </row>
    <row r="30" ht="12.75" customHeight="1">
      <c r="A30" s="35"/>
      <c r="B30" s="28"/>
      <c r="C30" s="36"/>
      <c r="D30" s="13" t="s">
        <v>13</v>
      </c>
      <c r="E30" s="13">
        <f t="shared" ref="E30:O30" si="9">SUM(E28:E29)</f>
        <v>176</v>
      </c>
      <c r="F30" s="13">
        <f t="shared" si="9"/>
        <v>183</v>
      </c>
      <c r="G30" s="13">
        <f t="shared" si="9"/>
        <v>202</v>
      </c>
      <c r="H30" s="13">
        <f t="shared" si="9"/>
        <v>207</v>
      </c>
      <c r="I30" s="13">
        <f t="shared" si="9"/>
        <v>210</v>
      </c>
      <c r="J30" s="13">
        <f t="shared" si="9"/>
        <v>171</v>
      </c>
      <c r="K30" s="13">
        <f t="shared" si="9"/>
        <v>224</v>
      </c>
      <c r="L30" s="13">
        <f t="shared" si="9"/>
        <v>173</v>
      </c>
      <c r="M30" s="13">
        <f t="shared" si="9"/>
        <v>180</v>
      </c>
      <c r="N30" s="13">
        <f t="shared" si="9"/>
        <v>223</v>
      </c>
      <c r="O30" s="13">
        <f t="shared" si="9"/>
        <v>228</v>
      </c>
      <c r="P30" s="13">
        <f t="shared" si="3"/>
        <v>2177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0"/>
    </row>
    <row r="33" ht="12.75" customHeight="1">
      <c r="A33" s="19">
        <v>1.0</v>
      </c>
      <c r="B33" s="20" t="s">
        <v>60</v>
      </c>
      <c r="C33" s="15"/>
      <c r="D33" s="16"/>
      <c r="E33" s="19">
        <v>278.0</v>
      </c>
      <c r="F33" s="19">
        <v>253.0</v>
      </c>
      <c r="G33" s="19">
        <v>275.0</v>
      </c>
      <c r="H33" s="19">
        <v>274.0</v>
      </c>
      <c r="I33" s="19">
        <v>284.0</v>
      </c>
      <c r="J33" s="19">
        <v>206.0</v>
      </c>
      <c r="K33" s="19">
        <v>285.0</v>
      </c>
      <c r="L33" s="19">
        <v>229.0</v>
      </c>
      <c r="M33" s="19">
        <v>223.0</v>
      </c>
      <c r="N33" s="19">
        <v>288.0</v>
      </c>
      <c r="O33" s="19">
        <v>294.0</v>
      </c>
      <c r="P33" s="13">
        <f t="shared" ref="P33:P36" si="10">SUM(E33:O33)</f>
        <v>2889</v>
      </c>
    </row>
    <row r="34" ht="12.75" customHeight="1">
      <c r="A34" s="19">
        <v>2.0</v>
      </c>
      <c r="B34" s="20" t="s">
        <v>27</v>
      </c>
      <c r="C34" s="15"/>
      <c r="D34" s="16"/>
      <c r="E34" s="13">
        <v>176.0</v>
      </c>
      <c r="F34" s="13">
        <v>183.0</v>
      </c>
      <c r="G34" s="13">
        <v>202.0</v>
      </c>
      <c r="H34" s="13">
        <v>207.0</v>
      </c>
      <c r="I34" s="13">
        <v>210.0</v>
      </c>
      <c r="J34" s="13">
        <v>171.0</v>
      </c>
      <c r="K34" s="13">
        <v>224.0</v>
      </c>
      <c r="L34" s="13">
        <v>173.0</v>
      </c>
      <c r="M34" s="13">
        <v>180.0</v>
      </c>
      <c r="N34" s="13">
        <v>223.0</v>
      </c>
      <c r="O34" s="13">
        <v>228.0</v>
      </c>
      <c r="P34" s="13">
        <f t="shared" si="10"/>
        <v>2177</v>
      </c>
    </row>
    <row r="35" ht="12.75" customHeight="1">
      <c r="A35" s="19">
        <v>3.0</v>
      </c>
      <c r="B35" s="20" t="s">
        <v>28</v>
      </c>
      <c r="C35" s="15"/>
      <c r="D35" s="16"/>
      <c r="E35" s="19">
        <v>1.0</v>
      </c>
      <c r="F35" s="19">
        <v>0.0</v>
      </c>
      <c r="G35" s="19">
        <v>2.0</v>
      </c>
      <c r="H35" s="19">
        <v>1.0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O36" si="11">E33-(E34+E35)</f>
        <v>101</v>
      </c>
      <c r="F36" s="13">
        <f t="shared" si="11"/>
        <v>70</v>
      </c>
      <c r="G36" s="13">
        <f t="shared" si="11"/>
        <v>71</v>
      </c>
      <c r="H36" s="13">
        <f t="shared" si="11"/>
        <v>66</v>
      </c>
      <c r="I36" s="13">
        <f t="shared" si="11"/>
        <v>73</v>
      </c>
      <c r="J36" s="13">
        <f t="shared" si="11"/>
        <v>35</v>
      </c>
      <c r="K36" s="13">
        <f t="shared" si="11"/>
        <v>61</v>
      </c>
      <c r="L36" s="13">
        <f t="shared" si="11"/>
        <v>56</v>
      </c>
      <c r="M36" s="13">
        <f t="shared" si="11"/>
        <v>43</v>
      </c>
      <c r="N36" s="13">
        <f t="shared" si="11"/>
        <v>65</v>
      </c>
      <c r="O36" s="13">
        <f t="shared" si="11"/>
        <v>66</v>
      </c>
      <c r="P36" s="13">
        <f t="shared" si="10"/>
        <v>707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0"/>
    </row>
    <row r="39" ht="12.75" customHeight="1">
      <c r="A39" s="30"/>
      <c r="B39" s="43" t="s">
        <v>32</v>
      </c>
      <c r="C39" s="23"/>
      <c r="D39" s="19" t="s">
        <v>11</v>
      </c>
      <c r="E39" s="19"/>
      <c r="F39" s="19"/>
      <c r="G39" s="19"/>
      <c r="H39" s="19"/>
      <c r="I39" s="19"/>
      <c r="J39" s="19"/>
      <c r="K39" s="19">
        <v>1.0</v>
      </c>
      <c r="L39" s="19"/>
      <c r="M39" s="19"/>
      <c r="N39" s="19"/>
      <c r="O39" s="19"/>
      <c r="P39" s="13">
        <f t="shared" ref="P39:P41" si="12">SUM(E39:O39)</f>
        <v>1</v>
      </c>
    </row>
    <row r="40" ht="12.75" customHeight="1">
      <c r="A40" s="33"/>
      <c r="C40" s="27"/>
      <c r="D40" s="19" t="s">
        <v>12</v>
      </c>
      <c r="E40" s="19">
        <v>1.0</v>
      </c>
      <c r="F40" s="19"/>
      <c r="G40" s="19">
        <v>1.0</v>
      </c>
      <c r="H40" s="19"/>
      <c r="I40" s="19"/>
      <c r="J40" s="19"/>
      <c r="K40" s="19">
        <v>1.0</v>
      </c>
      <c r="L40" s="19"/>
      <c r="M40" s="19"/>
      <c r="N40" s="19"/>
      <c r="O40" s="19"/>
      <c r="P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O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3"/>
    </row>
    <row r="45" ht="12.75" customHeight="1">
      <c r="A45" s="63"/>
      <c r="B45" s="47">
        <v>1.0</v>
      </c>
      <c r="C45" s="48" t="s">
        <v>36</v>
      </c>
      <c r="D45" s="16"/>
      <c r="E45" s="19">
        <v>22.0</v>
      </c>
      <c r="F45" s="19">
        <v>46.0</v>
      </c>
      <c r="G45" s="19">
        <v>33.0</v>
      </c>
      <c r="H45" s="19">
        <v>22.0</v>
      </c>
      <c r="I45" s="19">
        <v>15.0</v>
      </c>
      <c r="J45" s="19">
        <v>17.0</v>
      </c>
      <c r="K45" s="19">
        <v>16.0</v>
      </c>
      <c r="L45" s="19">
        <v>39.0</v>
      </c>
      <c r="M45" s="19">
        <v>29.0</v>
      </c>
      <c r="N45" s="19">
        <v>24.0</v>
      </c>
      <c r="O45" s="19">
        <v>17.0</v>
      </c>
      <c r="P45" s="13">
        <f t="shared" ref="P45:P47" si="14">SUM(E45:O45)</f>
        <v>280</v>
      </c>
    </row>
    <row r="46" ht="12.75" customHeight="1">
      <c r="A46" s="18"/>
      <c r="B46" s="47">
        <v>2.0</v>
      </c>
      <c r="C46" s="48" t="s">
        <v>37</v>
      </c>
      <c r="D46" s="16"/>
      <c r="E46" s="19">
        <v>120.0</v>
      </c>
      <c r="F46" s="19">
        <v>107.0</v>
      </c>
      <c r="G46" s="19">
        <v>119.0</v>
      </c>
      <c r="H46" s="19">
        <v>111.0</v>
      </c>
      <c r="I46" s="19">
        <v>142.0</v>
      </c>
      <c r="J46" s="19">
        <v>110.0</v>
      </c>
      <c r="K46" s="19">
        <v>166.0</v>
      </c>
      <c r="L46" s="19">
        <v>94.0</v>
      </c>
      <c r="M46" s="19">
        <v>114.0</v>
      </c>
      <c r="N46" s="19">
        <v>163.0</v>
      </c>
      <c r="O46" s="19">
        <v>174.0</v>
      </c>
      <c r="P46" s="13">
        <f t="shared" si="14"/>
        <v>1420</v>
      </c>
    </row>
    <row r="47" ht="12.75" customHeight="1">
      <c r="A47" s="45"/>
      <c r="B47" s="47">
        <v>3.0</v>
      </c>
      <c r="C47" s="48" t="s">
        <v>38</v>
      </c>
      <c r="D47" s="16"/>
      <c r="E47" s="19">
        <v>30.0</v>
      </c>
      <c r="F47" s="19">
        <v>25.0</v>
      </c>
      <c r="G47" s="19">
        <v>44.0</v>
      </c>
      <c r="H47" s="19">
        <v>68.0</v>
      </c>
      <c r="I47" s="19">
        <v>49.0</v>
      </c>
      <c r="J47" s="19">
        <v>41.0</v>
      </c>
      <c r="K47" s="19">
        <v>40.0</v>
      </c>
      <c r="L47" s="19">
        <v>38.0</v>
      </c>
      <c r="M47" s="19">
        <v>36.0</v>
      </c>
      <c r="N47" s="19">
        <v>33.0</v>
      </c>
      <c r="O47" s="19">
        <v>34.0</v>
      </c>
      <c r="P47" s="13">
        <f t="shared" si="14"/>
        <v>438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O50" si="15">SUM(E45:E47)</f>
        <v>172</v>
      </c>
      <c r="F50" s="19">
        <f t="shared" si="15"/>
        <v>178</v>
      </c>
      <c r="G50" s="19">
        <f t="shared" si="15"/>
        <v>196</v>
      </c>
      <c r="H50" s="19">
        <f t="shared" si="15"/>
        <v>201</v>
      </c>
      <c r="I50" s="19">
        <f t="shared" si="15"/>
        <v>206</v>
      </c>
      <c r="J50" s="19">
        <f t="shared" si="15"/>
        <v>168</v>
      </c>
      <c r="K50" s="19">
        <f t="shared" si="15"/>
        <v>222</v>
      </c>
      <c r="L50" s="19">
        <f t="shared" si="15"/>
        <v>171</v>
      </c>
      <c r="M50" s="19">
        <f t="shared" si="15"/>
        <v>179</v>
      </c>
      <c r="N50" s="19">
        <f t="shared" si="15"/>
        <v>220</v>
      </c>
      <c r="O50" s="19">
        <f t="shared" si="15"/>
        <v>225</v>
      </c>
      <c r="P50" s="13">
        <f t="shared" ref="P50:P52" si="16">SUM(E50:O50)</f>
        <v>2138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4.0</v>
      </c>
      <c r="F51" s="19">
        <v>5.0</v>
      </c>
      <c r="G51" s="19">
        <v>6.0</v>
      </c>
      <c r="H51" s="19">
        <v>6.0</v>
      </c>
      <c r="I51" s="19">
        <v>4.0</v>
      </c>
      <c r="J51" s="19">
        <v>3.0</v>
      </c>
      <c r="K51" s="19">
        <v>2.0</v>
      </c>
      <c r="L51" s="19">
        <v>1.0</v>
      </c>
      <c r="M51" s="19">
        <v>2.0</v>
      </c>
      <c r="N51" s="19">
        <v>3.0</v>
      </c>
      <c r="O51" s="19">
        <v>3.0</v>
      </c>
      <c r="P51" s="13">
        <f t="shared" si="16"/>
        <v>39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O52" si="17">SUM(E50:E51)</f>
        <v>176</v>
      </c>
      <c r="F52" s="13">
        <f t="shared" si="17"/>
        <v>183</v>
      </c>
      <c r="G52" s="13">
        <f t="shared" si="17"/>
        <v>202</v>
      </c>
      <c r="H52" s="13">
        <f t="shared" si="17"/>
        <v>207</v>
      </c>
      <c r="I52" s="13">
        <f t="shared" si="17"/>
        <v>210</v>
      </c>
      <c r="J52" s="13">
        <f t="shared" si="17"/>
        <v>171</v>
      </c>
      <c r="K52" s="13">
        <f t="shared" si="17"/>
        <v>224</v>
      </c>
      <c r="L52" s="13">
        <f t="shared" si="17"/>
        <v>172</v>
      </c>
      <c r="M52" s="13">
        <f t="shared" si="17"/>
        <v>181</v>
      </c>
      <c r="N52" s="13">
        <f t="shared" si="17"/>
        <v>223</v>
      </c>
      <c r="O52" s="13">
        <f t="shared" si="17"/>
        <v>228</v>
      </c>
      <c r="P52" s="13">
        <f t="shared" si="16"/>
        <v>2177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O34">
    <cfRule type="expression" dxfId="0" priority="1">
      <formula>E34&lt;&gt;#REF!</formula>
    </cfRule>
  </conditionalFormatting>
  <conditionalFormatting sqref="E14:O15 E45:O47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E30&lt;&gt;E46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50:O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61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36"/>
    </row>
    <row r="14" ht="12.75" customHeight="1">
      <c r="A14" s="18"/>
      <c r="B14" s="22" t="s">
        <v>10</v>
      </c>
      <c r="C14" s="23"/>
      <c r="D14" s="19" t="s">
        <v>11</v>
      </c>
      <c r="E14" s="19">
        <v>129.0</v>
      </c>
      <c r="F14" s="19">
        <v>143.0</v>
      </c>
      <c r="G14" s="19">
        <v>148.0</v>
      </c>
      <c r="H14" s="19">
        <v>139.0</v>
      </c>
      <c r="I14" s="19">
        <v>130.0</v>
      </c>
      <c r="J14" s="19">
        <v>128.0</v>
      </c>
      <c r="K14" s="19">
        <v>147.0</v>
      </c>
      <c r="L14" s="19">
        <v>119.0</v>
      </c>
      <c r="M14" s="13">
        <f t="shared" ref="M14:M16" si="1">SUM(E14:L14)</f>
        <v>1083</v>
      </c>
    </row>
    <row r="15" ht="12.75" customHeight="1">
      <c r="A15" s="18"/>
      <c r="B15" s="26"/>
      <c r="C15" s="27"/>
      <c r="D15" s="19" t="s">
        <v>12</v>
      </c>
      <c r="E15" s="19">
        <v>136.0</v>
      </c>
      <c r="F15" s="19">
        <v>151.0</v>
      </c>
      <c r="G15" s="19">
        <v>146.0</v>
      </c>
      <c r="H15" s="19">
        <v>151.0</v>
      </c>
      <c r="I15" s="19">
        <v>159.0</v>
      </c>
      <c r="J15" s="19">
        <v>136.0</v>
      </c>
      <c r="K15" s="19">
        <v>146.0</v>
      </c>
      <c r="L15" s="19">
        <v>130.0</v>
      </c>
      <c r="M15" s="13">
        <f t="shared" si="1"/>
        <v>1155</v>
      </c>
    </row>
    <row r="16" ht="12.75" customHeight="1">
      <c r="A16" s="25"/>
      <c r="B16" s="21"/>
      <c r="C16" s="28"/>
      <c r="D16" s="13" t="s">
        <v>13</v>
      </c>
      <c r="E16" s="13">
        <f t="shared" ref="E16:L16" si="2">SUM(E14:E15)</f>
        <v>265</v>
      </c>
      <c r="F16" s="13">
        <f t="shared" si="2"/>
        <v>294</v>
      </c>
      <c r="G16" s="13">
        <f t="shared" si="2"/>
        <v>294</v>
      </c>
      <c r="H16" s="13">
        <f t="shared" si="2"/>
        <v>290</v>
      </c>
      <c r="I16" s="13">
        <f t="shared" si="2"/>
        <v>289</v>
      </c>
      <c r="J16" s="13">
        <f t="shared" si="2"/>
        <v>264</v>
      </c>
      <c r="K16" s="13">
        <f t="shared" si="2"/>
        <v>293</v>
      </c>
      <c r="L16" s="13">
        <f t="shared" si="2"/>
        <v>249</v>
      </c>
      <c r="M16" s="13">
        <f t="shared" si="1"/>
        <v>2238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85.0</v>
      </c>
      <c r="F19" s="19">
        <v>103.0</v>
      </c>
      <c r="G19" s="19">
        <v>108.0</v>
      </c>
      <c r="H19" s="19">
        <v>113.0</v>
      </c>
      <c r="I19" s="19">
        <v>100.0</v>
      </c>
      <c r="J19" s="19">
        <v>85.0</v>
      </c>
      <c r="K19" s="19">
        <v>98.0</v>
      </c>
      <c r="L19" s="19">
        <v>83.0</v>
      </c>
      <c r="M19" s="13">
        <f t="shared" ref="M19:M30" si="3">SUM(E19:L19)</f>
        <v>775</v>
      </c>
    </row>
    <row r="20" ht="12.75" customHeight="1">
      <c r="A20" s="33"/>
      <c r="B20" s="27"/>
      <c r="C20" s="34"/>
      <c r="D20" s="19" t="s">
        <v>12</v>
      </c>
      <c r="E20" s="19">
        <v>94.0</v>
      </c>
      <c r="F20" s="19">
        <v>122.0</v>
      </c>
      <c r="G20" s="19">
        <v>120.0</v>
      </c>
      <c r="H20" s="19">
        <v>126.0</v>
      </c>
      <c r="I20" s="19">
        <v>137.0</v>
      </c>
      <c r="J20" s="19">
        <v>102.0</v>
      </c>
      <c r="K20" s="19">
        <v>108.0</v>
      </c>
      <c r="L20" s="19">
        <v>105.0</v>
      </c>
      <c r="M20" s="13">
        <f t="shared" si="3"/>
        <v>914</v>
      </c>
    </row>
    <row r="21" ht="12.75" customHeight="1">
      <c r="A21" s="35"/>
      <c r="B21" s="28"/>
      <c r="C21" s="36"/>
      <c r="D21" s="13" t="s">
        <v>13</v>
      </c>
      <c r="E21" s="13">
        <f t="shared" ref="E21:L21" si="4">SUM(E19:E20)</f>
        <v>179</v>
      </c>
      <c r="F21" s="13">
        <f t="shared" si="4"/>
        <v>225</v>
      </c>
      <c r="G21" s="13">
        <f t="shared" si="4"/>
        <v>228</v>
      </c>
      <c r="H21" s="13">
        <f t="shared" si="4"/>
        <v>239</v>
      </c>
      <c r="I21" s="13">
        <f t="shared" si="4"/>
        <v>237</v>
      </c>
      <c r="J21" s="13">
        <f t="shared" si="4"/>
        <v>187</v>
      </c>
      <c r="K21" s="13">
        <f t="shared" si="4"/>
        <v>206</v>
      </c>
      <c r="L21" s="13">
        <f t="shared" si="4"/>
        <v>188</v>
      </c>
      <c r="M21" s="13">
        <f t="shared" si="3"/>
        <v>1689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L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0.0</v>
      </c>
      <c r="H25" s="19">
        <v>2.0</v>
      </c>
      <c r="I25" s="19">
        <v>0.0</v>
      </c>
      <c r="J25" s="19">
        <v>0.0</v>
      </c>
      <c r="K25" s="19">
        <v>2.0</v>
      </c>
      <c r="L25" s="19">
        <v>0.0</v>
      </c>
      <c r="M25" s="13">
        <f t="shared" si="3"/>
        <v>4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4.0</v>
      </c>
      <c r="G26" s="19"/>
      <c r="H26" s="19">
        <v>1.0</v>
      </c>
      <c r="I26" s="19">
        <v>2.0</v>
      </c>
      <c r="J26" s="19">
        <v>1.0</v>
      </c>
      <c r="K26" s="19">
        <v>1.0</v>
      </c>
      <c r="L26" s="19">
        <v>2.0</v>
      </c>
      <c r="M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L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1</v>
      </c>
      <c r="K27" s="13">
        <f t="shared" si="6"/>
        <v>3</v>
      </c>
      <c r="L27" s="13">
        <f t="shared" si="6"/>
        <v>2</v>
      </c>
      <c r="M27" s="13">
        <f t="shared" si="3"/>
        <v>16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L28" si="7">SUM(E19,E22,E25)</f>
        <v>85</v>
      </c>
      <c r="F28" s="13">
        <f t="shared" si="7"/>
        <v>104</v>
      </c>
      <c r="G28" s="13">
        <f t="shared" si="7"/>
        <v>108</v>
      </c>
      <c r="H28" s="13">
        <f t="shared" si="7"/>
        <v>115</v>
      </c>
      <c r="I28" s="13">
        <f t="shared" si="7"/>
        <v>100</v>
      </c>
      <c r="J28" s="13">
        <f t="shared" si="7"/>
        <v>85</v>
      </c>
      <c r="K28" s="13">
        <f t="shared" si="7"/>
        <v>100</v>
      </c>
      <c r="L28" s="13">
        <f t="shared" si="7"/>
        <v>83</v>
      </c>
      <c r="M28" s="13">
        <f t="shared" si="3"/>
        <v>780</v>
      </c>
    </row>
    <row r="29" ht="12.75" customHeight="1">
      <c r="A29" s="35"/>
      <c r="B29" s="27"/>
      <c r="C29" s="34"/>
      <c r="D29" s="13" t="s">
        <v>12</v>
      </c>
      <c r="E29" s="13">
        <f t="shared" ref="E29:L29" si="8">SUM(E20,E23,E26)</f>
        <v>95</v>
      </c>
      <c r="F29" s="13">
        <f t="shared" si="8"/>
        <v>126</v>
      </c>
      <c r="G29" s="13">
        <f t="shared" si="8"/>
        <v>120</v>
      </c>
      <c r="H29" s="13">
        <f t="shared" si="8"/>
        <v>127</v>
      </c>
      <c r="I29" s="13">
        <f t="shared" si="8"/>
        <v>139</v>
      </c>
      <c r="J29" s="13">
        <f t="shared" si="8"/>
        <v>103</v>
      </c>
      <c r="K29" s="13">
        <f t="shared" si="8"/>
        <v>109</v>
      </c>
      <c r="L29" s="13">
        <f t="shared" si="8"/>
        <v>107</v>
      </c>
      <c r="M29" s="13">
        <f t="shared" si="3"/>
        <v>926</v>
      </c>
    </row>
    <row r="30" ht="12.75" customHeight="1">
      <c r="A30" s="35"/>
      <c r="B30" s="28"/>
      <c r="C30" s="36"/>
      <c r="D30" s="13" t="s">
        <v>13</v>
      </c>
      <c r="E30" s="13">
        <f t="shared" ref="E30:L30" si="9">SUM(E28:E29)</f>
        <v>180</v>
      </c>
      <c r="F30" s="13">
        <f t="shared" si="9"/>
        <v>230</v>
      </c>
      <c r="G30" s="13">
        <f t="shared" si="9"/>
        <v>228</v>
      </c>
      <c r="H30" s="13">
        <f t="shared" si="9"/>
        <v>242</v>
      </c>
      <c r="I30" s="13">
        <f t="shared" si="9"/>
        <v>239</v>
      </c>
      <c r="J30" s="13">
        <f t="shared" si="9"/>
        <v>188</v>
      </c>
      <c r="K30" s="13">
        <f t="shared" si="9"/>
        <v>209</v>
      </c>
      <c r="L30" s="13">
        <f t="shared" si="9"/>
        <v>190</v>
      </c>
      <c r="M30" s="13">
        <f t="shared" si="3"/>
        <v>1706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0"/>
    </row>
    <row r="33" ht="12.75" customHeight="1">
      <c r="A33" s="19">
        <v>1.0</v>
      </c>
      <c r="B33" s="20" t="s">
        <v>26</v>
      </c>
      <c r="C33" s="15"/>
      <c r="D33" s="16"/>
      <c r="E33" s="19">
        <v>271.0</v>
      </c>
      <c r="F33" s="19">
        <v>300.0</v>
      </c>
      <c r="G33" s="19">
        <v>300.0</v>
      </c>
      <c r="H33" s="19">
        <v>296.0</v>
      </c>
      <c r="I33" s="19">
        <v>296.0</v>
      </c>
      <c r="J33" s="19">
        <v>285.0</v>
      </c>
      <c r="K33" s="19">
        <v>300.0</v>
      </c>
      <c r="L33" s="19">
        <v>255.0</v>
      </c>
      <c r="M33" s="13">
        <f t="shared" ref="M33:M36" si="10">SUM(E33:L33)</f>
        <v>2303</v>
      </c>
    </row>
    <row r="34" ht="12.75" customHeight="1">
      <c r="A34" s="19">
        <v>2.0</v>
      </c>
      <c r="B34" s="20" t="s">
        <v>27</v>
      </c>
      <c r="C34" s="15"/>
      <c r="D34" s="16"/>
      <c r="E34" s="13">
        <v>180.0</v>
      </c>
      <c r="F34" s="13">
        <v>230.0</v>
      </c>
      <c r="G34" s="13">
        <v>228.0</v>
      </c>
      <c r="H34" s="13">
        <v>242.0</v>
      </c>
      <c r="I34" s="13">
        <v>239.0</v>
      </c>
      <c r="J34" s="13">
        <v>188.0</v>
      </c>
      <c r="K34" s="13">
        <v>209.0</v>
      </c>
      <c r="L34" s="13">
        <v>190.0</v>
      </c>
      <c r="M34" s="13">
        <f t="shared" si="10"/>
        <v>1706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1.0</v>
      </c>
      <c r="K35" s="19">
        <v>1.0</v>
      </c>
      <c r="L35" s="19">
        <v>0.0</v>
      </c>
      <c r="M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L36" si="11">E33-(E34+E35)</f>
        <v>91</v>
      </c>
      <c r="F36" s="13">
        <f t="shared" si="11"/>
        <v>70</v>
      </c>
      <c r="G36" s="13">
        <f t="shared" si="11"/>
        <v>72</v>
      </c>
      <c r="H36" s="13">
        <f t="shared" si="11"/>
        <v>53</v>
      </c>
      <c r="I36" s="13">
        <f t="shared" si="11"/>
        <v>57</v>
      </c>
      <c r="J36" s="13">
        <f t="shared" si="11"/>
        <v>96</v>
      </c>
      <c r="K36" s="13">
        <f t="shared" si="11"/>
        <v>90</v>
      </c>
      <c r="L36" s="13">
        <f t="shared" si="11"/>
        <v>65</v>
      </c>
      <c r="M36" s="13">
        <f t="shared" si="10"/>
        <v>594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0"/>
    </row>
    <row r="39" ht="12.75" customHeight="1">
      <c r="A39" s="30"/>
      <c r="B39" s="43" t="s">
        <v>32</v>
      </c>
      <c r="C39" s="23"/>
      <c r="D39" s="19" t="s">
        <v>11</v>
      </c>
      <c r="E39" s="19">
        <v>1.0</v>
      </c>
      <c r="F39" s="19"/>
      <c r="G39" s="19">
        <v>1.0</v>
      </c>
      <c r="H39" s="19">
        <v>1.0</v>
      </c>
      <c r="I39" s="19">
        <v>1.0</v>
      </c>
      <c r="J39" s="19"/>
      <c r="K39" s="19">
        <v>3.0</v>
      </c>
      <c r="L39" s="19">
        <v>1.0</v>
      </c>
      <c r="M39" s="13">
        <f t="shared" ref="M39:M41" si="12">SUM(E39:L39)</f>
        <v>8</v>
      </c>
    </row>
    <row r="40" ht="12.75" customHeight="1">
      <c r="A40" s="33"/>
      <c r="C40" s="27"/>
      <c r="D40" s="19" t="s">
        <v>12</v>
      </c>
      <c r="E40" s="19">
        <v>2.0</v>
      </c>
      <c r="F40" s="19"/>
      <c r="G40" s="19"/>
      <c r="H40" s="19"/>
      <c r="I40" s="19"/>
      <c r="J40" s="19"/>
      <c r="K40" s="19">
        <v>1.0</v>
      </c>
      <c r="L40" s="19"/>
      <c r="M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L41" si="13">SUM(E39:E40)</f>
        <v>3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1</v>
      </c>
      <c r="J41" s="13">
        <f t="shared" si="13"/>
        <v>0</v>
      </c>
      <c r="K41" s="13">
        <f t="shared" si="13"/>
        <v>4</v>
      </c>
      <c r="L41" s="13">
        <f t="shared" si="13"/>
        <v>1</v>
      </c>
      <c r="M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63"/>
      <c r="B45" s="47">
        <v>1.0</v>
      </c>
      <c r="C45" s="48" t="s">
        <v>36</v>
      </c>
      <c r="D45" s="16"/>
      <c r="E45" s="19">
        <v>35.0</v>
      </c>
      <c r="F45" s="19">
        <v>21.0</v>
      </c>
      <c r="G45" s="19">
        <v>26.0</v>
      </c>
      <c r="H45" s="19">
        <v>26.0</v>
      </c>
      <c r="I45" s="19">
        <v>32.0</v>
      </c>
      <c r="J45" s="19">
        <v>11.0</v>
      </c>
      <c r="K45" s="19">
        <v>32.0</v>
      </c>
      <c r="L45" s="19">
        <v>22.0</v>
      </c>
      <c r="M45" s="13">
        <f t="shared" ref="M45:M47" si="14">SUM(E45:L45)</f>
        <v>205</v>
      </c>
    </row>
    <row r="46" ht="12.75" customHeight="1">
      <c r="A46" s="18"/>
      <c r="B46" s="47">
        <v>2.0</v>
      </c>
      <c r="C46" s="48" t="s">
        <v>37</v>
      </c>
      <c r="D46" s="16"/>
      <c r="E46" s="19">
        <v>105.0</v>
      </c>
      <c r="F46" s="19">
        <v>160.0</v>
      </c>
      <c r="G46" s="19">
        <v>167.0</v>
      </c>
      <c r="H46" s="19">
        <v>151.0</v>
      </c>
      <c r="I46" s="19">
        <v>157.0</v>
      </c>
      <c r="J46" s="19">
        <v>106.0</v>
      </c>
      <c r="K46" s="19">
        <v>141.0</v>
      </c>
      <c r="L46" s="19">
        <v>121.0</v>
      </c>
      <c r="M46" s="13">
        <f t="shared" si="14"/>
        <v>1108</v>
      </c>
    </row>
    <row r="47" ht="12.75" customHeight="1">
      <c r="A47" s="45"/>
      <c r="B47" s="47">
        <v>3.0</v>
      </c>
      <c r="C47" s="48" t="s">
        <v>38</v>
      </c>
      <c r="D47" s="16"/>
      <c r="E47" s="19">
        <v>36.0</v>
      </c>
      <c r="F47" s="19">
        <v>45.0</v>
      </c>
      <c r="G47" s="19">
        <v>30.0</v>
      </c>
      <c r="H47" s="19">
        <v>60.0</v>
      </c>
      <c r="I47" s="19">
        <v>45.0</v>
      </c>
      <c r="J47" s="19">
        <v>67.0</v>
      </c>
      <c r="K47" s="19">
        <v>32.0</v>
      </c>
      <c r="L47" s="19">
        <v>43.0</v>
      </c>
      <c r="M47" s="13">
        <f t="shared" si="14"/>
        <v>358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L50" si="15">SUM(E45:E47)</f>
        <v>176</v>
      </c>
      <c r="F50" s="19">
        <f t="shared" si="15"/>
        <v>226</v>
      </c>
      <c r="G50" s="19">
        <f t="shared" si="15"/>
        <v>223</v>
      </c>
      <c r="H50" s="19">
        <f t="shared" si="15"/>
        <v>237</v>
      </c>
      <c r="I50" s="19">
        <f t="shared" si="15"/>
        <v>234</v>
      </c>
      <c r="J50" s="19">
        <f t="shared" si="15"/>
        <v>184</v>
      </c>
      <c r="K50" s="19">
        <f t="shared" si="15"/>
        <v>205</v>
      </c>
      <c r="L50" s="19">
        <f t="shared" si="15"/>
        <v>186</v>
      </c>
      <c r="M50" s="13">
        <f t="shared" ref="M50:M52" si="16">SUM(E50:L50)</f>
        <v>1671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4.0</v>
      </c>
      <c r="F51" s="19">
        <v>4.0</v>
      </c>
      <c r="G51" s="19">
        <v>5.0</v>
      </c>
      <c r="H51" s="19">
        <v>5.0</v>
      </c>
      <c r="I51" s="19">
        <v>5.0</v>
      </c>
      <c r="J51" s="19">
        <v>4.0</v>
      </c>
      <c r="K51" s="19">
        <v>4.0</v>
      </c>
      <c r="L51" s="19">
        <v>4.0</v>
      </c>
      <c r="M51" s="13">
        <f t="shared" si="16"/>
        <v>35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L52" si="17">SUM(E50:E51)</f>
        <v>180</v>
      </c>
      <c r="F52" s="13">
        <f t="shared" si="17"/>
        <v>230</v>
      </c>
      <c r="G52" s="13">
        <f t="shared" si="17"/>
        <v>228</v>
      </c>
      <c r="H52" s="13">
        <f t="shared" si="17"/>
        <v>242</v>
      </c>
      <c r="I52" s="13">
        <f t="shared" si="17"/>
        <v>239</v>
      </c>
      <c r="J52" s="13">
        <f t="shared" si="17"/>
        <v>188</v>
      </c>
      <c r="K52" s="13">
        <f t="shared" si="17"/>
        <v>209</v>
      </c>
      <c r="L52" s="13">
        <f t="shared" si="17"/>
        <v>190</v>
      </c>
      <c r="M52" s="13">
        <f t="shared" si="16"/>
        <v>1706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L34">
    <cfRule type="expression" dxfId="0" priority="1">
      <formula>E34&lt;&gt;#REF!</formula>
    </cfRule>
  </conditionalFormatting>
  <conditionalFormatting sqref="E14:L15 E45:L47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E30&lt;&gt;E46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50:L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4" width="8.71"/>
    <col customWidth="1" min="35" max="35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62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13" t="s">
        <v>68</v>
      </c>
      <c r="V13" s="13" t="s">
        <v>69</v>
      </c>
      <c r="W13" s="13" t="s">
        <v>70</v>
      </c>
      <c r="X13" s="13" t="s">
        <v>71</v>
      </c>
      <c r="Y13" s="13" t="s">
        <v>72</v>
      </c>
      <c r="Z13" s="13" t="s">
        <v>73</v>
      </c>
      <c r="AA13" s="13" t="s">
        <v>74</v>
      </c>
      <c r="AB13" s="13" t="s">
        <v>75</v>
      </c>
      <c r="AC13" s="13" t="s">
        <v>76</v>
      </c>
      <c r="AD13" s="13" t="s">
        <v>77</v>
      </c>
      <c r="AE13" s="13" t="s">
        <v>78</v>
      </c>
      <c r="AF13" s="13" t="s">
        <v>79</v>
      </c>
      <c r="AG13" s="13" t="s">
        <v>80</v>
      </c>
      <c r="AH13" s="13" t="s">
        <v>81</v>
      </c>
      <c r="AI13" s="36"/>
    </row>
    <row r="14" ht="12.75" customHeight="1">
      <c r="A14" s="18"/>
      <c r="B14" s="22" t="s">
        <v>10</v>
      </c>
      <c r="C14" s="23"/>
      <c r="D14" s="19" t="s">
        <v>11</v>
      </c>
      <c r="E14" s="19">
        <v>130.0</v>
      </c>
      <c r="F14" s="19">
        <v>93.0</v>
      </c>
      <c r="G14" s="19">
        <v>137.0</v>
      </c>
      <c r="H14" s="19">
        <v>140.0</v>
      </c>
      <c r="I14" s="19">
        <v>135.0</v>
      </c>
      <c r="J14" s="19">
        <v>140.0</v>
      </c>
      <c r="K14" s="19">
        <v>146.0</v>
      </c>
      <c r="L14" s="19">
        <v>133.0</v>
      </c>
      <c r="M14" s="19">
        <v>126.0</v>
      </c>
      <c r="N14" s="19">
        <v>142.0</v>
      </c>
      <c r="O14" s="19">
        <v>106.0</v>
      </c>
      <c r="P14" s="19">
        <v>141.0</v>
      </c>
      <c r="Q14" s="19">
        <v>132.0</v>
      </c>
      <c r="R14" s="19">
        <v>141.0</v>
      </c>
      <c r="S14" s="19">
        <v>144.0</v>
      </c>
      <c r="T14" s="19">
        <v>132.0</v>
      </c>
      <c r="U14" s="19">
        <v>128.0</v>
      </c>
      <c r="V14" s="19">
        <v>140.0</v>
      </c>
      <c r="W14" s="19">
        <v>122.0</v>
      </c>
      <c r="X14" s="19">
        <v>140.0</v>
      </c>
      <c r="Y14" s="19">
        <v>144.0</v>
      </c>
      <c r="Z14" s="19">
        <v>149.0</v>
      </c>
      <c r="AA14" s="19">
        <v>145.0</v>
      </c>
      <c r="AB14" s="19">
        <v>145.0</v>
      </c>
      <c r="AC14" s="19">
        <v>140.0</v>
      </c>
      <c r="AD14" s="19">
        <v>138.0</v>
      </c>
      <c r="AE14" s="19">
        <v>145.0</v>
      </c>
      <c r="AF14" s="19">
        <v>148.0</v>
      </c>
      <c r="AG14" s="19">
        <v>143.0</v>
      </c>
      <c r="AH14" s="19">
        <v>138.0</v>
      </c>
      <c r="AI14" s="13">
        <f t="shared" ref="AI14:AI16" si="1">SUM(E14:AH14)</f>
        <v>4083</v>
      </c>
    </row>
    <row r="15" ht="12.75" customHeight="1">
      <c r="A15" s="18"/>
      <c r="B15" s="26"/>
      <c r="C15" s="27"/>
      <c r="D15" s="19" t="s">
        <v>12</v>
      </c>
      <c r="E15" s="19">
        <v>124.0</v>
      </c>
      <c r="F15" s="19">
        <v>89.0</v>
      </c>
      <c r="G15" s="19">
        <v>151.0</v>
      </c>
      <c r="H15" s="19">
        <v>142.0</v>
      </c>
      <c r="I15" s="19">
        <v>143.0</v>
      </c>
      <c r="J15" s="19">
        <v>135.0</v>
      </c>
      <c r="K15" s="19">
        <v>150.0</v>
      </c>
      <c r="L15" s="19">
        <v>156.0</v>
      </c>
      <c r="M15" s="19">
        <v>149.0</v>
      </c>
      <c r="N15" s="19">
        <v>134.0</v>
      </c>
      <c r="O15" s="19">
        <v>120.0</v>
      </c>
      <c r="P15" s="19">
        <v>133.0</v>
      </c>
      <c r="Q15" s="19">
        <v>134.0</v>
      </c>
      <c r="R15" s="19">
        <v>135.0</v>
      </c>
      <c r="S15" s="19">
        <v>147.0</v>
      </c>
      <c r="T15" s="19">
        <v>137.0</v>
      </c>
      <c r="U15" s="19">
        <v>149.0</v>
      </c>
      <c r="V15" s="19">
        <v>141.0</v>
      </c>
      <c r="W15" s="19">
        <v>137.0</v>
      </c>
      <c r="X15" s="19">
        <v>133.0</v>
      </c>
      <c r="Y15" s="19">
        <v>146.0</v>
      </c>
      <c r="Z15" s="19">
        <v>141.0</v>
      </c>
      <c r="AA15" s="19">
        <v>145.0</v>
      </c>
      <c r="AB15" s="19">
        <v>144.0</v>
      </c>
      <c r="AC15" s="19">
        <v>148.0</v>
      </c>
      <c r="AD15" s="19">
        <v>152.0</v>
      </c>
      <c r="AE15" s="19">
        <v>145.0</v>
      </c>
      <c r="AF15" s="19">
        <v>140.0</v>
      </c>
      <c r="AG15" s="19">
        <v>147.0</v>
      </c>
      <c r="AH15" s="19">
        <v>152.0</v>
      </c>
      <c r="AI15" s="13">
        <f t="shared" si="1"/>
        <v>4199</v>
      </c>
    </row>
    <row r="16" ht="12.75" customHeight="1">
      <c r="A16" s="25"/>
      <c r="B16" s="21"/>
      <c r="C16" s="28"/>
      <c r="D16" s="13" t="s">
        <v>13</v>
      </c>
      <c r="E16" s="13">
        <f t="shared" ref="E16:AH16" si="2">SUM(E14:E15)</f>
        <v>254</v>
      </c>
      <c r="F16" s="13">
        <f t="shared" si="2"/>
        <v>182</v>
      </c>
      <c r="G16" s="13">
        <f t="shared" si="2"/>
        <v>288</v>
      </c>
      <c r="H16" s="13">
        <f t="shared" si="2"/>
        <v>282</v>
      </c>
      <c r="I16" s="13">
        <f t="shared" si="2"/>
        <v>278</v>
      </c>
      <c r="J16" s="13">
        <f t="shared" si="2"/>
        <v>275</v>
      </c>
      <c r="K16" s="13">
        <f t="shared" si="2"/>
        <v>296</v>
      </c>
      <c r="L16" s="13">
        <f t="shared" si="2"/>
        <v>289</v>
      </c>
      <c r="M16" s="13">
        <f t="shared" si="2"/>
        <v>275</v>
      </c>
      <c r="N16" s="13">
        <f t="shared" si="2"/>
        <v>276</v>
      </c>
      <c r="O16" s="13">
        <f t="shared" si="2"/>
        <v>226</v>
      </c>
      <c r="P16" s="13">
        <f t="shared" si="2"/>
        <v>274</v>
      </c>
      <c r="Q16" s="13">
        <f t="shared" si="2"/>
        <v>266</v>
      </c>
      <c r="R16" s="13">
        <f t="shared" si="2"/>
        <v>276</v>
      </c>
      <c r="S16" s="13">
        <f t="shared" si="2"/>
        <v>291</v>
      </c>
      <c r="T16" s="13">
        <f t="shared" si="2"/>
        <v>269</v>
      </c>
      <c r="U16" s="13">
        <f t="shared" si="2"/>
        <v>277</v>
      </c>
      <c r="V16" s="13">
        <f t="shared" si="2"/>
        <v>281</v>
      </c>
      <c r="W16" s="13">
        <f t="shared" si="2"/>
        <v>259</v>
      </c>
      <c r="X16" s="13">
        <f t="shared" si="2"/>
        <v>273</v>
      </c>
      <c r="Y16" s="13">
        <f t="shared" si="2"/>
        <v>290</v>
      </c>
      <c r="Z16" s="13">
        <f t="shared" si="2"/>
        <v>290</v>
      </c>
      <c r="AA16" s="13">
        <f t="shared" si="2"/>
        <v>290</v>
      </c>
      <c r="AB16" s="13">
        <f t="shared" si="2"/>
        <v>289</v>
      </c>
      <c r="AC16" s="13">
        <f t="shared" si="2"/>
        <v>288</v>
      </c>
      <c r="AD16" s="13">
        <f t="shared" si="2"/>
        <v>290</v>
      </c>
      <c r="AE16" s="13">
        <f t="shared" si="2"/>
        <v>290</v>
      </c>
      <c r="AF16" s="13">
        <f t="shared" si="2"/>
        <v>288</v>
      </c>
      <c r="AG16" s="13">
        <f t="shared" si="2"/>
        <v>290</v>
      </c>
      <c r="AH16" s="13">
        <f t="shared" si="2"/>
        <v>290</v>
      </c>
      <c r="AI16" s="13">
        <f t="shared" si="1"/>
        <v>8282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84.0</v>
      </c>
      <c r="F19" s="19">
        <v>65.0</v>
      </c>
      <c r="G19" s="19">
        <v>95.0</v>
      </c>
      <c r="H19" s="19">
        <v>94.0</v>
      </c>
      <c r="I19" s="19">
        <v>99.0</v>
      </c>
      <c r="J19" s="19">
        <v>96.0</v>
      </c>
      <c r="K19" s="19">
        <v>110.0</v>
      </c>
      <c r="L19" s="19">
        <v>84.0</v>
      </c>
      <c r="M19" s="19">
        <v>86.0</v>
      </c>
      <c r="N19" s="19">
        <v>96.0</v>
      </c>
      <c r="O19" s="19">
        <v>76.0</v>
      </c>
      <c r="P19" s="19">
        <v>96.0</v>
      </c>
      <c r="Q19" s="19">
        <v>99.0</v>
      </c>
      <c r="R19" s="19">
        <v>90.0</v>
      </c>
      <c r="S19" s="19">
        <v>103.0</v>
      </c>
      <c r="T19" s="19">
        <v>86.0</v>
      </c>
      <c r="U19" s="19">
        <v>92.0</v>
      </c>
      <c r="V19" s="19">
        <v>102.0</v>
      </c>
      <c r="W19" s="19">
        <v>86.0</v>
      </c>
      <c r="X19" s="19">
        <v>101.0</v>
      </c>
      <c r="Y19" s="19">
        <v>85.0</v>
      </c>
      <c r="Z19" s="19">
        <v>95.0</v>
      </c>
      <c r="AA19" s="19">
        <v>102.0</v>
      </c>
      <c r="AB19" s="19">
        <v>109.0</v>
      </c>
      <c r="AC19" s="19">
        <v>82.0</v>
      </c>
      <c r="AD19" s="19">
        <v>89.0</v>
      </c>
      <c r="AE19" s="19">
        <v>117.0</v>
      </c>
      <c r="AF19" s="19">
        <v>104.0</v>
      </c>
      <c r="AG19" s="19">
        <v>91.0</v>
      </c>
      <c r="AH19" s="19">
        <v>108.0</v>
      </c>
      <c r="AI19" s="13">
        <f t="shared" ref="AI19:AI30" si="3">SUM(E19:AH19)</f>
        <v>2822</v>
      </c>
    </row>
    <row r="20" ht="12.75" customHeight="1">
      <c r="A20" s="33"/>
      <c r="B20" s="27"/>
      <c r="C20" s="34"/>
      <c r="D20" s="19" t="s">
        <v>12</v>
      </c>
      <c r="E20" s="19">
        <v>94.0</v>
      </c>
      <c r="F20" s="19">
        <v>61.0</v>
      </c>
      <c r="G20" s="19">
        <v>112.0</v>
      </c>
      <c r="H20" s="19">
        <v>104.0</v>
      </c>
      <c r="I20" s="19">
        <v>111.0</v>
      </c>
      <c r="J20" s="19">
        <v>108.0</v>
      </c>
      <c r="K20" s="19">
        <v>121.0</v>
      </c>
      <c r="L20" s="19">
        <v>114.0</v>
      </c>
      <c r="M20" s="19">
        <v>105.0</v>
      </c>
      <c r="N20" s="19">
        <v>102.0</v>
      </c>
      <c r="O20" s="19">
        <v>95.0</v>
      </c>
      <c r="P20" s="19">
        <v>98.0</v>
      </c>
      <c r="Q20" s="19">
        <v>116.0</v>
      </c>
      <c r="R20" s="19">
        <v>108.0</v>
      </c>
      <c r="S20" s="19">
        <v>117.0</v>
      </c>
      <c r="T20" s="19">
        <v>99.0</v>
      </c>
      <c r="U20" s="19">
        <v>107.0</v>
      </c>
      <c r="V20" s="19">
        <v>110.0</v>
      </c>
      <c r="W20" s="19">
        <v>98.0</v>
      </c>
      <c r="X20" s="19">
        <v>101.0</v>
      </c>
      <c r="Y20" s="19">
        <v>104.0</v>
      </c>
      <c r="Z20" s="19">
        <v>107.0</v>
      </c>
      <c r="AA20" s="19">
        <v>104.0</v>
      </c>
      <c r="AB20" s="19">
        <v>111.0</v>
      </c>
      <c r="AC20" s="19">
        <v>100.0</v>
      </c>
      <c r="AD20" s="19">
        <v>116.0</v>
      </c>
      <c r="AE20" s="19">
        <v>120.0</v>
      </c>
      <c r="AF20" s="19">
        <v>101.0</v>
      </c>
      <c r="AG20" s="19">
        <v>121.0</v>
      </c>
      <c r="AH20" s="19">
        <v>112.0</v>
      </c>
      <c r="AI20" s="13">
        <f t="shared" si="3"/>
        <v>3177</v>
      </c>
    </row>
    <row r="21" ht="12.75" customHeight="1">
      <c r="A21" s="35"/>
      <c r="B21" s="28"/>
      <c r="C21" s="36"/>
      <c r="D21" s="13" t="s">
        <v>13</v>
      </c>
      <c r="E21" s="13">
        <f t="shared" ref="E21:AH21" si="4">SUM(E19:E20)</f>
        <v>178</v>
      </c>
      <c r="F21" s="13">
        <f t="shared" si="4"/>
        <v>126</v>
      </c>
      <c r="G21" s="13">
        <f t="shared" si="4"/>
        <v>207</v>
      </c>
      <c r="H21" s="13">
        <f t="shared" si="4"/>
        <v>198</v>
      </c>
      <c r="I21" s="13">
        <f t="shared" si="4"/>
        <v>210</v>
      </c>
      <c r="J21" s="13">
        <f t="shared" si="4"/>
        <v>204</v>
      </c>
      <c r="K21" s="13">
        <f t="shared" si="4"/>
        <v>231</v>
      </c>
      <c r="L21" s="13">
        <f t="shared" si="4"/>
        <v>198</v>
      </c>
      <c r="M21" s="13">
        <f t="shared" si="4"/>
        <v>191</v>
      </c>
      <c r="N21" s="13">
        <f t="shared" si="4"/>
        <v>198</v>
      </c>
      <c r="O21" s="13">
        <f t="shared" si="4"/>
        <v>171</v>
      </c>
      <c r="P21" s="13">
        <f t="shared" si="4"/>
        <v>194</v>
      </c>
      <c r="Q21" s="13">
        <f t="shared" si="4"/>
        <v>215</v>
      </c>
      <c r="R21" s="13">
        <f t="shared" si="4"/>
        <v>198</v>
      </c>
      <c r="S21" s="13">
        <f t="shared" si="4"/>
        <v>220</v>
      </c>
      <c r="T21" s="13">
        <f t="shared" si="4"/>
        <v>185</v>
      </c>
      <c r="U21" s="13">
        <f t="shared" si="4"/>
        <v>199</v>
      </c>
      <c r="V21" s="13">
        <f t="shared" si="4"/>
        <v>212</v>
      </c>
      <c r="W21" s="13">
        <f t="shared" si="4"/>
        <v>184</v>
      </c>
      <c r="X21" s="13">
        <f t="shared" si="4"/>
        <v>202</v>
      </c>
      <c r="Y21" s="13">
        <f t="shared" si="4"/>
        <v>189</v>
      </c>
      <c r="Z21" s="13">
        <f t="shared" si="4"/>
        <v>202</v>
      </c>
      <c r="AA21" s="13">
        <f t="shared" si="4"/>
        <v>206</v>
      </c>
      <c r="AB21" s="13">
        <f t="shared" si="4"/>
        <v>220</v>
      </c>
      <c r="AC21" s="13">
        <f t="shared" si="4"/>
        <v>182</v>
      </c>
      <c r="AD21" s="13">
        <f t="shared" si="4"/>
        <v>205</v>
      </c>
      <c r="AE21" s="13">
        <f t="shared" si="4"/>
        <v>237</v>
      </c>
      <c r="AF21" s="13">
        <f t="shared" si="4"/>
        <v>205</v>
      </c>
      <c r="AG21" s="13">
        <f t="shared" si="4"/>
        <v>212</v>
      </c>
      <c r="AH21" s="13">
        <f t="shared" si="4"/>
        <v>220</v>
      </c>
      <c r="AI21" s="13">
        <f t="shared" si="3"/>
        <v>5999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2.0</v>
      </c>
      <c r="AD23" s="19">
        <v>0.0</v>
      </c>
      <c r="AE23" s="19">
        <v>0.0</v>
      </c>
      <c r="AF23" s="19">
        <v>0.0</v>
      </c>
      <c r="AG23" s="19">
        <v>1.0</v>
      </c>
      <c r="AH23" s="19">
        <v>0.0</v>
      </c>
      <c r="AI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AH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3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3"/>
        <v>6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1.0</v>
      </c>
      <c r="H25" s="19">
        <v>1.0</v>
      </c>
      <c r="I25" s="19">
        <v>0.0</v>
      </c>
      <c r="J25" s="19">
        <v>0.0</v>
      </c>
      <c r="K25" s="19">
        <v>1.0</v>
      </c>
      <c r="L25" s="19">
        <v>0.0</v>
      </c>
      <c r="M25" s="19">
        <v>1.0</v>
      </c>
      <c r="N25" s="19">
        <v>2.0</v>
      </c>
      <c r="O25" s="19">
        <v>4.0</v>
      </c>
      <c r="P25" s="19">
        <v>3.0</v>
      </c>
      <c r="Q25" s="19">
        <v>2.0</v>
      </c>
      <c r="R25" s="19">
        <v>1.0</v>
      </c>
      <c r="S25" s="19">
        <v>1.0</v>
      </c>
      <c r="T25" s="19">
        <v>1.0</v>
      </c>
      <c r="U25" s="19">
        <v>3.0</v>
      </c>
      <c r="V25" s="19">
        <v>2.0</v>
      </c>
      <c r="W25" s="19">
        <v>0.0</v>
      </c>
      <c r="X25" s="19">
        <v>1.0</v>
      </c>
      <c r="Y25" s="19">
        <v>1.0</v>
      </c>
      <c r="Z25" s="19">
        <v>4.0</v>
      </c>
      <c r="AA25" s="19">
        <v>0.0</v>
      </c>
      <c r="AB25" s="19">
        <v>1.0</v>
      </c>
      <c r="AC25" s="19">
        <v>0.0</v>
      </c>
      <c r="AD25" s="19">
        <v>4.0</v>
      </c>
      <c r="AE25" s="19">
        <v>2.0</v>
      </c>
      <c r="AF25" s="19">
        <v>1.0</v>
      </c>
      <c r="AG25" s="19">
        <v>2.0</v>
      </c>
      <c r="AH25" s="19">
        <v>9.0</v>
      </c>
      <c r="AI25" s="13">
        <f t="shared" si="3"/>
        <v>48</v>
      </c>
    </row>
    <row r="26" ht="12.75" customHeight="1">
      <c r="A26" s="33"/>
      <c r="B26" s="27"/>
      <c r="C26" s="34"/>
      <c r="D26" s="19" t="s">
        <v>12</v>
      </c>
      <c r="E26" s="19">
        <v>4.0</v>
      </c>
      <c r="F26" s="19">
        <v>1.0</v>
      </c>
      <c r="G26" s="19">
        <v>1.0</v>
      </c>
      <c r="H26" s="19">
        <v>4.0</v>
      </c>
      <c r="I26" s="19">
        <v>0.0</v>
      </c>
      <c r="J26" s="19">
        <v>1.0</v>
      </c>
      <c r="K26" s="19">
        <v>3.0</v>
      </c>
      <c r="L26" s="19">
        <v>0.0</v>
      </c>
      <c r="M26" s="19">
        <v>4.0</v>
      </c>
      <c r="N26" s="19">
        <v>1.0</v>
      </c>
      <c r="O26" s="19">
        <v>2.0</v>
      </c>
      <c r="P26" s="19">
        <v>1.0</v>
      </c>
      <c r="Q26" s="19">
        <v>2.0</v>
      </c>
      <c r="R26" s="19">
        <v>4.0</v>
      </c>
      <c r="S26" s="19">
        <v>5.0</v>
      </c>
      <c r="T26" s="19">
        <v>3.0</v>
      </c>
      <c r="U26" s="19">
        <v>7.0</v>
      </c>
      <c r="V26" s="19">
        <v>2.0</v>
      </c>
      <c r="W26" s="19">
        <v>2.0</v>
      </c>
      <c r="X26" s="19">
        <v>0.0</v>
      </c>
      <c r="Y26" s="19">
        <v>0.0</v>
      </c>
      <c r="Z26" s="19">
        <v>6.0</v>
      </c>
      <c r="AA26" s="19">
        <v>0.0</v>
      </c>
      <c r="AB26" s="19">
        <v>1.0</v>
      </c>
      <c r="AC26" s="19">
        <v>2.0</v>
      </c>
      <c r="AD26" s="19">
        <v>11.0</v>
      </c>
      <c r="AE26" s="19">
        <v>4.0</v>
      </c>
      <c r="AF26" s="19">
        <v>1.0</v>
      </c>
      <c r="AG26" s="19">
        <v>5.0</v>
      </c>
      <c r="AH26" s="19">
        <v>9.0</v>
      </c>
      <c r="AI26" s="13">
        <f t="shared" si="3"/>
        <v>86</v>
      </c>
    </row>
    <row r="27" ht="12.75" customHeight="1">
      <c r="A27" s="35"/>
      <c r="B27" s="28"/>
      <c r="C27" s="36"/>
      <c r="D27" s="13" t="s">
        <v>13</v>
      </c>
      <c r="E27" s="13">
        <f t="shared" ref="E27:AH27" si="6">SUM(E25:E26)</f>
        <v>4</v>
      </c>
      <c r="F27" s="13">
        <f t="shared" si="6"/>
        <v>1</v>
      </c>
      <c r="G27" s="13">
        <f t="shared" si="6"/>
        <v>2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4</v>
      </c>
      <c r="L27" s="13">
        <f t="shared" si="6"/>
        <v>0</v>
      </c>
      <c r="M27" s="13">
        <f t="shared" si="6"/>
        <v>5</v>
      </c>
      <c r="N27" s="13">
        <f t="shared" si="6"/>
        <v>3</v>
      </c>
      <c r="O27" s="13">
        <f t="shared" si="6"/>
        <v>6</v>
      </c>
      <c r="P27" s="13">
        <f t="shared" si="6"/>
        <v>4</v>
      </c>
      <c r="Q27" s="13">
        <f t="shared" si="6"/>
        <v>4</v>
      </c>
      <c r="R27" s="13">
        <f t="shared" si="6"/>
        <v>5</v>
      </c>
      <c r="S27" s="13">
        <f t="shared" si="6"/>
        <v>6</v>
      </c>
      <c r="T27" s="13">
        <f t="shared" si="6"/>
        <v>4</v>
      </c>
      <c r="U27" s="13">
        <f t="shared" si="6"/>
        <v>10</v>
      </c>
      <c r="V27" s="13">
        <f t="shared" si="6"/>
        <v>4</v>
      </c>
      <c r="W27" s="13">
        <f t="shared" si="6"/>
        <v>2</v>
      </c>
      <c r="X27" s="13">
        <f t="shared" si="6"/>
        <v>1</v>
      </c>
      <c r="Y27" s="13">
        <f t="shared" si="6"/>
        <v>1</v>
      </c>
      <c r="Z27" s="13">
        <f t="shared" si="6"/>
        <v>10</v>
      </c>
      <c r="AA27" s="13">
        <f t="shared" si="6"/>
        <v>0</v>
      </c>
      <c r="AB27" s="13">
        <f t="shared" si="6"/>
        <v>2</v>
      </c>
      <c r="AC27" s="13">
        <f t="shared" si="6"/>
        <v>2</v>
      </c>
      <c r="AD27" s="13">
        <f t="shared" si="6"/>
        <v>15</v>
      </c>
      <c r="AE27" s="13">
        <f t="shared" si="6"/>
        <v>6</v>
      </c>
      <c r="AF27" s="13">
        <f t="shared" si="6"/>
        <v>2</v>
      </c>
      <c r="AG27" s="13">
        <f t="shared" si="6"/>
        <v>7</v>
      </c>
      <c r="AH27" s="13">
        <f t="shared" si="6"/>
        <v>18</v>
      </c>
      <c r="AI27" s="13">
        <f t="shared" si="3"/>
        <v>134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H28" si="7">SUM(E19,E22,E25)</f>
        <v>84</v>
      </c>
      <c r="F28" s="13">
        <f t="shared" si="7"/>
        <v>65</v>
      </c>
      <c r="G28" s="13">
        <f t="shared" si="7"/>
        <v>96</v>
      </c>
      <c r="H28" s="13">
        <f t="shared" si="7"/>
        <v>95</v>
      </c>
      <c r="I28" s="13">
        <f t="shared" si="7"/>
        <v>99</v>
      </c>
      <c r="J28" s="13">
        <f t="shared" si="7"/>
        <v>96</v>
      </c>
      <c r="K28" s="13">
        <f t="shared" si="7"/>
        <v>111</v>
      </c>
      <c r="L28" s="13">
        <f t="shared" si="7"/>
        <v>84</v>
      </c>
      <c r="M28" s="13">
        <f t="shared" si="7"/>
        <v>88</v>
      </c>
      <c r="N28" s="13">
        <f t="shared" si="7"/>
        <v>98</v>
      </c>
      <c r="O28" s="13">
        <f t="shared" si="7"/>
        <v>80</v>
      </c>
      <c r="P28" s="13">
        <f t="shared" si="7"/>
        <v>99</v>
      </c>
      <c r="Q28" s="13">
        <f t="shared" si="7"/>
        <v>101</v>
      </c>
      <c r="R28" s="13">
        <f t="shared" si="7"/>
        <v>91</v>
      </c>
      <c r="S28" s="13">
        <f t="shared" si="7"/>
        <v>104</v>
      </c>
      <c r="T28" s="13">
        <f t="shared" si="7"/>
        <v>87</v>
      </c>
      <c r="U28" s="13">
        <f t="shared" si="7"/>
        <v>95</v>
      </c>
      <c r="V28" s="13">
        <f t="shared" si="7"/>
        <v>104</v>
      </c>
      <c r="W28" s="13">
        <f t="shared" si="7"/>
        <v>86</v>
      </c>
      <c r="X28" s="13">
        <f t="shared" si="7"/>
        <v>102</v>
      </c>
      <c r="Y28" s="13">
        <f t="shared" si="7"/>
        <v>86</v>
      </c>
      <c r="Z28" s="13">
        <f t="shared" si="7"/>
        <v>99</v>
      </c>
      <c r="AA28" s="13">
        <f t="shared" si="7"/>
        <v>102</v>
      </c>
      <c r="AB28" s="13">
        <f t="shared" si="7"/>
        <v>110</v>
      </c>
      <c r="AC28" s="13">
        <f t="shared" si="7"/>
        <v>83</v>
      </c>
      <c r="AD28" s="13">
        <f t="shared" si="7"/>
        <v>93</v>
      </c>
      <c r="AE28" s="13">
        <f t="shared" si="7"/>
        <v>119</v>
      </c>
      <c r="AF28" s="13">
        <f t="shared" si="7"/>
        <v>105</v>
      </c>
      <c r="AG28" s="13">
        <f t="shared" si="7"/>
        <v>93</v>
      </c>
      <c r="AH28" s="13">
        <f t="shared" si="7"/>
        <v>117</v>
      </c>
      <c r="AI28" s="13">
        <f t="shared" si="3"/>
        <v>2872</v>
      </c>
    </row>
    <row r="29" ht="12.75" customHeight="1">
      <c r="A29" s="35"/>
      <c r="B29" s="27"/>
      <c r="C29" s="34"/>
      <c r="D29" s="13" t="s">
        <v>12</v>
      </c>
      <c r="E29" s="13">
        <f t="shared" ref="E29:AH29" si="8">SUM(E20,E23,E26)</f>
        <v>98</v>
      </c>
      <c r="F29" s="13">
        <f t="shared" si="8"/>
        <v>62</v>
      </c>
      <c r="G29" s="13">
        <f t="shared" si="8"/>
        <v>113</v>
      </c>
      <c r="H29" s="13">
        <f t="shared" si="8"/>
        <v>108</v>
      </c>
      <c r="I29" s="13">
        <f t="shared" si="8"/>
        <v>111</v>
      </c>
      <c r="J29" s="13">
        <f t="shared" si="8"/>
        <v>109</v>
      </c>
      <c r="K29" s="13">
        <f t="shared" si="8"/>
        <v>124</v>
      </c>
      <c r="L29" s="13">
        <f t="shared" si="8"/>
        <v>114</v>
      </c>
      <c r="M29" s="13">
        <f t="shared" si="8"/>
        <v>110</v>
      </c>
      <c r="N29" s="13">
        <f t="shared" si="8"/>
        <v>103</v>
      </c>
      <c r="O29" s="13">
        <f t="shared" si="8"/>
        <v>97</v>
      </c>
      <c r="P29" s="13">
        <f t="shared" si="8"/>
        <v>99</v>
      </c>
      <c r="Q29" s="13">
        <f t="shared" si="8"/>
        <v>118</v>
      </c>
      <c r="R29" s="13">
        <f t="shared" si="8"/>
        <v>112</v>
      </c>
      <c r="S29" s="13">
        <f t="shared" si="8"/>
        <v>122</v>
      </c>
      <c r="T29" s="13">
        <f t="shared" si="8"/>
        <v>102</v>
      </c>
      <c r="U29" s="13">
        <f t="shared" si="8"/>
        <v>114</v>
      </c>
      <c r="V29" s="13">
        <f t="shared" si="8"/>
        <v>112</v>
      </c>
      <c r="W29" s="13">
        <f t="shared" si="8"/>
        <v>100</v>
      </c>
      <c r="X29" s="13">
        <f t="shared" si="8"/>
        <v>101</v>
      </c>
      <c r="Y29" s="13">
        <f t="shared" si="8"/>
        <v>104</v>
      </c>
      <c r="Z29" s="13">
        <f t="shared" si="8"/>
        <v>113</v>
      </c>
      <c r="AA29" s="13">
        <f t="shared" si="8"/>
        <v>104</v>
      </c>
      <c r="AB29" s="13">
        <f t="shared" si="8"/>
        <v>112</v>
      </c>
      <c r="AC29" s="13">
        <f t="shared" si="8"/>
        <v>104</v>
      </c>
      <c r="AD29" s="13">
        <f t="shared" si="8"/>
        <v>127</v>
      </c>
      <c r="AE29" s="13">
        <f t="shared" si="8"/>
        <v>124</v>
      </c>
      <c r="AF29" s="13">
        <f t="shared" si="8"/>
        <v>102</v>
      </c>
      <c r="AG29" s="13">
        <f t="shared" si="8"/>
        <v>127</v>
      </c>
      <c r="AH29" s="13">
        <f t="shared" si="8"/>
        <v>121</v>
      </c>
      <c r="AI29" s="13">
        <f t="shared" si="3"/>
        <v>3267</v>
      </c>
    </row>
    <row r="30" ht="12.75" customHeight="1">
      <c r="A30" s="35"/>
      <c r="B30" s="28"/>
      <c r="C30" s="36"/>
      <c r="D30" s="13" t="s">
        <v>13</v>
      </c>
      <c r="E30" s="13">
        <f t="shared" ref="E30:AH30" si="9">SUM(E28:E29)</f>
        <v>182</v>
      </c>
      <c r="F30" s="13">
        <f t="shared" si="9"/>
        <v>127</v>
      </c>
      <c r="G30" s="13">
        <f t="shared" si="9"/>
        <v>209</v>
      </c>
      <c r="H30" s="13">
        <f t="shared" si="9"/>
        <v>203</v>
      </c>
      <c r="I30" s="13">
        <f t="shared" si="9"/>
        <v>210</v>
      </c>
      <c r="J30" s="13">
        <f t="shared" si="9"/>
        <v>205</v>
      </c>
      <c r="K30" s="13">
        <f t="shared" si="9"/>
        <v>235</v>
      </c>
      <c r="L30" s="13">
        <f t="shared" si="9"/>
        <v>198</v>
      </c>
      <c r="M30" s="13">
        <f t="shared" si="9"/>
        <v>198</v>
      </c>
      <c r="N30" s="13">
        <f t="shared" si="9"/>
        <v>201</v>
      </c>
      <c r="O30" s="13">
        <f t="shared" si="9"/>
        <v>177</v>
      </c>
      <c r="P30" s="13">
        <f t="shared" si="9"/>
        <v>198</v>
      </c>
      <c r="Q30" s="13">
        <f t="shared" si="9"/>
        <v>219</v>
      </c>
      <c r="R30" s="13">
        <f t="shared" si="9"/>
        <v>203</v>
      </c>
      <c r="S30" s="13">
        <f t="shared" si="9"/>
        <v>226</v>
      </c>
      <c r="T30" s="13">
        <f t="shared" si="9"/>
        <v>189</v>
      </c>
      <c r="U30" s="13">
        <f t="shared" si="9"/>
        <v>209</v>
      </c>
      <c r="V30" s="13">
        <f t="shared" si="9"/>
        <v>216</v>
      </c>
      <c r="W30" s="13">
        <f t="shared" si="9"/>
        <v>186</v>
      </c>
      <c r="X30" s="13">
        <f t="shared" si="9"/>
        <v>203</v>
      </c>
      <c r="Y30" s="13">
        <f t="shared" si="9"/>
        <v>190</v>
      </c>
      <c r="Z30" s="13">
        <f t="shared" si="9"/>
        <v>212</v>
      </c>
      <c r="AA30" s="13">
        <f t="shared" si="9"/>
        <v>206</v>
      </c>
      <c r="AB30" s="13">
        <f t="shared" si="9"/>
        <v>222</v>
      </c>
      <c r="AC30" s="13">
        <f t="shared" si="9"/>
        <v>187</v>
      </c>
      <c r="AD30" s="13">
        <f t="shared" si="9"/>
        <v>220</v>
      </c>
      <c r="AE30" s="13">
        <f t="shared" si="9"/>
        <v>243</v>
      </c>
      <c r="AF30" s="13">
        <f t="shared" si="9"/>
        <v>207</v>
      </c>
      <c r="AG30" s="13">
        <f t="shared" si="9"/>
        <v>220</v>
      </c>
      <c r="AH30" s="13">
        <f t="shared" si="9"/>
        <v>238</v>
      </c>
      <c r="AI30" s="13">
        <f t="shared" si="3"/>
        <v>6139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0"/>
    </row>
    <row r="33" ht="12.75" customHeight="1">
      <c r="A33" s="19">
        <v>1.0</v>
      </c>
      <c r="B33" s="20" t="s">
        <v>26</v>
      </c>
      <c r="C33" s="15"/>
      <c r="D33" s="16"/>
      <c r="E33" s="19">
        <v>260.0</v>
      </c>
      <c r="F33" s="19">
        <v>186.0</v>
      </c>
      <c r="G33" s="19">
        <v>294.0</v>
      </c>
      <c r="H33" s="19">
        <v>289.0</v>
      </c>
      <c r="I33" s="19">
        <v>284.0</v>
      </c>
      <c r="J33" s="19">
        <v>281.0</v>
      </c>
      <c r="K33" s="19">
        <v>302.0</v>
      </c>
      <c r="L33" s="19">
        <v>295.0</v>
      </c>
      <c r="M33" s="19">
        <v>281.0</v>
      </c>
      <c r="N33" s="19">
        <v>282.0</v>
      </c>
      <c r="O33" s="19">
        <v>231.0</v>
      </c>
      <c r="P33" s="19">
        <v>280.0</v>
      </c>
      <c r="Q33" s="19">
        <v>273.0</v>
      </c>
      <c r="R33" s="19">
        <v>282.0</v>
      </c>
      <c r="S33" s="19">
        <v>297.0</v>
      </c>
      <c r="T33" s="19">
        <v>275.0</v>
      </c>
      <c r="U33" s="19">
        <v>283.0</v>
      </c>
      <c r="V33" s="19">
        <v>288.0</v>
      </c>
      <c r="W33" s="19">
        <v>265.0</v>
      </c>
      <c r="X33" s="19">
        <v>279.0</v>
      </c>
      <c r="Y33" s="19">
        <v>296.0</v>
      </c>
      <c r="Z33" s="19">
        <v>295.0</v>
      </c>
      <c r="AA33" s="19">
        <v>301.0</v>
      </c>
      <c r="AB33" s="19">
        <v>296.0</v>
      </c>
      <c r="AC33" s="19">
        <v>297.0</v>
      </c>
      <c r="AD33" s="19">
        <v>296.0</v>
      </c>
      <c r="AE33" s="19">
        <v>298.0</v>
      </c>
      <c r="AF33" s="19">
        <v>294.0</v>
      </c>
      <c r="AG33" s="19">
        <v>296.0</v>
      </c>
      <c r="AH33" s="19">
        <v>297.0</v>
      </c>
      <c r="AI33" s="13">
        <f t="shared" ref="AI33:AI36" si="10">SUM(E33:AH33)</f>
        <v>8473</v>
      </c>
    </row>
    <row r="34" ht="12.75" customHeight="1">
      <c r="A34" s="19">
        <v>2.0</v>
      </c>
      <c r="B34" s="20" t="s">
        <v>27</v>
      </c>
      <c r="C34" s="15"/>
      <c r="D34" s="16"/>
      <c r="E34" s="13">
        <v>182.0</v>
      </c>
      <c r="F34" s="13">
        <v>127.0</v>
      </c>
      <c r="G34" s="13">
        <v>209.0</v>
      </c>
      <c r="H34" s="13">
        <v>203.0</v>
      </c>
      <c r="I34" s="13">
        <v>210.0</v>
      </c>
      <c r="J34" s="13">
        <v>205.0</v>
      </c>
      <c r="K34" s="13">
        <v>235.0</v>
      </c>
      <c r="L34" s="13">
        <v>198.0</v>
      </c>
      <c r="M34" s="13">
        <v>198.0</v>
      </c>
      <c r="N34" s="13">
        <v>201.0</v>
      </c>
      <c r="O34" s="13">
        <v>177.0</v>
      </c>
      <c r="P34" s="13">
        <v>198.0</v>
      </c>
      <c r="Q34" s="13">
        <v>219.0</v>
      </c>
      <c r="R34" s="13">
        <v>203.0</v>
      </c>
      <c r="S34" s="13">
        <v>226.0</v>
      </c>
      <c r="T34" s="13">
        <v>189.0</v>
      </c>
      <c r="U34" s="13">
        <v>209.0</v>
      </c>
      <c r="V34" s="13">
        <v>216.0</v>
      </c>
      <c r="W34" s="13">
        <v>186.0</v>
      </c>
      <c r="X34" s="13">
        <v>203.0</v>
      </c>
      <c r="Y34" s="13">
        <v>190.0</v>
      </c>
      <c r="Z34" s="13">
        <v>212.0</v>
      </c>
      <c r="AA34" s="13">
        <v>206.0</v>
      </c>
      <c r="AB34" s="13">
        <v>222.0</v>
      </c>
      <c r="AC34" s="13">
        <v>187.0</v>
      </c>
      <c r="AD34" s="13">
        <v>220.0</v>
      </c>
      <c r="AE34" s="13">
        <v>243.0</v>
      </c>
      <c r="AF34" s="13">
        <v>207.0</v>
      </c>
      <c r="AG34" s="13">
        <v>220.0</v>
      </c>
      <c r="AH34" s="13">
        <v>238.0</v>
      </c>
      <c r="AI34" s="13">
        <f t="shared" si="10"/>
        <v>6139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3.0</v>
      </c>
      <c r="J35" s="19">
        <v>1.0</v>
      </c>
      <c r="K35" s="19">
        <v>3.0</v>
      </c>
      <c r="L35" s="19">
        <v>0.0</v>
      </c>
      <c r="M35" s="19">
        <v>4.0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2.0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3">
        <f t="shared" si="10"/>
        <v>16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H36" si="11">E33-(E34+E35)</f>
        <v>78</v>
      </c>
      <c r="F36" s="13">
        <f t="shared" si="11"/>
        <v>59</v>
      </c>
      <c r="G36" s="13">
        <f t="shared" si="11"/>
        <v>85</v>
      </c>
      <c r="H36" s="13">
        <f t="shared" si="11"/>
        <v>86</v>
      </c>
      <c r="I36" s="13">
        <f t="shared" si="11"/>
        <v>71</v>
      </c>
      <c r="J36" s="13">
        <f t="shared" si="11"/>
        <v>75</v>
      </c>
      <c r="K36" s="13">
        <f t="shared" si="11"/>
        <v>64</v>
      </c>
      <c r="L36" s="13">
        <f t="shared" si="11"/>
        <v>97</v>
      </c>
      <c r="M36" s="13">
        <f t="shared" si="11"/>
        <v>79</v>
      </c>
      <c r="N36" s="13">
        <f t="shared" si="11"/>
        <v>80</v>
      </c>
      <c r="O36" s="13">
        <f t="shared" si="11"/>
        <v>54</v>
      </c>
      <c r="P36" s="13">
        <f t="shared" si="11"/>
        <v>82</v>
      </c>
      <c r="Q36" s="13">
        <f t="shared" si="11"/>
        <v>54</v>
      </c>
      <c r="R36" s="13">
        <f t="shared" si="11"/>
        <v>79</v>
      </c>
      <c r="S36" s="13">
        <f t="shared" si="11"/>
        <v>71</v>
      </c>
      <c r="T36" s="13">
        <f t="shared" si="11"/>
        <v>86</v>
      </c>
      <c r="U36" s="13">
        <f t="shared" si="11"/>
        <v>74</v>
      </c>
      <c r="V36" s="13">
        <f t="shared" si="11"/>
        <v>71</v>
      </c>
      <c r="W36" s="13">
        <f t="shared" si="11"/>
        <v>79</v>
      </c>
      <c r="X36" s="13">
        <f t="shared" si="11"/>
        <v>74</v>
      </c>
      <c r="Y36" s="13">
        <f t="shared" si="11"/>
        <v>106</v>
      </c>
      <c r="Z36" s="13">
        <f t="shared" si="11"/>
        <v>83</v>
      </c>
      <c r="AA36" s="13">
        <f t="shared" si="11"/>
        <v>95</v>
      </c>
      <c r="AB36" s="13">
        <f t="shared" si="11"/>
        <v>73</v>
      </c>
      <c r="AC36" s="13">
        <f t="shared" si="11"/>
        <v>110</v>
      </c>
      <c r="AD36" s="13">
        <f t="shared" si="11"/>
        <v>76</v>
      </c>
      <c r="AE36" s="13">
        <f t="shared" si="11"/>
        <v>55</v>
      </c>
      <c r="AF36" s="13">
        <f t="shared" si="11"/>
        <v>87</v>
      </c>
      <c r="AG36" s="13">
        <f t="shared" si="11"/>
        <v>76</v>
      </c>
      <c r="AH36" s="13">
        <f t="shared" si="11"/>
        <v>59</v>
      </c>
      <c r="AI36" s="13">
        <f t="shared" si="10"/>
        <v>2318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0.0</v>
      </c>
      <c r="N39" s="19">
        <v>0.0</v>
      </c>
      <c r="O39" s="19">
        <v>1.0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3">
        <f t="shared" ref="AI39:AI41" si="12">SUM(E39:AH39)</f>
        <v>7</v>
      </c>
    </row>
    <row r="40" ht="12.75" customHeight="1">
      <c r="A40" s="33"/>
      <c r="C40" s="27"/>
      <c r="D40" s="19" t="s">
        <v>12</v>
      </c>
      <c r="E40" s="19">
        <v>1.0</v>
      </c>
      <c r="F40" s="19">
        <v>2.0</v>
      </c>
      <c r="G40" s="19">
        <v>3.0</v>
      </c>
      <c r="H40" s="19">
        <v>1.0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2.0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3">
        <f t="shared" si="12"/>
        <v>10</v>
      </c>
    </row>
    <row r="41" ht="12.75" customHeight="1">
      <c r="A41" s="41"/>
      <c r="B41" s="44"/>
      <c r="C41" s="28"/>
      <c r="D41" s="13" t="s">
        <v>13</v>
      </c>
      <c r="E41" s="13">
        <f t="shared" ref="E41:AH41" si="13">SUM(E39:E40)</f>
        <v>1</v>
      </c>
      <c r="F41" s="13">
        <f t="shared" si="13"/>
        <v>2</v>
      </c>
      <c r="G41" s="13">
        <f t="shared" si="13"/>
        <v>4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59"/>
      <c r="Z42" s="19"/>
      <c r="AA42" s="59"/>
      <c r="AB42" s="19"/>
      <c r="AC42" s="59"/>
      <c r="AD42" s="19"/>
      <c r="AE42" s="59"/>
      <c r="AF42" s="19"/>
      <c r="AG42" s="59"/>
      <c r="AH42" s="19"/>
      <c r="AI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61"/>
      <c r="Z43" s="13"/>
      <c r="AA43" s="61"/>
      <c r="AB43" s="13"/>
      <c r="AC43" s="61"/>
      <c r="AD43" s="13"/>
      <c r="AE43" s="61"/>
      <c r="AF43" s="13"/>
      <c r="AG43" s="61"/>
      <c r="AH43" s="13"/>
      <c r="AI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59"/>
      <c r="Z44" s="19"/>
      <c r="AA44" s="59"/>
      <c r="AB44" s="19"/>
      <c r="AC44" s="59"/>
      <c r="AD44" s="19"/>
      <c r="AE44" s="59"/>
      <c r="AF44" s="19"/>
      <c r="AG44" s="59"/>
      <c r="AH44" s="19"/>
      <c r="AI44" s="13"/>
    </row>
    <row r="45" ht="12.75" customHeight="1">
      <c r="A45" s="63"/>
      <c r="B45" s="47">
        <v>1.0</v>
      </c>
      <c r="C45" s="48" t="s">
        <v>36</v>
      </c>
      <c r="D45" s="16"/>
      <c r="E45" s="19">
        <v>12.0</v>
      </c>
      <c r="F45" s="19">
        <v>15.0</v>
      </c>
      <c r="G45" s="19">
        <v>27.0</v>
      </c>
      <c r="H45" s="19">
        <v>33.0</v>
      </c>
      <c r="I45" s="19">
        <v>26.0</v>
      </c>
      <c r="J45" s="19">
        <v>31.0</v>
      </c>
      <c r="K45" s="19">
        <v>35.0</v>
      </c>
      <c r="L45" s="19">
        <v>14.0</v>
      </c>
      <c r="M45" s="19">
        <v>32.0</v>
      </c>
      <c r="N45" s="19">
        <v>24.0</v>
      </c>
      <c r="O45" s="19">
        <v>33.0</v>
      </c>
      <c r="P45" s="19">
        <v>26.0</v>
      </c>
      <c r="Q45" s="19">
        <v>15.0</v>
      </c>
      <c r="R45" s="19">
        <v>11.0</v>
      </c>
      <c r="S45" s="19">
        <v>48.0</v>
      </c>
      <c r="T45" s="19">
        <v>33.0</v>
      </c>
      <c r="U45" s="19">
        <v>37.0</v>
      </c>
      <c r="V45" s="19">
        <v>23.0</v>
      </c>
      <c r="W45" s="19">
        <v>17.0</v>
      </c>
      <c r="X45" s="19">
        <v>19.0</v>
      </c>
      <c r="Y45" s="19">
        <v>16.0</v>
      </c>
      <c r="Z45" s="19">
        <v>27.0</v>
      </c>
      <c r="AA45" s="19">
        <v>27.0</v>
      </c>
      <c r="AB45" s="19">
        <v>45.0</v>
      </c>
      <c r="AC45" s="19">
        <v>34.0</v>
      </c>
      <c r="AD45" s="19">
        <v>15.0</v>
      </c>
      <c r="AE45" s="19">
        <v>22.0</v>
      </c>
      <c r="AF45" s="19">
        <v>35.0</v>
      </c>
      <c r="AG45" s="19">
        <v>15.0</v>
      </c>
      <c r="AH45" s="19">
        <v>35.0</v>
      </c>
      <c r="AI45" s="13">
        <f t="shared" ref="AI45:AI47" si="14">SUM(E45:AH45)</f>
        <v>782</v>
      </c>
    </row>
    <row r="46" ht="12.75" customHeight="1">
      <c r="A46" s="18"/>
      <c r="B46" s="47">
        <v>2.0</v>
      </c>
      <c r="C46" s="48" t="s">
        <v>37</v>
      </c>
      <c r="D46" s="16"/>
      <c r="E46" s="19">
        <v>135.0</v>
      </c>
      <c r="F46" s="19">
        <v>86.0</v>
      </c>
      <c r="G46" s="19">
        <v>142.0</v>
      </c>
      <c r="H46" s="19">
        <v>131.0</v>
      </c>
      <c r="I46" s="19">
        <v>137.0</v>
      </c>
      <c r="J46" s="19">
        <v>125.0</v>
      </c>
      <c r="K46" s="19">
        <v>175.0</v>
      </c>
      <c r="L46" s="19">
        <v>143.0</v>
      </c>
      <c r="M46" s="19">
        <v>121.0</v>
      </c>
      <c r="N46" s="19">
        <v>130.0</v>
      </c>
      <c r="O46" s="19">
        <v>123.0</v>
      </c>
      <c r="P46" s="19">
        <v>139.0</v>
      </c>
      <c r="Q46" s="19">
        <v>162.0</v>
      </c>
      <c r="R46" s="19">
        <v>149.0</v>
      </c>
      <c r="S46" s="19">
        <v>141.0</v>
      </c>
      <c r="T46" s="19">
        <v>131.0</v>
      </c>
      <c r="U46" s="19">
        <v>132.0</v>
      </c>
      <c r="V46" s="19">
        <v>151.0</v>
      </c>
      <c r="W46" s="19">
        <v>127.0</v>
      </c>
      <c r="X46" s="19">
        <v>129.0</v>
      </c>
      <c r="Y46" s="19">
        <v>118.0</v>
      </c>
      <c r="Z46" s="19">
        <v>140.0</v>
      </c>
      <c r="AA46" s="19">
        <v>131.0</v>
      </c>
      <c r="AB46" s="19">
        <v>131.0</v>
      </c>
      <c r="AC46" s="19">
        <v>107.0</v>
      </c>
      <c r="AD46" s="19">
        <v>150.0</v>
      </c>
      <c r="AE46" s="19">
        <v>170.0</v>
      </c>
      <c r="AF46" s="19">
        <v>126.0</v>
      </c>
      <c r="AG46" s="19">
        <v>146.0</v>
      </c>
      <c r="AH46" s="19">
        <v>162.0</v>
      </c>
      <c r="AI46" s="13">
        <f t="shared" si="14"/>
        <v>4090</v>
      </c>
    </row>
    <row r="47" ht="12.75" customHeight="1">
      <c r="A47" s="45"/>
      <c r="B47" s="47">
        <v>3.0</v>
      </c>
      <c r="C47" s="48" t="s">
        <v>38</v>
      </c>
      <c r="D47" s="16"/>
      <c r="E47" s="19">
        <v>28.0</v>
      </c>
      <c r="F47" s="19">
        <v>23.0</v>
      </c>
      <c r="G47" s="19">
        <v>39.0</v>
      </c>
      <c r="H47" s="19">
        <v>36.0</v>
      </c>
      <c r="I47" s="19">
        <v>43.0</v>
      </c>
      <c r="J47" s="19">
        <v>43.0</v>
      </c>
      <c r="K47" s="19">
        <v>23.0</v>
      </c>
      <c r="L47" s="19">
        <v>39.0</v>
      </c>
      <c r="M47" s="19">
        <v>42.0</v>
      </c>
      <c r="N47" s="19">
        <v>42.0</v>
      </c>
      <c r="O47" s="19">
        <v>20.0</v>
      </c>
      <c r="P47" s="19">
        <v>30.0</v>
      </c>
      <c r="Q47" s="19">
        <v>34.0</v>
      </c>
      <c r="R47" s="19">
        <v>41.0</v>
      </c>
      <c r="S47" s="19">
        <v>36.0</v>
      </c>
      <c r="T47" s="19">
        <v>25.0</v>
      </c>
      <c r="U47" s="19">
        <v>33.0</v>
      </c>
      <c r="V47" s="19">
        <v>41.0</v>
      </c>
      <c r="W47" s="19">
        <v>42.0</v>
      </c>
      <c r="X47" s="19">
        <v>52.0</v>
      </c>
      <c r="Y47" s="19">
        <v>51.0</v>
      </c>
      <c r="Z47" s="19">
        <v>38.0</v>
      </c>
      <c r="AA47" s="19">
        <v>38.0</v>
      </c>
      <c r="AB47" s="19">
        <v>36.0</v>
      </c>
      <c r="AC47" s="19">
        <v>29.0</v>
      </c>
      <c r="AD47" s="19">
        <v>49.0</v>
      </c>
      <c r="AE47" s="19">
        <v>44.0</v>
      </c>
      <c r="AF47" s="19">
        <v>35.0</v>
      </c>
      <c r="AG47" s="19">
        <v>48.0</v>
      </c>
      <c r="AH47" s="19">
        <v>36.0</v>
      </c>
      <c r="AI47" s="13">
        <f t="shared" si="14"/>
        <v>1116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H50" si="15">SUM(E45:E47)</f>
        <v>175</v>
      </c>
      <c r="F50" s="19">
        <f t="shared" si="15"/>
        <v>124</v>
      </c>
      <c r="G50" s="19">
        <f t="shared" si="15"/>
        <v>208</v>
      </c>
      <c r="H50" s="19">
        <f t="shared" si="15"/>
        <v>200</v>
      </c>
      <c r="I50" s="19">
        <f t="shared" si="15"/>
        <v>206</v>
      </c>
      <c r="J50" s="19">
        <f t="shared" si="15"/>
        <v>199</v>
      </c>
      <c r="K50" s="19">
        <f t="shared" si="15"/>
        <v>233</v>
      </c>
      <c r="L50" s="19">
        <f t="shared" si="15"/>
        <v>196</v>
      </c>
      <c r="M50" s="19">
        <f t="shared" si="15"/>
        <v>195</v>
      </c>
      <c r="N50" s="19">
        <f t="shared" si="15"/>
        <v>196</v>
      </c>
      <c r="O50" s="19">
        <f t="shared" si="15"/>
        <v>176</v>
      </c>
      <c r="P50" s="19">
        <f t="shared" si="15"/>
        <v>195</v>
      </c>
      <c r="Q50" s="19">
        <f t="shared" si="15"/>
        <v>211</v>
      </c>
      <c r="R50" s="19">
        <f t="shared" si="15"/>
        <v>201</v>
      </c>
      <c r="S50" s="19">
        <f t="shared" si="15"/>
        <v>225</v>
      </c>
      <c r="T50" s="19">
        <f t="shared" si="15"/>
        <v>189</v>
      </c>
      <c r="U50" s="19">
        <f t="shared" si="15"/>
        <v>202</v>
      </c>
      <c r="V50" s="19">
        <f t="shared" si="15"/>
        <v>215</v>
      </c>
      <c r="W50" s="19">
        <f t="shared" si="15"/>
        <v>186</v>
      </c>
      <c r="X50" s="19">
        <f t="shared" si="15"/>
        <v>200</v>
      </c>
      <c r="Y50" s="19">
        <f t="shared" si="15"/>
        <v>185</v>
      </c>
      <c r="Z50" s="19">
        <f t="shared" si="15"/>
        <v>205</v>
      </c>
      <c r="AA50" s="19">
        <f t="shared" si="15"/>
        <v>196</v>
      </c>
      <c r="AB50" s="19">
        <f t="shared" si="15"/>
        <v>212</v>
      </c>
      <c r="AC50" s="19">
        <f t="shared" si="15"/>
        <v>170</v>
      </c>
      <c r="AD50" s="19">
        <f t="shared" si="15"/>
        <v>214</v>
      </c>
      <c r="AE50" s="19">
        <f t="shared" si="15"/>
        <v>236</v>
      </c>
      <c r="AF50" s="19">
        <f t="shared" si="15"/>
        <v>196</v>
      </c>
      <c r="AG50" s="19">
        <f t="shared" si="15"/>
        <v>209</v>
      </c>
      <c r="AH50" s="19">
        <f t="shared" si="15"/>
        <v>233</v>
      </c>
      <c r="AI50" s="13">
        <f t="shared" ref="AI50:AI52" si="16">SUM(E50:AH50)</f>
        <v>5988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7.0</v>
      </c>
      <c r="F51" s="19">
        <v>3.0</v>
      </c>
      <c r="G51" s="19">
        <v>1.0</v>
      </c>
      <c r="H51" s="19">
        <v>3.0</v>
      </c>
      <c r="I51" s="19">
        <v>4.0</v>
      </c>
      <c r="J51" s="19">
        <v>6.0</v>
      </c>
      <c r="K51" s="19">
        <v>2.0</v>
      </c>
      <c r="L51" s="19">
        <v>2.0</v>
      </c>
      <c r="M51" s="19">
        <v>3.0</v>
      </c>
      <c r="N51" s="19">
        <v>5.0</v>
      </c>
      <c r="O51" s="19">
        <v>1.0</v>
      </c>
      <c r="P51" s="19">
        <v>3.0</v>
      </c>
      <c r="Q51" s="19">
        <v>8.0</v>
      </c>
      <c r="R51" s="19">
        <v>2.0</v>
      </c>
      <c r="S51" s="19">
        <v>1.0</v>
      </c>
      <c r="T51" s="19">
        <v>0.0</v>
      </c>
      <c r="U51" s="19">
        <v>7.0</v>
      </c>
      <c r="V51" s="19">
        <v>1.0</v>
      </c>
      <c r="W51" s="19">
        <v>0.0</v>
      </c>
      <c r="X51" s="19">
        <v>3.0</v>
      </c>
      <c r="Y51" s="19">
        <v>5.0</v>
      </c>
      <c r="Z51" s="19">
        <v>7.0</v>
      </c>
      <c r="AA51" s="19">
        <v>10.0</v>
      </c>
      <c r="AB51" s="19">
        <v>10.0</v>
      </c>
      <c r="AC51" s="19">
        <v>17.0</v>
      </c>
      <c r="AD51" s="19">
        <v>6.0</v>
      </c>
      <c r="AE51" s="19">
        <v>7.0</v>
      </c>
      <c r="AF51" s="19">
        <v>11.0</v>
      </c>
      <c r="AG51" s="19">
        <v>11.0</v>
      </c>
      <c r="AH51" s="19">
        <v>5.0</v>
      </c>
      <c r="AI51" s="13">
        <f t="shared" si="16"/>
        <v>151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H52" si="17">SUM(E50:E51)</f>
        <v>182</v>
      </c>
      <c r="F52" s="13">
        <f t="shared" si="17"/>
        <v>127</v>
      </c>
      <c r="G52" s="13">
        <f t="shared" si="17"/>
        <v>209</v>
      </c>
      <c r="H52" s="13">
        <f t="shared" si="17"/>
        <v>203</v>
      </c>
      <c r="I52" s="13">
        <f t="shared" si="17"/>
        <v>210</v>
      </c>
      <c r="J52" s="13">
        <f t="shared" si="17"/>
        <v>205</v>
      </c>
      <c r="K52" s="13">
        <f t="shared" si="17"/>
        <v>235</v>
      </c>
      <c r="L52" s="13">
        <f t="shared" si="17"/>
        <v>198</v>
      </c>
      <c r="M52" s="13">
        <f t="shared" si="17"/>
        <v>198</v>
      </c>
      <c r="N52" s="13">
        <f t="shared" si="17"/>
        <v>201</v>
      </c>
      <c r="O52" s="13">
        <f t="shared" si="17"/>
        <v>177</v>
      </c>
      <c r="P52" s="13">
        <f t="shared" si="17"/>
        <v>198</v>
      </c>
      <c r="Q52" s="13">
        <f t="shared" si="17"/>
        <v>219</v>
      </c>
      <c r="R52" s="13">
        <f t="shared" si="17"/>
        <v>203</v>
      </c>
      <c r="S52" s="13">
        <f t="shared" si="17"/>
        <v>226</v>
      </c>
      <c r="T52" s="13">
        <f t="shared" si="17"/>
        <v>189</v>
      </c>
      <c r="U52" s="13">
        <f t="shared" si="17"/>
        <v>209</v>
      </c>
      <c r="V52" s="13">
        <f t="shared" si="17"/>
        <v>216</v>
      </c>
      <c r="W52" s="13">
        <f t="shared" si="17"/>
        <v>186</v>
      </c>
      <c r="X52" s="13">
        <f t="shared" si="17"/>
        <v>203</v>
      </c>
      <c r="Y52" s="13">
        <f t="shared" si="17"/>
        <v>190</v>
      </c>
      <c r="Z52" s="13">
        <f t="shared" si="17"/>
        <v>212</v>
      </c>
      <c r="AA52" s="13">
        <f t="shared" si="17"/>
        <v>206</v>
      </c>
      <c r="AB52" s="13">
        <f t="shared" si="17"/>
        <v>222</v>
      </c>
      <c r="AC52" s="13">
        <f t="shared" si="17"/>
        <v>187</v>
      </c>
      <c r="AD52" s="13">
        <f t="shared" si="17"/>
        <v>220</v>
      </c>
      <c r="AE52" s="13">
        <f t="shared" si="17"/>
        <v>243</v>
      </c>
      <c r="AF52" s="13">
        <f t="shared" si="17"/>
        <v>207</v>
      </c>
      <c r="AG52" s="13">
        <f t="shared" si="17"/>
        <v>220</v>
      </c>
      <c r="AH52" s="13">
        <f t="shared" si="17"/>
        <v>238</v>
      </c>
      <c r="AI52" s="13">
        <f t="shared" si="16"/>
        <v>6139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H12"/>
    <mergeCell ref="AI12:AI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 Y34:AC34">
    <cfRule type="expression" dxfId="0" priority="1">
      <formula>E34&lt;&gt;#REF!</formula>
    </cfRule>
  </conditionalFormatting>
  <conditionalFormatting sqref="E14:AH15 E45:AH47">
    <cfRule type="containsBlanks" dxfId="1" priority="2">
      <formula>LEN(TRIM(E14))=0</formula>
    </cfRule>
  </conditionalFormatting>
  <conditionalFormatting sqref="E19:AH20">
    <cfRule type="containsBlanks" dxfId="1" priority="3">
      <formula>LEN(TRIM(E19))=0</formula>
    </cfRule>
  </conditionalFormatting>
  <conditionalFormatting sqref="E22:AH23 E25:AH26 E33:AH33 E35:AH35 E39:AH40">
    <cfRule type="containsBlanks" dxfId="1" priority="4">
      <formula>LEN(TRIM(E22))=0</formula>
    </cfRule>
  </conditionalFormatting>
  <conditionalFormatting sqref="E30:AH30">
    <cfRule type="expression" dxfId="0" priority="5">
      <formula>E30&lt;&gt;E46</formula>
    </cfRule>
  </conditionalFormatting>
  <conditionalFormatting sqref="E30:AH30">
    <cfRule type="expression" dxfId="0" priority="6">
      <formula>E30&lt;&gt;E34</formula>
    </cfRule>
  </conditionalFormatting>
  <conditionalFormatting sqref="E34:AH34">
    <cfRule type="expression" dxfId="2" priority="7">
      <formula>E30&lt;&gt;E34</formula>
    </cfRule>
  </conditionalFormatting>
  <conditionalFormatting sqref="E34:AH34">
    <cfRule type="expression" dxfId="3" priority="8">
      <formula>E30=E34</formula>
    </cfRule>
  </conditionalFormatting>
  <conditionalFormatting sqref="E34:AH34">
    <cfRule type="expression" dxfId="0" priority="9">
      <formula>E34&lt;&gt;E30</formula>
    </cfRule>
  </conditionalFormatting>
  <conditionalFormatting sqref="E50:AH51">
    <cfRule type="containsBlanks" dxfId="1" priority="10">
      <formula>LEN(TRIM(E50))=0</formula>
    </cfRule>
  </conditionalFormatting>
  <conditionalFormatting sqref="AD34:AH34">
    <cfRule type="expression" dxfId="0" priority="11">
      <formula>AD34&lt;&gt;AD46</formula>
    </cfRule>
  </conditionalFormatting>
  <conditionalFormatting sqref="U34:X34">
    <cfRule type="expression" dxfId="0" priority="12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82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13" t="s">
        <v>68</v>
      </c>
      <c r="V13" s="13" t="s">
        <v>69</v>
      </c>
      <c r="W13" s="13" t="s">
        <v>70</v>
      </c>
      <c r="X13" s="13" t="s">
        <v>71</v>
      </c>
      <c r="Y13" s="13" t="s">
        <v>72</v>
      </c>
      <c r="Z13" s="13" t="s">
        <v>73</v>
      </c>
      <c r="AA13" s="13" t="s">
        <v>74</v>
      </c>
      <c r="AB13" s="13" t="s">
        <v>75</v>
      </c>
      <c r="AC13" s="13" t="s">
        <v>76</v>
      </c>
      <c r="AD13" s="13" t="s">
        <v>77</v>
      </c>
      <c r="AE13" s="13" t="s">
        <v>78</v>
      </c>
      <c r="AF13" s="13" t="s">
        <v>79</v>
      </c>
      <c r="AG13" s="13" t="s">
        <v>80</v>
      </c>
      <c r="AH13" s="36"/>
    </row>
    <row r="14" ht="12.75" customHeight="1">
      <c r="A14" s="18"/>
      <c r="B14" s="22" t="s">
        <v>10</v>
      </c>
      <c r="C14" s="23"/>
      <c r="D14" s="19" t="s">
        <v>11</v>
      </c>
      <c r="E14" s="19">
        <v>135.0</v>
      </c>
      <c r="F14" s="19">
        <v>150.0</v>
      </c>
      <c r="G14" s="19">
        <v>140.0</v>
      </c>
      <c r="H14" s="19">
        <v>130.0</v>
      </c>
      <c r="I14" s="19">
        <v>145.0</v>
      </c>
      <c r="J14" s="19">
        <v>139.0</v>
      </c>
      <c r="K14" s="19">
        <v>138.0</v>
      </c>
      <c r="L14" s="19">
        <v>138.0</v>
      </c>
      <c r="M14" s="19">
        <v>146.0</v>
      </c>
      <c r="N14" s="19">
        <v>141.0</v>
      </c>
      <c r="O14" s="19">
        <v>134.0</v>
      </c>
      <c r="P14" s="19">
        <v>136.0</v>
      </c>
      <c r="Q14" s="19">
        <v>135.0</v>
      </c>
      <c r="R14" s="19">
        <v>127.0</v>
      </c>
      <c r="S14" s="19">
        <v>124.0</v>
      </c>
      <c r="T14" s="19">
        <v>127.0</v>
      </c>
      <c r="U14" s="19">
        <v>138.0</v>
      </c>
      <c r="V14" s="19">
        <v>147.0</v>
      </c>
      <c r="W14" s="19">
        <v>129.0</v>
      </c>
      <c r="X14" s="19">
        <v>120.0</v>
      </c>
      <c r="Y14" s="19">
        <v>130.0</v>
      </c>
      <c r="Z14" s="19">
        <v>135.0</v>
      </c>
      <c r="AA14" s="19">
        <v>136.0</v>
      </c>
      <c r="AB14" s="19">
        <v>125.0</v>
      </c>
      <c r="AC14" s="19">
        <v>136.0</v>
      </c>
      <c r="AD14" s="19">
        <v>135.0</v>
      </c>
      <c r="AE14" s="19">
        <v>82.0</v>
      </c>
      <c r="AF14" s="19">
        <v>74.0</v>
      </c>
      <c r="AG14" s="19">
        <v>148.0</v>
      </c>
      <c r="AH14" s="13">
        <f t="shared" ref="AH14:AH16" si="1">SUM(E14:AG14)</f>
        <v>3820</v>
      </c>
    </row>
    <row r="15" ht="12.75" customHeight="1">
      <c r="A15" s="18"/>
      <c r="B15" s="26"/>
      <c r="C15" s="27"/>
      <c r="D15" s="19" t="s">
        <v>12</v>
      </c>
      <c r="E15" s="19">
        <v>155.0</v>
      </c>
      <c r="F15" s="19">
        <v>142.0</v>
      </c>
      <c r="G15" s="19">
        <v>154.0</v>
      </c>
      <c r="H15" s="19">
        <v>159.0</v>
      </c>
      <c r="I15" s="19">
        <v>146.0</v>
      </c>
      <c r="J15" s="19">
        <v>140.0</v>
      </c>
      <c r="K15" s="19">
        <v>149.0</v>
      </c>
      <c r="L15" s="19">
        <v>154.0</v>
      </c>
      <c r="M15" s="19">
        <v>144.0</v>
      </c>
      <c r="N15" s="19">
        <v>155.0</v>
      </c>
      <c r="O15" s="19">
        <v>162.0</v>
      </c>
      <c r="P15" s="19">
        <v>143.0</v>
      </c>
      <c r="Q15" s="19">
        <v>129.0</v>
      </c>
      <c r="R15" s="19">
        <v>147.0</v>
      </c>
      <c r="S15" s="19">
        <v>144.0</v>
      </c>
      <c r="T15" s="19">
        <v>143.0</v>
      </c>
      <c r="U15" s="19">
        <v>153.0</v>
      </c>
      <c r="V15" s="19">
        <v>146.0</v>
      </c>
      <c r="W15" s="19">
        <v>146.0</v>
      </c>
      <c r="X15" s="19">
        <v>150.0</v>
      </c>
      <c r="Y15" s="19">
        <v>153.0</v>
      </c>
      <c r="Z15" s="19">
        <v>149.0</v>
      </c>
      <c r="AA15" s="19">
        <v>154.0</v>
      </c>
      <c r="AB15" s="19">
        <v>152.0</v>
      </c>
      <c r="AC15" s="19">
        <v>160.0</v>
      </c>
      <c r="AD15" s="19">
        <v>148.0</v>
      </c>
      <c r="AE15" s="19">
        <v>96.0</v>
      </c>
      <c r="AF15" s="19">
        <v>83.0</v>
      </c>
      <c r="AG15" s="19">
        <v>150.0</v>
      </c>
      <c r="AH15" s="13">
        <f t="shared" si="1"/>
        <v>4206</v>
      </c>
    </row>
    <row r="16" ht="12.75" customHeight="1">
      <c r="A16" s="25"/>
      <c r="B16" s="21"/>
      <c r="C16" s="28"/>
      <c r="D16" s="13" t="s">
        <v>13</v>
      </c>
      <c r="E16" s="13">
        <f t="shared" ref="E16:AG16" si="2">SUM(E14:E15)</f>
        <v>290</v>
      </c>
      <c r="F16" s="13">
        <f t="shared" si="2"/>
        <v>292</v>
      </c>
      <c r="G16" s="13">
        <f t="shared" si="2"/>
        <v>294</v>
      </c>
      <c r="H16" s="13">
        <f t="shared" si="2"/>
        <v>289</v>
      </c>
      <c r="I16" s="13">
        <f t="shared" si="2"/>
        <v>291</v>
      </c>
      <c r="J16" s="13">
        <f t="shared" si="2"/>
        <v>279</v>
      </c>
      <c r="K16" s="13">
        <f t="shared" si="2"/>
        <v>287</v>
      </c>
      <c r="L16" s="13">
        <f t="shared" si="2"/>
        <v>292</v>
      </c>
      <c r="M16" s="13">
        <f t="shared" si="2"/>
        <v>290</v>
      </c>
      <c r="N16" s="13">
        <f t="shared" si="2"/>
        <v>296</v>
      </c>
      <c r="O16" s="13">
        <f t="shared" si="2"/>
        <v>296</v>
      </c>
      <c r="P16" s="13">
        <f t="shared" si="2"/>
        <v>279</v>
      </c>
      <c r="Q16" s="13">
        <f t="shared" si="2"/>
        <v>264</v>
      </c>
      <c r="R16" s="13">
        <f t="shared" si="2"/>
        <v>274</v>
      </c>
      <c r="S16" s="13">
        <f t="shared" si="2"/>
        <v>268</v>
      </c>
      <c r="T16" s="13">
        <f t="shared" si="2"/>
        <v>270</v>
      </c>
      <c r="U16" s="13">
        <f t="shared" si="2"/>
        <v>291</v>
      </c>
      <c r="V16" s="13">
        <f t="shared" si="2"/>
        <v>293</v>
      </c>
      <c r="W16" s="13">
        <f t="shared" si="2"/>
        <v>275</v>
      </c>
      <c r="X16" s="13">
        <f t="shared" si="2"/>
        <v>270</v>
      </c>
      <c r="Y16" s="13">
        <f t="shared" si="2"/>
        <v>283</v>
      </c>
      <c r="Z16" s="13">
        <f t="shared" si="2"/>
        <v>284</v>
      </c>
      <c r="AA16" s="13">
        <f t="shared" si="2"/>
        <v>290</v>
      </c>
      <c r="AB16" s="13">
        <f t="shared" si="2"/>
        <v>277</v>
      </c>
      <c r="AC16" s="13">
        <f t="shared" si="2"/>
        <v>296</v>
      </c>
      <c r="AD16" s="13">
        <f t="shared" si="2"/>
        <v>283</v>
      </c>
      <c r="AE16" s="13">
        <f t="shared" si="2"/>
        <v>178</v>
      </c>
      <c r="AF16" s="13">
        <f t="shared" si="2"/>
        <v>157</v>
      </c>
      <c r="AG16" s="13">
        <f t="shared" si="2"/>
        <v>298</v>
      </c>
      <c r="AH16" s="13">
        <f t="shared" si="1"/>
        <v>8026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94.0</v>
      </c>
      <c r="F19" s="19">
        <v>111.0</v>
      </c>
      <c r="G19" s="19">
        <v>95.0</v>
      </c>
      <c r="H19" s="19">
        <v>95.0</v>
      </c>
      <c r="I19" s="19">
        <v>112.0</v>
      </c>
      <c r="J19" s="19">
        <v>109.0</v>
      </c>
      <c r="K19" s="19">
        <v>103.0</v>
      </c>
      <c r="L19" s="19">
        <v>99.0</v>
      </c>
      <c r="M19" s="19">
        <v>113.0</v>
      </c>
      <c r="N19" s="19">
        <v>91.0</v>
      </c>
      <c r="O19" s="19">
        <v>101.0</v>
      </c>
      <c r="P19" s="19">
        <v>92.0</v>
      </c>
      <c r="Q19" s="19">
        <v>97.0</v>
      </c>
      <c r="R19" s="19">
        <v>92.0</v>
      </c>
      <c r="S19" s="19">
        <v>89.0</v>
      </c>
      <c r="T19" s="19">
        <v>92.0</v>
      </c>
      <c r="U19" s="19">
        <v>96.0</v>
      </c>
      <c r="V19" s="19">
        <v>118.0</v>
      </c>
      <c r="W19" s="19">
        <v>100.0</v>
      </c>
      <c r="X19" s="19">
        <v>88.0</v>
      </c>
      <c r="Y19" s="19">
        <v>93.0</v>
      </c>
      <c r="Z19" s="19">
        <v>94.0</v>
      </c>
      <c r="AA19" s="19">
        <v>101.0</v>
      </c>
      <c r="AB19" s="19">
        <v>87.0</v>
      </c>
      <c r="AC19" s="19">
        <v>102.0</v>
      </c>
      <c r="AD19" s="19">
        <v>96.0</v>
      </c>
      <c r="AE19" s="19">
        <v>56.0</v>
      </c>
      <c r="AF19" s="19">
        <v>53.0</v>
      </c>
      <c r="AG19" s="19">
        <v>123.0</v>
      </c>
      <c r="AH19" s="13">
        <f t="shared" ref="AH19:AH30" si="3">SUM(E19:AG19)</f>
        <v>2792</v>
      </c>
    </row>
    <row r="20" ht="12.75" customHeight="1">
      <c r="A20" s="33"/>
      <c r="B20" s="27"/>
      <c r="C20" s="34"/>
      <c r="D20" s="19" t="s">
        <v>12</v>
      </c>
      <c r="E20" s="19">
        <v>121.0</v>
      </c>
      <c r="F20" s="19">
        <v>112.0</v>
      </c>
      <c r="G20" s="19">
        <v>112.0</v>
      </c>
      <c r="H20" s="19">
        <v>127.0</v>
      </c>
      <c r="I20" s="19">
        <v>127.0</v>
      </c>
      <c r="J20" s="19">
        <v>104.0</v>
      </c>
      <c r="K20" s="19">
        <v>116.0</v>
      </c>
      <c r="L20" s="19">
        <v>126.0</v>
      </c>
      <c r="M20" s="19">
        <v>120.0</v>
      </c>
      <c r="N20" s="19">
        <v>111.0</v>
      </c>
      <c r="O20" s="19">
        <v>122.0</v>
      </c>
      <c r="P20" s="19">
        <v>116.0</v>
      </c>
      <c r="Q20" s="19">
        <v>112.0</v>
      </c>
      <c r="R20" s="19">
        <v>111.0</v>
      </c>
      <c r="S20" s="19">
        <v>117.0</v>
      </c>
      <c r="T20" s="19">
        <v>107.0</v>
      </c>
      <c r="U20" s="19">
        <v>124.0</v>
      </c>
      <c r="V20" s="19">
        <v>128.0</v>
      </c>
      <c r="W20" s="19">
        <v>120.0</v>
      </c>
      <c r="X20" s="19">
        <v>123.0</v>
      </c>
      <c r="Y20" s="19">
        <v>127.0</v>
      </c>
      <c r="Z20" s="19">
        <v>118.0</v>
      </c>
      <c r="AA20" s="19">
        <v>121.0</v>
      </c>
      <c r="AB20" s="19">
        <v>113.0</v>
      </c>
      <c r="AC20" s="19">
        <v>128.0</v>
      </c>
      <c r="AD20" s="19">
        <v>126.0</v>
      </c>
      <c r="AE20" s="19">
        <v>70.0</v>
      </c>
      <c r="AF20" s="19">
        <v>67.0</v>
      </c>
      <c r="AG20" s="19">
        <v>128.0</v>
      </c>
      <c r="AH20" s="13">
        <f t="shared" si="3"/>
        <v>3354</v>
      </c>
    </row>
    <row r="21" ht="12.75" customHeight="1">
      <c r="A21" s="35"/>
      <c r="B21" s="28"/>
      <c r="C21" s="36"/>
      <c r="D21" s="13" t="s">
        <v>13</v>
      </c>
      <c r="E21" s="13">
        <f t="shared" ref="E21:AG21" si="4">SUM(E19:E20)</f>
        <v>215</v>
      </c>
      <c r="F21" s="13">
        <f t="shared" si="4"/>
        <v>223</v>
      </c>
      <c r="G21" s="13">
        <f t="shared" si="4"/>
        <v>207</v>
      </c>
      <c r="H21" s="13">
        <f t="shared" si="4"/>
        <v>222</v>
      </c>
      <c r="I21" s="13">
        <f t="shared" si="4"/>
        <v>239</v>
      </c>
      <c r="J21" s="13">
        <f t="shared" si="4"/>
        <v>213</v>
      </c>
      <c r="K21" s="13">
        <f t="shared" si="4"/>
        <v>219</v>
      </c>
      <c r="L21" s="13">
        <f t="shared" si="4"/>
        <v>225</v>
      </c>
      <c r="M21" s="13">
        <f t="shared" si="4"/>
        <v>233</v>
      </c>
      <c r="N21" s="13">
        <f t="shared" si="4"/>
        <v>202</v>
      </c>
      <c r="O21" s="13">
        <f t="shared" si="4"/>
        <v>223</v>
      </c>
      <c r="P21" s="13">
        <f t="shared" si="4"/>
        <v>208</v>
      </c>
      <c r="Q21" s="13">
        <f t="shared" si="4"/>
        <v>209</v>
      </c>
      <c r="R21" s="13">
        <f t="shared" si="4"/>
        <v>203</v>
      </c>
      <c r="S21" s="13">
        <f t="shared" si="4"/>
        <v>206</v>
      </c>
      <c r="T21" s="13">
        <f t="shared" si="4"/>
        <v>199</v>
      </c>
      <c r="U21" s="13">
        <f t="shared" si="4"/>
        <v>220</v>
      </c>
      <c r="V21" s="13">
        <f t="shared" si="4"/>
        <v>246</v>
      </c>
      <c r="W21" s="13">
        <f t="shared" si="4"/>
        <v>220</v>
      </c>
      <c r="X21" s="13">
        <f t="shared" si="4"/>
        <v>211</v>
      </c>
      <c r="Y21" s="13">
        <f t="shared" si="4"/>
        <v>220</v>
      </c>
      <c r="Z21" s="13">
        <f t="shared" si="4"/>
        <v>212</v>
      </c>
      <c r="AA21" s="13">
        <f t="shared" si="4"/>
        <v>222</v>
      </c>
      <c r="AB21" s="13">
        <f t="shared" si="4"/>
        <v>200</v>
      </c>
      <c r="AC21" s="13">
        <f t="shared" si="4"/>
        <v>230</v>
      </c>
      <c r="AD21" s="13">
        <f t="shared" si="4"/>
        <v>222</v>
      </c>
      <c r="AE21" s="13">
        <f t="shared" si="4"/>
        <v>126</v>
      </c>
      <c r="AF21" s="13">
        <f t="shared" si="4"/>
        <v>120</v>
      </c>
      <c r="AG21" s="13">
        <f t="shared" si="4"/>
        <v>251</v>
      </c>
      <c r="AH21" s="13">
        <f t="shared" si="3"/>
        <v>6146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1.0</v>
      </c>
      <c r="G22" s="19">
        <v>2.0</v>
      </c>
      <c r="H22" s="19">
        <v>0.0</v>
      </c>
      <c r="I22" s="19">
        <v>0.0</v>
      </c>
      <c r="J22" s="19">
        <v>0.0</v>
      </c>
      <c r="K22" s="19">
        <v>2.0</v>
      </c>
      <c r="L22" s="19">
        <v>3.0</v>
      </c>
      <c r="M22" s="19">
        <v>1.0</v>
      </c>
      <c r="N22" s="19">
        <v>0.0</v>
      </c>
      <c r="O22" s="19">
        <v>0.0</v>
      </c>
      <c r="P22" s="19">
        <v>4.0</v>
      </c>
      <c r="Q22" s="19">
        <v>0.0</v>
      </c>
      <c r="R22" s="19">
        <v>1.0</v>
      </c>
      <c r="S22" s="19">
        <v>3.0</v>
      </c>
      <c r="T22" s="19">
        <v>9.0</v>
      </c>
      <c r="U22" s="19">
        <v>2.0</v>
      </c>
      <c r="V22" s="19">
        <v>1.0</v>
      </c>
      <c r="W22" s="19">
        <v>0.0</v>
      </c>
      <c r="X22" s="19">
        <v>0.0</v>
      </c>
      <c r="Y22" s="19">
        <v>1.0</v>
      </c>
      <c r="Z22" s="19">
        <v>1.0</v>
      </c>
      <c r="AA22" s="19">
        <v>0.0</v>
      </c>
      <c r="AB22" s="19">
        <v>2.0</v>
      </c>
      <c r="AC22" s="19">
        <v>2.0</v>
      </c>
      <c r="AD22" s="19">
        <v>11.0</v>
      </c>
      <c r="AE22" s="19">
        <v>9.0</v>
      </c>
      <c r="AF22" s="19">
        <v>0.0</v>
      </c>
      <c r="AG22" s="19">
        <v>0.0</v>
      </c>
      <c r="AH22" s="13">
        <f t="shared" si="3"/>
        <v>55</v>
      </c>
    </row>
    <row r="23" ht="12.75" customHeight="1">
      <c r="A23" s="33"/>
      <c r="B23" s="27"/>
      <c r="C23" s="34"/>
      <c r="D23" s="19" t="s">
        <v>12</v>
      </c>
      <c r="E23" s="19">
        <v>2.0</v>
      </c>
      <c r="F23" s="19">
        <v>2.0</v>
      </c>
      <c r="G23" s="19">
        <v>1.0</v>
      </c>
      <c r="H23" s="19">
        <v>1.0</v>
      </c>
      <c r="I23" s="19">
        <v>0.0</v>
      </c>
      <c r="J23" s="19">
        <v>0.0</v>
      </c>
      <c r="K23" s="19">
        <v>2.0</v>
      </c>
      <c r="L23" s="19">
        <v>3.0</v>
      </c>
      <c r="M23" s="19">
        <v>0.0</v>
      </c>
      <c r="N23" s="19">
        <v>0.0</v>
      </c>
      <c r="O23" s="19">
        <v>0.0</v>
      </c>
      <c r="P23" s="19">
        <v>4.0</v>
      </c>
      <c r="Q23" s="19">
        <v>1.0</v>
      </c>
      <c r="R23" s="19">
        <v>0.0</v>
      </c>
      <c r="S23" s="19">
        <v>3.0</v>
      </c>
      <c r="T23" s="19">
        <v>3.0</v>
      </c>
      <c r="U23" s="19">
        <v>3.0</v>
      </c>
      <c r="V23" s="19">
        <v>1.0</v>
      </c>
      <c r="W23" s="19">
        <v>0.0</v>
      </c>
      <c r="X23" s="19">
        <v>0.0</v>
      </c>
      <c r="Y23" s="19">
        <v>5.0</v>
      </c>
      <c r="Z23" s="19">
        <v>2.0</v>
      </c>
      <c r="AA23" s="19">
        <v>1.0</v>
      </c>
      <c r="AB23" s="19">
        <v>2.0</v>
      </c>
      <c r="AC23" s="19">
        <v>4.0</v>
      </c>
      <c r="AD23" s="19">
        <v>1.0</v>
      </c>
      <c r="AE23" s="19">
        <v>0.0</v>
      </c>
      <c r="AF23" s="19">
        <v>0.0</v>
      </c>
      <c r="AG23" s="19">
        <v>0.0</v>
      </c>
      <c r="AH23" s="13">
        <f t="shared" si="3"/>
        <v>41</v>
      </c>
    </row>
    <row r="24" ht="12.75" customHeight="1">
      <c r="A24" s="35"/>
      <c r="B24" s="28"/>
      <c r="C24" s="36"/>
      <c r="D24" s="13" t="s">
        <v>13</v>
      </c>
      <c r="E24" s="13">
        <f t="shared" ref="E24:AG24" si="5">SUM(E22:E23)</f>
        <v>2</v>
      </c>
      <c r="F24" s="13">
        <f t="shared" si="5"/>
        <v>3</v>
      </c>
      <c r="G24" s="13">
        <f t="shared" si="5"/>
        <v>3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4</v>
      </c>
      <c r="L24" s="13">
        <f t="shared" si="5"/>
        <v>6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8</v>
      </c>
      <c r="Q24" s="13">
        <f t="shared" si="5"/>
        <v>1</v>
      </c>
      <c r="R24" s="13">
        <f t="shared" si="5"/>
        <v>1</v>
      </c>
      <c r="S24" s="13">
        <f t="shared" si="5"/>
        <v>6</v>
      </c>
      <c r="T24" s="13">
        <f t="shared" si="5"/>
        <v>12</v>
      </c>
      <c r="U24" s="13">
        <f t="shared" si="5"/>
        <v>5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6</v>
      </c>
      <c r="Z24" s="13">
        <f t="shared" si="5"/>
        <v>3</v>
      </c>
      <c r="AA24" s="13">
        <f t="shared" si="5"/>
        <v>1</v>
      </c>
      <c r="AB24" s="13">
        <f t="shared" si="5"/>
        <v>4</v>
      </c>
      <c r="AC24" s="13">
        <f t="shared" si="5"/>
        <v>6</v>
      </c>
      <c r="AD24" s="13">
        <f t="shared" si="5"/>
        <v>12</v>
      </c>
      <c r="AE24" s="13">
        <f t="shared" si="5"/>
        <v>9</v>
      </c>
      <c r="AF24" s="13">
        <f t="shared" si="5"/>
        <v>0</v>
      </c>
      <c r="AG24" s="13">
        <f t="shared" si="5"/>
        <v>0</v>
      </c>
      <c r="AH24" s="13">
        <f t="shared" si="3"/>
        <v>96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0.0</v>
      </c>
      <c r="G25" s="19">
        <v>2.0</v>
      </c>
      <c r="H25" s="19">
        <v>1.0</v>
      </c>
      <c r="I25" s="19">
        <v>0.0</v>
      </c>
      <c r="J25" s="19">
        <v>0.0</v>
      </c>
      <c r="K25" s="19">
        <v>4.0</v>
      </c>
      <c r="L25" s="19">
        <v>2.0</v>
      </c>
      <c r="M25" s="19">
        <v>1.0</v>
      </c>
      <c r="N25" s="19">
        <v>1.0</v>
      </c>
      <c r="O25" s="19">
        <v>1.0</v>
      </c>
      <c r="P25" s="19">
        <v>0.0</v>
      </c>
      <c r="Q25" s="19">
        <v>4.0</v>
      </c>
      <c r="R25" s="19">
        <v>4.0</v>
      </c>
      <c r="S25" s="19">
        <v>4.0</v>
      </c>
      <c r="T25" s="19">
        <v>0.0</v>
      </c>
      <c r="U25" s="19">
        <v>0.0</v>
      </c>
      <c r="V25" s="19">
        <v>1.0</v>
      </c>
      <c r="W25" s="19">
        <v>0.0</v>
      </c>
      <c r="X25" s="19">
        <v>0.0</v>
      </c>
      <c r="Y25" s="19">
        <v>1.0</v>
      </c>
      <c r="Z25" s="19">
        <v>1.0</v>
      </c>
      <c r="AA25" s="19">
        <v>0.0</v>
      </c>
      <c r="AB25" s="19">
        <v>0.0</v>
      </c>
      <c r="AC25" s="19">
        <v>2.0</v>
      </c>
      <c r="AD25" s="19">
        <v>1.0</v>
      </c>
      <c r="AE25" s="19">
        <v>2.0</v>
      </c>
      <c r="AF25" s="19">
        <v>2.0</v>
      </c>
      <c r="AG25" s="19">
        <v>0.0</v>
      </c>
      <c r="AH25" s="13">
        <f t="shared" si="3"/>
        <v>35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3.0</v>
      </c>
      <c r="G26" s="19">
        <v>2.0</v>
      </c>
      <c r="H26" s="19">
        <v>2.0</v>
      </c>
      <c r="I26" s="19">
        <v>0.0</v>
      </c>
      <c r="J26" s="19">
        <v>1.0</v>
      </c>
      <c r="K26" s="19">
        <v>5.0</v>
      </c>
      <c r="L26" s="19">
        <v>1.0</v>
      </c>
      <c r="M26" s="19">
        <v>5.0</v>
      </c>
      <c r="N26" s="19">
        <v>1.0</v>
      </c>
      <c r="O26" s="19">
        <v>1.0</v>
      </c>
      <c r="P26" s="19">
        <v>1.0</v>
      </c>
      <c r="Q26" s="19">
        <v>2.0</v>
      </c>
      <c r="R26" s="19">
        <v>2.0</v>
      </c>
      <c r="S26" s="19">
        <v>5.0</v>
      </c>
      <c r="T26" s="19">
        <v>2.0</v>
      </c>
      <c r="U26" s="19">
        <v>0.0</v>
      </c>
      <c r="V26" s="19">
        <v>1.0</v>
      </c>
      <c r="W26" s="19">
        <v>2.0</v>
      </c>
      <c r="X26" s="19">
        <v>4.0</v>
      </c>
      <c r="Y26" s="19">
        <v>2.0</v>
      </c>
      <c r="Z26" s="19">
        <v>2.0</v>
      </c>
      <c r="AA26" s="19">
        <v>0.0</v>
      </c>
      <c r="AB26" s="19">
        <v>0.0</v>
      </c>
      <c r="AC26" s="19">
        <v>0.0</v>
      </c>
      <c r="AD26" s="19">
        <v>2.0</v>
      </c>
      <c r="AE26" s="19">
        <v>3.0</v>
      </c>
      <c r="AF26" s="19">
        <v>5.0</v>
      </c>
      <c r="AG26" s="19">
        <v>0.0</v>
      </c>
      <c r="AH26" s="13">
        <f t="shared" si="3"/>
        <v>54</v>
      </c>
    </row>
    <row r="27" ht="12.75" customHeight="1">
      <c r="A27" s="35"/>
      <c r="B27" s="28"/>
      <c r="C27" s="36"/>
      <c r="D27" s="13" t="s">
        <v>13</v>
      </c>
      <c r="E27" s="13">
        <f t="shared" ref="E27:AG27" si="6">SUM(E25:E26)</f>
        <v>1</v>
      </c>
      <c r="F27" s="13">
        <f t="shared" si="6"/>
        <v>3</v>
      </c>
      <c r="G27" s="13">
        <f t="shared" si="6"/>
        <v>4</v>
      </c>
      <c r="H27" s="13">
        <f t="shared" si="6"/>
        <v>3</v>
      </c>
      <c r="I27" s="13">
        <f t="shared" si="6"/>
        <v>0</v>
      </c>
      <c r="J27" s="13">
        <f t="shared" si="6"/>
        <v>1</v>
      </c>
      <c r="K27" s="13">
        <f t="shared" si="6"/>
        <v>9</v>
      </c>
      <c r="L27" s="13">
        <f t="shared" si="6"/>
        <v>3</v>
      </c>
      <c r="M27" s="13">
        <f t="shared" si="6"/>
        <v>6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6</v>
      </c>
      <c r="R27" s="13">
        <f t="shared" si="6"/>
        <v>6</v>
      </c>
      <c r="S27" s="13">
        <f t="shared" si="6"/>
        <v>9</v>
      </c>
      <c r="T27" s="13">
        <f t="shared" si="6"/>
        <v>2</v>
      </c>
      <c r="U27" s="13">
        <f t="shared" si="6"/>
        <v>0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3</v>
      </c>
      <c r="Z27" s="13">
        <f t="shared" si="6"/>
        <v>3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3</v>
      </c>
      <c r="AE27" s="13">
        <f t="shared" si="6"/>
        <v>5</v>
      </c>
      <c r="AF27" s="13">
        <f t="shared" si="6"/>
        <v>7</v>
      </c>
      <c r="AG27" s="13">
        <f t="shared" si="6"/>
        <v>0</v>
      </c>
      <c r="AH27" s="13">
        <f t="shared" si="3"/>
        <v>89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G28" si="7">SUM(E19,E22,E25)</f>
        <v>95</v>
      </c>
      <c r="F28" s="13">
        <f t="shared" si="7"/>
        <v>112</v>
      </c>
      <c r="G28" s="13">
        <f t="shared" si="7"/>
        <v>99</v>
      </c>
      <c r="H28" s="13">
        <f t="shared" si="7"/>
        <v>96</v>
      </c>
      <c r="I28" s="13">
        <f t="shared" si="7"/>
        <v>112</v>
      </c>
      <c r="J28" s="13">
        <f t="shared" si="7"/>
        <v>109</v>
      </c>
      <c r="K28" s="13">
        <f t="shared" si="7"/>
        <v>109</v>
      </c>
      <c r="L28" s="13">
        <f t="shared" si="7"/>
        <v>104</v>
      </c>
      <c r="M28" s="13">
        <f t="shared" si="7"/>
        <v>115</v>
      </c>
      <c r="N28" s="13">
        <f t="shared" si="7"/>
        <v>92</v>
      </c>
      <c r="O28" s="13">
        <f t="shared" si="7"/>
        <v>102</v>
      </c>
      <c r="P28" s="13">
        <f t="shared" si="7"/>
        <v>96</v>
      </c>
      <c r="Q28" s="13">
        <f t="shared" si="7"/>
        <v>101</v>
      </c>
      <c r="R28" s="13">
        <f t="shared" si="7"/>
        <v>97</v>
      </c>
      <c r="S28" s="13">
        <f t="shared" si="7"/>
        <v>96</v>
      </c>
      <c r="T28" s="13">
        <f t="shared" si="7"/>
        <v>101</v>
      </c>
      <c r="U28" s="13">
        <f t="shared" si="7"/>
        <v>98</v>
      </c>
      <c r="V28" s="13">
        <f t="shared" si="7"/>
        <v>120</v>
      </c>
      <c r="W28" s="13">
        <f t="shared" si="7"/>
        <v>100</v>
      </c>
      <c r="X28" s="13">
        <f t="shared" si="7"/>
        <v>88</v>
      </c>
      <c r="Y28" s="13">
        <f t="shared" si="7"/>
        <v>95</v>
      </c>
      <c r="Z28" s="13">
        <f t="shared" si="7"/>
        <v>96</v>
      </c>
      <c r="AA28" s="13">
        <f t="shared" si="7"/>
        <v>101</v>
      </c>
      <c r="AB28" s="13">
        <f t="shared" si="7"/>
        <v>89</v>
      </c>
      <c r="AC28" s="13">
        <f t="shared" si="7"/>
        <v>106</v>
      </c>
      <c r="AD28" s="13">
        <f t="shared" si="7"/>
        <v>108</v>
      </c>
      <c r="AE28" s="13">
        <f t="shared" si="7"/>
        <v>67</v>
      </c>
      <c r="AF28" s="13">
        <f t="shared" si="7"/>
        <v>55</v>
      </c>
      <c r="AG28" s="13">
        <f t="shared" si="7"/>
        <v>123</v>
      </c>
      <c r="AH28" s="13">
        <f t="shared" si="3"/>
        <v>2882</v>
      </c>
    </row>
    <row r="29" ht="12.75" customHeight="1">
      <c r="A29" s="35"/>
      <c r="B29" s="27"/>
      <c r="C29" s="34"/>
      <c r="D29" s="13" t="s">
        <v>12</v>
      </c>
      <c r="E29" s="13">
        <f t="shared" ref="E29:AG29" si="8">SUM(E20,E23,E26)</f>
        <v>123</v>
      </c>
      <c r="F29" s="13">
        <f t="shared" si="8"/>
        <v>117</v>
      </c>
      <c r="G29" s="13">
        <f t="shared" si="8"/>
        <v>115</v>
      </c>
      <c r="H29" s="13">
        <f t="shared" si="8"/>
        <v>130</v>
      </c>
      <c r="I29" s="13">
        <f t="shared" si="8"/>
        <v>127</v>
      </c>
      <c r="J29" s="13">
        <f t="shared" si="8"/>
        <v>105</v>
      </c>
      <c r="K29" s="13">
        <f t="shared" si="8"/>
        <v>123</v>
      </c>
      <c r="L29" s="13">
        <f t="shared" si="8"/>
        <v>130</v>
      </c>
      <c r="M29" s="13">
        <f t="shared" si="8"/>
        <v>125</v>
      </c>
      <c r="N29" s="13">
        <f t="shared" si="8"/>
        <v>112</v>
      </c>
      <c r="O29" s="13">
        <f t="shared" si="8"/>
        <v>123</v>
      </c>
      <c r="P29" s="13">
        <f t="shared" si="8"/>
        <v>121</v>
      </c>
      <c r="Q29" s="13">
        <f t="shared" si="8"/>
        <v>115</v>
      </c>
      <c r="R29" s="13">
        <f t="shared" si="8"/>
        <v>113</v>
      </c>
      <c r="S29" s="13">
        <f t="shared" si="8"/>
        <v>125</v>
      </c>
      <c r="T29" s="13">
        <f t="shared" si="8"/>
        <v>112</v>
      </c>
      <c r="U29" s="13">
        <f t="shared" si="8"/>
        <v>127</v>
      </c>
      <c r="V29" s="13">
        <f t="shared" si="8"/>
        <v>130</v>
      </c>
      <c r="W29" s="13">
        <f t="shared" si="8"/>
        <v>122</v>
      </c>
      <c r="X29" s="13">
        <f t="shared" si="8"/>
        <v>127</v>
      </c>
      <c r="Y29" s="13">
        <f t="shared" si="8"/>
        <v>134</v>
      </c>
      <c r="Z29" s="13">
        <f t="shared" si="8"/>
        <v>122</v>
      </c>
      <c r="AA29" s="13">
        <f t="shared" si="8"/>
        <v>122</v>
      </c>
      <c r="AB29" s="13">
        <f t="shared" si="8"/>
        <v>115</v>
      </c>
      <c r="AC29" s="13">
        <f t="shared" si="8"/>
        <v>132</v>
      </c>
      <c r="AD29" s="13">
        <f t="shared" si="8"/>
        <v>129</v>
      </c>
      <c r="AE29" s="13">
        <f t="shared" si="8"/>
        <v>73</v>
      </c>
      <c r="AF29" s="13">
        <f t="shared" si="8"/>
        <v>72</v>
      </c>
      <c r="AG29" s="13">
        <f t="shared" si="8"/>
        <v>128</v>
      </c>
      <c r="AH29" s="13">
        <f t="shared" si="3"/>
        <v>3449</v>
      </c>
    </row>
    <row r="30" ht="12.75" customHeight="1">
      <c r="A30" s="35"/>
      <c r="B30" s="28"/>
      <c r="C30" s="36"/>
      <c r="D30" s="13" t="s">
        <v>13</v>
      </c>
      <c r="E30" s="13">
        <f t="shared" ref="E30:AG30" si="9">SUM(E28:E29)</f>
        <v>218</v>
      </c>
      <c r="F30" s="13">
        <f t="shared" si="9"/>
        <v>229</v>
      </c>
      <c r="G30" s="13">
        <f t="shared" si="9"/>
        <v>214</v>
      </c>
      <c r="H30" s="13">
        <f t="shared" si="9"/>
        <v>226</v>
      </c>
      <c r="I30" s="13">
        <f t="shared" si="9"/>
        <v>239</v>
      </c>
      <c r="J30" s="13">
        <f t="shared" si="9"/>
        <v>214</v>
      </c>
      <c r="K30" s="13">
        <f t="shared" si="9"/>
        <v>232</v>
      </c>
      <c r="L30" s="13">
        <f t="shared" si="9"/>
        <v>234</v>
      </c>
      <c r="M30" s="13">
        <f t="shared" si="9"/>
        <v>240</v>
      </c>
      <c r="N30" s="13">
        <f t="shared" si="9"/>
        <v>204</v>
      </c>
      <c r="O30" s="13">
        <f t="shared" si="9"/>
        <v>225</v>
      </c>
      <c r="P30" s="13">
        <f t="shared" si="9"/>
        <v>217</v>
      </c>
      <c r="Q30" s="13">
        <f t="shared" si="9"/>
        <v>216</v>
      </c>
      <c r="R30" s="13">
        <f t="shared" si="9"/>
        <v>210</v>
      </c>
      <c r="S30" s="13">
        <f t="shared" si="9"/>
        <v>221</v>
      </c>
      <c r="T30" s="13">
        <f t="shared" si="9"/>
        <v>213</v>
      </c>
      <c r="U30" s="13">
        <f t="shared" si="9"/>
        <v>225</v>
      </c>
      <c r="V30" s="13">
        <f t="shared" si="9"/>
        <v>250</v>
      </c>
      <c r="W30" s="13">
        <f t="shared" si="9"/>
        <v>222</v>
      </c>
      <c r="X30" s="13">
        <f t="shared" si="9"/>
        <v>215</v>
      </c>
      <c r="Y30" s="13">
        <f t="shared" si="9"/>
        <v>229</v>
      </c>
      <c r="Z30" s="13">
        <f t="shared" si="9"/>
        <v>218</v>
      </c>
      <c r="AA30" s="13">
        <f t="shared" si="9"/>
        <v>223</v>
      </c>
      <c r="AB30" s="13">
        <f t="shared" si="9"/>
        <v>204</v>
      </c>
      <c r="AC30" s="13">
        <f t="shared" si="9"/>
        <v>238</v>
      </c>
      <c r="AD30" s="13">
        <f t="shared" si="9"/>
        <v>237</v>
      </c>
      <c r="AE30" s="13">
        <f t="shared" si="9"/>
        <v>140</v>
      </c>
      <c r="AF30" s="13">
        <f t="shared" si="9"/>
        <v>127</v>
      </c>
      <c r="AG30" s="13">
        <f t="shared" si="9"/>
        <v>251</v>
      </c>
      <c r="AH30" s="13">
        <f t="shared" si="3"/>
        <v>6331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0"/>
    </row>
    <row r="33" ht="12.75" customHeight="1">
      <c r="A33" s="19">
        <v>1.0</v>
      </c>
      <c r="B33" s="20" t="s">
        <v>26</v>
      </c>
      <c r="C33" s="15"/>
      <c r="D33" s="16"/>
      <c r="E33" s="19">
        <v>296.0</v>
      </c>
      <c r="F33" s="19">
        <v>289.0</v>
      </c>
      <c r="G33" s="19">
        <v>290.0</v>
      </c>
      <c r="H33" s="19">
        <v>295.0</v>
      </c>
      <c r="I33" s="19">
        <v>285.0</v>
      </c>
      <c r="J33" s="19">
        <v>282.0</v>
      </c>
      <c r="K33" s="19">
        <v>283.0</v>
      </c>
      <c r="L33" s="19">
        <v>278.0</v>
      </c>
      <c r="M33" s="19">
        <v>286.0</v>
      </c>
      <c r="N33" s="19">
        <v>283.0</v>
      </c>
      <c r="O33" s="19">
        <v>292.0</v>
      </c>
      <c r="P33" s="19">
        <v>266.0</v>
      </c>
      <c r="Q33" s="19">
        <v>252.0</v>
      </c>
      <c r="R33" s="19">
        <v>260.0</v>
      </c>
      <c r="S33" s="19">
        <v>275.0</v>
      </c>
      <c r="T33" s="19">
        <v>276.0</v>
      </c>
      <c r="U33" s="19">
        <v>300.0</v>
      </c>
      <c r="V33" s="19">
        <v>301.0</v>
      </c>
      <c r="W33" s="19">
        <v>281.0</v>
      </c>
      <c r="X33" s="19">
        <v>276.0</v>
      </c>
      <c r="Y33" s="19">
        <v>289.0</v>
      </c>
      <c r="Z33" s="19">
        <v>290.0</v>
      </c>
      <c r="AA33" s="19">
        <v>281.0</v>
      </c>
      <c r="AB33" s="19">
        <v>285.0</v>
      </c>
      <c r="AC33" s="19">
        <v>302.0</v>
      </c>
      <c r="AD33" s="19">
        <v>289.0</v>
      </c>
      <c r="AE33" s="19">
        <v>182.0</v>
      </c>
      <c r="AF33" s="19">
        <v>162.0</v>
      </c>
      <c r="AG33" s="19">
        <v>303.0</v>
      </c>
      <c r="AH33" s="13">
        <f t="shared" ref="AH33:AH36" si="10">SUM(E33:AG33)</f>
        <v>8029</v>
      </c>
    </row>
    <row r="34" ht="12.75" customHeight="1">
      <c r="A34" s="19">
        <v>2.0</v>
      </c>
      <c r="B34" s="20" t="s">
        <v>27</v>
      </c>
      <c r="C34" s="15"/>
      <c r="D34" s="16"/>
      <c r="E34" s="13">
        <v>218.0</v>
      </c>
      <c r="F34" s="13">
        <v>229.0</v>
      </c>
      <c r="G34" s="13">
        <v>214.0</v>
      </c>
      <c r="H34" s="13">
        <v>226.0</v>
      </c>
      <c r="I34" s="13">
        <v>239.0</v>
      </c>
      <c r="J34" s="13">
        <v>214.0</v>
      </c>
      <c r="K34" s="13">
        <v>232.0</v>
      </c>
      <c r="L34" s="13">
        <v>234.0</v>
      </c>
      <c r="M34" s="13">
        <v>240.0</v>
      </c>
      <c r="N34" s="13">
        <v>204.0</v>
      </c>
      <c r="O34" s="13">
        <v>225.0</v>
      </c>
      <c r="P34" s="13">
        <v>217.0</v>
      </c>
      <c r="Q34" s="13">
        <v>216.0</v>
      </c>
      <c r="R34" s="13">
        <v>210.0</v>
      </c>
      <c r="S34" s="13">
        <v>221.0</v>
      </c>
      <c r="T34" s="13">
        <v>213.0</v>
      </c>
      <c r="U34" s="13">
        <v>225.0</v>
      </c>
      <c r="V34" s="13">
        <v>250.0</v>
      </c>
      <c r="W34" s="13">
        <v>222.0</v>
      </c>
      <c r="X34" s="13">
        <v>215.0</v>
      </c>
      <c r="Y34" s="13">
        <v>229.0</v>
      </c>
      <c r="Z34" s="13">
        <v>218.0</v>
      </c>
      <c r="AA34" s="13">
        <v>223.0</v>
      </c>
      <c r="AB34" s="13">
        <v>204.0</v>
      </c>
      <c r="AC34" s="13">
        <v>238.0</v>
      </c>
      <c r="AD34" s="13">
        <v>237.0</v>
      </c>
      <c r="AE34" s="13">
        <v>140.0</v>
      </c>
      <c r="AF34" s="13">
        <v>127.0</v>
      </c>
      <c r="AG34" s="13">
        <v>251.0</v>
      </c>
      <c r="AH34" s="13">
        <f t="shared" si="10"/>
        <v>6331</v>
      </c>
    </row>
    <row r="35" ht="12.75" customHeight="1">
      <c r="A35" s="19">
        <v>3.0</v>
      </c>
      <c r="B35" s="20" t="s">
        <v>28</v>
      </c>
      <c r="C35" s="15"/>
      <c r="D35" s="16"/>
      <c r="E35" s="19">
        <v>2.0</v>
      </c>
      <c r="F35" s="19">
        <v>1.0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G36" si="11">E33-(E34+E35)</f>
        <v>76</v>
      </c>
      <c r="F36" s="13">
        <f t="shared" si="11"/>
        <v>59</v>
      </c>
      <c r="G36" s="13">
        <f t="shared" si="11"/>
        <v>76</v>
      </c>
      <c r="H36" s="13">
        <f t="shared" si="11"/>
        <v>68</v>
      </c>
      <c r="I36" s="13">
        <f t="shared" si="11"/>
        <v>46</v>
      </c>
      <c r="J36" s="13">
        <f t="shared" si="11"/>
        <v>68</v>
      </c>
      <c r="K36" s="13">
        <f t="shared" si="11"/>
        <v>51</v>
      </c>
      <c r="L36" s="13">
        <f t="shared" si="11"/>
        <v>44</v>
      </c>
      <c r="M36" s="13">
        <f t="shared" si="11"/>
        <v>46</v>
      </c>
      <c r="N36" s="13">
        <f t="shared" si="11"/>
        <v>79</v>
      </c>
      <c r="O36" s="13">
        <f t="shared" si="11"/>
        <v>67</v>
      </c>
      <c r="P36" s="13">
        <f t="shared" si="11"/>
        <v>48</v>
      </c>
      <c r="Q36" s="13">
        <f t="shared" si="11"/>
        <v>36</v>
      </c>
      <c r="R36" s="13">
        <f t="shared" si="11"/>
        <v>50</v>
      </c>
      <c r="S36" s="13">
        <f t="shared" si="11"/>
        <v>54</v>
      </c>
      <c r="T36" s="13">
        <f t="shared" si="11"/>
        <v>63</v>
      </c>
      <c r="U36" s="13">
        <f t="shared" si="11"/>
        <v>75</v>
      </c>
      <c r="V36" s="13">
        <f t="shared" si="11"/>
        <v>51</v>
      </c>
      <c r="W36" s="13">
        <f t="shared" si="11"/>
        <v>59</v>
      </c>
      <c r="X36" s="13">
        <f t="shared" si="11"/>
        <v>61</v>
      </c>
      <c r="Y36" s="13">
        <f t="shared" si="11"/>
        <v>60</v>
      </c>
      <c r="Z36" s="13">
        <f t="shared" si="11"/>
        <v>72</v>
      </c>
      <c r="AA36" s="13">
        <f t="shared" si="11"/>
        <v>58</v>
      </c>
      <c r="AB36" s="13">
        <f t="shared" si="11"/>
        <v>81</v>
      </c>
      <c r="AC36" s="13">
        <f t="shared" si="11"/>
        <v>64</v>
      </c>
      <c r="AD36" s="13">
        <f t="shared" si="11"/>
        <v>52</v>
      </c>
      <c r="AE36" s="13">
        <f t="shared" si="11"/>
        <v>42</v>
      </c>
      <c r="AF36" s="13">
        <f t="shared" si="11"/>
        <v>35</v>
      </c>
      <c r="AG36" s="13">
        <f t="shared" si="11"/>
        <v>52</v>
      </c>
      <c r="AH36" s="13">
        <f t="shared" si="10"/>
        <v>1693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2.0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1.0</v>
      </c>
      <c r="AF39" s="19">
        <v>0.0</v>
      </c>
      <c r="AG39" s="19">
        <v>0.0</v>
      </c>
      <c r="AH39" s="13">
        <f t="shared" ref="AH39:AH41" si="12">SUM(E39:AG39)</f>
        <v>6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1.0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v>0.0</v>
      </c>
      <c r="AE41" s="13">
        <f t="shared" ref="AE41:AG41" si="14">SUM(AE39:AE40)</f>
        <v>1</v>
      </c>
      <c r="AF41" s="13">
        <f t="shared" si="14"/>
        <v>0</v>
      </c>
      <c r="AG41" s="13">
        <f t="shared" si="14"/>
        <v>0</v>
      </c>
      <c r="AH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59"/>
      <c r="AC42" s="19"/>
      <c r="AD42" s="59"/>
      <c r="AE42" s="19"/>
      <c r="AF42" s="59"/>
      <c r="AG42" s="19"/>
      <c r="AH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61"/>
      <c r="AC43" s="13"/>
      <c r="AD43" s="61"/>
      <c r="AE43" s="13"/>
      <c r="AF43" s="61"/>
      <c r="AG43" s="13"/>
      <c r="AH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59"/>
      <c r="AC44" s="19"/>
      <c r="AD44" s="59"/>
      <c r="AE44" s="19"/>
      <c r="AF44" s="59"/>
      <c r="AG44" s="19"/>
      <c r="AH44" s="13"/>
    </row>
    <row r="45" ht="12.75" customHeight="1">
      <c r="A45" s="63"/>
      <c r="B45" s="47">
        <v>1.0</v>
      </c>
      <c r="C45" s="48" t="s">
        <v>36</v>
      </c>
      <c r="D45" s="16"/>
      <c r="E45" s="19">
        <v>46.0</v>
      </c>
      <c r="F45" s="19">
        <v>39.0</v>
      </c>
      <c r="G45" s="19">
        <v>38.0</v>
      </c>
      <c r="H45" s="19">
        <v>36.0</v>
      </c>
      <c r="I45" s="19">
        <v>34.0</v>
      </c>
      <c r="J45" s="19">
        <v>61.0</v>
      </c>
      <c r="K45" s="19">
        <v>54.0</v>
      </c>
      <c r="L45" s="19">
        <v>61.0</v>
      </c>
      <c r="M45" s="19">
        <v>47.0</v>
      </c>
      <c r="N45" s="19">
        <v>53.0</v>
      </c>
      <c r="O45" s="19">
        <v>50.0</v>
      </c>
      <c r="P45" s="19">
        <v>48.0</v>
      </c>
      <c r="Q45" s="19">
        <v>55.0</v>
      </c>
      <c r="R45" s="19">
        <v>34.0</v>
      </c>
      <c r="S45" s="19">
        <v>41.0</v>
      </c>
      <c r="T45" s="19">
        <v>69.0</v>
      </c>
      <c r="U45" s="19">
        <v>73.0</v>
      </c>
      <c r="V45" s="19">
        <v>59.0</v>
      </c>
      <c r="W45" s="19">
        <v>93.0</v>
      </c>
      <c r="X45" s="19">
        <v>41.0</v>
      </c>
      <c r="Y45" s="19">
        <v>53.0</v>
      </c>
      <c r="Z45" s="19">
        <v>42.0</v>
      </c>
      <c r="AA45" s="19">
        <v>40.0</v>
      </c>
      <c r="AB45" s="19">
        <v>43.0</v>
      </c>
      <c r="AC45" s="19">
        <v>59.0</v>
      </c>
      <c r="AD45" s="19">
        <v>65.0</v>
      </c>
      <c r="AE45" s="19">
        <v>26.0</v>
      </c>
      <c r="AF45" s="19">
        <v>22.0</v>
      </c>
      <c r="AG45" s="19">
        <v>27.0</v>
      </c>
      <c r="AH45" s="13">
        <f t="shared" ref="AH45:AH47" si="15">SUM(E45:AG45)</f>
        <v>1409</v>
      </c>
    </row>
    <row r="46" ht="12.75" customHeight="1">
      <c r="A46" s="18"/>
      <c r="B46" s="47">
        <v>2.0</v>
      </c>
      <c r="C46" s="48" t="s">
        <v>37</v>
      </c>
      <c r="D46" s="16"/>
      <c r="E46" s="19">
        <v>139.0</v>
      </c>
      <c r="F46" s="19">
        <v>151.0</v>
      </c>
      <c r="G46" s="19">
        <v>137.0</v>
      </c>
      <c r="H46" s="19">
        <v>138.0</v>
      </c>
      <c r="I46" s="19">
        <v>147.0</v>
      </c>
      <c r="J46" s="19">
        <v>116.0</v>
      </c>
      <c r="K46" s="19">
        <v>144.0</v>
      </c>
      <c r="L46" s="19">
        <v>134.0</v>
      </c>
      <c r="M46" s="19">
        <v>147.0</v>
      </c>
      <c r="N46" s="19">
        <v>141.0</v>
      </c>
      <c r="O46" s="19">
        <v>147.0</v>
      </c>
      <c r="P46" s="19">
        <v>132.0</v>
      </c>
      <c r="Q46" s="19">
        <v>125.0</v>
      </c>
      <c r="R46" s="19">
        <v>131.0</v>
      </c>
      <c r="S46" s="19">
        <v>152.0</v>
      </c>
      <c r="T46" s="19">
        <v>114.0</v>
      </c>
      <c r="U46" s="19">
        <v>115.0</v>
      </c>
      <c r="V46" s="19">
        <v>146.0</v>
      </c>
      <c r="W46" s="19">
        <v>106.0</v>
      </c>
      <c r="X46" s="19">
        <v>129.0</v>
      </c>
      <c r="Y46" s="19">
        <v>138.0</v>
      </c>
      <c r="Z46" s="19">
        <v>141.0</v>
      </c>
      <c r="AA46" s="19">
        <v>146.0</v>
      </c>
      <c r="AB46" s="19">
        <v>140.0</v>
      </c>
      <c r="AC46" s="19">
        <v>146.0</v>
      </c>
      <c r="AD46" s="19">
        <v>134.0</v>
      </c>
      <c r="AE46" s="19">
        <v>94.0</v>
      </c>
      <c r="AF46" s="19">
        <v>79.0</v>
      </c>
      <c r="AG46" s="19">
        <v>184.0</v>
      </c>
      <c r="AH46" s="13">
        <f t="shared" si="15"/>
        <v>3893</v>
      </c>
    </row>
    <row r="47" ht="12.75" customHeight="1">
      <c r="A47" s="45"/>
      <c r="B47" s="47">
        <v>3.0</v>
      </c>
      <c r="C47" s="48" t="s">
        <v>38</v>
      </c>
      <c r="D47" s="16"/>
      <c r="E47" s="19">
        <v>31.0</v>
      </c>
      <c r="F47" s="19">
        <v>33.0</v>
      </c>
      <c r="G47" s="19">
        <v>35.0</v>
      </c>
      <c r="H47" s="19">
        <v>45.0</v>
      </c>
      <c r="I47" s="19">
        <v>52.0</v>
      </c>
      <c r="J47" s="19">
        <v>32.0</v>
      </c>
      <c r="K47" s="19">
        <v>32.0</v>
      </c>
      <c r="L47" s="19">
        <v>38.0</v>
      </c>
      <c r="M47" s="19">
        <v>40.0</v>
      </c>
      <c r="N47" s="19">
        <v>9.0</v>
      </c>
      <c r="O47" s="19">
        <v>26.0</v>
      </c>
      <c r="P47" s="19">
        <v>34.0</v>
      </c>
      <c r="Q47" s="19">
        <v>32.0</v>
      </c>
      <c r="R47" s="19">
        <v>44.0</v>
      </c>
      <c r="S47" s="19">
        <v>26.0</v>
      </c>
      <c r="T47" s="19">
        <v>25.0</v>
      </c>
      <c r="U47" s="19">
        <v>28.0</v>
      </c>
      <c r="V47" s="19">
        <v>38.0</v>
      </c>
      <c r="W47" s="19">
        <v>20.0</v>
      </c>
      <c r="X47" s="19">
        <v>43.0</v>
      </c>
      <c r="Y47" s="19">
        <v>35.0</v>
      </c>
      <c r="Z47" s="19">
        <v>30.0</v>
      </c>
      <c r="AA47" s="19">
        <v>32.0</v>
      </c>
      <c r="AB47" s="19">
        <v>18.0</v>
      </c>
      <c r="AC47" s="19">
        <v>31.0</v>
      </c>
      <c r="AD47" s="19">
        <v>28.0</v>
      </c>
      <c r="AE47" s="19">
        <v>16.0</v>
      </c>
      <c r="AF47" s="19">
        <v>24.0</v>
      </c>
      <c r="AG47" s="19">
        <v>38.0</v>
      </c>
      <c r="AH47" s="13">
        <f t="shared" si="15"/>
        <v>915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G50" si="16">SUM(E45:E47)</f>
        <v>216</v>
      </c>
      <c r="F50" s="19">
        <f t="shared" si="16"/>
        <v>223</v>
      </c>
      <c r="G50" s="19">
        <f t="shared" si="16"/>
        <v>210</v>
      </c>
      <c r="H50" s="19">
        <f t="shared" si="16"/>
        <v>219</v>
      </c>
      <c r="I50" s="19">
        <f t="shared" si="16"/>
        <v>233</v>
      </c>
      <c r="J50" s="19">
        <f t="shared" si="16"/>
        <v>209</v>
      </c>
      <c r="K50" s="19">
        <f t="shared" si="16"/>
        <v>230</v>
      </c>
      <c r="L50" s="19">
        <f t="shared" si="16"/>
        <v>233</v>
      </c>
      <c r="M50" s="19">
        <f t="shared" si="16"/>
        <v>234</v>
      </c>
      <c r="N50" s="19">
        <f t="shared" si="16"/>
        <v>203</v>
      </c>
      <c r="O50" s="19">
        <f t="shared" si="16"/>
        <v>223</v>
      </c>
      <c r="P50" s="19">
        <f t="shared" si="16"/>
        <v>214</v>
      </c>
      <c r="Q50" s="19">
        <f t="shared" si="16"/>
        <v>212</v>
      </c>
      <c r="R50" s="19">
        <f t="shared" si="16"/>
        <v>209</v>
      </c>
      <c r="S50" s="19">
        <f t="shared" si="16"/>
        <v>219</v>
      </c>
      <c r="T50" s="19">
        <f t="shared" si="16"/>
        <v>208</v>
      </c>
      <c r="U50" s="19">
        <f t="shared" si="16"/>
        <v>216</v>
      </c>
      <c r="V50" s="19">
        <f t="shared" si="16"/>
        <v>243</v>
      </c>
      <c r="W50" s="19">
        <f t="shared" si="16"/>
        <v>219</v>
      </c>
      <c r="X50" s="19">
        <f t="shared" si="16"/>
        <v>213</v>
      </c>
      <c r="Y50" s="19">
        <f t="shared" si="16"/>
        <v>226</v>
      </c>
      <c r="Z50" s="19">
        <f t="shared" si="16"/>
        <v>213</v>
      </c>
      <c r="AA50" s="19">
        <f t="shared" si="16"/>
        <v>218</v>
      </c>
      <c r="AB50" s="19">
        <f t="shared" si="16"/>
        <v>201</v>
      </c>
      <c r="AC50" s="19">
        <f t="shared" si="16"/>
        <v>236</v>
      </c>
      <c r="AD50" s="19">
        <f t="shared" si="16"/>
        <v>227</v>
      </c>
      <c r="AE50" s="19">
        <f t="shared" si="16"/>
        <v>136</v>
      </c>
      <c r="AF50" s="19">
        <f t="shared" si="16"/>
        <v>125</v>
      </c>
      <c r="AG50" s="19">
        <f t="shared" si="16"/>
        <v>249</v>
      </c>
      <c r="AH50" s="13">
        <f t="shared" ref="AH50:AH52" si="17">SUM(E50:AG50)</f>
        <v>6217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2.0</v>
      </c>
      <c r="F51" s="19">
        <v>6.0</v>
      </c>
      <c r="G51" s="19">
        <v>4.0</v>
      </c>
      <c r="H51" s="19">
        <v>7.0</v>
      </c>
      <c r="I51" s="19">
        <v>6.0</v>
      </c>
      <c r="J51" s="19">
        <v>5.0</v>
      </c>
      <c r="K51" s="19">
        <v>2.0</v>
      </c>
      <c r="L51" s="19">
        <v>1.0</v>
      </c>
      <c r="M51" s="19">
        <v>6.0</v>
      </c>
      <c r="N51" s="19">
        <v>1.0</v>
      </c>
      <c r="O51" s="19">
        <v>2.0</v>
      </c>
      <c r="P51" s="19">
        <v>3.0</v>
      </c>
      <c r="Q51" s="19">
        <v>4.0</v>
      </c>
      <c r="R51" s="19">
        <v>1.0</v>
      </c>
      <c r="S51" s="19">
        <v>2.0</v>
      </c>
      <c r="T51" s="19">
        <v>5.0</v>
      </c>
      <c r="U51" s="19">
        <v>9.0</v>
      </c>
      <c r="V51" s="19">
        <v>7.0</v>
      </c>
      <c r="W51" s="19">
        <v>3.0</v>
      </c>
      <c r="X51" s="19">
        <v>2.0</v>
      </c>
      <c r="Y51" s="19">
        <v>3.0</v>
      </c>
      <c r="Z51" s="19">
        <v>5.0</v>
      </c>
      <c r="AA51" s="19">
        <v>5.0</v>
      </c>
      <c r="AB51" s="19">
        <v>3.0</v>
      </c>
      <c r="AC51" s="19">
        <v>2.0</v>
      </c>
      <c r="AD51" s="19">
        <v>10.0</v>
      </c>
      <c r="AE51" s="19">
        <v>4.0</v>
      </c>
      <c r="AF51" s="19">
        <v>2.0</v>
      </c>
      <c r="AG51" s="19">
        <v>2.0</v>
      </c>
      <c r="AH51" s="13">
        <f t="shared" si="17"/>
        <v>114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G52" si="18">SUM(E50:E51)</f>
        <v>218</v>
      </c>
      <c r="F52" s="13">
        <f t="shared" si="18"/>
        <v>229</v>
      </c>
      <c r="G52" s="13">
        <f t="shared" si="18"/>
        <v>214</v>
      </c>
      <c r="H52" s="13">
        <f t="shared" si="18"/>
        <v>226</v>
      </c>
      <c r="I52" s="13">
        <f t="shared" si="18"/>
        <v>239</v>
      </c>
      <c r="J52" s="13">
        <f t="shared" si="18"/>
        <v>214</v>
      </c>
      <c r="K52" s="13">
        <f t="shared" si="18"/>
        <v>232</v>
      </c>
      <c r="L52" s="13">
        <f t="shared" si="18"/>
        <v>234</v>
      </c>
      <c r="M52" s="13">
        <f t="shared" si="18"/>
        <v>240</v>
      </c>
      <c r="N52" s="13">
        <f t="shared" si="18"/>
        <v>204</v>
      </c>
      <c r="O52" s="13">
        <f t="shared" si="18"/>
        <v>225</v>
      </c>
      <c r="P52" s="13">
        <f t="shared" si="18"/>
        <v>217</v>
      </c>
      <c r="Q52" s="13">
        <f t="shared" si="18"/>
        <v>216</v>
      </c>
      <c r="R52" s="13">
        <f t="shared" si="18"/>
        <v>210</v>
      </c>
      <c r="S52" s="13">
        <f t="shared" si="18"/>
        <v>221</v>
      </c>
      <c r="T52" s="13">
        <f t="shared" si="18"/>
        <v>213</v>
      </c>
      <c r="U52" s="13">
        <f t="shared" si="18"/>
        <v>225</v>
      </c>
      <c r="V52" s="13">
        <f t="shared" si="18"/>
        <v>250</v>
      </c>
      <c r="W52" s="13">
        <f t="shared" si="18"/>
        <v>222</v>
      </c>
      <c r="X52" s="13">
        <f t="shared" si="18"/>
        <v>215</v>
      </c>
      <c r="Y52" s="13">
        <f t="shared" si="18"/>
        <v>229</v>
      </c>
      <c r="Z52" s="13">
        <f t="shared" si="18"/>
        <v>218</v>
      </c>
      <c r="AA52" s="13">
        <f t="shared" si="18"/>
        <v>223</v>
      </c>
      <c r="AB52" s="13">
        <f t="shared" si="18"/>
        <v>204</v>
      </c>
      <c r="AC52" s="13">
        <f t="shared" si="18"/>
        <v>238</v>
      </c>
      <c r="AD52" s="13">
        <f t="shared" si="18"/>
        <v>237</v>
      </c>
      <c r="AE52" s="13">
        <f t="shared" si="18"/>
        <v>140</v>
      </c>
      <c r="AF52" s="13">
        <f t="shared" si="18"/>
        <v>127</v>
      </c>
      <c r="AG52" s="13">
        <f t="shared" si="18"/>
        <v>251</v>
      </c>
      <c r="AH52" s="13">
        <f t="shared" si="17"/>
        <v>6331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G15 E45:AG47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E30&lt;&gt;E46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50:AG51">
    <cfRule type="containsBlanks" dxfId="1" priority="10">
      <formula>LEN(TRIM(E50))=0</formula>
    </cfRule>
  </conditionalFormatting>
  <conditionalFormatting sqref="U34:AG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83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36"/>
    </row>
    <row r="14" ht="12.75" customHeight="1">
      <c r="A14" s="18"/>
      <c r="B14" s="22" t="s">
        <v>10</v>
      </c>
      <c r="C14" s="23"/>
      <c r="D14" s="19" t="s">
        <v>11</v>
      </c>
      <c r="E14" s="19">
        <v>99.0</v>
      </c>
      <c r="F14" s="19">
        <v>85.0</v>
      </c>
      <c r="G14" s="19">
        <v>115.0</v>
      </c>
      <c r="H14" s="19">
        <v>126.0</v>
      </c>
      <c r="I14" s="19">
        <v>128.0</v>
      </c>
      <c r="J14" s="19">
        <v>122.0</v>
      </c>
      <c r="K14" s="19">
        <v>134.0</v>
      </c>
      <c r="L14" s="19">
        <v>141.0</v>
      </c>
      <c r="M14" s="19">
        <v>129.0</v>
      </c>
      <c r="N14" s="19">
        <v>99.0</v>
      </c>
      <c r="O14" s="19">
        <v>72.0</v>
      </c>
      <c r="P14" s="19">
        <v>132.0</v>
      </c>
      <c r="Q14" s="19">
        <v>136.0</v>
      </c>
      <c r="R14" s="19">
        <v>131.0</v>
      </c>
      <c r="S14" s="13">
        <f t="shared" ref="S14:S16" si="1">SUM(E14:R14)</f>
        <v>1649</v>
      </c>
    </row>
    <row r="15" ht="12.75" customHeight="1">
      <c r="A15" s="18"/>
      <c r="B15" s="26"/>
      <c r="C15" s="27"/>
      <c r="D15" s="19" t="s">
        <v>12</v>
      </c>
      <c r="E15" s="19">
        <v>104.0</v>
      </c>
      <c r="F15" s="19">
        <v>87.0</v>
      </c>
      <c r="G15" s="19">
        <v>106.0</v>
      </c>
      <c r="H15" s="19">
        <v>148.0</v>
      </c>
      <c r="I15" s="19">
        <v>147.0</v>
      </c>
      <c r="J15" s="19">
        <v>148.0</v>
      </c>
      <c r="K15" s="19">
        <v>162.0</v>
      </c>
      <c r="L15" s="19">
        <v>152.0</v>
      </c>
      <c r="M15" s="19">
        <v>122.0</v>
      </c>
      <c r="N15" s="19">
        <v>106.0</v>
      </c>
      <c r="O15" s="19">
        <v>75.0</v>
      </c>
      <c r="P15" s="19">
        <v>131.0</v>
      </c>
      <c r="Q15" s="19">
        <v>141.0</v>
      </c>
      <c r="R15" s="19">
        <v>140.0</v>
      </c>
      <c r="S15" s="13">
        <f t="shared" si="1"/>
        <v>1769</v>
      </c>
    </row>
    <row r="16" ht="12.75" customHeight="1">
      <c r="A16" s="25"/>
      <c r="B16" s="21"/>
      <c r="C16" s="28"/>
      <c r="D16" s="13" t="s">
        <v>13</v>
      </c>
      <c r="E16" s="13">
        <f t="shared" ref="E16:R16" si="2">SUM(E14:E15)</f>
        <v>203</v>
      </c>
      <c r="F16" s="13">
        <f t="shared" si="2"/>
        <v>172</v>
      </c>
      <c r="G16" s="13">
        <f t="shared" si="2"/>
        <v>221</v>
      </c>
      <c r="H16" s="13">
        <f t="shared" si="2"/>
        <v>274</v>
      </c>
      <c r="I16" s="13">
        <f t="shared" si="2"/>
        <v>275</v>
      </c>
      <c r="J16" s="13">
        <f t="shared" si="2"/>
        <v>270</v>
      </c>
      <c r="K16" s="13">
        <f t="shared" si="2"/>
        <v>296</v>
      </c>
      <c r="L16" s="13">
        <f t="shared" si="2"/>
        <v>293</v>
      </c>
      <c r="M16" s="13">
        <f t="shared" si="2"/>
        <v>251</v>
      </c>
      <c r="N16" s="13">
        <f t="shared" si="2"/>
        <v>205</v>
      </c>
      <c r="O16" s="13">
        <f t="shared" si="2"/>
        <v>147</v>
      </c>
      <c r="P16" s="13">
        <f t="shared" si="2"/>
        <v>263</v>
      </c>
      <c r="Q16" s="13">
        <f t="shared" si="2"/>
        <v>277</v>
      </c>
      <c r="R16" s="13">
        <f t="shared" si="2"/>
        <v>271</v>
      </c>
      <c r="S16" s="13">
        <f t="shared" si="1"/>
        <v>3418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69.0</v>
      </c>
      <c r="F19" s="19">
        <v>61.0</v>
      </c>
      <c r="G19" s="19">
        <v>73.0</v>
      </c>
      <c r="H19" s="19">
        <v>117.0</v>
      </c>
      <c r="I19" s="19">
        <v>84.0</v>
      </c>
      <c r="J19" s="19">
        <v>111.0</v>
      </c>
      <c r="K19" s="19">
        <v>90.0</v>
      </c>
      <c r="L19" s="19">
        <v>105.0</v>
      </c>
      <c r="M19" s="19">
        <v>78.0</v>
      </c>
      <c r="N19" s="19">
        <v>64.0</v>
      </c>
      <c r="O19" s="19">
        <v>51.0</v>
      </c>
      <c r="P19" s="19">
        <v>91.0</v>
      </c>
      <c r="Q19" s="19">
        <v>96.0</v>
      </c>
      <c r="R19" s="19">
        <v>90.0</v>
      </c>
      <c r="S19" s="13">
        <f t="shared" ref="S19:S30" si="3">SUM(E19:R19)</f>
        <v>1180</v>
      </c>
    </row>
    <row r="20" ht="12.75" customHeight="1">
      <c r="A20" s="33"/>
      <c r="B20" s="27"/>
      <c r="C20" s="34"/>
      <c r="D20" s="19" t="s">
        <v>12</v>
      </c>
      <c r="E20" s="19">
        <v>81.0</v>
      </c>
      <c r="F20" s="19">
        <v>66.0</v>
      </c>
      <c r="G20" s="19">
        <v>82.0</v>
      </c>
      <c r="H20" s="19">
        <v>94.0</v>
      </c>
      <c r="I20" s="19">
        <v>114.0</v>
      </c>
      <c r="J20" s="19">
        <v>85.0</v>
      </c>
      <c r="K20" s="19">
        <v>126.0</v>
      </c>
      <c r="L20" s="19">
        <v>117.0</v>
      </c>
      <c r="M20" s="19">
        <v>88.0</v>
      </c>
      <c r="N20" s="19">
        <v>76.0</v>
      </c>
      <c r="O20" s="19">
        <v>54.0</v>
      </c>
      <c r="P20" s="19">
        <v>103.0</v>
      </c>
      <c r="Q20" s="19">
        <v>117.0</v>
      </c>
      <c r="R20" s="19">
        <v>100.0</v>
      </c>
      <c r="S20" s="13">
        <f t="shared" si="3"/>
        <v>1303</v>
      </c>
    </row>
    <row r="21" ht="12.75" customHeight="1">
      <c r="A21" s="35"/>
      <c r="B21" s="28"/>
      <c r="C21" s="36"/>
      <c r="D21" s="13" t="s">
        <v>13</v>
      </c>
      <c r="E21" s="13">
        <f t="shared" ref="E21:R21" si="4">SUM(E19:E20)</f>
        <v>150</v>
      </c>
      <c r="F21" s="13">
        <f t="shared" si="4"/>
        <v>127</v>
      </c>
      <c r="G21" s="13">
        <f t="shared" si="4"/>
        <v>155</v>
      </c>
      <c r="H21" s="13">
        <f t="shared" si="4"/>
        <v>211</v>
      </c>
      <c r="I21" s="13">
        <f t="shared" si="4"/>
        <v>198</v>
      </c>
      <c r="J21" s="13">
        <f t="shared" si="4"/>
        <v>196</v>
      </c>
      <c r="K21" s="13">
        <f t="shared" si="4"/>
        <v>216</v>
      </c>
      <c r="L21" s="13">
        <f t="shared" si="4"/>
        <v>222</v>
      </c>
      <c r="M21" s="13">
        <f t="shared" si="4"/>
        <v>166</v>
      </c>
      <c r="N21" s="13">
        <f t="shared" si="4"/>
        <v>140</v>
      </c>
      <c r="O21" s="13">
        <f t="shared" si="4"/>
        <v>105</v>
      </c>
      <c r="P21" s="13">
        <f t="shared" si="4"/>
        <v>194</v>
      </c>
      <c r="Q21" s="13">
        <f t="shared" si="4"/>
        <v>213</v>
      </c>
      <c r="R21" s="13">
        <f t="shared" si="4"/>
        <v>190</v>
      </c>
      <c r="S21" s="13">
        <f t="shared" si="3"/>
        <v>2483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1.0</v>
      </c>
      <c r="I22" s="19">
        <v>1.0</v>
      </c>
      <c r="J22" s="19">
        <v>1.0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3">
        <f t="shared" si="3"/>
        <v>5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1.0</v>
      </c>
      <c r="H23" s="19">
        <v>1.0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2</v>
      </c>
      <c r="I24" s="13">
        <f t="shared" si="5"/>
        <v>2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3"/>
        <v>9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4.0</v>
      </c>
      <c r="G25" s="19">
        <v>3.0</v>
      </c>
      <c r="H25" s="19">
        <v>0.0</v>
      </c>
      <c r="I25" s="19">
        <v>0.0</v>
      </c>
      <c r="J25" s="19">
        <v>0.0</v>
      </c>
      <c r="K25" s="19">
        <v>3.0</v>
      </c>
      <c r="L25" s="19">
        <v>4.0</v>
      </c>
      <c r="M25" s="19">
        <v>0.0</v>
      </c>
      <c r="N25" s="19">
        <v>2.0</v>
      </c>
      <c r="O25" s="19">
        <v>1.0</v>
      </c>
      <c r="P25" s="19">
        <v>2.0</v>
      </c>
      <c r="Q25" s="19">
        <v>0.0</v>
      </c>
      <c r="R25" s="19">
        <v>0.0</v>
      </c>
      <c r="S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2.0</v>
      </c>
      <c r="G26" s="19">
        <v>3.0</v>
      </c>
      <c r="H26" s="19">
        <v>0.0</v>
      </c>
      <c r="I26" s="19">
        <v>0.0</v>
      </c>
      <c r="J26" s="19">
        <v>1.0</v>
      </c>
      <c r="K26" s="19">
        <v>3.0</v>
      </c>
      <c r="L26" s="19">
        <v>3.0</v>
      </c>
      <c r="M26" s="19">
        <v>0.0</v>
      </c>
      <c r="N26" s="19">
        <v>6.0</v>
      </c>
      <c r="O26" s="19">
        <v>0.0</v>
      </c>
      <c r="P26" s="19">
        <v>1.0</v>
      </c>
      <c r="Q26" s="19">
        <v>0.0</v>
      </c>
      <c r="R26" s="19">
        <v>1.0</v>
      </c>
      <c r="S26" s="13">
        <f t="shared" si="3"/>
        <v>21</v>
      </c>
    </row>
    <row r="27" ht="12.75" customHeight="1">
      <c r="A27" s="35"/>
      <c r="B27" s="28"/>
      <c r="C27" s="36"/>
      <c r="D27" s="13" t="s">
        <v>13</v>
      </c>
      <c r="E27" s="13">
        <f t="shared" ref="E27:R27" si="6">SUM(E25:E26)</f>
        <v>1</v>
      </c>
      <c r="F27" s="13">
        <f t="shared" si="6"/>
        <v>6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6</v>
      </c>
      <c r="L27" s="13">
        <f t="shared" si="6"/>
        <v>7</v>
      </c>
      <c r="M27" s="13">
        <f t="shared" si="6"/>
        <v>0</v>
      </c>
      <c r="N27" s="13">
        <f t="shared" si="6"/>
        <v>8</v>
      </c>
      <c r="O27" s="13">
        <f t="shared" si="6"/>
        <v>1</v>
      </c>
      <c r="P27" s="13">
        <f t="shared" si="6"/>
        <v>3</v>
      </c>
      <c r="Q27" s="13">
        <f t="shared" si="6"/>
        <v>0</v>
      </c>
      <c r="R27" s="13">
        <f t="shared" si="6"/>
        <v>1</v>
      </c>
      <c r="S27" s="13">
        <f t="shared" si="3"/>
        <v>40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R28" si="7">SUM(E19,E22,E25)</f>
        <v>69</v>
      </c>
      <c r="F28" s="13">
        <f t="shared" si="7"/>
        <v>65</v>
      </c>
      <c r="G28" s="13">
        <f t="shared" si="7"/>
        <v>76</v>
      </c>
      <c r="H28" s="13">
        <f t="shared" si="7"/>
        <v>118</v>
      </c>
      <c r="I28" s="13">
        <f t="shared" si="7"/>
        <v>85</v>
      </c>
      <c r="J28" s="13">
        <f t="shared" si="7"/>
        <v>112</v>
      </c>
      <c r="K28" s="13">
        <f t="shared" si="7"/>
        <v>93</v>
      </c>
      <c r="L28" s="13">
        <f t="shared" si="7"/>
        <v>109</v>
      </c>
      <c r="M28" s="13">
        <f t="shared" si="7"/>
        <v>79</v>
      </c>
      <c r="N28" s="13">
        <f t="shared" si="7"/>
        <v>66</v>
      </c>
      <c r="O28" s="13">
        <f t="shared" si="7"/>
        <v>52</v>
      </c>
      <c r="P28" s="13">
        <f t="shared" si="7"/>
        <v>94</v>
      </c>
      <c r="Q28" s="13">
        <f t="shared" si="7"/>
        <v>96</v>
      </c>
      <c r="R28" s="13">
        <f t="shared" si="7"/>
        <v>90</v>
      </c>
      <c r="S28" s="13">
        <f t="shared" si="3"/>
        <v>1204</v>
      </c>
    </row>
    <row r="29" ht="12.75" customHeight="1">
      <c r="A29" s="35"/>
      <c r="B29" s="27"/>
      <c r="C29" s="34"/>
      <c r="D29" s="13" t="s">
        <v>12</v>
      </c>
      <c r="E29" s="13">
        <f t="shared" ref="E29:R29" si="8">SUM(E20,E23,E26)</f>
        <v>82</v>
      </c>
      <c r="F29" s="13">
        <f t="shared" si="8"/>
        <v>68</v>
      </c>
      <c r="G29" s="13">
        <f t="shared" si="8"/>
        <v>86</v>
      </c>
      <c r="H29" s="13">
        <f t="shared" si="8"/>
        <v>95</v>
      </c>
      <c r="I29" s="13">
        <f t="shared" si="8"/>
        <v>115</v>
      </c>
      <c r="J29" s="13">
        <f t="shared" si="8"/>
        <v>87</v>
      </c>
      <c r="K29" s="13">
        <f t="shared" si="8"/>
        <v>129</v>
      </c>
      <c r="L29" s="13">
        <f t="shared" si="8"/>
        <v>120</v>
      </c>
      <c r="M29" s="13">
        <f t="shared" si="8"/>
        <v>88</v>
      </c>
      <c r="N29" s="13">
        <f t="shared" si="8"/>
        <v>82</v>
      </c>
      <c r="O29" s="13">
        <f t="shared" si="8"/>
        <v>54</v>
      </c>
      <c r="P29" s="13">
        <f t="shared" si="8"/>
        <v>104</v>
      </c>
      <c r="Q29" s="13">
        <f t="shared" si="8"/>
        <v>117</v>
      </c>
      <c r="R29" s="13">
        <f t="shared" si="8"/>
        <v>101</v>
      </c>
      <c r="S29" s="13">
        <f t="shared" si="3"/>
        <v>1328</v>
      </c>
    </row>
    <row r="30" ht="12.75" customHeight="1">
      <c r="A30" s="35"/>
      <c r="B30" s="28"/>
      <c r="C30" s="36"/>
      <c r="D30" s="13" t="s">
        <v>13</v>
      </c>
      <c r="E30" s="13">
        <f t="shared" ref="E30:R30" si="9">SUM(E28:E29)</f>
        <v>151</v>
      </c>
      <c r="F30" s="13">
        <f t="shared" si="9"/>
        <v>133</v>
      </c>
      <c r="G30" s="13">
        <f t="shared" si="9"/>
        <v>162</v>
      </c>
      <c r="H30" s="13">
        <f t="shared" si="9"/>
        <v>213</v>
      </c>
      <c r="I30" s="13">
        <f t="shared" si="9"/>
        <v>200</v>
      </c>
      <c r="J30" s="13">
        <f t="shared" si="9"/>
        <v>199</v>
      </c>
      <c r="K30" s="13">
        <f t="shared" si="9"/>
        <v>222</v>
      </c>
      <c r="L30" s="13">
        <f t="shared" si="9"/>
        <v>229</v>
      </c>
      <c r="M30" s="13">
        <f t="shared" si="9"/>
        <v>167</v>
      </c>
      <c r="N30" s="13">
        <f t="shared" si="9"/>
        <v>148</v>
      </c>
      <c r="O30" s="13">
        <f t="shared" si="9"/>
        <v>106</v>
      </c>
      <c r="P30" s="13">
        <f t="shared" si="9"/>
        <v>198</v>
      </c>
      <c r="Q30" s="13">
        <f t="shared" si="9"/>
        <v>213</v>
      </c>
      <c r="R30" s="13">
        <f t="shared" si="9"/>
        <v>191</v>
      </c>
      <c r="S30" s="13">
        <f t="shared" si="3"/>
        <v>2532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0"/>
    </row>
    <row r="33" ht="12.75" customHeight="1">
      <c r="A33" s="19">
        <v>1.0</v>
      </c>
      <c r="B33" s="20" t="s">
        <v>26</v>
      </c>
      <c r="C33" s="15"/>
      <c r="D33" s="16"/>
      <c r="E33" s="19">
        <v>208.0</v>
      </c>
      <c r="F33" s="19">
        <v>176.0</v>
      </c>
      <c r="G33" s="19">
        <v>226.0</v>
      </c>
      <c r="H33" s="19">
        <v>281.0</v>
      </c>
      <c r="I33" s="19">
        <v>281.0</v>
      </c>
      <c r="J33" s="19">
        <v>276.0</v>
      </c>
      <c r="K33" s="19">
        <v>301.0</v>
      </c>
      <c r="L33" s="19">
        <v>299.0</v>
      </c>
      <c r="M33" s="19">
        <v>257.0</v>
      </c>
      <c r="N33" s="19">
        <v>211.0</v>
      </c>
      <c r="O33" s="19">
        <v>150.0</v>
      </c>
      <c r="P33" s="19">
        <v>269.0</v>
      </c>
      <c r="Q33" s="19">
        <v>283.0</v>
      </c>
      <c r="R33" s="19">
        <v>280.0</v>
      </c>
      <c r="S33" s="13">
        <f t="shared" ref="S33:S36" si="10">SUM(E33:R33)</f>
        <v>3498</v>
      </c>
    </row>
    <row r="34" ht="12.75" customHeight="1">
      <c r="A34" s="19">
        <v>2.0</v>
      </c>
      <c r="B34" s="20" t="s">
        <v>27</v>
      </c>
      <c r="C34" s="15"/>
      <c r="D34" s="16"/>
      <c r="E34" s="13">
        <v>151.0</v>
      </c>
      <c r="F34" s="13">
        <v>133.0</v>
      </c>
      <c r="G34" s="13">
        <v>162.0</v>
      </c>
      <c r="H34" s="13">
        <v>213.0</v>
      </c>
      <c r="I34" s="13">
        <v>200.0</v>
      </c>
      <c r="J34" s="13">
        <v>199.0</v>
      </c>
      <c r="K34" s="13">
        <v>222.0</v>
      </c>
      <c r="L34" s="13">
        <v>229.0</v>
      </c>
      <c r="M34" s="13">
        <v>167.0</v>
      </c>
      <c r="N34" s="13">
        <v>148.0</v>
      </c>
      <c r="O34" s="13">
        <v>106.0</v>
      </c>
      <c r="P34" s="13">
        <v>198.0</v>
      </c>
      <c r="Q34" s="13">
        <v>213.0</v>
      </c>
      <c r="R34" s="13">
        <v>191.0</v>
      </c>
      <c r="S34" s="13">
        <f t="shared" si="10"/>
        <v>2532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1.0</v>
      </c>
      <c r="H35" s="19">
        <v>1.0</v>
      </c>
      <c r="I35" s="19">
        <v>4.0</v>
      </c>
      <c r="J35" s="19">
        <v>3.0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10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R36" si="11">E33-(E34+E35)</f>
        <v>57</v>
      </c>
      <c r="F36" s="13">
        <f t="shared" si="11"/>
        <v>43</v>
      </c>
      <c r="G36" s="13">
        <f t="shared" si="11"/>
        <v>63</v>
      </c>
      <c r="H36" s="13">
        <f t="shared" si="11"/>
        <v>67</v>
      </c>
      <c r="I36" s="13">
        <f t="shared" si="11"/>
        <v>77</v>
      </c>
      <c r="J36" s="13">
        <f t="shared" si="11"/>
        <v>74</v>
      </c>
      <c r="K36" s="13">
        <f t="shared" si="11"/>
        <v>79</v>
      </c>
      <c r="L36" s="13">
        <f t="shared" si="11"/>
        <v>69</v>
      </c>
      <c r="M36" s="13">
        <f t="shared" si="11"/>
        <v>90</v>
      </c>
      <c r="N36" s="13">
        <f t="shared" si="11"/>
        <v>63</v>
      </c>
      <c r="O36" s="13">
        <f t="shared" si="11"/>
        <v>44</v>
      </c>
      <c r="P36" s="13">
        <f t="shared" si="11"/>
        <v>71</v>
      </c>
      <c r="Q36" s="13">
        <f t="shared" si="11"/>
        <v>70</v>
      </c>
      <c r="R36" s="13">
        <f t="shared" si="11"/>
        <v>89</v>
      </c>
      <c r="S36" s="13">
        <f t="shared" si="10"/>
        <v>956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2.0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3"/>
    </row>
    <row r="43" ht="12.75" customHeight="1">
      <c r="A43" s="42" t="s">
        <v>33</v>
      </c>
      <c r="B43" s="14" t="s">
        <v>84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3"/>
    </row>
    <row r="45" ht="12.75" customHeight="1">
      <c r="A45" s="63"/>
      <c r="B45" s="47">
        <v>1.0</v>
      </c>
      <c r="C45" s="48" t="s">
        <v>36</v>
      </c>
      <c r="D45" s="16"/>
      <c r="E45" s="19">
        <v>43.0</v>
      </c>
      <c r="F45" s="19">
        <v>61.0</v>
      </c>
      <c r="G45" s="19">
        <v>24.0</v>
      </c>
      <c r="H45" s="19">
        <v>21.0</v>
      </c>
      <c r="I45" s="19">
        <v>27.0</v>
      </c>
      <c r="J45" s="19">
        <v>30.0</v>
      </c>
      <c r="K45" s="19">
        <v>13.0</v>
      </c>
      <c r="L45" s="19">
        <v>21.0</v>
      </c>
      <c r="M45" s="19">
        <v>16.0</v>
      </c>
      <c r="N45" s="19">
        <v>14.0</v>
      </c>
      <c r="O45" s="19">
        <v>10.0</v>
      </c>
      <c r="P45" s="19">
        <v>9.0</v>
      </c>
      <c r="Q45" s="19">
        <v>14.0</v>
      </c>
      <c r="R45" s="19">
        <v>21.0</v>
      </c>
      <c r="S45" s="13">
        <f t="shared" ref="S45:S47" si="14">SUM(E45:R45)</f>
        <v>324</v>
      </c>
    </row>
    <row r="46" ht="12.75" customHeight="1">
      <c r="A46" s="18"/>
      <c r="B46" s="47">
        <v>2.0</v>
      </c>
      <c r="C46" s="48" t="s">
        <v>37</v>
      </c>
      <c r="D46" s="16"/>
      <c r="E46" s="19">
        <v>80.0</v>
      </c>
      <c r="F46" s="19">
        <v>64.0</v>
      </c>
      <c r="G46" s="19">
        <v>105.0</v>
      </c>
      <c r="H46" s="19">
        <v>135.0</v>
      </c>
      <c r="I46" s="19">
        <v>138.0</v>
      </c>
      <c r="J46" s="19">
        <v>124.0</v>
      </c>
      <c r="K46" s="19">
        <v>143.0</v>
      </c>
      <c r="L46" s="19">
        <v>172.0</v>
      </c>
      <c r="M46" s="19">
        <v>125.0</v>
      </c>
      <c r="N46" s="19">
        <v>94.0</v>
      </c>
      <c r="O46" s="19">
        <v>73.0</v>
      </c>
      <c r="P46" s="19">
        <v>144.0</v>
      </c>
      <c r="Q46" s="19">
        <v>148.0</v>
      </c>
      <c r="R46" s="19">
        <v>117.0</v>
      </c>
      <c r="S46" s="13">
        <f t="shared" si="14"/>
        <v>1662</v>
      </c>
    </row>
    <row r="47" ht="12.75" customHeight="1">
      <c r="A47" s="45"/>
      <c r="B47" s="47">
        <v>3.0</v>
      </c>
      <c r="C47" s="48" t="s">
        <v>38</v>
      </c>
      <c r="D47" s="16"/>
      <c r="E47" s="19">
        <v>25.0</v>
      </c>
      <c r="F47" s="19">
        <v>7.0</v>
      </c>
      <c r="G47" s="19">
        <v>31.0</v>
      </c>
      <c r="H47" s="19">
        <v>55.0</v>
      </c>
      <c r="I47" s="19">
        <v>33.0</v>
      </c>
      <c r="J47" s="19">
        <v>45.0</v>
      </c>
      <c r="K47" s="19">
        <v>58.0</v>
      </c>
      <c r="L47" s="19">
        <v>30.0</v>
      </c>
      <c r="M47" s="19">
        <v>21.0</v>
      </c>
      <c r="N47" s="19">
        <v>32.0</v>
      </c>
      <c r="O47" s="19">
        <v>18.0</v>
      </c>
      <c r="P47" s="19">
        <v>37.0</v>
      </c>
      <c r="Q47" s="19">
        <v>49.0</v>
      </c>
      <c r="R47" s="19">
        <v>44.0</v>
      </c>
      <c r="S47" s="13">
        <f t="shared" si="14"/>
        <v>485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R50" si="15">SUM(E45:E47)</f>
        <v>148</v>
      </c>
      <c r="F50" s="19">
        <f t="shared" si="15"/>
        <v>132</v>
      </c>
      <c r="G50" s="19">
        <f t="shared" si="15"/>
        <v>160</v>
      </c>
      <c r="H50" s="19">
        <f t="shared" si="15"/>
        <v>211</v>
      </c>
      <c r="I50" s="19">
        <f t="shared" si="15"/>
        <v>198</v>
      </c>
      <c r="J50" s="19">
        <f t="shared" si="15"/>
        <v>199</v>
      </c>
      <c r="K50" s="19">
        <f t="shared" si="15"/>
        <v>214</v>
      </c>
      <c r="L50" s="19">
        <f t="shared" si="15"/>
        <v>223</v>
      </c>
      <c r="M50" s="19">
        <f t="shared" si="15"/>
        <v>162</v>
      </c>
      <c r="N50" s="19">
        <f t="shared" si="15"/>
        <v>140</v>
      </c>
      <c r="O50" s="19">
        <f t="shared" si="15"/>
        <v>101</v>
      </c>
      <c r="P50" s="19">
        <f t="shared" si="15"/>
        <v>190</v>
      </c>
      <c r="Q50" s="19">
        <f t="shared" si="15"/>
        <v>211</v>
      </c>
      <c r="R50" s="19">
        <f t="shared" si="15"/>
        <v>182</v>
      </c>
      <c r="S50" s="13">
        <f t="shared" ref="S50:S52" si="16">SUM(E50:R50)</f>
        <v>2471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3.0</v>
      </c>
      <c r="F51" s="19">
        <v>1.0</v>
      </c>
      <c r="G51" s="19">
        <v>2.0</v>
      </c>
      <c r="H51" s="19">
        <v>2.0</v>
      </c>
      <c r="I51" s="19">
        <v>2.0</v>
      </c>
      <c r="J51" s="19">
        <v>0.0</v>
      </c>
      <c r="K51" s="19">
        <v>8.0</v>
      </c>
      <c r="L51" s="19">
        <v>6.0</v>
      </c>
      <c r="M51" s="19">
        <v>5.0</v>
      </c>
      <c r="N51" s="19">
        <v>8.0</v>
      </c>
      <c r="O51" s="19">
        <v>5.0</v>
      </c>
      <c r="P51" s="19">
        <v>8.0</v>
      </c>
      <c r="Q51" s="19">
        <v>2.0</v>
      </c>
      <c r="R51" s="19">
        <v>9.0</v>
      </c>
      <c r="S51" s="13">
        <f t="shared" si="16"/>
        <v>61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R52" si="17">SUM(E50:E51)</f>
        <v>151</v>
      </c>
      <c r="F52" s="13">
        <f t="shared" si="17"/>
        <v>133</v>
      </c>
      <c r="G52" s="13">
        <f t="shared" si="17"/>
        <v>162</v>
      </c>
      <c r="H52" s="13">
        <f t="shared" si="17"/>
        <v>213</v>
      </c>
      <c r="I52" s="13">
        <f t="shared" si="17"/>
        <v>200</v>
      </c>
      <c r="J52" s="13">
        <f t="shared" si="17"/>
        <v>199</v>
      </c>
      <c r="K52" s="13">
        <f t="shared" si="17"/>
        <v>222</v>
      </c>
      <c r="L52" s="13">
        <f t="shared" si="17"/>
        <v>229</v>
      </c>
      <c r="M52" s="13">
        <f t="shared" si="17"/>
        <v>167</v>
      </c>
      <c r="N52" s="13">
        <f t="shared" si="17"/>
        <v>148</v>
      </c>
      <c r="O52" s="13">
        <f t="shared" si="17"/>
        <v>106</v>
      </c>
      <c r="P52" s="13">
        <f t="shared" si="17"/>
        <v>198</v>
      </c>
      <c r="Q52" s="13">
        <f t="shared" si="17"/>
        <v>213</v>
      </c>
      <c r="R52" s="13">
        <f t="shared" si="17"/>
        <v>191</v>
      </c>
      <c r="S52" s="13">
        <f t="shared" si="16"/>
        <v>2532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R34">
    <cfRule type="expression" dxfId="0" priority="1">
      <formula>E34&lt;&gt;#REF!</formula>
    </cfRule>
  </conditionalFormatting>
  <conditionalFormatting sqref="E14:R15 E45:R47">
    <cfRule type="containsBlanks" dxfId="1" priority="2">
      <formula>LEN(TRIM(E14))=0</formula>
    </cfRule>
  </conditionalFormatting>
  <conditionalFormatting sqref="E19:R20">
    <cfRule type="containsBlanks" dxfId="1" priority="3">
      <formula>LEN(TRIM(E19))=0</formula>
    </cfRule>
  </conditionalFormatting>
  <conditionalFormatting sqref="E22:R23 E25:R26 E33:R33 E35:R35 E39:R40">
    <cfRule type="containsBlanks" dxfId="1" priority="4">
      <formula>LEN(TRIM(E22))=0</formula>
    </cfRule>
  </conditionalFormatting>
  <conditionalFormatting sqref="E30:R30">
    <cfRule type="expression" dxfId="0" priority="5">
      <formula>E30&lt;&gt;E46</formula>
    </cfRule>
  </conditionalFormatting>
  <conditionalFormatting sqref="E30:R30">
    <cfRule type="expression" dxfId="0" priority="6">
      <formula>E30&lt;&gt;E34</formula>
    </cfRule>
  </conditionalFormatting>
  <conditionalFormatting sqref="E34:R34">
    <cfRule type="expression" dxfId="2" priority="7">
      <formula>E30&lt;&gt;E34</formula>
    </cfRule>
  </conditionalFormatting>
  <conditionalFormatting sqref="E34:R34">
    <cfRule type="expression" dxfId="3" priority="8">
      <formula>E30=E34</formula>
    </cfRule>
  </conditionalFormatting>
  <conditionalFormatting sqref="E34:R34">
    <cfRule type="expression" dxfId="0" priority="9">
      <formula>E34&lt;&gt;E30</formula>
    </cfRule>
  </conditionalFormatting>
  <conditionalFormatting sqref="E50:R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85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13" t="s">
        <v>68</v>
      </c>
      <c r="V13" s="13" t="s">
        <v>69</v>
      </c>
      <c r="W13" s="13" t="s">
        <v>70</v>
      </c>
      <c r="X13" s="13" t="s">
        <v>71</v>
      </c>
      <c r="Y13" s="13" t="s">
        <v>72</v>
      </c>
      <c r="Z13" s="13" t="s">
        <v>73</v>
      </c>
      <c r="AA13" s="13" t="s">
        <v>74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19">
        <v>135.0</v>
      </c>
      <c r="F14" s="19">
        <v>141.0</v>
      </c>
      <c r="G14" s="19">
        <v>138.0</v>
      </c>
      <c r="H14" s="19">
        <v>132.0</v>
      </c>
      <c r="I14" s="19">
        <v>126.0</v>
      </c>
      <c r="J14" s="19">
        <v>129.0</v>
      </c>
      <c r="K14" s="19">
        <v>113.0</v>
      </c>
      <c r="L14" s="19">
        <v>146.0</v>
      </c>
      <c r="M14" s="19">
        <v>142.0</v>
      </c>
      <c r="N14" s="19">
        <v>130.0</v>
      </c>
      <c r="O14" s="19">
        <v>120.0</v>
      </c>
      <c r="P14" s="19">
        <v>129.0</v>
      </c>
      <c r="Q14" s="19">
        <v>140.0</v>
      </c>
      <c r="R14" s="19">
        <v>142.0</v>
      </c>
      <c r="S14" s="19">
        <v>142.0</v>
      </c>
      <c r="T14" s="19">
        <v>142.0</v>
      </c>
      <c r="U14" s="19">
        <v>144.0</v>
      </c>
      <c r="V14" s="19">
        <v>125.0</v>
      </c>
      <c r="W14" s="19">
        <v>141.0</v>
      </c>
      <c r="X14" s="19">
        <v>135.0</v>
      </c>
      <c r="Y14" s="19">
        <v>138.0</v>
      </c>
      <c r="Z14" s="19">
        <v>130.0</v>
      </c>
      <c r="AA14" s="19">
        <v>101.0</v>
      </c>
      <c r="AB14" s="13">
        <f t="shared" ref="AB14:AB16" si="1">SUM(E14:AA14)</f>
        <v>3061</v>
      </c>
    </row>
    <row r="15" ht="12.75" customHeight="1">
      <c r="A15" s="18"/>
      <c r="B15" s="26"/>
      <c r="C15" s="27"/>
      <c r="D15" s="19" t="s">
        <v>12</v>
      </c>
      <c r="E15" s="19">
        <v>146.0</v>
      </c>
      <c r="F15" s="19">
        <v>143.0</v>
      </c>
      <c r="G15" s="19">
        <v>145.0</v>
      </c>
      <c r="H15" s="19">
        <v>150.0</v>
      </c>
      <c r="I15" s="19">
        <v>142.0</v>
      </c>
      <c r="J15" s="19">
        <v>132.0</v>
      </c>
      <c r="K15" s="19">
        <v>117.0</v>
      </c>
      <c r="L15" s="19">
        <v>132.0</v>
      </c>
      <c r="M15" s="19">
        <v>136.0</v>
      </c>
      <c r="N15" s="19">
        <v>137.0</v>
      </c>
      <c r="O15" s="19">
        <v>134.0</v>
      </c>
      <c r="P15" s="19">
        <v>138.0</v>
      </c>
      <c r="Q15" s="19">
        <v>140.0</v>
      </c>
      <c r="R15" s="19">
        <v>148.0</v>
      </c>
      <c r="S15" s="19">
        <v>146.0</v>
      </c>
      <c r="T15" s="19">
        <v>144.0</v>
      </c>
      <c r="U15" s="19">
        <v>134.0</v>
      </c>
      <c r="V15" s="19">
        <v>115.0</v>
      </c>
      <c r="W15" s="19">
        <v>142.0</v>
      </c>
      <c r="X15" s="19">
        <v>124.0</v>
      </c>
      <c r="Y15" s="19">
        <v>136.0</v>
      </c>
      <c r="Z15" s="19">
        <v>140.0</v>
      </c>
      <c r="AA15" s="19">
        <v>106.0</v>
      </c>
      <c r="AB15" s="13">
        <f t="shared" si="1"/>
        <v>3127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281</v>
      </c>
      <c r="F16" s="13">
        <f t="shared" si="2"/>
        <v>284</v>
      </c>
      <c r="G16" s="13">
        <f t="shared" si="2"/>
        <v>283</v>
      </c>
      <c r="H16" s="13">
        <f t="shared" si="2"/>
        <v>282</v>
      </c>
      <c r="I16" s="13">
        <f t="shared" si="2"/>
        <v>268</v>
      </c>
      <c r="J16" s="13">
        <f t="shared" si="2"/>
        <v>261</v>
      </c>
      <c r="K16" s="13">
        <f t="shared" si="2"/>
        <v>230</v>
      </c>
      <c r="L16" s="13">
        <f t="shared" si="2"/>
        <v>278</v>
      </c>
      <c r="M16" s="13">
        <f t="shared" si="2"/>
        <v>278</v>
      </c>
      <c r="N16" s="13">
        <f t="shared" si="2"/>
        <v>267</v>
      </c>
      <c r="O16" s="13">
        <f t="shared" si="2"/>
        <v>254</v>
      </c>
      <c r="P16" s="13">
        <f t="shared" si="2"/>
        <v>267</v>
      </c>
      <c r="Q16" s="13">
        <f t="shared" si="2"/>
        <v>280</v>
      </c>
      <c r="R16" s="13">
        <f t="shared" si="2"/>
        <v>290</v>
      </c>
      <c r="S16" s="13">
        <f t="shared" si="2"/>
        <v>288</v>
      </c>
      <c r="T16" s="13">
        <f t="shared" si="2"/>
        <v>286</v>
      </c>
      <c r="U16" s="13">
        <f t="shared" si="2"/>
        <v>278</v>
      </c>
      <c r="V16" s="13">
        <f t="shared" si="2"/>
        <v>240</v>
      </c>
      <c r="W16" s="13">
        <f t="shared" si="2"/>
        <v>283</v>
      </c>
      <c r="X16" s="13">
        <f t="shared" si="2"/>
        <v>259</v>
      </c>
      <c r="Y16" s="13">
        <f t="shared" si="2"/>
        <v>274</v>
      </c>
      <c r="Z16" s="13">
        <f t="shared" si="2"/>
        <v>270</v>
      </c>
      <c r="AA16" s="13">
        <f t="shared" si="2"/>
        <v>207</v>
      </c>
      <c r="AB16" s="13">
        <f t="shared" si="1"/>
        <v>6188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95.0</v>
      </c>
      <c r="F19" s="19">
        <v>118.0</v>
      </c>
      <c r="G19" s="19">
        <v>103.0</v>
      </c>
      <c r="H19" s="19">
        <v>100.0</v>
      </c>
      <c r="I19" s="19">
        <v>97.0</v>
      </c>
      <c r="J19" s="19">
        <v>96.0</v>
      </c>
      <c r="K19" s="19">
        <v>90.0</v>
      </c>
      <c r="L19" s="19">
        <v>86.0</v>
      </c>
      <c r="M19" s="19">
        <v>85.0</v>
      </c>
      <c r="N19" s="19">
        <v>98.0</v>
      </c>
      <c r="O19" s="19">
        <v>80.0</v>
      </c>
      <c r="P19" s="19">
        <v>79.0</v>
      </c>
      <c r="Q19" s="19">
        <v>96.0</v>
      </c>
      <c r="R19" s="19">
        <v>105.0</v>
      </c>
      <c r="S19" s="19">
        <v>97.0</v>
      </c>
      <c r="T19" s="19">
        <v>97.0</v>
      </c>
      <c r="U19" s="19">
        <v>99.0</v>
      </c>
      <c r="V19" s="19">
        <v>105.0</v>
      </c>
      <c r="W19" s="19">
        <v>97.0</v>
      </c>
      <c r="X19" s="19">
        <v>91.0</v>
      </c>
      <c r="Y19" s="19">
        <v>95.0</v>
      </c>
      <c r="Z19" s="19">
        <v>94.0</v>
      </c>
      <c r="AA19" s="19">
        <v>67.0</v>
      </c>
      <c r="AB19" s="13">
        <f t="shared" ref="AB19:AB30" si="3">SUM(E19:AA19)</f>
        <v>2170</v>
      </c>
    </row>
    <row r="20" ht="12.75" customHeight="1">
      <c r="A20" s="33"/>
      <c r="B20" s="27"/>
      <c r="C20" s="34"/>
      <c r="D20" s="19" t="s">
        <v>12</v>
      </c>
      <c r="E20" s="19">
        <v>117.0</v>
      </c>
      <c r="F20" s="19">
        <v>122.0</v>
      </c>
      <c r="G20" s="19">
        <v>106.0</v>
      </c>
      <c r="H20" s="19">
        <v>122.0</v>
      </c>
      <c r="I20" s="19">
        <v>114.0</v>
      </c>
      <c r="J20" s="19">
        <v>113.0</v>
      </c>
      <c r="K20" s="19">
        <v>93.0</v>
      </c>
      <c r="L20" s="19">
        <v>124.0</v>
      </c>
      <c r="M20" s="19">
        <v>96.0</v>
      </c>
      <c r="N20" s="19">
        <v>102.0</v>
      </c>
      <c r="O20" s="19">
        <v>98.0</v>
      </c>
      <c r="P20" s="19">
        <v>108.0</v>
      </c>
      <c r="Q20" s="19">
        <v>114.0</v>
      </c>
      <c r="R20" s="19">
        <v>122.0</v>
      </c>
      <c r="S20" s="19">
        <v>116.0</v>
      </c>
      <c r="T20" s="19">
        <v>108.0</v>
      </c>
      <c r="U20" s="19">
        <v>98.0</v>
      </c>
      <c r="V20" s="19">
        <v>96.0</v>
      </c>
      <c r="W20" s="19">
        <v>117.0</v>
      </c>
      <c r="X20" s="19">
        <v>96.0</v>
      </c>
      <c r="Y20" s="19">
        <v>106.0</v>
      </c>
      <c r="Z20" s="19">
        <v>103.0</v>
      </c>
      <c r="AA20" s="19">
        <v>80.0</v>
      </c>
      <c r="AB20" s="13">
        <f t="shared" si="3"/>
        <v>2471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212</v>
      </c>
      <c r="F21" s="13">
        <f t="shared" si="4"/>
        <v>240</v>
      </c>
      <c r="G21" s="13">
        <f t="shared" si="4"/>
        <v>209</v>
      </c>
      <c r="H21" s="13">
        <f t="shared" si="4"/>
        <v>222</v>
      </c>
      <c r="I21" s="13">
        <f t="shared" si="4"/>
        <v>211</v>
      </c>
      <c r="J21" s="13">
        <f t="shared" si="4"/>
        <v>209</v>
      </c>
      <c r="K21" s="13">
        <f t="shared" si="4"/>
        <v>183</v>
      </c>
      <c r="L21" s="13">
        <f t="shared" si="4"/>
        <v>210</v>
      </c>
      <c r="M21" s="13">
        <f t="shared" si="4"/>
        <v>181</v>
      </c>
      <c r="N21" s="13">
        <f t="shared" si="4"/>
        <v>200</v>
      </c>
      <c r="O21" s="13">
        <f t="shared" si="4"/>
        <v>178</v>
      </c>
      <c r="P21" s="13">
        <f t="shared" si="4"/>
        <v>187</v>
      </c>
      <c r="Q21" s="13">
        <f t="shared" si="4"/>
        <v>210</v>
      </c>
      <c r="R21" s="13">
        <f t="shared" si="4"/>
        <v>227</v>
      </c>
      <c r="S21" s="13">
        <f t="shared" si="4"/>
        <v>213</v>
      </c>
      <c r="T21" s="13">
        <f t="shared" si="4"/>
        <v>205</v>
      </c>
      <c r="U21" s="13">
        <f t="shared" si="4"/>
        <v>197</v>
      </c>
      <c r="V21" s="13">
        <f t="shared" si="4"/>
        <v>201</v>
      </c>
      <c r="W21" s="13">
        <f t="shared" si="4"/>
        <v>214</v>
      </c>
      <c r="X21" s="13">
        <f t="shared" si="4"/>
        <v>187</v>
      </c>
      <c r="Y21" s="13">
        <f t="shared" si="4"/>
        <v>201</v>
      </c>
      <c r="Z21" s="13">
        <f t="shared" si="4"/>
        <v>197</v>
      </c>
      <c r="AA21" s="13">
        <f t="shared" si="4"/>
        <v>147</v>
      </c>
      <c r="AB21" s="13">
        <f t="shared" si="3"/>
        <v>4641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2.0</v>
      </c>
      <c r="N22" s="19">
        <v>0.0</v>
      </c>
      <c r="O22" s="19">
        <v>0.0</v>
      </c>
      <c r="P22" s="19">
        <v>3.0</v>
      </c>
      <c r="Q22" s="19">
        <v>0.0</v>
      </c>
      <c r="R22" s="19">
        <v>1.0</v>
      </c>
      <c r="S22" s="19">
        <v>1.0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3"/>
        <v>9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2.0</v>
      </c>
      <c r="J23" s="19">
        <v>0.0</v>
      </c>
      <c r="K23" s="19">
        <v>0.0</v>
      </c>
      <c r="L23" s="19">
        <v>0.0</v>
      </c>
      <c r="M23" s="19">
        <v>6.0</v>
      </c>
      <c r="N23" s="19">
        <v>0.0</v>
      </c>
      <c r="O23" s="19">
        <v>0.0</v>
      </c>
      <c r="P23" s="19">
        <v>2.0</v>
      </c>
      <c r="Q23" s="19">
        <v>0.0</v>
      </c>
      <c r="R23" s="19">
        <v>0.0</v>
      </c>
      <c r="S23" s="19">
        <v>1.0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12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8</v>
      </c>
      <c r="N24" s="13">
        <f t="shared" si="5"/>
        <v>0</v>
      </c>
      <c r="O24" s="13">
        <f t="shared" si="5"/>
        <v>0</v>
      </c>
      <c r="P24" s="13">
        <f t="shared" si="5"/>
        <v>5</v>
      </c>
      <c r="Q24" s="13">
        <f t="shared" si="5"/>
        <v>0</v>
      </c>
      <c r="R24" s="13">
        <f t="shared" si="5"/>
        <v>1</v>
      </c>
      <c r="S24" s="13">
        <f t="shared" si="5"/>
        <v>2</v>
      </c>
      <c r="T24" s="13">
        <f t="shared" si="5"/>
        <v>0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21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0.0</v>
      </c>
      <c r="G25" s="19">
        <v>0.0</v>
      </c>
      <c r="H25" s="19">
        <v>1.0</v>
      </c>
      <c r="I25" s="19">
        <v>1.0</v>
      </c>
      <c r="J25" s="19">
        <v>3.0</v>
      </c>
      <c r="K25" s="19">
        <v>0.0</v>
      </c>
      <c r="L25" s="19">
        <v>1.0</v>
      </c>
      <c r="M25" s="19">
        <v>0.0</v>
      </c>
      <c r="N25" s="19">
        <v>2.0</v>
      </c>
      <c r="O25" s="19">
        <v>6.0</v>
      </c>
      <c r="P25" s="19">
        <v>0.0</v>
      </c>
      <c r="Q25" s="19">
        <v>0.0</v>
      </c>
      <c r="R25" s="19">
        <v>7.0</v>
      </c>
      <c r="S25" s="19">
        <v>1.0</v>
      </c>
      <c r="T25" s="19">
        <v>1.0</v>
      </c>
      <c r="U25" s="19">
        <v>3.0</v>
      </c>
      <c r="V25" s="19">
        <v>3.0</v>
      </c>
      <c r="W25" s="19">
        <v>0.0</v>
      </c>
      <c r="X25" s="19">
        <v>3.0</v>
      </c>
      <c r="Y25" s="19">
        <v>0.0</v>
      </c>
      <c r="Z25" s="19">
        <v>4.0</v>
      </c>
      <c r="AA25" s="19">
        <v>0.0</v>
      </c>
      <c r="AB25" s="13">
        <f t="shared" si="3"/>
        <v>37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1.0</v>
      </c>
      <c r="G26" s="19">
        <v>1.0</v>
      </c>
      <c r="H26" s="19">
        <v>1.0</v>
      </c>
      <c r="I26" s="19">
        <v>0.0</v>
      </c>
      <c r="J26" s="19">
        <v>3.0</v>
      </c>
      <c r="K26" s="19">
        <v>0.0</v>
      </c>
      <c r="L26" s="19">
        <v>2.0</v>
      </c>
      <c r="M26" s="19">
        <v>0.0</v>
      </c>
      <c r="N26" s="19">
        <v>2.0</v>
      </c>
      <c r="O26" s="19">
        <v>3.0</v>
      </c>
      <c r="P26" s="19">
        <v>0.0</v>
      </c>
      <c r="Q26" s="19">
        <v>0.0</v>
      </c>
      <c r="R26" s="19">
        <v>6.0</v>
      </c>
      <c r="S26" s="19">
        <v>3.0</v>
      </c>
      <c r="T26" s="19">
        <v>1.0</v>
      </c>
      <c r="U26" s="19">
        <v>4.0</v>
      </c>
      <c r="V26" s="19">
        <v>6.0</v>
      </c>
      <c r="W26" s="19">
        <v>0.0</v>
      </c>
      <c r="X26" s="19">
        <v>2.0</v>
      </c>
      <c r="Y26" s="19">
        <v>0.0</v>
      </c>
      <c r="Z26" s="19">
        <v>5.0</v>
      </c>
      <c r="AA26" s="19">
        <v>1.0</v>
      </c>
      <c r="AB26" s="13">
        <f t="shared" si="3"/>
        <v>41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1</v>
      </c>
      <c r="F27" s="13">
        <f t="shared" si="6"/>
        <v>1</v>
      </c>
      <c r="G27" s="13">
        <f t="shared" si="6"/>
        <v>1</v>
      </c>
      <c r="H27" s="13">
        <f t="shared" si="6"/>
        <v>2</v>
      </c>
      <c r="I27" s="13">
        <f t="shared" si="6"/>
        <v>1</v>
      </c>
      <c r="J27" s="13">
        <f t="shared" si="6"/>
        <v>6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4</v>
      </c>
      <c r="O27" s="13">
        <f t="shared" si="6"/>
        <v>9</v>
      </c>
      <c r="P27" s="13">
        <f t="shared" si="6"/>
        <v>0</v>
      </c>
      <c r="Q27" s="13">
        <f t="shared" si="6"/>
        <v>0</v>
      </c>
      <c r="R27" s="13">
        <f t="shared" si="6"/>
        <v>13</v>
      </c>
      <c r="S27" s="13">
        <f t="shared" si="6"/>
        <v>4</v>
      </c>
      <c r="T27" s="13">
        <f t="shared" si="6"/>
        <v>2</v>
      </c>
      <c r="U27" s="13">
        <f t="shared" si="6"/>
        <v>7</v>
      </c>
      <c r="V27" s="13">
        <f t="shared" si="6"/>
        <v>9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9</v>
      </c>
      <c r="AA27" s="13">
        <f t="shared" si="6"/>
        <v>1</v>
      </c>
      <c r="AB27" s="13">
        <f t="shared" si="3"/>
        <v>78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96</v>
      </c>
      <c r="F28" s="13">
        <f t="shared" si="7"/>
        <v>118</v>
      </c>
      <c r="G28" s="13">
        <f t="shared" si="7"/>
        <v>103</v>
      </c>
      <c r="H28" s="13">
        <f t="shared" si="7"/>
        <v>101</v>
      </c>
      <c r="I28" s="13">
        <f t="shared" si="7"/>
        <v>98</v>
      </c>
      <c r="J28" s="13">
        <f t="shared" si="7"/>
        <v>99</v>
      </c>
      <c r="K28" s="13">
        <f t="shared" si="7"/>
        <v>90</v>
      </c>
      <c r="L28" s="13">
        <f t="shared" si="7"/>
        <v>88</v>
      </c>
      <c r="M28" s="13">
        <f t="shared" si="7"/>
        <v>87</v>
      </c>
      <c r="N28" s="13">
        <f t="shared" si="7"/>
        <v>100</v>
      </c>
      <c r="O28" s="13">
        <f t="shared" si="7"/>
        <v>86</v>
      </c>
      <c r="P28" s="13">
        <f t="shared" si="7"/>
        <v>82</v>
      </c>
      <c r="Q28" s="13">
        <f t="shared" si="7"/>
        <v>96</v>
      </c>
      <c r="R28" s="13">
        <f t="shared" si="7"/>
        <v>113</v>
      </c>
      <c r="S28" s="13">
        <f t="shared" si="7"/>
        <v>99</v>
      </c>
      <c r="T28" s="13">
        <f t="shared" si="7"/>
        <v>98</v>
      </c>
      <c r="U28" s="13">
        <f t="shared" si="7"/>
        <v>102</v>
      </c>
      <c r="V28" s="13">
        <f t="shared" si="7"/>
        <v>109</v>
      </c>
      <c r="W28" s="13">
        <f t="shared" si="7"/>
        <v>97</v>
      </c>
      <c r="X28" s="13">
        <f t="shared" si="7"/>
        <v>94</v>
      </c>
      <c r="Y28" s="13">
        <f t="shared" si="7"/>
        <v>95</v>
      </c>
      <c r="Z28" s="13">
        <f t="shared" si="7"/>
        <v>98</v>
      </c>
      <c r="AA28" s="13">
        <f t="shared" si="7"/>
        <v>67</v>
      </c>
      <c r="AB28" s="13">
        <f t="shared" si="3"/>
        <v>2216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117</v>
      </c>
      <c r="F29" s="13">
        <f t="shared" si="8"/>
        <v>123</v>
      </c>
      <c r="G29" s="13">
        <f t="shared" si="8"/>
        <v>107</v>
      </c>
      <c r="H29" s="13">
        <f t="shared" si="8"/>
        <v>123</v>
      </c>
      <c r="I29" s="13">
        <f t="shared" si="8"/>
        <v>116</v>
      </c>
      <c r="J29" s="13">
        <f t="shared" si="8"/>
        <v>116</v>
      </c>
      <c r="K29" s="13">
        <f t="shared" si="8"/>
        <v>93</v>
      </c>
      <c r="L29" s="13">
        <f t="shared" si="8"/>
        <v>126</v>
      </c>
      <c r="M29" s="13">
        <f t="shared" si="8"/>
        <v>102</v>
      </c>
      <c r="N29" s="13">
        <f t="shared" si="8"/>
        <v>104</v>
      </c>
      <c r="O29" s="13">
        <f t="shared" si="8"/>
        <v>101</v>
      </c>
      <c r="P29" s="13">
        <f t="shared" si="8"/>
        <v>110</v>
      </c>
      <c r="Q29" s="13">
        <f t="shared" si="8"/>
        <v>114</v>
      </c>
      <c r="R29" s="13">
        <f t="shared" si="8"/>
        <v>128</v>
      </c>
      <c r="S29" s="13">
        <f t="shared" si="8"/>
        <v>120</v>
      </c>
      <c r="T29" s="13">
        <f t="shared" si="8"/>
        <v>109</v>
      </c>
      <c r="U29" s="13">
        <f t="shared" si="8"/>
        <v>102</v>
      </c>
      <c r="V29" s="13">
        <f t="shared" si="8"/>
        <v>103</v>
      </c>
      <c r="W29" s="13">
        <f t="shared" si="8"/>
        <v>117</v>
      </c>
      <c r="X29" s="13">
        <f t="shared" si="8"/>
        <v>98</v>
      </c>
      <c r="Y29" s="13">
        <f t="shared" si="8"/>
        <v>106</v>
      </c>
      <c r="Z29" s="13">
        <f t="shared" si="8"/>
        <v>108</v>
      </c>
      <c r="AA29" s="13">
        <f t="shared" si="8"/>
        <v>81</v>
      </c>
      <c r="AB29" s="13">
        <f t="shared" si="3"/>
        <v>2524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213</v>
      </c>
      <c r="F30" s="13">
        <f t="shared" si="9"/>
        <v>241</v>
      </c>
      <c r="G30" s="13">
        <f t="shared" si="9"/>
        <v>210</v>
      </c>
      <c r="H30" s="13">
        <f t="shared" si="9"/>
        <v>224</v>
      </c>
      <c r="I30" s="13">
        <f t="shared" si="9"/>
        <v>214</v>
      </c>
      <c r="J30" s="13">
        <f t="shared" si="9"/>
        <v>215</v>
      </c>
      <c r="K30" s="13">
        <f t="shared" si="9"/>
        <v>183</v>
      </c>
      <c r="L30" s="13">
        <f t="shared" si="9"/>
        <v>214</v>
      </c>
      <c r="M30" s="13">
        <f t="shared" si="9"/>
        <v>189</v>
      </c>
      <c r="N30" s="13">
        <f t="shared" si="9"/>
        <v>204</v>
      </c>
      <c r="O30" s="13">
        <f t="shared" si="9"/>
        <v>187</v>
      </c>
      <c r="P30" s="13">
        <f t="shared" si="9"/>
        <v>192</v>
      </c>
      <c r="Q30" s="13">
        <f t="shared" si="9"/>
        <v>210</v>
      </c>
      <c r="R30" s="13">
        <f t="shared" si="9"/>
        <v>241</v>
      </c>
      <c r="S30" s="13">
        <f t="shared" si="9"/>
        <v>219</v>
      </c>
      <c r="T30" s="13">
        <f t="shared" si="9"/>
        <v>207</v>
      </c>
      <c r="U30" s="13">
        <f t="shared" si="9"/>
        <v>204</v>
      </c>
      <c r="V30" s="13">
        <f t="shared" si="9"/>
        <v>212</v>
      </c>
      <c r="W30" s="13">
        <f t="shared" si="9"/>
        <v>214</v>
      </c>
      <c r="X30" s="13">
        <f t="shared" si="9"/>
        <v>192</v>
      </c>
      <c r="Y30" s="13">
        <f t="shared" si="9"/>
        <v>201</v>
      </c>
      <c r="Z30" s="13">
        <f t="shared" si="9"/>
        <v>206</v>
      </c>
      <c r="AA30" s="13">
        <f t="shared" si="9"/>
        <v>148</v>
      </c>
      <c r="AB30" s="13">
        <f t="shared" si="3"/>
        <v>4740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0"/>
    </row>
    <row r="33" ht="12.75" customHeight="1">
      <c r="A33" s="19">
        <v>1.0</v>
      </c>
      <c r="B33" s="20" t="s">
        <v>26</v>
      </c>
      <c r="C33" s="15"/>
      <c r="D33" s="16"/>
      <c r="E33" s="19">
        <v>293.0</v>
      </c>
      <c r="F33" s="19">
        <v>290.0</v>
      </c>
      <c r="G33" s="19">
        <v>289.0</v>
      </c>
      <c r="H33" s="19">
        <v>288.0</v>
      </c>
      <c r="I33" s="19">
        <v>274.0</v>
      </c>
      <c r="J33" s="19">
        <v>267.0</v>
      </c>
      <c r="K33" s="19">
        <v>235.0</v>
      </c>
      <c r="L33" s="19">
        <v>284.0</v>
      </c>
      <c r="M33" s="19">
        <v>284.0</v>
      </c>
      <c r="N33" s="19">
        <v>273.0</v>
      </c>
      <c r="O33" s="19">
        <v>259.0</v>
      </c>
      <c r="P33" s="19">
        <v>273.0</v>
      </c>
      <c r="Q33" s="19">
        <v>286.0</v>
      </c>
      <c r="R33" s="19">
        <v>297.0</v>
      </c>
      <c r="S33" s="19">
        <v>296.0</v>
      </c>
      <c r="T33" s="19">
        <v>292.0</v>
      </c>
      <c r="U33" s="19">
        <v>286.0</v>
      </c>
      <c r="V33" s="19">
        <v>245.0</v>
      </c>
      <c r="W33" s="19">
        <v>293.0</v>
      </c>
      <c r="X33" s="19">
        <v>265.0</v>
      </c>
      <c r="Y33" s="19">
        <v>281.0</v>
      </c>
      <c r="Z33" s="19">
        <v>276.0</v>
      </c>
      <c r="AA33" s="19">
        <v>212.0</v>
      </c>
      <c r="AB33" s="13">
        <f t="shared" ref="AB33:AB36" si="10">SUM(E33:AA33)</f>
        <v>6338</v>
      </c>
    </row>
    <row r="34" ht="12.75" customHeight="1">
      <c r="A34" s="19">
        <v>2.0</v>
      </c>
      <c r="B34" s="20" t="s">
        <v>27</v>
      </c>
      <c r="C34" s="15"/>
      <c r="D34" s="16"/>
      <c r="E34" s="13">
        <v>213.0</v>
      </c>
      <c r="F34" s="13">
        <v>241.0</v>
      </c>
      <c r="G34" s="13">
        <v>210.0</v>
      </c>
      <c r="H34" s="13">
        <v>224.0</v>
      </c>
      <c r="I34" s="13">
        <v>214.0</v>
      </c>
      <c r="J34" s="13">
        <v>215.0</v>
      </c>
      <c r="K34" s="13">
        <v>183.0</v>
      </c>
      <c r="L34" s="13">
        <v>214.0</v>
      </c>
      <c r="M34" s="13">
        <v>189.0</v>
      </c>
      <c r="N34" s="13">
        <v>204.0</v>
      </c>
      <c r="O34" s="13">
        <v>187.0</v>
      </c>
      <c r="P34" s="13">
        <v>192.0</v>
      </c>
      <c r="Q34" s="13">
        <v>210.0</v>
      </c>
      <c r="R34" s="13">
        <v>241.0</v>
      </c>
      <c r="S34" s="13">
        <v>219.0</v>
      </c>
      <c r="T34" s="13">
        <v>207.0</v>
      </c>
      <c r="U34" s="13">
        <v>204.0</v>
      </c>
      <c r="V34" s="13">
        <v>212.0</v>
      </c>
      <c r="W34" s="13">
        <v>214.0</v>
      </c>
      <c r="X34" s="13">
        <v>192.0</v>
      </c>
      <c r="Y34" s="13">
        <v>201.0</v>
      </c>
      <c r="Z34" s="13">
        <v>206.0</v>
      </c>
      <c r="AA34" s="13">
        <v>148.0</v>
      </c>
      <c r="AB34" s="13">
        <f t="shared" si="10"/>
        <v>4740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1.0</v>
      </c>
      <c r="N35" s="19">
        <v>0.0</v>
      </c>
      <c r="O35" s="19">
        <v>1.0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1.0</v>
      </c>
      <c r="Y35" s="19">
        <v>0.0</v>
      </c>
      <c r="Z35" s="19">
        <v>0.0</v>
      </c>
      <c r="AA35" s="19">
        <v>1.0</v>
      </c>
      <c r="AB35" s="13">
        <f t="shared" si="10"/>
        <v>7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80</v>
      </c>
      <c r="F36" s="13">
        <f t="shared" si="11"/>
        <v>49</v>
      </c>
      <c r="G36" s="13">
        <f t="shared" si="11"/>
        <v>79</v>
      </c>
      <c r="H36" s="13">
        <f t="shared" si="11"/>
        <v>64</v>
      </c>
      <c r="I36" s="13">
        <f t="shared" si="11"/>
        <v>60</v>
      </c>
      <c r="J36" s="13">
        <f t="shared" si="11"/>
        <v>52</v>
      </c>
      <c r="K36" s="13">
        <f t="shared" si="11"/>
        <v>52</v>
      </c>
      <c r="L36" s="13">
        <f t="shared" si="11"/>
        <v>69</v>
      </c>
      <c r="M36" s="13">
        <f t="shared" si="11"/>
        <v>94</v>
      </c>
      <c r="N36" s="13">
        <f t="shared" si="11"/>
        <v>69</v>
      </c>
      <c r="O36" s="13">
        <f t="shared" si="11"/>
        <v>71</v>
      </c>
      <c r="P36" s="13">
        <f t="shared" si="11"/>
        <v>80</v>
      </c>
      <c r="Q36" s="13">
        <f t="shared" si="11"/>
        <v>76</v>
      </c>
      <c r="R36" s="13">
        <f t="shared" si="11"/>
        <v>56</v>
      </c>
      <c r="S36" s="13">
        <f t="shared" si="11"/>
        <v>77</v>
      </c>
      <c r="T36" s="13">
        <f t="shared" si="11"/>
        <v>85</v>
      </c>
      <c r="U36" s="13">
        <f t="shared" si="11"/>
        <v>82</v>
      </c>
      <c r="V36" s="13">
        <f t="shared" si="11"/>
        <v>32</v>
      </c>
      <c r="W36" s="13">
        <f t="shared" si="11"/>
        <v>79</v>
      </c>
      <c r="X36" s="13">
        <f t="shared" si="11"/>
        <v>72</v>
      </c>
      <c r="Y36" s="13">
        <f t="shared" si="11"/>
        <v>80</v>
      </c>
      <c r="Z36" s="13">
        <f t="shared" si="11"/>
        <v>70</v>
      </c>
      <c r="AA36" s="13">
        <f t="shared" si="11"/>
        <v>63</v>
      </c>
      <c r="AB36" s="13">
        <f t="shared" si="10"/>
        <v>1591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9">
        <v>2.0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3">
        <f t="shared" ref="AB39:AB41" si="12">SUM(E39:AA39)</f>
        <v>3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3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13"/>
    </row>
    <row r="43" ht="12.75" customHeight="1">
      <c r="A43" s="42" t="s">
        <v>33</v>
      </c>
      <c r="B43" s="14" t="s">
        <v>86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13"/>
    </row>
    <row r="45" ht="12.75" customHeight="1">
      <c r="A45" s="63"/>
      <c r="B45" s="47">
        <v>1.0</v>
      </c>
      <c r="C45" s="48" t="s">
        <v>36</v>
      </c>
      <c r="D45" s="16"/>
      <c r="E45" s="19">
        <v>23.0</v>
      </c>
      <c r="F45" s="19">
        <v>11.0</v>
      </c>
      <c r="G45" s="19">
        <v>24.0</v>
      </c>
      <c r="H45" s="19">
        <v>26.0</v>
      </c>
      <c r="I45" s="19">
        <v>28.0</v>
      </c>
      <c r="J45" s="19">
        <v>25.0</v>
      </c>
      <c r="K45" s="19">
        <v>16.0</v>
      </c>
      <c r="L45" s="19">
        <v>30.0</v>
      </c>
      <c r="M45" s="19">
        <v>34.0</v>
      </c>
      <c r="N45" s="19">
        <v>39.0</v>
      </c>
      <c r="O45" s="19">
        <v>33.0</v>
      </c>
      <c r="P45" s="19">
        <v>42.0</v>
      </c>
      <c r="Q45" s="19">
        <v>36.0</v>
      </c>
      <c r="R45" s="19">
        <v>29.0</v>
      </c>
      <c r="S45" s="19">
        <v>33.0</v>
      </c>
      <c r="T45" s="19">
        <v>18.0</v>
      </c>
      <c r="U45" s="19">
        <v>20.0</v>
      </c>
      <c r="V45" s="19">
        <v>26.0</v>
      </c>
      <c r="W45" s="19">
        <v>15.0</v>
      </c>
      <c r="X45" s="19">
        <v>22.0</v>
      </c>
      <c r="Y45" s="19">
        <v>22.0</v>
      </c>
      <c r="Z45" s="19">
        <v>20.0</v>
      </c>
      <c r="AA45" s="19">
        <v>3.0</v>
      </c>
      <c r="AB45" s="13">
        <f t="shared" ref="AB45:AB47" si="14">SUM(E45:AA45)</f>
        <v>575</v>
      </c>
    </row>
    <row r="46" ht="12.75" customHeight="1">
      <c r="A46" s="18"/>
      <c r="B46" s="47">
        <v>2.0</v>
      </c>
      <c r="C46" s="48" t="s">
        <v>37</v>
      </c>
      <c r="D46" s="16"/>
      <c r="E46" s="19">
        <v>141.0</v>
      </c>
      <c r="F46" s="19">
        <v>193.0</v>
      </c>
      <c r="G46" s="19">
        <v>148.0</v>
      </c>
      <c r="H46" s="19">
        <v>168.0</v>
      </c>
      <c r="I46" s="19">
        <v>147.0</v>
      </c>
      <c r="J46" s="19">
        <v>163.0</v>
      </c>
      <c r="K46" s="19">
        <v>140.0</v>
      </c>
      <c r="L46" s="19">
        <v>138.0</v>
      </c>
      <c r="M46" s="19">
        <v>121.0</v>
      </c>
      <c r="N46" s="19">
        <v>137.0</v>
      </c>
      <c r="O46" s="19">
        <v>133.0</v>
      </c>
      <c r="P46" s="19">
        <v>126.0</v>
      </c>
      <c r="Q46" s="19">
        <v>130.0</v>
      </c>
      <c r="R46" s="19">
        <v>180.0</v>
      </c>
      <c r="S46" s="19">
        <v>154.0</v>
      </c>
      <c r="T46" s="19">
        <v>171.0</v>
      </c>
      <c r="U46" s="19">
        <v>155.0</v>
      </c>
      <c r="V46" s="19">
        <v>150.0</v>
      </c>
      <c r="W46" s="19">
        <v>177.0</v>
      </c>
      <c r="X46" s="19">
        <v>143.0</v>
      </c>
      <c r="Y46" s="19">
        <v>155.0</v>
      </c>
      <c r="Z46" s="19">
        <v>174.0</v>
      </c>
      <c r="AA46" s="19">
        <v>116.0</v>
      </c>
      <c r="AB46" s="13">
        <f t="shared" si="14"/>
        <v>3460</v>
      </c>
    </row>
    <row r="47" ht="12.75" customHeight="1">
      <c r="A47" s="45"/>
      <c r="B47" s="47">
        <v>3.0</v>
      </c>
      <c r="C47" s="48" t="s">
        <v>38</v>
      </c>
      <c r="D47" s="16"/>
      <c r="E47" s="19">
        <v>46.0</v>
      </c>
      <c r="F47" s="19">
        <v>29.0</v>
      </c>
      <c r="G47" s="19">
        <v>30.0</v>
      </c>
      <c r="H47" s="19">
        <v>29.0</v>
      </c>
      <c r="I47" s="19">
        <v>31.0</v>
      </c>
      <c r="J47" s="19">
        <v>22.0</v>
      </c>
      <c r="K47" s="19">
        <v>21.0</v>
      </c>
      <c r="L47" s="19">
        <v>42.0</v>
      </c>
      <c r="M47" s="19">
        <v>28.0</v>
      </c>
      <c r="N47" s="19">
        <v>26.0</v>
      </c>
      <c r="O47" s="19">
        <v>21.0</v>
      </c>
      <c r="P47" s="19">
        <v>21.0</v>
      </c>
      <c r="Q47" s="19">
        <v>35.0</v>
      </c>
      <c r="R47" s="19">
        <v>27.0</v>
      </c>
      <c r="S47" s="19">
        <v>27.0</v>
      </c>
      <c r="T47" s="19">
        <v>14.0</v>
      </c>
      <c r="U47" s="19">
        <v>25.0</v>
      </c>
      <c r="V47" s="19">
        <v>34.0</v>
      </c>
      <c r="W47" s="19">
        <v>17.0</v>
      </c>
      <c r="X47" s="19">
        <v>23.0</v>
      </c>
      <c r="Y47" s="19">
        <v>17.0</v>
      </c>
      <c r="Z47" s="19">
        <v>7.0</v>
      </c>
      <c r="AA47" s="19">
        <v>24.0</v>
      </c>
      <c r="AB47" s="13">
        <f t="shared" si="14"/>
        <v>596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A50" si="15">SUM(E45:E47)</f>
        <v>210</v>
      </c>
      <c r="F50" s="19">
        <f t="shared" si="15"/>
        <v>233</v>
      </c>
      <c r="G50" s="19">
        <f t="shared" si="15"/>
        <v>202</v>
      </c>
      <c r="H50" s="19">
        <f t="shared" si="15"/>
        <v>223</v>
      </c>
      <c r="I50" s="19">
        <f t="shared" si="15"/>
        <v>206</v>
      </c>
      <c r="J50" s="19">
        <f t="shared" si="15"/>
        <v>210</v>
      </c>
      <c r="K50" s="19">
        <f t="shared" si="15"/>
        <v>177</v>
      </c>
      <c r="L50" s="19">
        <f t="shared" si="15"/>
        <v>210</v>
      </c>
      <c r="M50" s="19">
        <f t="shared" si="15"/>
        <v>183</v>
      </c>
      <c r="N50" s="19">
        <f t="shared" si="15"/>
        <v>202</v>
      </c>
      <c r="O50" s="19">
        <f t="shared" si="15"/>
        <v>187</v>
      </c>
      <c r="P50" s="19">
        <f t="shared" si="15"/>
        <v>189</v>
      </c>
      <c r="Q50" s="19">
        <f t="shared" si="15"/>
        <v>201</v>
      </c>
      <c r="R50" s="19">
        <f t="shared" si="15"/>
        <v>236</v>
      </c>
      <c r="S50" s="19">
        <f t="shared" si="15"/>
        <v>214</v>
      </c>
      <c r="T50" s="19">
        <f t="shared" si="15"/>
        <v>203</v>
      </c>
      <c r="U50" s="19">
        <f t="shared" si="15"/>
        <v>200</v>
      </c>
      <c r="V50" s="19">
        <f t="shared" si="15"/>
        <v>210</v>
      </c>
      <c r="W50" s="19">
        <f t="shared" si="15"/>
        <v>209</v>
      </c>
      <c r="X50" s="19">
        <f t="shared" si="15"/>
        <v>188</v>
      </c>
      <c r="Y50" s="19">
        <f t="shared" si="15"/>
        <v>194</v>
      </c>
      <c r="Z50" s="19">
        <f t="shared" si="15"/>
        <v>201</v>
      </c>
      <c r="AA50" s="19">
        <f t="shared" si="15"/>
        <v>143</v>
      </c>
      <c r="AB50" s="13">
        <f t="shared" ref="AB50:AB52" si="16">SUM(E50:AA50)</f>
        <v>4631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3.0</v>
      </c>
      <c r="F51" s="19">
        <v>8.0</v>
      </c>
      <c r="G51" s="19">
        <v>8.0</v>
      </c>
      <c r="H51" s="19">
        <v>1.0</v>
      </c>
      <c r="I51" s="19">
        <v>8.0</v>
      </c>
      <c r="J51" s="19">
        <v>5.0</v>
      </c>
      <c r="K51" s="19">
        <v>6.0</v>
      </c>
      <c r="L51" s="19">
        <v>4.0</v>
      </c>
      <c r="M51" s="19">
        <v>6.0</v>
      </c>
      <c r="N51" s="19">
        <v>2.0</v>
      </c>
      <c r="O51" s="19">
        <v>0.0</v>
      </c>
      <c r="P51" s="19">
        <v>3.0</v>
      </c>
      <c r="Q51" s="19">
        <v>9.0</v>
      </c>
      <c r="R51" s="19">
        <v>5.0</v>
      </c>
      <c r="S51" s="19">
        <v>5.0</v>
      </c>
      <c r="T51" s="19">
        <v>4.0</v>
      </c>
      <c r="U51" s="19">
        <v>4.0</v>
      </c>
      <c r="V51" s="19">
        <v>2.0</v>
      </c>
      <c r="W51" s="19">
        <v>5.0</v>
      </c>
      <c r="X51" s="19">
        <v>4.0</v>
      </c>
      <c r="Y51" s="19">
        <v>7.0</v>
      </c>
      <c r="Z51" s="19">
        <v>5.0</v>
      </c>
      <c r="AA51" s="19">
        <v>5.0</v>
      </c>
      <c r="AB51" s="13">
        <f t="shared" si="16"/>
        <v>109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A52" si="17">SUM(E50:E51)</f>
        <v>213</v>
      </c>
      <c r="F52" s="13">
        <f t="shared" si="17"/>
        <v>241</v>
      </c>
      <c r="G52" s="13">
        <f t="shared" si="17"/>
        <v>210</v>
      </c>
      <c r="H52" s="13">
        <f t="shared" si="17"/>
        <v>224</v>
      </c>
      <c r="I52" s="13">
        <f t="shared" si="17"/>
        <v>214</v>
      </c>
      <c r="J52" s="13">
        <f t="shared" si="17"/>
        <v>215</v>
      </c>
      <c r="K52" s="13">
        <f t="shared" si="17"/>
        <v>183</v>
      </c>
      <c r="L52" s="13">
        <f t="shared" si="17"/>
        <v>214</v>
      </c>
      <c r="M52" s="13">
        <f t="shared" si="17"/>
        <v>189</v>
      </c>
      <c r="N52" s="13">
        <f t="shared" si="17"/>
        <v>204</v>
      </c>
      <c r="O52" s="13">
        <f t="shared" si="17"/>
        <v>187</v>
      </c>
      <c r="P52" s="13">
        <f t="shared" si="17"/>
        <v>192</v>
      </c>
      <c r="Q52" s="13">
        <f t="shared" si="17"/>
        <v>210</v>
      </c>
      <c r="R52" s="13">
        <f t="shared" si="17"/>
        <v>241</v>
      </c>
      <c r="S52" s="13">
        <f t="shared" si="17"/>
        <v>219</v>
      </c>
      <c r="T52" s="13">
        <f t="shared" si="17"/>
        <v>207</v>
      </c>
      <c r="U52" s="13">
        <f t="shared" si="17"/>
        <v>204</v>
      </c>
      <c r="V52" s="13">
        <f t="shared" si="17"/>
        <v>212</v>
      </c>
      <c r="W52" s="13">
        <f t="shared" si="17"/>
        <v>214</v>
      </c>
      <c r="X52" s="13">
        <f t="shared" si="17"/>
        <v>192</v>
      </c>
      <c r="Y52" s="13">
        <f t="shared" si="17"/>
        <v>201</v>
      </c>
      <c r="Z52" s="13">
        <f t="shared" si="17"/>
        <v>206</v>
      </c>
      <c r="AA52" s="13">
        <f t="shared" si="17"/>
        <v>148</v>
      </c>
      <c r="AB52" s="13">
        <f t="shared" si="16"/>
        <v>4740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A15 E45:AA4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50:AA51">
    <cfRule type="containsBlanks" dxfId="1" priority="10">
      <formula>LEN(TRIM(E50))=0</formula>
    </cfRule>
  </conditionalFormatting>
  <conditionalFormatting sqref="U34:AA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87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13" t="s">
        <v>68</v>
      </c>
      <c r="V13" s="13" t="s">
        <v>69</v>
      </c>
      <c r="W13" s="13" t="s">
        <v>70</v>
      </c>
      <c r="X13" s="13" t="s">
        <v>71</v>
      </c>
      <c r="Y13" s="13" t="s">
        <v>72</v>
      </c>
      <c r="Z13" s="13" t="s">
        <v>73</v>
      </c>
      <c r="AA13" s="13" t="s">
        <v>74</v>
      </c>
      <c r="AB13" s="13" t="s">
        <v>75</v>
      </c>
      <c r="AC13" s="13" t="s">
        <v>76</v>
      </c>
      <c r="AD13" s="36"/>
    </row>
    <row r="14" ht="12.75" customHeight="1">
      <c r="A14" s="18"/>
      <c r="B14" s="22" t="s">
        <v>10</v>
      </c>
      <c r="C14" s="23"/>
      <c r="D14" s="19" t="s">
        <v>11</v>
      </c>
      <c r="E14" s="19">
        <v>139.0</v>
      </c>
      <c r="F14" s="19">
        <v>140.0</v>
      </c>
      <c r="G14" s="19">
        <v>136.0</v>
      </c>
      <c r="H14" s="19">
        <v>118.0</v>
      </c>
      <c r="I14" s="19">
        <v>125.0</v>
      </c>
      <c r="J14" s="19">
        <v>145.0</v>
      </c>
      <c r="K14" s="19">
        <v>127.0</v>
      </c>
      <c r="L14" s="19">
        <v>112.0</v>
      </c>
      <c r="M14" s="19">
        <v>128.0</v>
      </c>
      <c r="N14" s="19">
        <v>109.0</v>
      </c>
      <c r="O14" s="19">
        <v>138.0</v>
      </c>
      <c r="P14" s="19">
        <v>143.0</v>
      </c>
      <c r="Q14" s="19">
        <v>141.0</v>
      </c>
      <c r="R14" s="19">
        <v>128.0</v>
      </c>
      <c r="S14" s="19">
        <v>134.0</v>
      </c>
      <c r="T14" s="19">
        <v>129.0</v>
      </c>
      <c r="U14" s="19">
        <v>112.0</v>
      </c>
      <c r="V14" s="19">
        <v>114.0</v>
      </c>
      <c r="W14" s="19">
        <v>117.0</v>
      </c>
      <c r="X14" s="19">
        <v>114.0</v>
      </c>
      <c r="Y14" s="19">
        <v>119.0</v>
      </c>
      <c r="Z14" s="19">
        <v>127.0</v>
      </c>
      <c r="AA14" s="19">
        <v>134.0</v>
      </c>
      <c r="AB14" s="19">
        <v>135.0</v>
      </c>
      <c r="AC14" s="19">
        <v>133.0</v>
      </c>
      <c r="AD14" s="13">
        <f t="shared" ref="AD14:AD16" si="1">SUM(E14:AC14)</f>
        <v>3197</v>
      </c>
    </row>
    <row r="15" ht="12.75" customHeight="1">
      <c r="A15" s="18"/>
      <c r="B15" s="26"/>
      <c r="C15" s="27"/>
      <c r="D15" s="19" t="s">
        <v>12</v>
      </c>
      <c r="E15" s="19">
        <v>133.0</v>
      </c>
      <c r="F15" s="19">
        <v>144.0</v>
      </c>
      <c r="G15" s="19">
        <v>148.0</v>
      </c>
      <c r="H15" s="19">
        <v>129.0</v>
      </c>
      <c r="I15" s="19">
        <v>136.0</v>
      </c>
      <c r="J15" s="19">
        <v>127.0</v>
      </c>
      <c r="K15" s="19">
        <v>121.0</v>
      </c>
      <c r="L15" s="19">
        <v>118.0</v>
      </c>
      <c r="M15" s="19">
        <v>134.0</v>
      </c>
      <c r="N15" s="19">
        <v>132.0</v>
      </c>
      <c r="O15" s="19">
        <v>142.0</v>
      </c>
      <c r="P15" s="19">
        <v>138.0</v>
      </c>
      <c r="Q15" s="19">
        <v>140.0</v>
      </c>
      <c r="R15" s="19">
        <v>133.0</v>
      </c>
      <c r="S15" s="19">
        <v>131.0</v>
      </c>
      <c r="T15" s="19">
        <v>135.0</v>
      </c>
      <c r="U15" s="19">
        <v>127.0</v>
      </c>
      <c r="V15" s="19">
        <v>117.0</v>
      </c>
      <c r="W15" s="19">
        <v>134.0</v>
      </c>
      <c r="X15" s="19">
        <v>128.0</v>
      </c>
      <c r="Y15" s="19">
        <v>136.0</v>
      </c>
      <c r="Z15" s="19">
        <v>130.0</v>
      </c>
      <c r="AA15" s="19">
        <v>146.0</v>
      </c>
      <c r="AB15" s="19">
        <v>124.0</v>
      </c>
      <c r="AC15" s="19">
        <v>138.0</v>
      </c>
      <c r="AD15" s="13">
        <f t="shared" si="1"/>
        <v>3321</v>
      </c>
    </row>
    <row r="16" ht="12.75" customHeight="1">
      <c r="A16" s="25"/>
      <c r="B16" s="21"/>
      <c r="C16" s="28"/>
      <c r="D16" s="13" t="s">
        <v>13</v>
      </c>
      <c r="E16" s="13">
        <f t="shared" ref="E16:AC16" si="2">SUM(E14:E15)</f>
        <v>272</v>
      </c>
      <c r="F16" s="13">
        <f t="shared" si="2"/>
        <v>284</v>
      </c>
      <c r="G16" s="13">
        <f t="shared" si="2"/>
        <v>284</v>
      </c>
      <c r="H16" s="13">
        <f t="shared" si="2"/>
        <v>247</v>
      </c>
      <c r="I16" s="13">
        <f t="shared" si="2"/>
        <v>261</v>
      </c>
      <c r="J16" s="13">
        <f t="shared" si="2"/>
        <v>272</v>
      </c>
      <c r="K16" s="13">
        <f t="shared" si="2"/>
        <v>248</v>
      </c>
      <c r="L16" s="13">
        <f t="shared" si="2"/>
        <v>230</v>
      </c>
      <c r="M16" s="13">
        <f t="shared" si="2"/>
        <v>262</v>
      </c>
      <c r="N16" s="13">
        <f t="shared" si="2"/>
        <v>241</v>
      </c>
      <c r="O16" s="13">
        <f t="shared" si="2"/>
        <v>280</v>
      </c>
      <c r="P16" s="13">
        <f t="shared" si="2"/>
        <v>281</v>
      </c>
      <c r="Q16" s="13">
        <f t="shared" si="2"/>
        <v>281</v>
      </c>
      <c r="R16" s="13">
        <f t="shared" si="2"/>
        <v>261</v>
      </c>
      <c r="S16" s="13">
        <f t="shared" si="2"/>
        <v>265</v>
      </c>
      <c r="T16" s="13">
        <f t="shared" si="2"/>
        <v>264</v>
      </c>
      <c r="U16" s="13">
        <f t="shared" si="2"/>
        <v>239</v>
      </c>
      <c r="V16" s="13">
        <f t="shared" si="2"/>
        <v>231</v>
      </c>
      <c r="W16" s="13">
        <f t="shared" si="2"/>
        <v>251</v>
      </c>
      <c r="X16" s="13">
        <f t="shared" si="2"/>
        <v>242</v>
      </c>
      <c r="Y16" s="13">
        <f t="shared" si="2"/>
        <v>255</v>
      </c>
      <c r="Z16" s="13">
        <f t="shared" si="2"/>
        <v>257</v>
      </c>
      <c r="AA16" s="13">
        <f t="shared" si="2"/>
        <v>280</v>
      </c>
      <c r="AB16" s="13">
        <f t="shared" si="2"/>
        <v>259</v>
      </c>
      <c r="AC16" s="13">
        <f t="shared" si="2"/>
        <v>271</v>
      </c>
      <c r="AD16" s="13">
        <f t="shared" si="1"/>
        <v>6518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97.0</v>
      </c>
      <c r="F19" s="19">
        <v>98.0</v>
      </c>
      <c r="G19" s="19">
        <v>96.0</v>
      </c>
      <c r="H19" s="19">
        <v>85.0</v>
      </c>
      <c r="I19" s="19">
        <v>101.0</v>
      </c>
      <c r="J19" s="19">
        <v>118.0</v>
      </c>
      <c r="K19" s="19">
        <v>90.0</v>
      </c>
      <c r="L19" s="19">
        <v>79.0</v>
      </c>
      <c r="M19" s="19">
        <v>101.0</v>
      </c>
      <c r="N19" s="19">
        <v>77.0</v>
      </c>
      <c r="O19" s="19">
        <v>93.0</v>
      </c>
      <c r="P19" s="19">
        <v>104.0</v>
      </c>
      <c r="Q19" s="19">
        <v>117.0</v>
      </c>
      <c r="R19" s="19">
        <v>93.0</v>
      </c>
      <c r="S19" s="19">
        <v>105.0</v>
      </c>
      <c r="T19" s="19">
        <v>94.0</v>
      </c>
      <c r="U19" s="19">
        <v>77.0</v>
      </c>
      <c r="V19" s="19">
        <v>91.0</v>
      </c>
      <c r="W19" s="19">
        <v>90.0</v>
      </c>
      <c r="X19" s="19">
        <v>91.0</v>
      </c>
      <c r="Y19" s="19">
        <v>94.0</v>
      </c>
      <c r="Z19" s="19">
        <v>97.0</v>
      </c>
      <c r="AA19" s="19">
        <v>107.0</v>
      </c>
      <c r="AB19" s="19">
        <v>106.0</v>
      </c>
      <c r="AC19" s="19">
        <v>105.0</v>
      </c>
      <c r="AD19" s="13">
        <f t="shared" ref="AD19:AD30" si="3">SUM(E19:AC19)</f>
        <v>2406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119.0</v>
      </c>
      <c r="G20" s="19">
        <v>119.0</v>
      </c>
      <c r="H20" s="19">
        <v>94.0</v>
      </c>
      <c r="I20" s="19">
        <v>111.0</v>
      </c>
      <c r="J20" s="19">
        <v>101.0</v>
      </c>
      <c r="K20" s="19">
        <v>92.0</v>
      </c>
      <c r="L20" s="19">
        <v>98.0</v>
      </c>
      <c r="M20" s="19">
        <v>115.0</v>
      </c>
      <c r="N20" s="19">
        <v>102.0</v>
      </c>
      <c r="O20" s="19">
        <v>108.0</v>
      </c>
      <c r="P20" s="19">
        <v>118.0</v>
      </c>
      <c r="Q20" s="19">
        <v>123.0</v>
      </c>
      <c r="R20" s="19">
        <v>100.0</v>
      </c>
      <c r="S20" s="19">
        <v>106.0</v>
      </c>
      <c r="T20" s="19">
        <v>104.0</v>
      </c>
      <c r="U20" s="19">
        <v>110.0</v>
      </c>
      <c r="V20" s="19">
        <v>90.0</v>
      </c>
      <c r="W20" s="19">
        <v>114.0</v>
      </c>
      <c r="X20" s="19">
        <v>108.0</v>
      </c>
      <c r="Y20" s="19">
        <v>101.0</v>
      </c>
      <c r="Z20" s="19">
        <v>112.0</v>
      </c>
      <c r="AA20" s="19">
        <v>114.0</v>
      </c>
      <c r="AB20" s="19">
        <v>106.0</v>
      </c>
      <c r="AC20" s="19">
        <v>99.0</v>
      </c>
      <c r="AD20" s="13">
        <f t="shared" si="3"/>
        <v>2668</v>
      </c>
    </row>
    <row r="21" ht="12.75" customHeight="1">
      <c r="A21" s="35"/>
      <c r="B21" s="28"/>
      <c r="C21" s="36"/>
      <c r="D21" s="13" t="s">
        <v>13</v>
      </c>
      <c r="E21" s="13">
        <f t="shared" ref="E21:AC21" si="4">SUM(E19:E20)</f>
        <v>201</v>
      </c>
      <c r="F21" s="13">
        <f t="shared" si="4"/>
        <v>217</v>
      </c>
      <c r="G21" s="13">
        <f t="shared" si="4"/>
        <v>215</v>
      </c>
      <c r="H21" s="13">
        <f t="shared" si="4"/>
        <v>179</v>
      </c>
      <c r="I21" s="13">
        <f t="shared" si="4"/>
        <v>212</v>
      </c>
      <c r="J21" s="13">
        <f t="shared" si="4"/>
        <v>219</v>
      </c>
      <c r="K21" s="13">
        <f t="shared" si="4"/>
        <v>182</v>
      </c>
      <c r="L21" s="13">
        <f t="shared" si="4"/>
        <v>177</v>
      </c>
      <c r="M21" s="13">
        <f t="shared" si="4"/>
        <v>216</v>
      </c>
      <c r="N21" s="13">
        <f t="shared" si="4"/>
        <v>179</v>
      </c>
      <c r="O21" s="13">
        <f t="shared" si="4"/>
        <v>201</v>
      </c>
      <c r="P21" s="13">
        <f t="shared" si="4"/>
        <v>222</v>
      </c>
      <c r="Q21" s="13">
        <f t="shared" si="4"/>
        <v>240</v>
      </c>
      <c r="R21" s="13">
        <f t="shared" si="4"/>
        <v>193</v>
      </c>
      <c r="S21" s="13">
        <f t="shared" si="4"/>
        <v>211</v>
      </c>
      <c r="T21" s="13">
        <f t="shared" si="4"/>
        <v>198</v>
      </c>
      <c r="U21" s="13">
        <f t="shared" si="4"/>
        <v>187</v>
      </c>
      <c r="V21" s="13">
        <f t="shared" si="4"/>
        <v>181</v>
      </c>
      <c r="W21" s="13">
        <f t="shared" si="4"/>
        <v>204</v>
      </c>
      <c r="X21" s="13">
        <f t="shared" si="4"/>
        <v>199</v>
      </c>
      <c r="Y21" s="13">
        <f t="shared" si="4"/>
        <v>195</v>
      </c>
      <c r="Z21" s="13">
        <f t="shared" si="4"/>
        <v>209</v>
      </c>
      <c r="AA21" s="13">
        <f t="shared" si="4"/>
        <v>221</v>
      </c>
      <c r="AB21" s="13">
        <f t="shared" si="4"/>
        <v>212</v>
      </c>
      <c r="AC21" s="13">
        <f t="shared" si="4"/>
        <v>204</v>
      </c>
      <c r="AD21" s="13">
        <f t="shared" si="3"/>
        <v>5074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2.0</v>
      </c>
      <c r="AC22" s="19">
        <v>0.0</v>
      </c>
      <c r="AD22" s="13">
        <f t="shared" si="3"/>
        <v>5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1.0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1.0</v>
      </c>
      <c r="AC23" s="19">
        <v>0.0</v>
      </c>
      <c r="AD23" s="13">
        <f t="shared" si="3"/>
        <v>6</v>
      </c>
    </row>
    <row r="24" ht="12.75" customHeight="1">
      <c r="A24" s="35"/>
      <c r="B24" s="28"/>
      <c r="C24" s="36"/>
      <c r="D24" s="13" t="s">
        <v>13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3</v>
      </c>
      <c r="AC24" s="13">
        <f t="shared" si="5"/>
        <v>0</v>
      </c>
      <c r="AD24" s="13">
        <f t="shared" si="3"/>
        <v>11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2.0</v>
      </c>
      <c r="F25" s="19">
        <v>2.0</v>
      </c>
      <c r="G25" s="19">
        <v>0.0</v>
      </c>
      <c r="H25" s="19">
        <v>2.0</v>
      </c>
      <c r="I25" s="19">
        <v>0.0</v>
      </c>
      <c r="J25" s="19">
        <v>0.0</v>
      </c>
      <c r="K25" s="19">
        <v>1.0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9">
        <v>0.0</v>
      </c>
      <c r="S25" s="19">
        <v>2.0</v>
      </c>
      <c r="T25" s="19">
        <v>0.0</v>
      </c>
      <c r="U25" s="19">
        <v>0.0</v>
      </c>
      <c r="V25" s="19">
        <v>0.0</v>
      </c>
      <c r="W25" s="19">
        <v>3.0</v>
      </c>
      <c r="X25" s="19">
        <v>2.0</v>
      </c>
      <c r="Y25" s="19">
        <v>1.0</v>
      </c>
      <c r="Z25" s="19">
        <v>4.0</v>
      </c>
      <c r="AA25" s="19">
        <v>2.0</v>
      </c>
      <c r="AB25" s="19">
        <v>2.0</v>
      </c>
      <c r="AC25" s="19">
        <v>0.0</v>
      </c>
      <c r="AD25" s="13">
        <f t="shared" si="3"/>
        <v>24</v>
      </c>
    </row>
    <row r="26" ht="12.75" customHeight="1">
      <c r="A26" s="33"/>
      <c r="B26" s="27"/>
      <c r="C26" s="34"/>
      <c r="D26" s="19" t="s">
        <v>12</v>
      </c>
      <c r="E26" s="19">
        <v>3.0</v>
      </c>
      <c r="F26" s="19">
        <v>1.0</v>
      </c>
      <c r="G26" s="19">
        <v>0.0</v>
      </c>
      <c r="H26" s="19">
        <v>3.0</v>
      </c>
      <c r="I26" s="19">
        <v>2.0</v>
      </c>
      <c r="J26" s="19">
        <v>0.0</v>
      </c>
      <c r="K26" s="19">
        <v>2.0</v>
      </c>
      <c r="L26" s="19">
        <v>1.0</v>
      </c>
      <c r="M26" s="19">
        <v>3.0</v>
      </c>
      <c r="N26" s="19">
        <v>0.0</v>
      </c>
      <c r="O26" s="19">
        <v>1.0</v>
      </c>
      <c r="P26" s="19">
        <v>0.0</v>
      </c>
      <c r="Q26" s="19">
        <v>0.0</v>
      </c>
      <c r="R26" s="19">
        <v>3.0</v>
      </c>
      <c r="S26" s="19">
        <v>2.0</v>
      </c>
      <c r="T26" s="19">
        <v>3.0</v>
      </c>
      <c r="U26" s="19">
        <v>2.0</v>
      </c>
      <c r="V26" s="19">
        <v>0.0</v>
      </c>
      <c r="W26" s="19">
        <v>1.0</v>
      </c>
      <c r="X26" s="19">
        <v>1.0</v>
      </c>
      <c r="Y26" s="19">
        <v>0.0</v>
      </c>
      <c r="Z26" s="19">
        <v>1.0</v>
      </c>
      <c r="AA26" s="19">
        <v>4.0</v>
      </c>
      <c r="AB26" s="19">
        <v>3.0</v>
      </c>
      <c r="AC26" s="19">
        <v>3.0</v>
      </c>
      <c r="AD26" s="13">
        <f t="shared" si="3"/>
        <v>39</v>
      </c>
    </row>
    <row r="27" ht="12.75" customHeight="1">
      <c r="A27" s="35"/>
      <c r="B27" s="28"/>
      <c r="C27" s="36"/>
      <c r="D27" s="13" t="s">
        <v>13</v>
      </c>
      <c r="E27" s="13">
        <f t="shared" ref="E27:AC27" si="6">SUM(E25:E26)</f>
        <v>5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3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0</v>
      </c>
      <c r="R27" s="13">
        <f t="shared" si="6"/>
        <v>3</v>
      </c>
      <c r="S27" s="13">
        <f t="shared" si="6"/>
        <v>4</v>
      </c>
      <c r="T27" s="13">
        <f t="shared" si="6"/>
        <v>3</v>
      </c>
      <c r="U27" s="13">
        <f t="shared" si="6"/>
        <v>2</v>
      </c>
      <c r="V27" s="13">
        <f t="shared" si="6"/>
        <v>0</v>
      </c>
      <c r="W27" s="13">
        <f t="shared" si="6"/>
        <v>4</v>
      </c>
      <c r="X27" s="13">
        <f t="shared" si="6"/>
        <v>3</v>
      </c>
      <c r="Y27" s="13">
        <f t="shared" si="6"/>
        <v>1</v>
      </c>
      <c r="Z27" s="13">
        <f t="shared" si="6"/>
        <v>5</v>
      </c>
      <c r="AA27" s="13">
        <f t="shared" si="6"/>
        <v>6</v>
      </c>
      <c r="AB27" s="13">
        <f t="shared" si="6"/>
        <v>5</v>
      </c>
      <c r="AC27" s="13">
        <f t="shared" si="6"/>
        <v>3</v>
      </c>
      <c r="AD27" s="13">
        <f t="shared" si="3"/>
        <v>63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C28" si="7">SUM(E19,E22,E25)</f>
        <v>99</v>
      </c>
      <c r="F28" s="13">
        <f t="shared" si="7"/>
        <v>100</v>
      </c>
      <c r="G28" s="13">
        <f t="shared" si="7"/>
        <v>97</v>
      </c>
      <c r="H28" s="13">
        <f t="shared" si="7"/>
        <v>87</v>
      </c>
      <c r="I28" s="13">
        <f t="shared" si="7"/>
        <v>102</v>
      </c>
      <c r="J28" s="13">
        <f t="shared" si="7"/>
        <v>118</v>
      </c>
      <c r="K28" s="13">
        <f t="shared" si="7"/>
        <v>91</v>
      </c>
      <c r="L28" s="13">
        <f t="shared" si="7"/>
        <v>79</v>
      </c>
      <c r="M28" s="13">
        <f t="shared" si="7"/>
        <v>101</v>
      </c>
      <c r="N28" s="13">
        <f t="shared" si="7"/>
        <v>77</v>
      </c>
      <c r="O28" s="13">
        <f t="shared" si="7"/>
        <v>94</v>
      </c>
      <c r="P28" s="13">
        <f t="shared" si="7"/>
        <v>104</v>
      </c>
      <c r="Q28" s="13">
        <f t="shared" si="7"/>
        <v>117</v>
      </c>
      <c r="R28" s="13">
        <f t="shared" si="7"/>
        <v>93</v>
      </c>
      <c r="S28" s="13">
        <f t="shared" si="7"/>
        <v>107</v>
      </c>
      <c r="T28" s="13">
        <f t="shared" si="7"/>
        <v>95</v>
      </c>
      <c r="U28" s="13">
        <f t="shared" si="7"/>
        <v>77</v>
      </c>
      <c r="V28" s="13">
        <f t="shared" si="7"/>
        <v>91</v>
      </c>
      <c r="W28" s="13">
        <f t="shared" si="7"/>
        <v>93</v>
      </c>
      <c r="X28" s="13">
        <f t="shared" si="7"/>
        <v>93</v>
      </c>
      <c r="Y28" s="13">
        <f t="shared" si="7"/>
        <v>95</v>
      </c>
      <c r="Z28" s="13">
        <f t="shared" si="7"/>
        <v>101</v>
      </c>
      <c r="AA28" s="13">
        <f t="shared" si="7"/>
        <v>109</v>
      </c>
      <c r="AB28" s="13">
        <f t="shared" si="7"/>
        <v>110</v>
      </c>
      <c r="AC28" s="13">
        <f t="shared" si="7"/>
        <v>105</v>
      </c>
      <c r="AD28" s="13">
        <f t="shared" si="3"/>
        <v>2435</v>
      </c>
    </row>
    <row r="29" ht="12.75" customHeight="1">
      <c r="A29" s="35"/>
      <c r="B29" s="27"/>
      <c r="C29" s="34"/>
      <c r="D29" s="13" t="s">
        <v>12</v>
      </c>
      <c r="E29" s="13">
        <f t="shared" ref="E29:AC29" si="8">SUM(E20,E23,E26)</f>
        <v>107</v>
      </c>
      <c r="F29" s="13">
        <f t="shared" si="8"/>
        <v>120</v>
      </c>
      <c r="G29" s="13">
        <f t="shared" si="8"/>
        <v>119</v>
      </c>
      <c r="H29" s="13">
        <f t="shared" si="8"/>
        <v>97</v>
      </c>
      <c r="I29" s="13">
        <f t="shared" si="8"/>
        <v>114</v>
      </c>
      <c r="J29" s="13">
        <f t="shared" si="8"/>
        <v>101</v>
      </c>
      <c r="K29" s="13">
        <f t="shared" si="8"/>
        <v>95</v>
      </c>
      <c r="L29" s="13">
        <f t="shared" si="8"/>
        <v>99</v>
      </c>
      <c r="M29" s="13">
        <f t="shared" si="8"/>
        <v>118</v>
      </c>
      <c r="N29" s="13">
        <f t="shared" si="8"/>
        <v>102</v>
      </c>
      <c r="O29" s="13">
        <f t="shared" si="8"/>
        <v>110</v>
      </c>
      <c r="P29" s="13">
        <f t="shared" si="8"/>
        <v>119</v>
      </c>
      <c r="Q29" s="13">
        <f t="shared" si="8"/>
        <v>123</v>
      </c>
      <c r="R29" s="13">
        <f t="shared" si="8"/>
        <v>103</v>
      </c>
      <c r="S29" s="13">
        <f t="shared" si="8"/>
        <v>108</v>
      </c>
      <c r="T29" s="13">
        <f t="shared" si="8"/>
        <v>107</v>
      </c>
      <c r="U29" s="13">
        <f t="shared" si="8"/>
        <v>112</v>
      </c>
      <c r="V29" s="13">
        <f t="shared" si="8"/>
        <v>90</v>
      </c>
      <c r="W29" s="13">
        <f t="shared" si="8"/>
        <v>115</v>
      </c>
      <c r="X29" s="13">
        <f t="shared" si="8"/>
        <v>109</v>
      </c>
      <c r="Y29" s="13">
        <f t="shared" si="8"/>
        <v>101</v>
      </c>
      <c r="Z29" s="13">
        <f t="shared" si="8"/>
        <v>114</v>
      </c>
      <c r="AA29" s="13">
        <f t="shared" si="8"/>
        <v>118</v>
      </c>
      <c r="AB29" s="13">
        <f t="shared" si="8"/>
        <v>110</v>
      </c>
      <c r="AC29" s="13">
        <f t="shared" si="8"/>
        <v>102</v>
      </c>
      <c r="AD29" s="13">
        <f t="shared" si="3"/>
        <v>2713</v>
      </c>
    </row>
    <row r="30" ht="12.75" customHeight="1">
      <c r="A30" s="35"/>
      <c r="B30" s="28"/>
      <c r="C30" s="36"/>
      <c r="D30" s="13" t="s">
        <v>13</v>
      </c>
      <c r="E30" s="13">
        <f t="shared" ref="E30:AC30" si="9">SUM(E28:E29)</f>
        <v>206</v>
      </c>
      <c r="F30" s="13">
        <f t="shared" si="9"/>
        <v>220</v>
      </c>
      <c r="G30" s="13">
        <f t="shared" si="9"/>
        <v>216</v>
      </c>
      <c r="H30" s="13">
        <f t="shared" si="9"/>
        <v>184</v>
      </c>
      <c r="I30" s="13">
        <f t="shared" si="9"/>
        <v>216</v>
      </c>
      <c r="J30" s="13">
        <f t="shared" si="9"/>
        <v>219</v>
      </c>
      <c r="K30" s="13">
        <f t="shared" si="9"/>
        <v>186</v>
      </c>
      <c r="L30" s="13">
        <f t="shared" si="9"/>
        <v>178</v>
      </c>
      <c r="M30" s="13">
        <f t="shared" si="9"/>
        <v>219</v>
      </c>
      <c r="N30" s="13">
        <f t="shared" si="9"/>
        <v>179</v>
      </c>
      <c r="O30" s="13">
        <f t="shared" si="9"/>
        <v>204</v>
      </c>
      <c r="P30" s="13">
        <f t="shared" si="9"/>
        <v>223</v>
      </c>
      <c r="Q30" s="13">
        <f t="shared" si="9"/>
        <v>240</v>
      </c>
      <c r="R30" s="13">
        <f t="shared" si="9"/>
        <v>196</v>
      </c>
      <c r="S30" s="13">
        <f t="shared" si="9"/>
        <v>215</v>
      </c>
      <c r="T30" s="13">
        <f t="shared" si="9"/>
        <v>202</v>
      </c>
      <c r="U30" s="13">
        <f t="shared" si="9"/>
        <v>189</v>
      </c>
      <c r="V30" s="13">
        <f t="shared" si="9"/>
        <v>181</v>
      </c>
      <c r="W30" s="13">
        <f t="shared" si="9"/>
        <v>208</v>
      </c>
      <c r="X30" s="13">
        <f t="shared" si="9"/>
        <v>202</v>
      </c>
      <c r="Y30" s="13">
        <f t="shared" si="9"/>
        <v>196</v>
      </c>
      <c r="Z30" s="13">
        <f t="shared" si="9"/>
        <v>215</v>
      </c>
      <c r="AA30" s="13">
        <f t="shared" si="9"/>
        <v>227</v>
      </c>
      <c r="AB30" s="13">
        <f t="shared" si="9"/>
        <v>220</v>
      </c>
      <c r="AC30" s="13">
        <f t="shared" si="9"/>
        <v>207</v>
      </c>
      <c r="AD30" s="13">
        <f t="shared" si="3"/>
        <v>5148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0"/>
    </row>
    <row r="33" ht="12.75" customHeight="1">
      <c r="A33" s="19">
        <v>1.0</v>
      </c>
      <c r="B33" s="20" t="s">
        <v>60</v>
      </c>
      <c r="C33" s="15"/>
      <c r="D33" s="16"/>
      <c r="E33" s="19">
        <v>278.0</v>
      </c>
      <c r="F33" s="19">
        <v>290.0</v>
      </c>
      <c r="G33" s="19">
        <v>290.0</v>
      </c>
      <c r="H33" s="19">
        <v>252.0</v>
      </c>
      <c r="I33" s="19">
        <v>267.0</v>
      </c>
      <c r="J33" s="19">
        <v>278.0</v>
      </c>
      <c r="K33" s="19">
        <v>253.0</v>
      </c>
      <c r="L33" s="19">
        <v>235.0</v>
      </c>
      <c r="M33" s="19">
        <v>268.0</v>
      </c>
      <c r="N33" s="19">
        <v>246.0</v>
      </c>
      <c r="O33" s="19">
        <v>286.0</v>
      </c>
      <c r="P33" s="19">
        <v>287.0</v>
      </c>
      <c r="Q33" s="19">
        <v>288.0</v>
      </c>
      <c r="R33" s="19">
        <v>268.0</v>
      </c>
      <c r="S33" s="19">
        <v>271.0</v>
      </c>
      <c r="T33" s="19">
        <v>270.0</v>
      </c>
      <c r="U33" s="19">
        <v>219.0</v>
      </c>
      <c r="V33" s="19">
        <v>236.0</v>
      </c>
      <c r="W33" s="19">
        <v>257.0</v>
      </c>
      <c r="X33" s="19">
        <v>251.0</v>
      </c>
      <c r="Y33" s="19">
        <v>261.0</v>
      </c>
      <c r="Z33" s="19">
        <v>263.0</v>
      </c>
      <c r="AA33" s="19">
        <v>286.0</v>
      </c>
      <c r="AB33" s="19">
        <v>265.0</v>
      </c>
      <c r="AC33" s="19">
        <v>276.0</v>
      </c>
      <c r="AD33" s="13">
        <f t="shared" ref="AD33:AD36" si="10">SUM(E33:AC33)</f>
        <v>6641</v>
      </c>
    </row>
    <row r="34" ht="12.75" customHeight="1">
      <c r="A34" s="19">
        <v>2.0</v>
      </c>
      <c r="B34" s="20" t="s">
        <v>27</v>
      </c>
      <c r="C34" s="15"/>
      <c r="D34" s="16"/>
      <c r="E34" s="13">
        <v>206.0</v>
      </c>
      <c r="F34" s="13">
        <v>220.0</v>
      </c>
      <c r="G34" s="13">
        <v>216.0</v>
      </c>
      <c r="H34" s="13">
        <v>184.0</v>
      </c>
      <c r="I34" s="13">
        <v>216.0</v>
      </c>
      <c r="J34" s="13">
        <v>219.0</v>
      </c>
      <c r="K34" s="13">
        <v>186.0</v>
      </c>
      <c r="L34" s="13">
        <v>178.0</v>
      </c>
      <c r="M34" s="13">
        <v>219.0</v>
      </c>
      <c r="N34" s="13">
        <v>179.0</v>
      </c>
      <c r="O34" s="13">
        <v>204.0</v>
      </c>
      <c r="P34" s="13">
        <v>223.0</v>
      </c>
      <c r="Q34" s="13">
        <v>240.0</v>
      </c>
      <c r="R34" s="13">
        <v>196.0</v>
      </c>
      <c r="S34" s="13">
        <v>215.0</v>
      </c>
      <c r="T34" s="13">
        <v>202.0</v>
      </c>
      <c r="U34" s="13">
        <v>189.0</v>
      </c>
      <c r="V34" s="13">
        <v>181.0</v>
      </c>
      <c r="W34" s="13">
        <v>208.0</v>
      </c>
      <c r="X34" s="13">
        <v>202.0</v>
      </c>
      <c r="Y34" s="13">
        <v>196.0</v>
      </c>
      <c r="Z34" s="13">
        <v>215.0</v>
      </c>
      <c r="AA34" s="13">
        <v>227.0</v>
      </c>
      <c r="AB34" s="13">
        <v>220.0</v>
      </c>
      <c r="AC34" s="13">
        <v>207.0</v>
      </c>
      <c r="AD34" s="13">
        <f t="shared" si="10"/>
        <v>5148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2.0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0.0</v>
      </c>
      <c r="Z35" s="19">
        <v>1.0</v>
      </c>
      <c r="AA35" s="19">
        <v>2.0</v>
      </c>
      <c r="AB35" s="19">
        <v>0.0</v>
      </c>
      <c r="AC35" s="19">
        <v>0.0</v>
      </c>
      <c r="AD35" s="13">
        <f t="shared" si="10"/>
        <v>8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C36" si="11">E33-(E34+E35)</f>
        <v>72</v>
      </c>
      <c r="F36" s="13">
        <f t="shared" si="11"/>
        <v>70</v>
      </c>
      <c r="G36" s="13">
        <f t="shared" si="11"/>
        <v>74</v>
      </c>
      <c r="H36" s="13">
        <f t="shared" si="11"/>
        <v>68</v>
      </c>
      <c r="I36" s="13">
        <f t="shared" si="11"/>
        <v>50</v>
      </c>
      <c r="J36" s="13">
        <f t="shared" si="11"/>
        <v>57</v>
      </c>
      <c r="K36" s="13">
        <f t="shared" si="11"/>
        <v>67</v>
      </c>
      <c r="L36" s="13">
        <f t="shared" si="11"/>
        <v>57</v>
      </c>
      <c r="M36" s="13">
        <f t="shared" si="11"/>
        <v>49</v>
      </c>
      <c r="N36" s="13">
        <f t="shared" si="11"/>
        <v>67</v>
      </c>
      <c r="O36" s="13">
        <f t="shared" si="11"/>
        <v>82</v>
      </c>
      <c r="P36" s="13">
        <f t="shared" si="11"/>
        <v>64</v>
      </c>
      <c r="Q36" s="13">
        <f t="shared" si="11"/>
        <v>48</v>
      </c>
      <c r="R36" s="13">
        <f t="shared" si="11"/>
        <v>71</v>
      </c>
      <c r="S36" s="13">
        <f t="shared" si="11"/>
        <v>56</v>
      </c>
      <c r="T36" s="13">
        <f t="shared" si="11"/>
        <v>68</v>
      </c>
      <c r="U36" s="13">
        <f t="shared" si="11"/>
        <v>30</v>
      </c>
      <c r="V36" s="13">
        <f t="shared" si="11"/>
        <v>55</v>
      </c>
      <c r="W36" s="13">
        <f t="shared" si="11"/>
        <v>49</v>
      </c>
      <c r="X36" s="13">
        <f t="shared" si="11"/>
        <v>48</v>
      </c>
      <c r="Y36" s="13">
        <f t="shared" si="11"/>
        <v>65</v>
      </c>
      <c r="Z36" s="13">
        <f t="shared" si="11"/>
        <v>47</v>
      </c>
      <c r="AA36" s="13">
        <f t="shared" si="11"/>
        <v>57</v>
      </c>
      <c r="AB36" s="13">
        <f t="shared" si="11"/>
        <v>45</v>
      </c>
      <c r="AC36" s="13">
        <f t="shared" si="11"/>
        <v>69</v>
      </c>
      <c r="AD36" s="13">
        <f t="shared" si="10"/>
        <v>1485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0"/>
    </row>
    <row r="39" ht="12.75" customHeight="1">
      <c r="A39" s="30"/>
      <c r="B39" s="43" t="s">
        <v>32</v>
      </c>
      <c r="C39" s="23"/>
      <c r="D39" s="19" t="s">
        <v>11</v>
      </c>
      <c r="E39" s="19">
        <v>1.0</v>
      </c>
      <c r="F39" s="19"/>
      <c r="G39" s="19"/>
      <c r="H39" s="19"/>
      <c r="I39" s="19"/>
      <c r="J39" s="19"/>
      <c r="K39" s="19"/>
      <c r="L39" s="19"/>
      <c r="M39" s="19"/>
      <c r="N39" s="19">
        <v>1.0</v>
      </c>
      <c r="O39" s="19"/>
      <c r="P39" s="19"/>
      <c r="Q39" s="19"/>
      <c r="R39" s="19">
        <v>2.0</v>
      </c>
      <c r="S39" s="19"/>
      <c r="T39" s="19">
        <v>1.0</v>
      </c>
      <c r="U39" s="19"/>
      <c r="V39" s="19"/>
      <c r="W39" s="19"/>
      <c r="X39" s="19"/>
      <c r="Y39" s="19">
        <v>1.0</v>
      </c>
      <c r="Z39" s="19"/>
      <c r="AA39" s="19">
        <v>2.0</v>
      </c>
      <c r="AB39" s="19">
        <v>2.0</v>
      </c>
      <c r="AC39" s="19"/>
      <c r="AD39" s="13">
        <f t="shared" ref="AD39:AD41" si="12">SUM(E39:AC39)</f>
        <v>10</v>
      </c>
    </row>
    <row r="40" ht="12.75" customHeight="1">
      <c r="A40" s="33"/>
      <c r="C40" s="27"/>
      <c r="D40" s="19" t="s">
        <v>12</v>
      </c>
      <c r="E40" s="19">
        <v>1.0</v>
      </c>
      <c r="F40" s="19"/>
      <c r="G40" s="19"/>
      <c r="H40" s="19"/>
      <c r="I40" s="19"/>
      <c r="J40" s="19"/>
      <c r="K40" s="19">
        <v>1.0</v>
      </c>
      <c r="L40" s="19">
        <v>2.0</v>
      </c>
      <c r="M40" s="19"/>
      <c r="N40" s="19"/>
      <c r="O40" s="19"/>
      <c r="P40" s="19"/>
      <c r="Q40" s="19"/>
      <c r="R40" s="19">
        <v>2.0</v>
      </c>
      <c r="S40" s="19"/>
      <c r="T40" s="19"/>
      <c r="U40" s="19"/>
      <c r="V40" s="19"/>
      <c r="W40" s="19"/>
      <c r="X40" s="19"/>
      <c r="Y40" s="19"/>
      <c r="Z40" s="19"/>
      <c r="AA40" s="19">
        <v>1.0</v>
      </c>
      <c r="AB40" s="19">
        <v>1.0</v>
      </c>
      <c r="AC40" s="19"/>
      <c r="AD40" s="13">
        <f t="shared" si="12"/>
        <v>8</v>
      </c>
    </row>
    <row r="41" ht="12.75" customHeight="1">
      <c r="A41" s="41"/>
      <c r="B41" s="44"/>
      <c r="C41" s="28"/>
      <c r="D41" s="13" t="s">
        <v>13</v>
      </c>
      <c r="E41" s="13">
        <f t="shared" ref="E41:AC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4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3</v>
      </c>
      <c r="AB41" s="13">
        <f t="shared" si="13"/>
        <v>3</v>
      </c>
      <c r="AC41" s="13">
        <f t="shared" si="13"/>
        <v>0</v>
      </c>
      <c r="AD41" s="13">
        <f t="shared" si="12"/>
        <v>18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59"/>
      <c r="Y42" s="19"/>
      <c r="Z42" s="59"/>
      <c r="AA42" s="19"/>
      <c r="AB42" s="59"/>
      <c r="AC42" s="19"/>
      <c r="AD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61"/>
      <c r="Y43" s="13"/>
      <c r="Z43" s="61"/>
      <c r="AA43" s="13"/>
      <c r="AB43" s="61"/>
      <c r="AC43" s="13"/>
      <c r="AD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59"/>
      <c r="Y44" s="19"/>
      <c r="Z44" s="59"/>
      <c r="AA44" s="19"/>
      <c r="AB44" s="59"/>
      <c r="AC44" s="19"/>
      <c r="AD44" s="13"/>
    </row>
    <row r="45" ht="12.75" customHeight="1">
      <c r="A45" s="63"/>
      <c r="B45" s="47">
        <v>1.0</v>
      </c>
      <c r="C45" s="48" t="s">
        <v>36</v>
      </c>
      <c r="D45" s="16"/>
      <c r="E45" s="19">
        <v>41.0</v>
      </c>
      <c r="F45" s="19">
        <v>39.0</v>
      </c>
      <c r="G45" s="19">
        <v>35.0</v>
      </c>
      <c r="H45" s="19">
        <v>16.0</v>
      </c>
      <c r="I45" s="19">
        <v>23.0</v>
      </c>
      <c r="J45" s="19">
        <v>26.0</v>
      </c>
      <c r="K45" s="19">
        <v>52.0</v>
      </c>
      <c r="L45" s="19">
        <v>27.0</v>
      </c>
      <c r="M45" s="19">
        <v>46.0</v>
      </c>
      <c r="N45" s="19">
        <v>129.0</v>
      </c>
      <c r="O45" s="19">
        <v>142.0</v>
      </c>
      <c r="P45" s="19">
        <v>133.0</v>
      </c>
      <c r="Q45" s="19">
        <v>77.0</v>
      </c>
      <c r="R45" s="19">
        <v>74.0</v>
      </c>
      <c r="S45" s="19">
        <v>64.0</v>
      </c>
      <c r="T45" s="19">
        <v>120.0</v>
      </c>
      <c r="U45" s="19">
        <v>153.0</v>
      </c>
      <c r="V45" s="19">
        <v>114.0</v>
      </c>
      <c r="W45" s="19">
        <v>24.0</v>
      </c>
      <c r="X45" s="19">
        <v>18.0</v>
      </c>
      <c r="Y45" s="19">
        <v>30.0</v>
      </c>
      <c r="Z45" s="19">
        <v>51.0</v>
      </c>
      <c r="AA45" s="19">
        <v>34.0</v>
      </c>
      <c r="AB45" s="19">
        <v>41.0</v>
      </c>
      <c r="AC45" s="19">
        <v>37.0</v>
      </c>
      <c r="AD45" s="13">
        <f t="shared" ref="AD45:AD47" si="14">SUM(E45:AC45)</f>
        <v>1546</v>
      </c>
    </row>
    <row r="46" ht="12.75" customHeight="1">
      <c r="A46" s="18"/>
      <c r="B46" s="47">
        <v>2.0</v>
      </c>
      <c r="C46" s="48" t="s">
        <v>37</v>
      </c>
      <c r="D46" s="16"/>
      <c r="E46" s="19">
        <v>124.0</v>
      </c>
      <c r="F46" s="19">
        <v>141.0</v>
      </c>
      <c r="G46" s="19">
        <v>147.0</v>
      </c>
      <c r="H46" s="19">
        <v>124.0</v>
      </c>
      <c r="I46" s="19">
        <v>136.0</v>
      </c>
      <c r="J46" s="19">
        <v>147.0</v>
      </c>
      <c r="K46" s="19">
        <v>89.0</v>
      </c>
      <c r="L46" s="19">
        <v>114.0</v>
      </c>
      <c r="M46" s="19">
        <v>125.0</v>
      </c>
      <c r="N46" s="19">
        <v>42.0</v>
      </c>
      <c r="O46" s="19">
        <v>56.0</v>
      </c>
      <c r="P46" s="19">
        <v>79.0</v>
      </c>
      <c r="Q46" s="19">
        <v>126.0</v>
      </c>
      <c r="R46" s="19">
        <v>98.0</v>
      </c>
      <c r="S46" s="19">
        <v>113.0</v>
      </c>
      <c r="T46" s="19">
        <v>71.0</v>
      </c>
      <c r="U46" s="19">
        <v>31.0</v>
      </c>
      <c r="V46" s="19">
        <v>46.0</v>
      </c>
      <c r="W46" s="19">
        <v>148.0</v>
      </c>
      <c r="X46" s="19">
        <v>150.0</v>
      </c>
      <c r="Y46" s="19">
        <v>135.0</v>
      </c>
      <c r="Z46" s="19">
        <v>131.0</v>
      </c>
      <c r="AA46" s="19">
        <v>148.0</v>
      </c>
      <c r="AB46" s="19">
        <v>130.0</v>
      </c>
      <c r="AC46" s="19">
        <v>130.0</v>
      </c>
      <c r="AD46" s="13">
        <f t="shared" si="14"/>
        <v>2781</v>
      </c>
    </row>
    <row r="47" ht="12.75" customHeight="1">
      <c r="A47" s="45"/>
      <c r="B47" s="47">
        <v>3.0</v>
      </c>
      <c r="C47" s="48" t="s">
        <v>38</v>
      </c>
      <c r="D47" s="16"/>
      <c r="E47" s="19">
        <v>35.0</v>
      </c>
      <c r="F47" s="19">
        <v>36.0</v>
      </c>
      <c r="G47" s="19">
        <v>30.0</v>
      </c>
      <c r="H47" s="19">
        <v>38.0</v>
      </c>
      <c r="I47" s="19">
        <v>55.0</v>
      </c>
      <c r="J47" s="19">
        <v>39.0</v>
      </c>
      <c r="K47" s="19">
        <v>40.0</v>
      </c>
      <c r="L47" s="19">
        <v>31.0</v>
      </c>
      <c r="M47" s="19">
        <v>44.0</v>
      </c>
      <c r="N47" s="19">
        <v>7.0</v>
      </c>
      <c r="O47" s="19">
        <v>5.0</v>
      </c>
      <c r="P47" s="19">
        <v>10.0</v>
      </c>
      <c r="Q47" s="19">
        <v>30.0</v>
      </c>
      <c r="R47" s="19">
        <v>20.0</v>
      </c>
      <c r="S47" s="19">
        <v>34.0</v>
      </c>
      <c r="T47" s="19">
        <v>9.0</v>
      </c>
      <c r="U47" s="19">
        <v>4.0</v>
      </c>
      <c r="V47" s="19">
        <v>18.0</v>
      </c>
      <c r="W47" s="19">
        <v>30.0</v>
      </c>
      <c r="X47" s="19">
        <v>24.0</v>
      </c>
      <c r="Y47" s="19">
        <v>28.0</v>
      </c>
      <c r="Z47" s="19">
        <v>27.0</v>
      </c>
      <c r="AA47" s="19">
        <v>42.0</v>
      </c>
      <c r="AB47" s="19">
        <v>44.0</v>
      </c>
      <c r="AC47" s="19">
        <v>37.0</v>
      </c>
      <c r="AD47" s="13">
        <f t="shared" si="14"/>
        <v>717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C50" si="15">SUM(E45:E47)</f>
        <v>200</v>
      </c>
      <c r="F50" s="19">
        <f t="shared" si="15"/>
        <v>216</v>
      </c>
      <c r="G50" s="19">
        <f t="shared" si="15"/>
        <v>212</v>
      </c>
      <c r="H50" s="19">
        <f t="shared" si="15"/>
        <v>178</v>
      </c>
      <c r="I50" s="19">
        <f t="shared" si="15"/>
        <v>214</v>
      </c>
      <c r="J50" s="19">
        <f t="shared" si="15"/>
        <v>212</v>
      </c>
      <c r="K50" s="19">
        <f t="shared" si="15"/>
        <v>181</v>
      </c>
      <c r="L50" s="19">
        <f t="shared" si="15"/>
        <v>172</v>
      </c>
      <c r="M50" s="19">
        <f t="shared" si="15"/>
        <v>215</v>
      </c>
      <c r="N50" s="19">
        <f t="shared" si="15"/>
        <v>178</v>
      </c>
      <c r="O50" s="19">
        <f t="shared" si="15"/>
        <v>203</v>
      </c>
      <c r="P50" s="19">
        <f t="shared" si="15"/>
        <v>222</v>
      </c>
      <c r="Q50" s="19">
        <f t="shared" si="15"/>
        <v>233</v>
      </c>
      <c r="R50" s="19">
        <f t="shared" si="15"/>
        <v>192</v>
      </c>
      <c r="S50" s="19">
        <f t="shared" si="15"/>
        <v>211</v>
      </c>
      <c r="T50" s="19">
        <f t="shared" si="15"/>
        <v>200</v>
      </c>
      <c r="U50" s="19">
        <f t="shared" si="15"/>
        <v>188</v>
      </c>
      <c r="V50" s="19">
        <f t="shared" si="15"/>
        <v>178</v>
      </c>
      <c r="W50" s="19">
        <f t="shared" si="15"/>
        <v>202</v>
      </c>
      <c r="X50" s="19">
        <f t="shared" si="15"/>
        <v>192</v>
      </c>
      <c r="Y50" s="19">
        <f t="shared" si="15"/>
        <v>193</v>
      </c>
      <c r="Z50" s="19">
        <f t="shared" si="15"/>
        <v>209</v>
      </c>
      <c r="AA50" s="19">
        <f t="shared" si="15"/>
        <v>224</v>
      </c>
      <c r="AB50" s="19">
        <f t="shared" si="15"/>
        <v>215</v>
      </c>
      <c r="AC50" s="19">
        <f t="shared" si="15"/>
        <v>204</v>
      </c>
      <c r="AD50" s="13">
        <f t="shared" ref="AD50:AD52" si="16">SUM(E50:AC50)</f>
        <v>5044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6.0</v>
      </c>
      <c r="F51" s="19">
        <v>4.0</v>
      </c>
      <c r="G51" s="19">
        <v>4.0</v>
      </c>
      <c r="H51" s="19">
        <v>6.0</v>
      </c>
      <c r="I51" s="19">
        <v>2.0</v>
      </c>
      <c r="J51" s="19">
        <v>7.0</v>
      </c>
      <c r="K51" s="19">
        <v>5.0</v>
      </c>
      <c r="L51" s="19">
        <v>6.0</v>
      </c>
      <c r="M51" s="19">
        <v>4.0</v>
      </c>
      <c r="N51" s="19">
        <v>1.0</v>
      </c>
      <c r="O51" s="19">
        <v>1.0</v>
      </c>
      <c r="P51" s="19">
        <v>1.0</v>
      </c>
      <c r="Q51" s="19">
        <v>7.0</v>
      </c>
      <c r="R51" s="19">
        <v>4.0</v>
      </c>
      <c r="S51" s="19">
        <v>4.0</v>
      </c>
      <c r="T51" s="19">
        <v>2.0</v>
      </c>
      <c r="U51" s="19">
        <v>1.0</v>
      </c>
      <c r="V51" s="19">
        <v>3.0</v>
      </c>
      <c r="W51" s="19">
        <v>6.0</v>
      </c>
      <c r="X51" s="19">
        <v>10.0</v>
      </c>
      <c r="Y51" s="19">
        <v>3.0</v>
      </c>
      <c r="Z51" s="19">
        <v>6.0</v>
      </c>
      <c r="AA51" s="19">
        <v>3.0</v>
      </c>
      <c r="AB51" s="19">
        <v>5.0</v>
      </c>
      <c r="AC51" s="19">
        <v>3.0</v>
      </c>
      <c r="AD51" s="13">
        <f t="shared" si="16"/>
        <v>104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C52" si="17">SUM(E50:E51)</f>
        <v>206</v>
      </c>
      <c r="F52" s="13">
        <f t="shared" si="17"/>
        <v>220</v>
      </c>
      <c r="G52" s="13">
        <f t="shared" si="17"/>
        <v>216</v>
      </c>
      <c r="H52" s="13">
        <f t="shared" si="17"/>
        <v>184</v>
      </c>
      <c r="I52" s="13">
        <f t="shared" si="17"/>
        <v>216</v>
      </c>
      <c r="J52" s="13">
        <f t="shared" si="17"/>
        <v>219</v>
      </c>
      <c r="K52" s="13">
        <f t="shared" si="17"/>
        <v>186</v>
      </c>
      <c r="L52" s="13">
        <f t="shared" si="17"/>
        <v>178</v>
      </c>
      <c r="M52" s="13">
        <f t="shared" si="17"/>
        <v>219</v>
      </c>
      <c r="N52" s="13">
        <f t="shared" si="17"/>
        <v>179</v>
      </c>
      <c r="O52" s="13">
        <f t="shared" si="17"/>
        <v>204</v>
      </c>
      <c r="P52" s="13">
        <f t="shared" si="17"/>
        <v>223</v>
      </c>
      <c r="Q52" s="13">
        <f t="shared" si="17"/>
        <v>240</v>
      </c>
      <c r="R52" s="13">
        <f t="shared" si="17"/>
        <v>196</v>
      </c>
      <c r="S52" s="13">
        <f t="shared" si="17"/>
        <v>215</v>
      </c>
      <c r="T52" s="13">
        <f t="shared" si="17"/>
        <v>202</v>
      </c>
      <c r="U52" s="13">
        <f t="shared" si="17"/>
        <v>189</v>
      </c>
      <c r="V52" s="13">
        <f t="shared" si="17"/>
        <v>181</v>
      </c>
      <c r="W52" s="13">
        <f t="shared" si="17"/>
        <v>208</v>
      </c>
      <c r="X52" s="13">
        <f t="shared" si="17"/>
        <v>202</v>
      </c>
      <c r="Y52" s="13">
        <f t="shared" si="17"/>
        <v>196</v>
      </c>
      <c r="Z52" s="13">
        <f t="shared" si="17"/>
        <v>215</v>
      </c>
      <c r="AA52" s="13">
        <f t="shared" si="17"/>
        <v>227</v>
      </c>
      <c r="AB52" s="13">
        <f t="shared" si="17"/>
        <v>220</v>
      </c>
      <c r="AC52" s="13">
        <f t="shared" si="17"/>
        <v>207</v>
      </c>
      <c r="AD52" s="13">
        <f t="shared" si="16"/>
        <v>5148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AC15 E45:AC47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E30&lt;&gt;E46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50:AC51">
    <cfRule type="containsBlanks" dxfId="1" priority="10">
      <formula>LEN(TRIM(E50))=0</formula>
    </cfRule>
  </conditionalFormatting>
  <conditionalFormatting sqref="U34:AC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88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36"/>
    </row>
    <row r="14" ht="12.75" customHeight="1">
      <c r="A14" s="18"/>
      <c r="B14" s="22" t="s">
        <v>10</v>
      </c>
      <c r="C14" s="23"/>
      <c r="D14" s="19" t="s">
        <v>11</v>
      </c>
      <c r="E14" s="19">
        <v>129.0</v>
      </c>
      <c r="F14" s="19">
        <v>123.0</v>
      </c>
      <c r="G14" s="19">
        <v>107.0</v>
      </c>
      <c r="H14" s="19">
        <v>122.0</v>
      </c>
      <c r="I14" s="19">
        <v>121.0</v>
      </c>
      <c r="J14" s="19">
        <v>131.0</v>
      </c>
      <c r="K14" s="19">
        <v>124.0</v>
      </c>
      <c r="L14" s="19">
        <v>137.0</v>
      </c>
      <c r="M14" s="19">
        <v>122.0</v>
      </c>
      <c r="N14" s="19">
        <v>115.0</v>
      </c>
      <c r="O14" s="19">
        <v>134.0</v>
      </c>
      <c r="P14" s="19">
        <v>127.0</v>
      </c>
      <c r="Q14" s="19">
        <v>116.0</v>
      </c>
      <c r="R14" s="19">
        <v>131.0</v>
      </c>
      <c r="S14" s="19">
        <v>125.0</v>
      </c>
      <c r="T14" s="13">
        <f t="shared" ref="T14:T16" si="1">SUM(E14:S14)</f>
        <v>1864</v>
      </c>
    </row>
    <row r="15" ht="12.75" customHeight="1">
      <c r="A15" s="18"/>
      <c r="B15" s="26"/>
      <c r="C15" s="27"/>
      <c r="D15" s="19" t="s">
        <v>12</v>
      </c>
      <c r="E15" s="19">
        <v>134.0</v>
      </c>
      <c r="F15" s="19">
        <v>135.0</v>
      </c>
      <c r="G15" s="19">
        <v>138.0</v>
      </c>
      <c r="H15" s="19">
        <v>132.0</v>
      </c>
      <c r="I15" s="19">
        <v>137.0</v>
      </c>
      <c r="J15" s="19">
        <v>128.0</v>
      </c>
      <c r="K15" s="19">
        <v>129.0</v>
      </c>
      <c r="L15" s="19">
        <v>125.0</v>
      </c>
      <c r="M15" s="19">
        <v>128.0</v>
      </c>
      <c r="N15" s="19">
        <v>130.0</v>
      </c>
      <c r="O15" s="19">
        <v>119.0</v>
      </c>
      <c r="P15" s="19">
        <v>127.0</v>
      </c>
      <c r="Q15" s="19">
        <v>133.0</v>
      </c>
      <c r="R15" s="19">
        <v>124.0</v>
      </c>
      <c r="S15" s="19">
        <v>129.0</v>
      </c>
      <c r="T15" s="13">
        <f t="shared" si="1"/>
        <v>1948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263</v>
      </c>
      <c r="F16" s="13">
        <f t="shared" si="2"/>
        <v>258</v>
      </c>
      <c r="G16" s="13">
        <f t="shared" si="2"/>
        <v>245</v>
      </c>
      <c r="H16" s="13">
        <f t="shared" si="2"/>
        <v>254</v>
      </c>
      <c r="I16" s="13">
        <f t="shared" si="2"/>
        <v>258</v>
      </c>
      <c r="J16" s="13">
        <f t="shared" si="2"/>
        <v>259</v>
      </c>
      <c r="K16" s="13">
        <f t="shared" si="2"/>
        <v>253</v>
      </c>
      <c r="L16" s="13">
        <f t="shared" si="2"/>
        <v>262</v>
      </c>
      <c r="M16" s="13">
        <f t="shared" si="2"/>
        <v>250</v>
      </c>
      <c r="N16" s="13">
        <f t="shared" si="2"/>
        <v>245</v>
      </c>
      <c r="O16" s="13">
        <f t="shared" si="2"/>
        <v>253</v>
      </c>
      <c r="P16" s="13">
        <f t="shared" si="2"/>
        <v>254</v>
      </c>
      <c r="Q16" s="13">
        <f t="shared" si="2"/>
        <v>249</v>
      </c>
      <c r="R16" s="13">
        <f t="shared" si="2"/>
        <v>255</v>
      </c>
      <c r="S16" s="13">
        <f t="shared" si="2"/>
        <v>254</v>
      </c>
      <c r="T16" s="13">
        <f t="shared" si="1"/>
        <v>3812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98.0</v>
      </c>
      <c r="F19" s="19">
        <v>96.0</v>
      </c>
      <c r="G19" s="19">
        <v>85.0</v>
      </c>
      <c r="H19" s="19">
        <v>95.0</v>
      </c>
      <c r="I19" s="19">
        <v>87.0</v>
      </c>
      <c r="J19" s="19">
        <v>101.0</v>
      </c>
      <c r="K19" s="19">
        <v>92.0</v>
      </c>
      <c r="L19" s="19">
        <v>109.0</v>
      </c>
      <c r="M19" s="19">
        <v>97.0</v>
      </c>
      <c r="N19" s="19">
        <v>88.0</v>
      </c>
      <c r="O19" s="19">
        <v>93.0</v>
      </c>
      <c r="P19" s="19">
        <v>80.0</v>
      </c>
      <c r="Q19" s="19">
        <v>83.0</v>
      </c>
      <c r="R19" s="19">
        <v>105.0</v>
      </c>
      <c r="S19" s="19">
        <v>92.0</v>
      </c>
      <c r="T19" s="13">
        <f t="shared" ref="T19:T30" si="3">SUM(E19:S19)</f>
        <v>1401</v>
      </c>
    </row>
    <row r="20" ht="12.75" customHeight="1">
      <c r="A20" s="33"/>
      <c r="B20" s="27"/>
      <c r="C20" s="34"/>
      <c r="D20" s="19" t="s">
        <v>12</v>
      </c>
      <c r="E20" s="19">
        <v>106.0</v>
      </c>
      <c r="F20" s="19">
        <v>108.0</v>
      </c>
      <c r="G20" s="19">
        <v>105.0</v>
      </c>
      <c r="H20" s="19">
        <v>104.0</v>
      </c>
      <c r="I20" s="19">
        <v>115.0</v>
      </c>
      <c r="J20" s="19">
        <v>101.0</v>
      </c>
      <c r="K20" s="19">
        <v>116.0</v>
      </c>
      <c r="L20" s="19">
        <v>109.0</v>
      </c>
      <c r="M20" s="19">
        <v>115.0</v>
      </c>
      <c r="N20" s="19">
        <v>113.0</v>
      </c>
      <c r="O20" s="19">
        <v>96.0</v>
      </c>
      <c r="P20" s="19">
        <v>96.0</v>
      </c>
      <c r="Q20" s="19">
        <v>106.0</v>
      </c>
      <c r="R20" s="19">
        <v>111.0</v>
      </c>
      <c r="S20" s="19">
        <v>101.0</v>
      </c>
      <c r="T20" s="13">
        <f t="shared" si="3"/>
        <v>1602</v>
      </c>
    </row>
    <row r="21" ht="12.75" customHeight="1">
      <c r="A21" s="35"/>
      <c r="B21" s="28"/>
      <c r="C21" s="36"/>
      <c r="D21" s="13" t="s">
        <v>13</v>
      </c>
      <c r="E21" s="13">
        <f t="shared" ref="E21:S21" si="4">SUM(E19:E20)</f>
        <v>204</v>
      </c>
      <c r="F21" s="13">
        <f t="shared" si="4"/>
        <v>204</v>
      </c>
      <c r="G21" s="13">
        <f t="shared" si="4"/>
        <v>190</v>
      </c>
      <c r="H21" s="13">
        <f t="shared" si="4"/>
        <v>199</v>
      </c>
      <c r="I21" s="13">
        <f t="shared" si="4"/>
        <v>202</v>
      </c>
      <c r="J21" s="13">
        <f t="shared" si="4"/>
        <v>202</v>
      </c>
      <c r="K21" s="13">
        <f t="shared" si="4"/>
        <v>208</v>
      </c>
      <c r="L21" s="13">
        <f t="shared" si="4"/>
        <v>218</v>
      </c>
      <c r="M21" s="13">
        <f t="shared" si="4"/>
        <v>212</v>
      </c>
      <c r="N21" s="13">
        <f t="shared" si="4"/>
        <v>201</v>
      </c>
      <c r="O21" s="13">
        <f t="shared" si="4"/>
        <v>189</v>
      </c>
      <c r="P21" s="13">
        <f t="shared" si="4"/>
        <v>176</v>
      </c>
      <c r="Q21" s="13">
        <f t="shared" si="4"/>
        <v>189</v>
      </c>
      <c r="R21" s="13">
        <f t="shared" si="4"/>
        <v>216</v>
      </c>
      <c r="S21" s="13">
        <f t="shared" si="4"/>
        <v>193</v>
      </c>
      <c r="T21" s="13">
        <f t="shared" si="3"/>
        <v>3003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1.0</v>
      </c>
      <c r="F22" s="19">
        <v>0.0</v>
      </c>
      <c r="G22" s="19">
        <v>2.0</v>
      </c>
      <c r="H22" s="19">
        <v>0.0</v>
      </c>
      <c r="I22" s="19">
        <v>2.0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3">
        <f t="shared" si="3"/>
        <v>6</v>
      </c>
    </row>
    <row r="23" ht="12.75" customHeight="1">
      <c r="A23" s="33"/>
      <c r="B23" s="27"/>
      <c r="C23" s="34"/>
      <c r="D23" s="19" t="s">
        <v>12</v>
      </c>
      <c r="E23" s="19">
        <v>2.0</v>
      </c>
      <c r="F23" s="19">
        <v>0.0</v>
      </c>
      <c r="G23" s="19">
        <v>2.0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4.0</v>
      </c>
      <c r="N23" s="19">
        <v>1.0</v>
      </c>
      <c r="O23" s="19">
        <v>0.0</v>
      </c>
      <c r="P23" s="19">
        <v>0.0</v>
      </c>
      <c r="Q23" s="19">
        <v>0.0</v>
      </c>
      <c r="R23" s="19">
        <v>1.0</v>
      </c>
      <c r="S23" s="19">
        <v>1.0</v>
      </c>
      <c r="T23" s="13">
        <f t="shared" si="3"/>
        <v>11</v>
      </c>
    </row>
    <row r="24" ht="12.75" customHeight="1">
      <c r="A24" s="35"/>
      <c r="B24" s="28"/>
      <c r="C24" s="36"/>
      <c r="D24" s="13" t="s">
        <v>13</v>
      </c>
      <c r="E24" s="13">
        <f t="shared" ref="E24:S24" si="5">SUM(E22:E23)</f>
        <v>3</v>
      </c>
      <c r="F24" s="13">
        <f t="shared" si="5"/>
        <v>0</v>
      </c>
      <c r="G24" s="13">
        <f t="shared" si="5"/>
        <v>4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4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2</v>
      </c>
      <c r="T24" s="13">
        <f t="shared" si="3"/>
        <v>17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2.0</v>
      </c>
      <c r="F25" s="19">
        <v>0.0</v>
      </c>
      <c r="G25" s="19">
        <v>2.0</v>
      </c>
      <c r="H25" s="19">
        <v>2.0</v>
      </c>
      <c r="I25" s="19">
        <v>0.0</v>
      </c>
      <c r="J25" s="19">
        <v>0.0</v>
      </c>
      <c r="K25" s="19">
        <v>3.0</v>
      </c>
      <c r="L25" s="19">
        <v>2.0</v>
      </c>
      <c r="M25" s="19">
        <v>2.0</v>
      </c>
      <c r="N25" s="19">
        <v>0.0</v>
      </c>
      <c r="O25" s="64">
        <v>2.0</v>
      </c>
      <c r="P25" s="64">
        <v>4.0</v>
      </c>
      <c r="Q25" s="64">
        <v>2.0</v>
      </c>
      <c r="R25" s="19">
        <v>0.0</v>
      </c>
      <c r="S25" s="19">
        <v>2.0</v>
      </c>
      <c r="T25" s="13">
        <f t="shared" si="3"/>
        <v>23</v>
      </c>
    </row>
    <row r="26" ht="12.75" customHeight="1">
      <c r="A26" s="33"/>
      <c r="B26" s="27"/>
      <c r="C26" s="34"/>
      <c r="D26" s="19" t="s">
        <v>12</v>
      </c>
      <c r="E26" s="19">
        <v>2.0</v>
      </c>
      <c r="F26" s="19">
        <v>0.0</v>
      </c>
      <c r="G26" s="19">
        <v>0.0</v>
      </c>
      <c r="H26" s="19">
        <v>2.0</v>
      </c>
      <c r="I26" s="19">
        <v>5.0</v>
      </c>
      <c r="J26" s="19">
        <v>1.0</v>
      </c>
      <c r="K26" s="19">
        <v>1.0</v>
      </c>
      <c r="L26" s="19">
        <v>0.0</v>
      </c>
      <c r="M26" s="19">
        <v>1.0</v>
      </c>
      <c r="N26" s="19">
        <v>0.0</v>
      </c>
      <c r="O26" s="19">
        <v>9.0</v>
      </c>
      <c r="P26" s="19">
        <v>3.0</v>
      </c>
      <c r="Q26" s="19">
        <v>0.0</v>
      </c>
      <c r="R26" s="19">
        <v>0.0</v>
      </c>
      <c r="S26" s="19">
        <v>3.0</v>
      </c>
      <c r="T26" s="13">
        <f t="shared" si="3"/>
        <v>27</v>
      </c>
    </row>
    <row r="27" ht="12.75" customHeight="1">
      <c r="A27" s="35"/>
      <c r="B27" s="28"/>
      <c r="C27" s="36"/>
      <c r="D27" s="13" t="s">
        <v>13</v>
      </c>
      <c r="E27" s="13">
        <f t="shared" ref="E27:S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11</v>
      </c>
      <c r="P27" s="13">
        <f t="shared" si="6"/>
        <v>7</v>
      </c>
      <c r="Q27" s="13">
        <f t="shared" si="6"/>
        <v>2</v>
      </c>
      <c r="R27" s="13">
        <f t="shared" si="6"/>
        <v>0</v>
      </c>
      <c r="S27" s="13">
        <f t="shared" si="6"/>
        <v>5</v>
      </c>
      <c r="T27" s="13">
        <f t="shared" si="3"/>
        <v>50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S28" si="7">SUM(E19,E22,E25)</f>
        <v>101</v>
      </c>
      <c r="F28" s="13">
        <f t="shared" si="7"/>
        <v>96</v>
      </c>
      <c r="G28" s="13">
        <f t="shared" si="7"/>
        <v>89</v>
      </c>
      <c r="H28" s="13">
        <f t="shared" si="7"/>
        <v>97</v>
      </c>
      <c r="I28" s="13">
        <f t="shared" si="7"/>
        <v>89</v>
      </c>
      <c r="J28" s="13">
        <f t="shared" si="7"/>
        <v>101</v>
      </c>
      <c r="K28" s="13">
        <f t="shared" si="7"/>
        <v>95</v>
      </c>
      <c r="L28" s="13">
        <f t="shared" si="7"/>
        <v>111</v>
      </c>
      <c r="M28" s="13">
        <f t="shared" si="7"/>
        <v>99</v>
      </c>
      <c r="N28" s="13">
        <f t="shared" si="7"/>
        <v>88</v>
      </c>
      <c r="O28" s="13">
        <f t="shared" si="7"/>
        <v>95</v>
      </c>
      <c r="P28" s="13">
        <f t="shared" si="7"/>
        <v>84</v>
      </c>
      <c r="Q28" s="13">
        <f t="shared" si="7"/>
        <v>85</v>
      </c>
      <c r="R28" s="13">
        <f t="shared" si="7"/>
        <v>105</v>
      </c>
      <c r="S28" s="13">
        <f t="shared" si="7"/>
        <v>95</v>
      </c>
      <c r="T28" s="13">
        <f t="shared" si="3"/>
        <v>1430</v>
      </c>
    </row>
    <row r="29" ht="12.75" customHeight="1">
      <c r="A29" s="35"/>
      <c r="B29" s="27"/>
      <c r="C29" s="34"/>
      <c r="D29" s="13" t="s">
        <v>12</v>
      </c>
      <c r="E29" s="13">
        <f t="shared" ref="E29:S29" si="8">SUM(E20,E23,E26)</f>
        <v>110</v>
      </c>
      <c r="F29" s="13">
        <f t="shared" si="8"/>
        <v>108</v>
      </c>
      <c r="G29" s="13">
        <f t="shared" si="8"/>
        <v>107</v>
      </c>
      <c r="H29" s="13">
        <f t="shared" si="8"/>
        <v>106</v>
      </c>
      <c r="I29" s="13">
        <f t="shared" si="8"/>
        <v>120</v>
      </c>
      <c r="J29" s="13">
        <f t="shared" si="8"/>
        <v>102</v>
      </c>
      <c r="K29" s="13">
        <f t="shared" si="8"/>
        <v>117</v>
      </c>
      <c r="L29" s="13">
        <f t="shared" si="8"/>
        <v>109</v>
      </c>
      <c r="M29" s="13">
        <f t="shared" si="8"/>
        <v>120</v>
      </c>
      <c r="N29" s="13">
        <f t="shared" si="8"/>
        <v>114</v>
      </c>
      <c r="O29" s="13">
        <f t="shared" si="8"/>
        <v>105</v>
      </c>
      <c r="P29" s="13">
        <f t="shared" si="8"/>
        <v>99</v>
      </c>
      <c r="Q29" s="13">
        <f t="shared" si="8"/>
        <v>106</v>
      </c>
      <c r="R29" s="13">
        <f t="shared" si="8"/>
        <v>112</v>
      </c>
      <c r="S29" s="13">
        <f t="shared" si="8"/>
        <v>105</v>
      </c>
      <c r="T29" s="13">
        <f t="shared" si="3"/>
        <v>1640</v>
      </c>
    </row>
    <row r="30" ht="12.75" customHeight="1">
      <c r="A30" s="35"/>
      <c r="B30" s="28"/>
      <c r="C30" s="36"/>
      <c r="D30" s="13" t="s">
        <v>13</v>
      </c>
      <c r="E30" s="13">
        <f t="shared" ref="E30:S30" si="9">SUM(E28:E29)</f>
        <v>211</v>
      </c>
      <c r="F30" s="13">
        <f t="shared" si="9"/>
        <v>204</v>
      </c>
      <c r="G30" s="13">
        <f t="shared" si="9"/>
        <v>196</v>
      </c>
      <c r="H30" s="13">
        <f t="shared" si="9"/>
        <v>203</v>
      </c>
      <c r="I30" s="13">
        <f t="shared" si="9"/>
        <v>209</v>
      </c>
      <c r="J30" s="13">
        <f t="shared" si="9"/>
        <v>203</v>
      </c>
      <c r="K30" s="13">
        <f t="shared" si="9"/>
        <v>212</v>
      </c>
      <c r="L30" s="13">
        <f t="shared" si="9"/>
        <v>220</v>
      </c>
      <c r="M30" s="13">
        <f t="shared" si="9"/>
        <v>219</v>
      </c>
      <c r="N30" s="13">
        <f t="shared" si="9"/>
        <v>202</v>
      </c>
      <c r="O30" s="13">
        <f t="shared" si="9"/>
        <v>200</v>
      </c>
      <c r="P30" s="13">
        <f t="shared" si="9"/>
        <v>183</v>
      </c>
      <c r="Q30" s="13">
        <f t="shared" si="9"/>
        <v>191</v>
      </c>
      <c r="R30" s="13">
        <f t="shared" si="9"/>
        <v>217</v>
      </c>
      <c r="S30" s="13">
        <f t="shared" si="9"/>
        <v>200</v>
      </c>
      <c r="T30" s="13">
        <f t="shared" si="3"/>
        <v>3070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0"/>
    </row>
    <row r="33" ht="12.75" customHeight="1">
      <c r="A33" s="19">
        <v>1.0</v>
      </c>
      <c r="B33" s="20" t="s">
        <v>26</v>
      </c>
      <c r="C33" s="15"/>
      <c r="D33" s="16"/>
      <c r="E33" s="19">
        <v>269.0</v>
      </c>
      <c r="F33" s="19">
        <v>265.0</v>
      </c>
      <c r="G33" s="19">
        <v>250.0</v>
      </c>
      <c r="H33" s="19">
        <v>260.0</v>
      </c>
      <c r="I33" s="19">
        <v>259.0</v>
      </c>
      <c r="J33" s="19">
        <v>269.0</v>
      </c>
      <c r="K33" s="19">
        <v>259.0</v>
      </c>
      <c r="L33" s="19">
        <v>270.0</v>
      </c>
      <c r="M33" s="19">
        <v>255.0</v>
      </c>
      <c r="N33" s="19">
        <v>249.0</v>
      </c>
      <c r="O33" s="19">
        <v>259.0</v>
      </c>
      <c r="P33" s="19">
        <v>260.0</v>
      </c>
      <c r="Q33" s="19">
        <v>254.0</v>
      </c>
      <c r="R33" s="19">
        <v>261.0</v>
      </c>
      <c r="S33" s="19">
        <v>260.0</v>
      </c>
      <c r="T33" s="13">
        <f t="shared" ref="T33:T36" si="10">SUM(E33:S33)</f>
        <v>3899</v>
      </c>
    </row>
    <row r="34" ht="12.75" customHeight="1">
      <c r="A34" s="19">
        <v>2.0</v>
      </c>
      <c r="B34" s="20" t="s">
        <v>27</v>
      </c>
      <c r="C34" s="15"/>
      <c r="D34" s="16"/>
      <c r="E34" s="13">
        <v>211.0</v>
      </c>
      <c r="F34" s="13">
        <v>204.0</v>
      </c>
      <c r="G34" s="13">
        <v>196.0</v>
      </c>
      <c r="H34" s="13">
        <v>203.0</v>
      </c>
      <c r="I34" s="13">
        <v>209.0</v>
      </c>
      <c r="J34" s="13">
        <v>203.0</v>
      </c>
      <c r="K34" s="13">
        <v>212.0</v>
      </c>
      <c r="L34" s="13">
        <v>220.0</v>
      </c>
      <c r="M34" s="13">
        <v>219.0</v>
      </c>
      <c r="N34" s="13">
        <v>202.0</v>
      </c>
      <c r="O34" s="13">
        <v>200.0</v>
      </c>
      <c r="P34" s="13">
        <v>183.0</v>
      </c>
      <c r="Q34" s="13">
        <v>191.0</v>
      </c>
      <c r="R34" s="13">
        <v>217.0</v>
      </c>
      <c r="S34" s="13">
        <v>200.0</v>
      </c>
      <c r="T34" s="13">
        <f t="shared" si="10"/>
        <v>3070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2.0</v>
      </c>
      <c r="K35" s="19">
        <v>3.0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1.0</v>
      </c>
      <c r="T35" s="13">
        <f t="shared" si="10"/>
        <v>8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S36" si="11">E33-(E34+E35)</f>
        <v>58</v>
      </c>
      <c r="F36" s="13">
        <f t="shared" si="11"/>
        <v>60</v>
      </c>
      <c r="G36" s="13">
        <f t="shared" si="11"/>
        <v>54</v>
      </c>
      <c r="H36" s="13">
        <f t="shared" si="11"/>
        <v>57</v>
      </c>
      <c r="I36" s="13">
        <f t="shared" si="11"/>
        <v>50</v>
      </c>
      <c r="J36" s="13">
        <f t="shared" si="11"/>
        <v>64</v>
      </c>
      <c r="K36" s="13">
        <f t="shared" si="11"/>
        <v>44</v>
      </c>
      <c r="L36" s="13">
        <f t="shared" si="11"/>
        <v>50</v>
      </c>
      <c r="M36" s="13">
        <f t="shared" si="11"/>
        <v>36</v>
      </c>
      <c r="N36" s="13">
        <f t="shared" si="11"/>
        <v>47</v>
      </c>
      <c r="O36" s="13">
        <f t="shared" si="11"/>
        <v>58</v>
      </c>
      <c r="P36" s="13">
        <f t="shared" si="11"/>
        <v>77</v>
      </c>
      <c r="Q36" s="13">
        <f t="shared" si="11"/>
        <v>63</v>
      </c>
      <c r="R36" s="13">
        <f t="shared" si="11"/>
        <v>44</v>
      </c>
      <c r="S36" s="13">
        <f t="shared" si="11"/>
        <v>59</v>
      </c>
      <c r="T36" s="13">
        <f t="shared" si="10"/>
        <v>821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0"/>
    </row>
    <row r="39" ht="12.75" customHeight="1">
      <c r="A39" s="30"/>
      <c r="B39" s="43" t="s">
        <v>32</v>
      </c>
      <c r="C39" s="23"/>
      <c r="D39" s="19" t="s">
        <v>11</v>
      </c>
      <c r="E39" s="19">
        <v>2.0</v>
      </c>
      <c r="F39" s="19"/>
      <c r="G39" s="19">
        <v>1.0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>
        <v>4.0</v>
      </c>
      <c r="T39" s="13">
        <f t="shared" ref="T39:T41" si="12">SUM(E39:S39)</f>
        <v>7</v>
      </c>
    </row>
    <row r="40" ht="12.75" customHeight="1">
      <c r="A40" s="33"/>
      <c r="C40" s="27"/>
      <c r="D40" s="19" t="s">
        <v>12</v>
      </c>
      <c r="E40" s="19"/>
      <c r="F40" s="19"/>
      <c r="G40" s="19">
        <v>3.0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3.0</v>
      </c>
      <c r="T40" s="13">
        <f t="shared" si="12"/>
        <v>6</v>
      </c>
    </row>
    <row r="41" ht="12.75" customHeight="1">
      <c r="A41" s="41"/>
      <c r="B41" s="44"/>
      <c r="C41" s="28"/>
      <c r="D41" s="13" t="s">
        <v>13</v>
      </c>
      <c r="E41" s="13">
        <f t="shared" ref="E41:S41" si="13">SUM(E39:E40)</f>
        <v>2</v>
      </c>
      <c r="F41" s="13">
        <f t="shared" si="13"/>
        <v>0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7</v>
      </c>
      <c r="T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13"/>
    </row>
    <row r="45" ht="12.75" customHeight="1">
      <c r="A45" s="63"/>
      <c r="B45" s="47">
        <v>1.0</v>
      </c>
      <c r="C45" s="48" t="s">
        <v>36</v>
      </c>
      <c r="D45" s="16"/>
      <c r="E45" s="19">
        <v>53.0</v>
      </c>
      <c r="F45" s="19">
        <v>35.0</v>
      </c>
      <c r="G45" s="19">
        <v>63.0</v>
      </c>
      <c r="H45" s="19">
        <v>44.0</v>
      </c>
      <c r="I45" s="19">
        <v>53.0</v>
      </c>
      <c r="J45" s="19">
        <v>60.0</v>
      </c>
      <c r="K45" s="19">
        <v>107.0</v>
      </c>
      <c r="L45" s="19">
        <v>95.0</v>
      </c>
      <c r="M45" s="19">
        <v>78.0</v>
      </c>
      <c r="N45" s="19">
        <v>67.0</v>
      </c>
      <c r="O45" s="19">
        <v>68.0</v>
      </c>
      <c r="P45" s="19">
        <v>32.0</v>
      </c>
      <c r="Q45" s="19">
        <v>30.0</v>
      </c>
      <c r="R45" s="19">
        <v>13.0</v>
      </c>
      <c r="S45" s="19">
        <v>23.0</v>
      </c>
      <c r="T45" s="13">
        <f t="shared" ref="T45:T47" si="14">SUM(E45:S45)</f>
        <v>821</v>
      </c>
    </row>
    <row r="46" ht="12.75" customHeight="1">
      <c r="A46" s="18"/>
      <c r="B46" s="47">
        <v>2.0</v>
      </c>
      <c r="C46" s="48" t="s">
        <v>37</v>
      </c>
      <c r="D46" s="16"/>
      <c r="E46" s="19">
        <v>136.0</v>
      </c>
      <c r="F46" s="19">
        <v>141.0</v>
      </c>
      <c r="G46" s="19">
        <v>103.0</v>
      </c>
      <c r="H46" s="19">
        <v>112.0</v>
      </c>
      <c r="I46" s="19">
        <v>145.0</v>
      </c>
      <c r="J46" s="19">
        <v>121.0</v>
      </c>
      <c r="K46" s="19">
        <v>90.0</v>
      </c>
      <c r="L46" s="19">
        <v>112.0</v>
      </c>
      <c r="M46" s="19">
        <v>131.0</v>
      </c>
      <c r="N46" s="19">
        <v>122.0</v>
      </c>
      <c r="O46" s="19">
        <v>111.0</v>
      </c>
      <c r="P46" s="19">
        <v>122.0</v>
      </c>
      <c r="Q46" s="19">
        <v>126.0</v>
      </c>
      <c r="R46" s="19">
        <v>148.0</v>
      </c>
      <c r="S46" s="19">
        <v>146.0</v>
      </c>
      <c r="T46" s="13">
        <f t="shared" si="14"/>
        <v>1866</v>
      </c>
    </row>
    <row r="47" ht="12.75" customHeight="1">
      <c r="A47" s="45"/>
      <c r="B47" s="47">
        <v>3.0</v>
      </c>
      <c r="C47" s="48" t="s">
        <v>38</v>
      </c>
      <c r="D47" s="16"/>
      <c r="E47" s="19">
        <v>17.0</v>
      </c>
      <c r="F47" s="19">
        <v>24.0</v>
      </c>
      <c r="G47" s="19">
        <v>26.0</v>
      </c>
      <c r="H47" s="19">
        <v>40.0</v>
      </c>
      <c r="I47" s="19">
        <v>7.0</v>
      </c>
      <c r="J47" s="19">
        <v>15.0</v>
      </c>
      <c r="K47" s="19">
        <v>13.0</v>
      </c>
      <c r="L47" s="19">
        <v>9.0</v>
      </c>
      <c r="M47" s="19">
        <v>10.0</v>
      </c>
      <c r="N47" s="19">
        <v>10.0</v>
      </c>
      <c r="O47" s="19">
        <v>20.0</v>
      </c>
      <c r="P47" s="19">
        <v>26.0</v>
      </c>
      <c r="Q47" s="19">
        <v>29.0</v>
      </c>
      <c r="R47" s="19">
        <v>43.0</v>
      </c>
      <c r="S47" s="19">
        <v>18.0</v>
      </c>
      <c r="T47" s="13">
        <f t="shared" si="14"/>
        <v>307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S50" si="15">SUM(E45:E47)</f>
        <v>206</v>
      </c>
      <c r="F50" s="19">
        <f t="shared" si="15"/>
        <v>200</v>
      </c>
      <c r="G50" s="19">
        <f t="shared" si="15"/>
        <v>192</v>
      </c>
      <c r="H50" s="19">
        <f t="shared" si="15"/>
        <v>196</v>
      </c>
      <c r="I50" s="19">
        <f t="shared" si="15"/>
        <v>205</v>
      </c>
      <c r="J50" s="19">
        <f t="shared" si="15"/>
        <v>196</v>
      </c>
      <c r="K50" s="19">
        <f t="shared" si="15"/>
        <v>210</v>
      </c>
      <c r="L50" s="19">
        <f t="shared" si="15"/>
        <v>216</v>
      </c>
      <c r="M50" s="19">
        <f t="shared" si="15"/>
        <v>219</v>
      </c>
      <c r="N50" s="19">
        <f t="shared" si="15"/>
        <v>199</v>
      </c>
      <c r="O50" s="19">
        <f t="shared" si="15"/>
        <v>199</v>
      </c>
      <c r="P50" s="19">
        <f t="shared" si="15"/>
        <v>180</v>
      </c>
      <c r="Q50" s="19">
        <f t="shared" si="15"/>
        <v>185</v>
      </c>
      <c r="R50" s="19">
        <f t="shared" si="15"/>
        <v>204</v>
      </c>
      <c r="S50" s="19">
        <f t="shared" si="15"/>
        <v>187</v>
      </c>
      <c r="T50" s="13">
        <f t="shared" ref="T50:T52" si="16">SUM(E50:S50)</f>
        <v>2994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5.0</v>
      </c>
      <c r="F51" s="19">
        <v>4.0</v>
      </c>
      <c r="G51" s="19">
        <v>4.0</v>
      </c>
      <c r="H51" s="19">
        <v>7.0</v>
      </c>
      <c r="I51" s="19">
        <v>4.0</v>
      </c>
      <c r="J51" s="19">
        <v>7.0</v>
      </c>
      <c r="K51" s="19">
        <v>2.0</v>
      </c>
      <c r="L51" s="19">
        <v>4.0</v>
      </c>
      <c r="M51" s="19">
        <v>0.0</v>
      </c>
      <c r="N51" s="19">
        <v>3.0</v>
      </c>
      <c r="O51" s="19">
        <v>1.0</v>
      </c>
      <c r="P51" s="19">
        <v>3.0</v>
      </c>
      <c r="Q51" s="19">
        <v>6.0</v>
      </c>
      <c r="R51" s="19">
        <v>13.0</v>
      </c>
      <c r="S51" s="19">
        <v>13.0</v>
      </c>
      <c r="T51" s="13">
        <f t="shared" si="16"/>
        <v>76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S52" si="17">SUM(E50:E51)</f>
        <v>211</v>
      </c>
      <c r="F52" s="13">
        <f t="shared" si="17"/>
        <v>204</v>
      </c>
      <c r="G52" s="13">
        <f t="shared" si="17"/>
        <v>196</v>
      </c>
      <c r="H52" s="13">
        <f t="shared" si="17"/>
        <v>203</v>
      </c>
      <c r="I52" s="13">
        <f t="shared" si="17"/>
        <v>209</v>
      </c>
      <c r="J52" s="13">
        <f t="shared" si="17"/>
        <v>203</v>
      </c>
      <c r="K52" s="13">
        <f t="shared" si="17"/>
        <v>212</v>
      </c>
      <c r="L52" s="13">
        <f t="shared" si="17"/>
        <v>220</v>
      </c>
      <c r="M52" s="13">
        <f t="shared" si="17"/>
        <v>219</v>
      </c>
      <c r="N52" s="13">
        <f t="shared" si="17"/>
        <v>202</v>
      </c>
      <c r="O52" s="13">
        <f t="shared" si="17"/>
        <v>200</v>
      </c>
      <c r="P52" s="13">
        <f t="shared" si="17"/>
        <v>183</v>
      </c>
      <c r="Q52" s="13">
        <f t="shared" si="17"/>
        <v>191</v>
      </c>
      <c r="R52" s="13">
        <f t="shared" si="17"/>
        <v>217</v>
      </c>
      <c r="S52" s="13">
        <f t="shared" si="17"/>
        <v>200</v>
      </c>
      <c r="T52" s="13">
        <f t="shared" si="16"/>
        <v>3070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S34">
    <cfRule type="expression" dxfId="0" priority="1">
      <formula>E34&lt;&gt;#REF!</formula>
    </cfRule>
  </conditionalFormatting>
  <conditionalFormatting sqref="E14:S15 E45:S47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E30&lt;&gt;E46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50:S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89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36"/>
    </row>
    <row r="14" ht="12.75" customHeight="1">
      <c r="A14" s="18"/>
      <c r="B14" s="22" t="s">
        <v>10</v>
      </c>
      <c r="C14" s="23"/>
      <c r="D14" s="19" t="s">
        <v>11</v>
      </c>
      <c r="E14" s="19">
        <v>141.0</v>
      </c>
      <c r="F14" s="19">
        <v>119.0</v>
      </c>
      <c r="G14" s="19">
        <v>124.0</v>
      </c>
      <c r="H14" s="19">
        <v>130.0</v>
      </c>
      <c r="I14" s="19">
        <v>134.0</v>
      </c>
      <c r="J14" s="19">
        <v>137.0</v>
      </c>
      <c r="K14" s="19">
        <v>100.0</v>
      </c>
      <c r="L14" s="19">
        <v>114.0</v>
      </c>
      <c r="M14" s="19">
        <v>134.0</v>
      </c>
      <c r="N14" s="19">
        <v>120.0</v>
      </c>
      <c r="O14" s="19">
        <v>81.0</v>
      </c>
      <c r="P14" s="19">
        <v>92.0</v>
      </c>
      <c r="Q14" s="19">
        <v>78.0</v>
      </c>
      <c r="R14" s="13">
        <f t="shared" ref="R14:R16" si="1">SUM(E14:Q14)</f>
        <v>1504</v>
      </c>
    </row>
    <row r="15" ht="12.75" customHeight="1">
      <c r="A15" s="18"/>
      <c r="B15" s="26"/>
      <c r="C15" s="27"/>
      <c r="D15" s="19" t="s">
        <v>12</v>
      </c>
      <c r="E15" s="19">
        <v>149.0</v>
      </c>
      <c r="F15" s="19">
        <v>116.0</v>
      </c>
      <c r="G15" s="19">
        <v>143.0</v>
      </c>
      <c r="H15" s="19">
        <v>157.0</v>
      </c>
      <c r="I15" s="19">
        <v>129.0</v>
      </c>
      <c r="J15" s="19">
        <v>138.0</v>
      </c>
      <c r="K15" s="19">
        <v>107.0</v>
      </c>
      <c r="L15" s="19">
        <v>125.0</v>
      </c>
      <c r="M15" s="19">
        <v>144.0</v>
      </c>
      <c r="N15" s="19">
        <v>126.0</v>
      </c>
      <c r="O15" s="19">
        <v>87.0</v>
      </c>
      <c r="P15" s="19">
        <v>105.0</v>
      </c>
      <c r="Q15" s="19">
        <v>84.0</v>
      </c>
      <c r="R15" s="13">
        <f t="shared" si="1"/>
        <v>1610</v>
      </c>
    </row>
    <row r="16" ht="12.75" customHeight="1">
      <c r="A16" s="25"/>
      <c r="B16" s="21"/>
      <c r="C16" s="28"/>
      <c r="D16" s="13" t="s">
        <v>13</v>
      </c>
      <c r="E16" s="13">
        <f t="shared" ref="E16:Q16" si="2">SUM(E14:E15)</f>
        <v>290</v>
      </c>
      <c r="F16" s="13">
        <f t="shared" si="2"/>
        <v>235</v>
      </c>
      <c r="G16" s="13">
        <f t="shared" si="2"/>
        <v>267</v>
      </c>
      <c r="H16" s="13">
        <f t="shared" si="2"/>
        <v>287</v>
      </c>
      <c r="I16" s="13">
        <f t="shared" si="2"/>
        <v>263</v>
      </c>
      <c r="J16" s="13">
        <f t="shared" si="2"/>
        <v>275</v>
      </c>
      <c r="K16" s="13">
        <f t="shared" si="2"/>
        <v>207</v>
      </c>
      <c r="L16" s="13">
        <f t="shared" si="2"/>
        <v>239</v>
      </c>
      <c r="M16" s="13">
        <f t="shared" si="2"/>
        <v>278</v>
      </c>
      <c r="N16" s="13">
        <f t="shared" si="2"/>
        <v>246</v>
      </c>
      <c r="O16" s="13">
        <f t="shared" si="2"/>
        <v>168</v>
      </c>
      <c r="P16" s="13">
        <f t="shared" si="2"/>
        <v>197</v>
      </c>
      <c r="Q16" s="13">
        <f t="shared" si="2"/>
        <v>162</v>
      </c>
      <c r="R16" s="13">
        <f t="shared" si="1"/>
        <v>3114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93.0</v>
      </c>
      <c r="F19" s="19">
        <v>95.0</v>
      </c>
      <c r="G19" s="19">
        <v>83.0</v>
      </c>
      <c r="H19" s="19">
        <v>91.0</v>
      </c>
      <c r="I19" s="19">
        <v>103.0</v>
      </c>
      <c r="J19" s="19">
        <v>90.0</v>
      </c>
      <c r="K19" s="19">
        <v>62.0</v>
      </c>
      <c r="L19" s="19">
        <v>95.0</v>
      </c>
      <c r="M19" s="19">
        <v>100.0</v>
      </c>
      <c r="N19" s="19">
        <v>96.0</v>
      </c>
      <c r="O19" s="19">
        <v>59.0</v>
      </c>
      <c r="P19" s="19">
        <v>74.0</v>
      </c>
      <c r="Q19" s="19">
        <v>58.0</v>
      </c>
      <c r="R19" s="13">
        <f t="shared" ref="R19:R30" si="3">SUM(E19:Q19)</f>
        <v>1099</v>
      </c>
    </row>
    <row r="20" ht="12.75" customHeight="1">
      <c r="A20" s="33"/>
      <c r="B20" s="27"/>
      <c r="C20" s="34"/>
      <c r="D20" s="19" t="s">
        <v>12</v>
      </c>
      <c r="E20" s="19">
        <v>109.0</v>
      </c>
      <c r="F20" s="19">
        <v>94.0</v>
      </c>
      <c r="G20" s="19">
        <v>106.0</v>
      </c>
      <c r="H20" s="19">
        <v>111.0</v>
      </c>
      <c r="I20" s="19">
        <v>104.0</v>
      </c>
      <c r="J20" s="19">
        <v>112.0</v>
      </c>
      <c r="K20" s="19">
        <v>80.0</v>
      </c>
      <c r="L20" s="19">
        <v>105.0</v>
      </c>
      <c r="M20" s="19">
        <v>108.0</v>
      </c>
      <c r="N20" s="19">
        <v>107.0</v>
      </c>
      <c r="O20" s="19">
        <v>75.0</v>
      </c>
      <c r="P20" s="19">
        <v>84.0</v>
      </c>
      <c r="Q20" s="19">
        <v>60.0</v>
      </c>
      <c r="R20" s="13">
        <f t="shared" si="3"/>
        <v>1255</v>
      </c>
    </row>
    <row r="21" ht="12.75" customHeight="1">
      <c r="A21" s="35"/>
      <c r="B21" s="28"/>
      <c r="C21" s="36"/>
      <c r="D21" s="13" t="s">
        <v>13</v>
      </c>
      <c r="E21" s="13">
        <f t="shared" ref="E21:Q21" si="4">SUM(E19:E20)</f>
        <v>202</v>
      </c>
      <c r="F21" s="13">
        <f t="shared" si="4"/>
        <v>189</v>
      </c>
      <c r="G21" s="13">
        <f t="shared" si="4"/>
        <v>189</v>
      </c>
      <c r="H21" s="13">
        <f t="shared" si="4"/>
        <v>202</v>
      </c>
      <c r="I21" s="13">
        <f t="shared" si="4"/>
        <v>207</v>
      </c>
      <c r="J21" s="13">
        <f t="shared" si="4"/>
        <v>202</v>
      </c>
      <c r="K21" s="13">
        <f t="shared" si="4"/>
        <v>142</v>
      </c>
      <c r="L21" s="13">
        <f t="shared" si="4"/>
        <v>200</v>
      </c>
      <c r="M21" s="13">
        <f t="shared" si="4"/>
        <v>208</v>
      </c>
      <c r="N21" s="13">
        <f t="shared" si="4"/>
        <v>203</v>
      </c>
      <c r="O21" s="13">
        <f t="shared" si="4"/>
        <v>134</v>
      </c>
      <c r="P21" s="13">
        <f t="shared" si="4"/>
        <v>158</v>
      </c>
      <c r="Q21" s="13">
        <f t="shared" si="4"/>
        <v>118</v>
      </c>
      <c r="R21" s="13">
        <f t="shared" si="3"/>
        <v>2354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2.0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1.0</v>
      </c>
      <c r="P22" s="19">
        <v>0.0</v>
      </c>
      <c r="Q22" s="19">
        <v>0.0</v>
      </c>
      <c r="R22" s="13">
        <f t="shared" si="3"/>
        <v>4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2.0</v>
      </c>
      <c r="G23" s="19">
        <v>0.0</v>
      </c>
      <c r="H23" s="19">
        <v>0.0</v>
      </c>
      <c r="I23" s="19">
        <v>3.0</v>
      </c>
      <c r="J23" s="19">
        <v>0.0</v>
      </c>
      <c r="K23" s="19">
        <v>0.0</v>
      </c>
      <c r="L23" s="19">
        <v>0.0</v>
      </c>
      <c r="M23" s="19">
        <v>2.0</v>
      </c>
      <c r="N23" s="19">
        <v>0.0</v>
      </c>
      <c r="O23" s="19">
        <v>1.0</v>
      </c>
      <c r="P23" s="19">
        <v>0.0</v>
      </c>
      <c r="Q23" s="19">
        <v>0.0</v>
      </c>
      <c r="R23" s="13">
        <f t="shared" si="3"/>
        <v>8</v>
      </c>
    </row>
    <row r="24" ht="12.75" customHeight="1">
      <c r="A24" s="35"/>
      <c r="B24" s="28"/>
      <c r="C24" s="36"/>
      <c r="D24" s="13" t="s">
        <v>13</v>
      </c>
      <c r="E24" s="13">
        <f t="shared" ref="E24:Q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5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1</v>
      </c>
      <c r="O24" s="13">
        <f t="shared" si="5"/>
        <v>2</v>
      </c>
      <c r="P24" s="13">
        <f t="shared" si="5"/>
        <v>0</v>
      </c>
      <c r="Q24" s="13">
        <f t="shared" si="5"/>
        <v>0</v>
      </c>
      <c r="R24" s="13">
        <f t="shared" si="3"/>
        <v>12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1.0</v>
      </c>
      <c r="G25" s="19">
        <v>0.0</v>
      </c>
      <c r="H25" s="19">
        <v>2.0</v>
      </c>
      <c r="I25" s="19">
        <v>0.0</v>
      </c>
      <c r="J25" s="19">
        <v>1.0</v>
      </c>
      <c r="K25" s="19">
        <v>2.0</v>
      </c>
      <c r="L25" s="19">
        <v>0.0</v>
      </c>
      <c r="M25" s="19">
        <v>3.0</v>
      </c>
      <c r="N25" s="19">
        <v>3.0</v>
      </c>
      <c r="O25" s="19">
        <v>0.0</v>
      </c>
      <c r="P25" s="19">
        <v>0.0</v>
      </c>
      <c r="Q25" s="19">
        <v>3.0</v>
      </c>
      <c r="R25" s="13">
        <f t="shared" si="3"/>
        <v>16</v>
      </c>
    </row>
    <row r="26" ht="12.75" customHeight="1">
      <c r="A26" s="33"/>
      <c r="B26" s="27"/>
      <c r="C26" s="34"/>
      <c r="D26" s="19" t="s">
        <v>12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1.0</v>
      </c>
      <c r="K26" s="19">
        <v>0.0</v>
      </c>
      <c r="L26" s="19">
        <v>1.0</v>
      </c>
      <c r="M26" s="19">
        <v>4.0</v>
      </c>
      <c r="N26" s="19">
        <v>1.0</v>
      </c>
      <c r="O26" s="19">
        <v>3.0</v>
      </c>
      <c r="P26" s="19">
        <v>0.0</v>
      </c>
      <c r="Q26" s="19">
        <v>3.0</v>
      </c>
      <c r="R26" s="13">
        <f t="shared" si="3"/>
        <v>16</v>
      </c>
    </row>
    <row r="27" ht="12.75" customHeight="1">
      <c r="A27" s="35"/>
      <c r="B27" s="28"/>
      <c r="C27" s="36"/>
      <c r="D27" s="13" t="s">
        <v>13</v>
      </c>
      <c r="E27" s="13">
        <f t="shared" ref="E27:Q27" si="6">SUM(E25:E26)</f>
        <v>3</v>
      </c>
      <c r="F27" s="13">
        <f t="shared" si="6"/>
        <v>1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2</v>
      </c>
      <c r="K27" s="13">
        <f t="shared" si="6"/>
        <v>2</v>
      </c>
      <c r="L27" s="13">
        <f t="shared" si="6"/>
        <v>1</v>
      </c>
      <c r="M27" s="13">
        <f t="shared" si="6"/>
        <v>7</v>
      </c>
      <c r="N27" s="13">
        <f t="shared" si="6"/>
        <v>4</v>
      </c>
      <c r="O27" s="13">
        <f t="shared" si="6"/>
        <v>3</v>
      </c>
      <c r="P27" s="13">
        <f t="shared" si="6"/>
        <v>0</v>
      </c>
      <c r="Q27" s="13">
        <f t="shared" si="6"/>
        <v>6</v>
      </c>
      <c r="R27" s="13">
        <f t="shared" si="3"/>
        <v>32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Q28" si="7">SUM(E19,E22,E25)</f>
        <v>94</v>
      </c>
      <c r="F28" s="13">
        <f t="shared" si="7"/>
        <v>96</v>
      </c>
      <c r="G28" s="13">
        <f t="shared" si="7"/>
        <v>83</v>
      </c>
      <c r="H28" s="13">
        <f t="shared" si="7"/>
        <v>93</v>
      </c>
      <c r="I28" s="13">
        <f t="shared" si="7"/>
        <v>105</v>
      </c>
      <c r="J28" s="13">
        <f t="shared" si="7"/>
        <v>91</v>
      </c>
      <c r="K28" s="13">
        <f t="shared" si="7"/>
        <v>64</v>
      </c>
      <c r="L28" s="13">
        <f t="shared" si="7"/>
        <v>95</v>
      </c>
      <c r="M28" s="13">
        <f t="shared" si="7"/>
        <v>103</v>
      </c>
      <c r="N28" s="13">
        <f t="shared" si="7"/>
        <v>100</v>
      </c>
      <c r="O28" s="13">
        <f t="shared" si="7"/>
        <v>60</v>
      </c>
      <c r="P28" s="13">
        <f t="shared" si="7"/>
        <v>74</v>
      </c>
      <c r="Q28" s="13">
        <f t="shared" si="7"/>
        <v>61</v>
      </c>
      <c r="R28" s="13">
        <f t="shared" si="3"/>
        <v>1119</v>
      </c>
    </row>
    <row r="29" ht="12.75" customHeight="1">
      <c r="A29" s="35"/>
      <c r="B29" s="27"/>
      <c r="C29" s="34"/>
      <c r="D29" s="13" t="s">
        <v>12</v>
      </c>
      <c r="E29" s="13">
        <f t="shared" ref="E29:Q29" si="8">SUM(E20,E23,E26)</f>
        <v>111</v>
      </c>
      <c r="F29" s="13">
        <f t="shared" si="8"/>
        <v>96</v>
      </c>
      <c r="G29" s="13">
        <f t="shared" si="8"/>
        <v>106</v>
      </c>
      <c r="H29" s="13">
        <f t="shared" si="8"/>
        <v>112</v>
      </c>
      <c r="I29" s="13">
        <f t="shared" si="8"/>
        <v>107</v>
      </c>
      <c r="J29" s="13">
        <f t="shared" si="8"/>
        <v>113</v>
      </c>
      <c r="K29" s="13">
        <f t="shared" si="8"/>
        <v>80</v>
      </c>
      <c r="L29" s="13">
        <f t="shared" si="8"/>
        <v>106</v>
      </c>
      <c r="M29" s="13">
        <f t="shared" si="8"/>
        <v>114</v>
      </c>
      <c r="N29" s="13">
        <f t="shared" si="8"/>
        <v>108</v>
      </c>
      <c r="O29" s="13">
        <f t="shared" si="8"/>
        <v>79</v>
      </c>
      <c r="P29" s="13">
        <f t="shared" si="8"/>
        <v>84</v>
      </c>
      <c r="Q29" s="13">
        <f t="shared" si="8"/>
        <v>63</v>
      </c>
      <c r="R29" s="13">
        <f t="shared" si="3"/>
        <v>1279</v>
      </c>
    </row>
    <row r="30" ht="12.75" customHeight="1">
      <c r="A30" s="35"/>
      <c r="B30" s="28"/>
      <c r="C30" s="36"/>
      <c r="D30" s="13" t="s">
        <v>13</v>
      </c>
      <c r="E30" s="13">
        <f t="shared" ref="E30:Q30" si="9">SUM(E28:E29)</f>
        <v>205</v>
      </c>
      <c r="F30" s="13">
        <f t="shared" si="9"/>
        <v>192</v>
      </c>
      <c r="G30" s="13">
        <f t="shared" si="9"/>
        <v>189</v>
      </c>
      <c r="H30" s="13">
        <f t="shared" si="9"/>
        <v>205</v>
      </c>
      <c r="I30" s="13">
        <f t="shared" si="9"/>
        <v>212</v>
      </c>
      <c r="J30" s="13">
        <f t="shared" si="9"/>
        <v>204</v>
      </c>
      <c r="K30" s="13">
        <f t="shared" si="9"/>
        <v>144</v>
      </c>
      <c r="L30" s="13">
        <f t="shared" si="9"/>
        <v>201</v>
      </c>
      <c r="M30" s="13">
        <f t="shared" si="9"/>
        <v>217</v>
      </c>
      <c r="N30" s="13">
        <f t="shared" si="9"/>
        <v>208</v>
      </c>
      <c r="O30" s="13">
        <f t="shared" si="9"/>
        <v>139</v>
      </c>
      <c r="P30" s="13">
        <f t="shared" si="9"/>
        <v>158</v>
      </c>
      <c r="Q30" s="13">
        <f t="shared" si="9"/>
        <v>124</v>
      </c>
      <c r="R30" s="13">
        <f t="shared" si="3"/>
        <v>2398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0"/>
    </row>
    <row r="33" ht="12.75" customHeight="1">
      <c r="A33" s="19">
        <v>1.0</v>
      </c>
      <c r="B33" s="20" t="s">
        <v>26</v>
      </c>
      <c r="C33" s="15"/>
      <c r="D33" s="16"/>
      <c r="E33" s="19">
        <v>296.0</v>
      </c>
      <c r="F33" s="19">
        <v>240.0</v>
      </c>
      <c r="G33" s="19">
        <v>270.0</v>
      </c>
      <c r="H33" s="19">
        <v>294.0</v>
      </c>
      <c r="I33" s="19">
        <v>269.0</v>
      </c>
      <c r="J33" s="19">
        <v>281.0</v>
      </c>
      <c r="K33" s="19">
        <v>209.0</v>
      </c>
      <c r="L33" s="19">
        <v>239.0</v>
      </c>
      <c r="M33" s="19">
        <v>284.0</v>
      </c>
      <c r="N33" s="19">
        <v>251.0</v>
      </c>
      <c r="O33" s="19">
        <v>169.0</v>
      </c>
      <c r="P33" s="19">
        <v>197.0</v>
      </c>
      <c r="Q33" s="19">
        <v>161.0</v>
      </c>
      <c r="R33" s="13">
        <f t="shared" ref="R33:R36" si="10">SUM(E33:Q33)</f>
        <v>3160</v>
      </c>
    </row>
    <row r="34" ht="12.75" customHeight="1">
      <c r="A34" s="19">
        <v>2.0</v>
      </c>
      <c r="B34" s="20" t="s">
        <v>27</v>
      </c>
      <c r="C34" s="15"/>
      <c r="D34" s="16"/>
      <c r="E34" s="13">
        <v>205.0</v>
      </c>
      <c r="F34" s="13">
        <v>192.0</v>
      </c>
      <c r="G34" s="13">
        <v>189.0</v>
      </c>
      <c r="H34" s="13">
        <v>205.0</v>
      </c>
      <c r="I34" s="13">
        <v>212.0</v>
      </c>
      <c r="J34" s="13">
        <v>204.0</v>
      </c>
      <c r="K34" s="13">
        <v>144.0</v>
      </c>
      <c r="L34" s="13">
        <v>201.0</v>
      </c>
      <c r="M34" s="13">
        <v>217.0</v>
      </c>
      <c r="N34" s="13">
        <v>208.0</v>
      </c>
      <c r="O34" s="13">
        <v>139.0</v>
      </c>
      <c r="P34" s="13">
        <v>158.0</v>
      </c>
      <c r="Q34" s="13">
        <v>124.0</v>
      </c>
      <c r="R34" s="13">
        <f t="shared" si="10"/>
        <v>2398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1.0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Q36" si="11">E33-(E34+E35)</f>
        <v>91</v>
      </c>
      <c r="F36" s="13">
        <f t="shared" si="11"/>
        <v>47</v>
      </c>
      <c r="G36" s="13">
        <f t="shared" si="11"/>
        <v>81</v>
      </c>
      <c r="H36" s="13">
        <f t="shared" si="11"/>
        <v>88</v>
      </c>
      <c r="I36" s="13">
        <f t="shared" si="11"/>
        <v>57</v>
      </c>
      <c r="J36" s="13">
        <f t="shared" si="11"/>
        <v>77</v>
      </c>
      <c r="K36" s="13">
        <f t="shared" si="11"/>
        <v>65</v>
      </c>
      <c r="L36" s="13">
        <f t="shared" si="11"/>
        <v>38</v>
      </c>
      <c r="M36" s="13">
        <f t="shared" si="11"/>
        <v>67</v>
      </c>
      <c r="N36" s="13">
        <f t="shared" si="11"/>
        <v>43</v>
      </c>
      <c r="O36" s="13">
        <f t="shared" si="11"/>
        <v>29</v>
      </c>
      <c r="P36" s="13">
        <f t="shared" si="11"/>
        <v>39</v>
      </c>
      <c r="Q36" s="13">
        <f t="shared" si="11"/>
        <v>37</v>
      </c>
      <c r="R36" s="13">
        <f t="shared" si="10"/>
        <v>759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2.0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3">
        <f t="shared" ref="R39:R41" si="12">SUM(E39:Q39)</f>
        <v>3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1.0</v>
      </c>
      <c r="P40" s="19">
        <v>0.0</v>
      </c>
      <c r="Q40" s="19">
        <v>0.0</v>
      </c>
      <c r="R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13"/>
    </row>
    <row r="45" ht="12.75" customHeight="1">
      <c r="A45" s="63"/>
      <c r="B45" s="47">
        <v>1.0</v>
      </c>
      <c r="C45" s="48" t="s">
        <v>36</v>
      </c>
      <c r="D45" s="16"/>
      <c r="E45" s="19">
        <v>34.0</v>
      </c>
      <c r="F45" s="19">
        <v>16.0</v>
      </c>
      <c r="G45" s="19">
        <v>36.0</v>
      </c>
      <c r="H45" s="19">
        <v>60.0</v>
      </c>
      <c r="I45" s="19">
        <v>51.0</v>
      </c>
      <c r="J45" s="19">
        <v>53.0</v>
      </c>
      <c r="K45" s="19">
        <v>28.0</v>
      </c>
      <c r="L45" s="19">
        <v>39.0</v>
      </c>
      <c r="M45" s="19">
        <v>26.0</v>
      </c>
      <c r="N45" s="19">
        <v>52.0</v>
      </c>
      <c r="O45" s="19">
        <v>18.0</v>
      </c>
      <c r="P45" s="19">
        <v>29.0</v>
      </c>
      <c r="Q45" s="19">
        <v>27.0</v>
      </c>
      <c r="R45" s="13">
        <f t="shared" ref="R45:R47" si="14">SUM(E45:Q45)</f>
        <v>469</v>
      </c>
    </row>
    <row r="46" ht="12.75" customHeight="1">
      <c r="A46" s="18"/>
      <c r="B46" s="47">
        <v>2.0</v>
      </c>
      <c r="C46" s="48" t="s">
        <v>37</v>
      </c>
      <c r="D46" s="16"/>
      <c r="E46" s="19">
        <v>141.0</v>
      </c>
      <c r="F46" s="19">
        <v>132.0</v>
      </c>
      <c r="G46" s="19">
        <v>113.0</v>
      </c>
      <c r="H46" s="19">
        <v>115.0</v>
      </c>
      <c r="I46" s="19">
        <v>137.0</v>
      </c>
      <c r="J46" s="19">
        <v>127.0</v>
      </c>
      <c r="K46" s="19">
        <v>96.0</v>
      </c>
      <c r="L46" s="19">
        <v>134.0</v>
      </c>
      <c r="M46" s="19">
        <v>164.0</v>
      </c>
      <c r="N46" s="19">
        <v>120.0</v>
      </c>
      <c r="O46" s="19">
        <v>95.0</v>
      </c>
      <c r="P46" s="19">
        <v>112.0</v>
      </c>
      <c r="Q46" s="19">
        <v>63.0</v>
      </c>
      <c r="R46" s="13">
        <f t="shared" si="14"/>
        <v>1549</v>
      </c>
    </row>
    <row r="47" ht="12.75" customHeight="1">
      <c r="A47" s="45"/>
      <c r="B47" s="47">
        <v>3.0</v>
      </c>
      <c r="C47" s="48" t="s">
        <v>38</v>
      </c>
      <c r="D47" s="16"/>
      <c r="E47" s="19">
        <v>25.0</v>
      </c>
      <c r="F47" s="19">
        <v>40.0</v>
      </c>
      <c r="G47" s="19">
        <v>37.0</v>
      </c>
      <c r="H47" s="19">
        <v>23.0</v>
      </c>
      <c r="I47" s="19">
        <v>22.0</v>
      </c>
      <c r="J47" s="19">
        <v>22.0</v>
      </c>
      <c r="K47" s="19">
        <v>20.0</v>
      </c>
      <c r="L47" s="19">
        <v>18.0</v>
      </c>
      <c r="M47" s="19">
        <v>26.0</v>
      </c>
      <c r="N47" s="19">
        <v>34.0</v>
      </c>
      <c r="O47" s="19">
        <v>22.0</v>
      </c>
      <c r="P47" s="19">
        <v>14.0</v>
      </c>
      <c r="Q47" s="19">
        <v>33.0</v>
      </c>
      <c r="R47" s="13">
        <f t="shared" si="14"/>
        <v>336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Q50" si="15">SUM(E45:E47)</f>
        <v>200</v>
      </c>
      <c r="F50" s="19">
        <f t="shared" si="15"/>
        <v>188</v>
      </c>
      <c r="G50" s="19">
        <f t="shared" si="15"/>
        <v>186</v>
      </c>
      <c r="H50" s="19">
        <f t="shared" si="15"/>
        <v>198</v>
      </c>
      <c r="I50" s="19">
        <f t="shared" si="15"/>
        <v>210</v>
      </c>
      <c r="J50" s="19">
        <f t="shared" si="15"/>
        <v>202</v>
      </c>
      <c r="K50" s="19">
        <f t="shared" si="15"/>
        <v>144</v>
      </c>
      <c r="L50" s="19">
        <f t="shared" si="15"/>
        <v>191</v>
      </c>
      <c r="M50" s="19">
        <f t="shared" si="15"/>
        <v>216</v>
      </c>
      <c r="N50" s="19">
        <f t="shared" si="15"/>
        <v>206</v>
      </c>
      <c r="O50" s="19">
        <f t="shared" si="15"/>
        <v>135</v>
      </c>
      <c r="P50" s="19">
        <f t="shared" si="15"/>
        <v>155</v>
      </c>
      <c r="Q50" s="19">
        <f t="shared" si="15"/>
        <v>123</v>
      </c>
      <c r="R50" s="13">
        <f t="shared" ref="R50:R52" si="16">SUM(E50:Q50)</f>
        <v>2354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5.0</v>
      </c>
      <c r="F51" s="19">
        <v>4.0</v>
      </c>
      <c r="G51" s="19">
        <v>3.0</v>
      </c>
      <c r="H51" s="19">
        <v>7.0</v>
      </c>
      <c r="I51" s="19">
        <v>2.0</v>
      </c>
      <c r="J51" s="19">
        <v>2.0</v>
      </c>
      <c r="K51" s="19">
        <v>0.0</v>
      </c>
      <c r="L51" s="19">
        <v>10.0</v>
      </c>
      <c r="M51" s="19">
        <v>1.0</v>
      </c>
      <c r="N51" s="19">
        <v>2.0</v>
      </c>
      <c r="O51" s="19">
        <v>4.0</v>
      </c>
      <c r="P51" s="19">
        <v>3.0</v>
      </c>
      <c r="Q51" s="19">
        <v>1.0</v>
      </c>
      <c r="R51" s="13">
        <f t="shared" si="16"/>
        <v>44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Q52" si="17">SUM(E50:E51)</f>
        <v>205</v>
      </c>
      <c r="F52" s="13">
        <f t="shared" si="17"/>
        <v>192</v>
      </c>
      <c r="G52" s="13">
        <f t="shared" si="17"/>
        <v>189</v>
      </c>
      <c r="H52" s="13">
        <f t="shared" si="17"/>
        <v>205</v>
      </c>
      <c r="I52" s="13">
        <f t="shared" si="17"/>
        <v>212</v>
      </c>
      <c r="J52" s="13">
        <f t="shared" si="17"/>
        <v>204</v>
      </c>
      <c r="K52" s="13">
        <f t="shared" si="17"/>
        <v>144</v>
      </c>
      <c r="L52" s="13">
        <f t="shared" si="17"/>
        <v>201</v>
      </c>
      <c r="M52" s="13">
        <f t="shared" si="17"/>
        <v>217</v>
      </c>
      <c r="N52" s="13">
        <f t="shared" si="17"/>
        <v>208</v>
      </c>
      <c r="O52" s="13">
        <f t="shared" si="17"/>
        <v>139</v>
      </c>
      <c r="P52" s="13">
        <f t="shared" si="17"/>
        <v>158</v>
      </c>
      <c r="Q52" s="13">
        <f t="shared" si="17"/>
        <v>124</v>
      </c>
      <c r="R52" s="13">
        <f t="shared" si="16"/>
        <v>2398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Q34">
    <cfRule type="expression" dxfId="0" priority="1">
      <formula>E34&lt;&gt;#REF!</formula>
    </cfRule>
  </conditionalFormatting>
  <conditionalFormatting sqref="E14:Q15 E45:Q47">
    <cfRule type="containsBlanks" dxfId="1" priority="2">
      <formula>LEN(TRIM(E14))=0</formula>
    </cfRule>
  </conditionalFormatting>
  <conditionalFormatting sqref="E19:Q20">
    <cfRule type="containsBlanks" dxfId="1" priority="3">
      <formula>LEN(TRIM(E19))=0</formula>
    </cfRule>
  </conditionalFormatting>
  <conditionalFormatting sqref="E22:Q23 E25:Q26 E33:Q33 E35:Q35 E39:Q40">
    <cfRule type="containsBlanks" dxfId="1" priority="4">
      <formula>LEN(TRIM(E22))=0</formula>
    </cfRule>
  </conditionalFormatting>
  <conditionalFormatting sqref="E30:Q30">
    <cfRule type="expression" dxfId="0" priority="5">
      <formula>E30&lt;&gt;E46</formula>
    </cfRule>
  </conditionalFormatting>
  <conditionalFormatting sqref="E30:Q30">
    <cfRule type="expression" dxfId="0" priority="6">
      <formula>E30&lt;&gt;E34</formula>
    </cfRule>
  </conditionalFormatting>
  <conditionalFormatting sqref="E34:Q34">
    <cfRule type="expression" dxfId="2" priority="7">
      <formula>E30&lt;&gt;E34</formula>
    </cfRule>
  </conditionalFormatting>
  <conditionalFormatting sqref="E34:Q34">
    <cfRule type="expression" dxfId="3" priority="8">
      <formula>E30=E34</formula>
    </cfRule>
  </conditionalFormatting>
  <conditionalFormatting sqref="E34:Q34">
    <cfRule type="expression" dxfId="0" priority="9">
      <formula>E34&lt;&gt;E30</formula>
    </cfRule>
  </conditionalFormatting>
  <conditionalFormatting sqref="E50:Q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90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36"/>
    </row>
    <row r="14" ht="12.75" customHeight="1">
      <c r="A14" s="18"/>
      <c r="B14" s="22" t="s">
        <v>10</v>
      </c>
      <c r="C14" s="23"/>
      <c r="D14" s="19" t="s">
        <v>11</v>
      </c>
      <c r="E14" s="19">
        <v>136.0</v>
      </c>
      <c r="F14" s="19">
        <v>149.0</v>
      </c>
      <c r="G14" s="19">
        <v>144.0</v>
      </c>
      <c r="H14" s="19">
        <v>143.0</v>
      </c>
      <c r="I14" s="19">
        <v>141.0</v>
      </c>
      <c r="J14" s="19">
        <v>130.0</v>
      </c>
      <c r="K14" s="19">
        <v>140.0</v>
      </c>
      <c r="L14" s="19">
        <v>131.0</v>
      </c>
      <c r="M14" s="19">
        <v>129.0</v>
      </c>
      <c r="N14" s="19">
        <v>143.0</v>
      </c>
      <c r="O14" s="19">
        <v>148.0</v>
      </c>
      <c r="P14" s="19">
        <v>122.0</v>
      </c>
      <c r="Q14" s="19">
        <v>140.0</v>
      </c>
      <c r="R14" s="19">
        <v>140.0</v>
      </c>
      <c r="S14" s="19">
        <v>129.0</v>
      </c>
      <c r="T14" s="13">
        <f t="shared" ref="T14:T16" si="1">SUM(E14:S14)</f>
        <v>2065</v>
      </c>
    </row>
    <row r="15" ht="12.75" customHeight="1">
      <c r="A15" s="18"/>
      <c r="B15" s="26"/>
      <c r="C15" s="27"/>
      <c r="D15" s="19" t="s">
        <v>12</v>
      </c>
      <c r="E15" s="19">
        <v>157.0</v>
      </c>
      <c r="F15" s="19">
        <v>146.0</v>
      </c>
      <c r="G15" s="19">
        <v>131.0</v>
      </c>
      <c r="H15" s="19">
        <v>153.0</v>
      </c>
      <c r="I15" s="19">
        <v>147.0</v>
      </c>
      <c r="J15" s="19">
        <v>159.0</v>
      </c>
      <c r="K15" s="19">
        <v>147.0</v>
      </c>
      <c r="L15" s="19">
        <v>150.0</v>
      </c>
      <c r="M15" s="19">
        <v>159.0</v>
      </c>
      <c r="N15" s="19">
        <v>156.0</v>
      </c>
      <c r="O15" s="19">
        <v>140.0</v>
      </c>
      <c r="P15" s="19">
        <v>145.0</v>
      </c>
      <c r="Q15" s="19">
        <v>154.0</v>
      </c>
      <c r="R15" s="19">
        <v>140.0</v>
      </c>
      <c r="S15" s="19">
        <v>161.0</v>
      </c>
      <c r="T15" s="13">
        <f t="shared" si="1"/>
        <v>2245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293</v>
      </c>
      <c r="F16" s="13">
        <f t="shared" si="2"/>
        <v>295</v>
      </c>
      <c r="G16" s="13">
        <f t="shared" si="2"/>
        <v>275</v>
      </c>
      <c r="H16" s="13">
        <f t="shared" si="2"/>
        <v>296</v>
      </c>
      <c r="I16" s="13">
        <f t="shared" si="2"/>
        <v>288</v>
      </c>
      <c r="J16" s="13">
        <f t="shared" si="2"/>
        <v>289</v>
      </c>
      <c r="K16" s="13">
        <f t="shared" si="2"/>
        <v>287</v>
      </c>
      <c r="L16" s="13">
        <f t="shared" si="2"/>
        <v>281</v>
      </c>
      <c r="M16" s="13">
        <f t="shared" si="2"/>
        <v>288</v>
      </c>
      <c r="N16" s="13">
        <f t="shared" si="2"/>
        <v>299</v>
      </c>
      <c r="O16" s="13">
        <f t="shared" si="2"/>
        <v>288</v>
      </c>
      <c r="P16" s="13">
        <f t="shared" si="2"/>
        <v>267</v>
      </c>
      <c r="Q16" s="13">
        <f t="shared" si="2"/>
        <v>294</v>
      </c>
      <c r="R16" s="13">
        <f t="shared" si="2"/>
        <v>280</v>
      </c>
      <c r="S16" s="13">
        <f t="shared" si="2"/>
        <v>290</v>
      </c>
      <c r="T16" s="13">
        <f t="shared" si="1"/>
        <v>4310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96.0</v>
      </c>
      <c r="F19" s="19">
        <v>105.0</v>
      </c>
      <c r="G19" s="19">
        <v>100.0</v>
      </c>
      <c r="H19" s="19">
        <v>106.0</v>
      </c>
      <c r="I19" s="19">
        <v>95.0</v>
      </c>
      <c r="J19" s="19">
        <v>93.0</v>
      </c>
      <c r="K19" s="19">
        <v>106.0</v>
      </c>
      <c r="L19" s="19">
        <v>83.0</v>
      </c>
      <c r="M19" s="19">
        <v>98.0</v>
      </c>
      <c r="N19" s="19">
        <v>90.0</v>
      </c>
      <c r="O19" s="19">
        <v>110.0</v>
      </c>
      <c r="P19" s="19">
        <v>89.0</v>
      </c>
      <c r="Q19" s="19">
        <v>105.0</v>
      </c>
      <c r="R19" s="19">
        <v>92.0</v>
      </c>
      <c r="S19" s="19">
        <v>90.0</v>
      </c>
      <c r="T19" s="13">
        <f t="shared" ref="T19:T30" si="3">SUM(E19:S19)</f>
        <v>1458</v>
      </c>
    </row>
    <row r="20" ht="12.75" customHeight="1">
      <c r="A20" s="33"/>
      <c r="B20" s="27"/>
      <c r="C20" s="34"/>
      <c r="D20" s="19" t="s">
        <v>12</v>
      </c>
      <c r="E20" s="19">
        <v>118.0</v>
      </c>
      <c r="F20" s="19">
        <v>114.0</v>
      </c>
      <c r="G20" s="19">
        <v>101.0</v>
      </c>
      <c r="H20" s="19">
        <v>131.0</v>
      </c>
      <c r="I20" s="19">
        <v>109.0</v>
      </c>
      <c r="J20" s="19">
        <v>126.0</v>
      </c>
      <c r="K20" s="19">
        <v>115.0</v>
      </c>
      <c r="L20" s="19">
        <v>114.0</v>
      </c>
      <c r="M20" s="19">
        <v>121.0</v>
      </c>
      <c r="N20" s="19">
        <v>115.0</v>
      </c>
      <c r="O20" s="19">
        <v>112.0</v>
      </c>
      <c r="P20" s="19">
        <v>116.0</v>
      </c>
      <c r="Q20" s="19">
        <v>126.0</v>
      </c>
      <c r="R20" s="19">
        <v>113.0</v>
      </c>
      <c r="S20" s="19">
        <v>123.0</v>
      </c>
      <c r="T20" s="13">
        <f t="shared" si="3"/>
        <v>1754</v>
      </c>
    </row>
    <row r="21" ht="12.75" customHeight="1">
      <c r="A21" s="35"/>
      <c r="B21" s="28"/>
      <c r="C21" s="36"/>
      <c r="D21" s="13" t="s">
        <v>13</v>
      </c>
      <c r="E21" s="13">
        <f t="shared" ref="E21:S21" si="4">SUM(E19:E20)</f>
        <v>214</v>
      </c>
      <c r="F21" s="13">
        <f t="shared" si="4"/>
        <v>219</v>
      </c>
      <c r="G21" s="13">
        <f t="shared" si="4"/>
        <v>201</v>
      </c>
      <c r="H21" s="13">
        <f t="shared" si="4"/>
        <v>237</v>
      </c>
      <c r="I21" s="13">
        <f t="shared" si="4"/>
        <v>204</v>
      </c>
      <c r="J21" s="13">
        <f t="shared" si="4"/>
        <v>219</v>
      </c>
      <c r="K21" s="13">
        <f t="shared" si="4"/>
        <v>221</v>
      </c>
      <c r="L21" s="13">
        <f t="shared" si="4"/>
        <v>197</v>
      </c>
      <c r="M21" s="13">
        <f t="shared" si="4"/>
        <v>219</v>
      </c>
      <c r="N21" s="13">
        <f t="shared" si="4"/>
        <v>205</v>
      </c>
      <c r="O21" s="13">
        <f t="shared" si="4"/>
        <v>222</v>
      </c>
      <c r="P21" s="13">
        <f t="shared" si="4"/>
        <v>205</v>
      </c>
      <c r="Q21" s="13">
        <f t="shared" si="4"/>
        <v>231</v>
      </c>
      <c r="R21" s="13">
        <f t="shared" si="4"/>
        <v>205</v>
      </c>
      <c r="S21" s="13">
        <f t="shared" si="4"/>
        <v>213</v>
      </c>
      <c r="T21" s="13">
        <f t="shared" si="3"/>
        <v>3212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1.0</v>
      </c>
      <c r="I22" s="19">
        <v>10.0</v>
      </c>
      <c r="J22" s="19">
        <v>1.0</v>
      </c>
      <c r="K22" s="19">
        <v>4.0</v>
      </c>
      <c r="L22" s="19">
        <v>0.0</v>
      </c>
      <c r="M22" s="19">
        <v>0.0</v>
      </c>
      <c r="N22" s="19">
        <v>9.0</v>
      </c>
      <c r="O22" s="19">
        <v>0.0</v>
      </c>
      <c r="P22" s="19">
        <v>0.0</v>
      </c>
      <c r="Q22" s="19">
        <v>1.0</v>
      </c>
      <c r="R22" s="19">
        <v>1.0</v>
      </c>
      <c r="S22" s="19">
        <v>2.0</v>
      </c>
      <c r="T22" s="13">
        <f t="shared" si="3"/>
        <v>29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1.0</v>
      </c>
      <c r="G23" s="19">
        <v>0.0</v>
      </c>
      <c r="H23" s="19">
        <v>2.0</v>
      </c>
      <c r="I23" s="19">
        <v>4.0</v>
      </c>
      <c r="J23" s="19">
        <v>1.0</v>
      </c>
      <c r="K23" s="19">
        <v>1.0</v>
      </c>
      <c r="L23" s="19">
        <v>0.0</v>
      </c>
      <c r="M23" s="19">
        <v>0.0</v>
      </c>
      <c r="N23" s="19">
        <v>9.0</v>
      </c>
      <c r="O23" s="19">
        <v>0.0</v>
      </c>
      <c r="P23" s="19">
        <v>1.0</v>
      </c>
      <c r="Q23" s="19">
        <v>1.0</v>
      </c>
      <c r="R23" s="19">
        <v>0.0</v>
      </c>
      <c r="S23" s="19">
        <v>0.0</v>
      </c>
      <c r="T23" s="13">
        <f t="shared" si="3"/>
        <v>20</v>
      </c>
    </row>
    <row r="24" ht="12.75" customHeight="1">
      <c r="A24" s="35"/>
      <c r="B24" s="28"/>
      <c r="C24" s="36"/>
      <c r="D24" s="13" t="s">
        <v>13</v>
      </c>
      <c r="E24" s="13">
        <f t="shared" ref="E24:S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3</v>
      </c>
      <c r="I24" s="13">
        <f t="shared" si="5"/>
        <v>14</v>
      </c>
      <c r="J24" s="13">
        <f t="shared" si="5"/>
        <v>2</v>
      </c>
      <c r="K24" s="13">
        <f t="shared" si="5"/>
        <v>5</v>
      </c>
      <c r="L24" s="13">
        <f t="shared" si="5"/>
        <v>0</v>
      </c>
      <c r="M24" s="13">
        <f t="shared" si="5"/>
        <v>0</v>
      </c>
      <c r="N24" s="13">
        <f t="shared" si="5"/>
        <v>18</v>
      </c>
      <c r="O24" s="13">
        <f t="shared" si="5"/>
        <v>0</v>
      </c>
      <c r="P24" s="13">
        <f t="shared" si="5"/>
        <v>1</v>
      </c>
      <c r="Q24" s="13">
        <f t="shared" si="5"/>
        <v>2</v>
      </c>
      <c r="R24" s="13">
        <f t="shared" si="5"/>
        <v>1</v>
      </c>
      <c r="S24" s="13">
        <f t="shared" si="5"/>
        <v>2</v>
      </c>
      <c r="T24" s="13">
        <f t="shared" si="3"/>
        <v>49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3.0</v>
      </c>
      <c r="F25" s="19">
        <v>0.0</v>
      </c>
      <c r="G25" s="19">
        <v>1.0</v>
      </c>
      <c r="H25" s="19">
        <v>0.0</v>
      </c>
      <c r="I25" s="19">
        <v>1.0</v>
      </c>
      <c r="J25" s="19">
        <v>0.0</v>
      </c>
      <c r="K25" s="19">
        <v>0.0</v>
      </c>
      <c r="L25" s="19">
        <v>1.0</v>
      </c>
      <c r="M25" s="19">
        <v>1.0</v>
      </c>
      <c r="N25" s="19">
        <v>1.0</v>
      </c>
      <c r="O25" s="19">
        <v>4.0</v>
      </c>
      <c r="P25" s="19">
        <v>0.0</v>
      </c>
      <c r="Q25" s="19">
        <v>1.0</v>
      </c>
      <c r="R25" s="19">
        <v>3.0</v>
      </c>
      <c r="S25" s="19">
        <v>2.0</v>
      </c>
      <c r="T25" s="13">
        <f t="shared" si="3"/>
        <v>18</v>
      </c>
    </row>
    <row r="26" ht="12.75" customHeight="1">
      <c r="A26" s="33"/>
      <c r="B26" s="27"/>
      <c r="C26" s="34"/>
      <c r="D26" s="19" t="s">
        <v>12</v>
      </c>
      <c r="E26" s="19">
        <v>2.0</v>
      </c>
      <c r="F26" s="19">
        <v>1.0</v>
      </c>
      <c r="G26" s="19">
        <v>1.0</v>
      </c>
      <c r="H26" s="19">
        <v>0.0</v>
      </c>
      <c r="I26" s="19">
        <v>3.0</v>
      </c>
      <c r="J26" s="19">
        <v>2.0</v>
      </c>
      <c r="K26" s="19">
        <v>1.0</v>
      </c>
      <c r="L26" s="19">
        <v>1.0</v>
      </c>
      <c r="M26" s="19">
        <v>1.0</v>
      </c>
      <c r="N26" s="19">
        <v>0.0</v>
      </c>
      <c r="O26" s="19">
        <v>6.0</v>
      </c>
      <c r="P26" s="19">
        <v>4.0</v>
      </c>
      <c r="Q26" s="19">
        <v>1.0</v>
      </c>
      <c r="R26" s="19">
        <v>2.0</v>
      </c>
      <c r="S26" s="19">
        <v>2.0</v>
      </c>
      <c r="T26" s="13">
        <f t="shared" si="3"/>
        <v>27</v>
      </c>
    </row>
    <row r="27" ht="12.75" customHeight="1">
      <c r="A27" s="35"/>
      <c r="B27" s="28"/>
      <c r="C27" s="36"/>
      <c r="D27" s="13" t="s">
        <v>13</v>
      </c>
      <c r="E27" s="13">
        <f t="shared" ref="E27:S27" si="6">SUM(E25:E26)</f>
        <v>5</v>
      </c>
      <c r="F27" s="13">
        <f t="shared" si="6"/>
        <v>1</v>
      </c>
      <c r="G27" s="13">
        <f t="shared" si="6"/>
        <v>2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1</v>
      </c>
      <c r="L27" s="13">
        <f t="shared" si="6"/>
        <v>2</v>
      </c>
      <c r="M27" s="13">
        <f t="shared" si="6"/>
        <v>2</v>
      </c>
      <c r="N27" s="13">
        <f t="shared" si="6"/>
        <v>1</v>
      </c>
      <c r="O27" s="13">
        <f t="shared" si="6"/>
        <v>10</v>
      </c>
      <c r="P27" s="13">
        <f t="shared" si="6"/>
        <v>4</v>
      </c>
      <c r="Q27" s="13">
        <f t="shared" si="6"/>
        <v>2</v>
      </c>
      <c r="R27" s="13">
        <f t="shared" si="6"/>
        <v>5</v>
      </c>
      <c r="S27" s="13">
        <f t="shared" si="6"/>
        <v>4</v>
      </c>
      <c r="T27" s="13">
        <f t="shared" si="3"/>
        <v>45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S28" si="7">SUM(E19,E22,E25)</f>
        <v>99</v>
      </c>
      <c r="F28" s="13">
        <f t="shared" si="7"/>
        <v>105</v>
      </c>
      <c r="G28" s="13">
        <f t="shared" si="7"/>
        <v>101</v>
      </c>
      <c r="H28" s="13">
        <f t="shared" si="7"/>
        <v>107</v>
      </c>
      <c r="I28" s="13">
        <f t="shared" si="7"/>
        <v>106</v>
      </c>
      <c r="J28" s="13">
        <f t="shared" si="7"/>
        <v>94</v>
      </c>
      <c r="K28" s="13">
        <f t="shared" si="7"/>
        <v>110</v>
      </c>
      <c r="L28" s="13">
        <f t="shared" si="7"/>
        <v>84</v>
      </c>
      <c r="M28" s="13">
        <f t="shared" si="7"/>
        <v>99</v>
      </c>
      <c r="N28" s="13">
        <f t="shared" si="7"/>
        <v>100</v>
      </c>
      <c r="O28" s="13">
        <f t="shared" si="7"/>
        <v>114</v>
      </c>
      <c r="P28" s="13">
        <f t="shared" si="7"/>
        <v>89</v>
      </c>
      <c r="Q28" s="13">
        <f t="shared" si="7"/>
        <v>107</v>
      </c>
      <c r="R28" s="13">
        <f t="shared" si="7"/>
        <v>96</v>
      </c>
      <c r="S28" s="13">
        <f t="shared" si="7"/>
        <v>94</v>
      </c>
      <c r="T28" s="13">
        <f t="shared" si="3"/>
        <v>1505</v>
      </c>
    </row>
    <row r="29" ht="12.75" customHeight="1">
      <c r="A29" s="35"/>
      <c r="B29" s="27"/>
      <c r="C29" s="34"/>
      <c r="D29" s="13" t="s">
        <v>12</v>
      </c>
      <c r="E29" s="13">
        <f t="shared" ref="E29:S29" si="8">SUM(E20,E23,E26)</f>
        <v>120</v>
      </c>
      <c r="F29" s="13">
        <f t="shared" si="8"/>
        <v>116</v>
      </c>
      <c r="G29" s="13">
        <f t="shared" si="8"/>
        <v>102</v>
      </c>
      <c r="H29" s="13">
        <f t="shared" si="8"/>
        <v>133</v>
      </c>
      <c r="I29" s="13">
        <f t="shared" si="8"/>
        <v>116</v>
      </c>
      <c r="J29" s="13">
        <f t="shared" si="8"/>
        <v>129</v>
      </c>
      <c r="K29" s="13">
        <f t="shared" si="8"/>
        <v>117</v>
      </c>
      <c r="L29" s="13">
        <f t="shared" si="8"/>
        <v>115</v>
      </c>
      <c r="M29" s="13">
        <f t="shared" si="8"/>
        <v>122</v>
      </c>
      <c r="N29" s="13">
        <f t="shared" si="8"/>
        <v>124</v>
      </c>
      <c r="O29" s="13">
        <f t="shared" si="8"/>
        <v>118</v>
      </c>
      <c r="P29" s="13">
        <f t="shared" si="8"/>
        <v>121</v>
      </c>
      <c r="Q29" s="13">
        <f t="shared" si="8"/>
        <v>128</v>
      </c>
      <c r="R29" s="13">
        <f t="shared" si="8"/>
        <v>115</v>
      </c>
      <c r="S29" s="13">
        <f t="shared" si="8"/>
        <v>125</v>
      </c>
      <c r="T29" s="13">
        <f t="shared" si="3"/>
        <v>1801</v>
      </c>
    </row>
    <row r="30" ht="12.75" customHeight="1">
      <c r="A30" s="35"/>
      <c r="B30" s="28"/>
      <c r="C30" s="36"/>
      <c r="D30" s="13" t="s">
        <v>13</v>
      </c>
      <c r="E30" s="13">
        <f t="shared" ref="E30:S30" si="9">SUM(E28:E29)</f>
        <v>219</v>
      </c>
      <c r="F30" s="13">
        <f t="shared" si="9"/>
        <v>221</v>
      </c>
      <c r="G30" s="13">
        <f t="shared" si="9"/>
        <v>203</v>
      </c>
      <c r="H30" s="13">
        <f t="shared" si="9"/>
        <v>240</v>
      </c>
      <c r="I30" s="13">
        <f t="shared" si="9"/>
        <v>222</v>
      </c>
      <c r="J30" s="13">
        <f t="shared" si="9"/>
        <v>223</v>
      </c>
      <c r="K30" s="13">
        <f t="shared" si="9"/>
        <v>227</v>
      </c>
      <c r="L30" s="13">
        <f t="shared" si="9"/>
        <v>199</v>
      </c>
      <c r="M30" s="13">
        <f t="shared" si="9"/>
        <v>221</v>
      </c>
      <c r="N30" s="13">
        <f t="shared" si="9"/>
        <v>224</v>
      </c>
      <c r="O30" s="13">
        <f t="shared" si="9"/>
        <v>232</v>
      </c>
      <c r="P30" s="13">
        <f t="shared" si="9"/>
        <v>210</v>
      </c>
      <c r="Q30" s="13">
        <f t="shared" si="9"/>
        <v>235</v>
      </c>
      <c r="R30" s="13">
        <f t="shared" si="9"/>
        <v>211</v>
      </c>
      <c r="S30" s="13">
        <f t="shared" si="9"/>
        <v>219</v>
      </c>
      <c r="T30" s="13">
        <f t="shared" si="3"/>
        <v>3306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0"/>
    </row>
    <row r="33" ht="12.75" customHeight="1">
      <c r="A33" s="19">
        <v>1.0</v>
      </c>
      <c r="B33" s="20" t="s">
        <v>26</v>
      </c>
      <c r="C33" s="15"/>
      <c r="D33" s="16"/>
      <c r="E33" s="19">
        <v>299.0</v>
      </c>
      <c r="F33" s="19">
        <v>301.0</v>
      </c>
      <c r="G33" s="19">
        <v>281.0</v>
      </c>
      <c r="H33" s="19">
        <v>252.0</v>
      </c>
      <c r="I33" s="19">
        <v>294.0</v>
      </c>
      <c r="J33" s="19">
        <v>295.0</v>
      </c>
      <c r="K33" s="19">
        <v>293.0</v>
      </c>
      <c r="L33" s="19">
        <v>287.0</v>
      </c>
      <c r="M33" s="19">
        <v>294.0</v>
      </c>
      <c r="N33" s="19">
        <v>305.0</v>
      </c>
      <c r="O33" s="19">
        <v>294.0</v>
      </c>
      <c r="P33" s="19">
        <v>273.0</v>
      </c>
      <c r="Q33" s="19">
        <v>301.0</v>
      </c>
      <c r="R33" s="19">
        <v>287.0</v>
      </c>
      <c r="S33" s="19">
        <v>294.0</v>
      </c>
      <c r="T33" s="13">
        <f t="shared" ref="T33:T36" si="10">SUM(E33:S33)</f>
        <v>4350</v>
      </c>
    </row>
    <row r="34" ht="12.75" customHeight="1">
      <c r="A34" s="19">
        <v>2.0</v>
      </c>
      <c r="B34" s="20" t="s">
        <v>27</v>
      </c>
      <c r="C34" s="15"/>
      <c r="D34" s="16"/>
      <c r="E34" s="13">
        <v>219.0</v>
      </c>
      <c r="F34" s="13">
        <v>221.0</v>
      </c>
      <c r="G34" s="13">
        <v>203.0</v>
      </c>
      <c r="H34" s="13">
        <v>240.0</v>
      </c>
      <c r="I34" s="13">
        <v>222.0</v>
      </c>
      <c r="J34" s="13">
        <v>223.0</v>
      </c>
      <c r="K34" s="13">
        <v>227.0</v>
      </c>
      <c r="L34" s="13">
        <v>199.0</v>
      </c>
      <c r="M34" s="13">
        <v>221.0</v>
      </c>
      <c r="N34" s="13">
        <v>224.0</v>
      </c>
      <c r="O34" s="13">
        <v>232.0</v>
      </c>
      <c r="P34" s="13">
        <v>210.0</v>
      </c>
      <c r="Q34" s="13">
        <v>235.0</v>
      </c>
      <c r="R34" s="13">
        <v>211.0</v>
      </c>
      <c r="S34" s="13">
        <v>219.0</v>
      </c>
      <c r="T34" s="13">
        <f t="shared" si="10"/>
        <v>3306</v>
      </c>
    </row>
    <row r="35" ht="12.75" customHeight="1">
      <c r="A35" s="19">
        <v>3.0</v>
      </c>
      <c r="B35" s="20" t="s">
        <v>28</v>
      </c>
      <c r="C35" s="15"/>
      <c r="D35" s="16"/>
      <c r="E35" s="19">
        <v>2.0</v>
      </c>
      <c r="F35" s="19">
        <v>0.0</v>
      </c>
      <c r="G35" s="19">
        <v>0.0</v>
      </c>
      <c r="H35" s="19">
        <v>1.0</v>
      </c>
      <c r="I35" s="19">
        <v>2.0</v>
      </c>
      <c r="J35" s="19">
        <v>0.0</v>
      </c>
      <c r="K35" s="19">
        <v>0.0</v>
      </c>
      <c r="L35" s="19">
        <v>5.0</v>
      </c>
      <c r="M35" s="19">
        <v>1.0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3">
        <f t="shared" si="10"/>
        <v>12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S36" si="11">E33-(E34+E35)</f>
        <v>78</v>
      </c>
      <c r="F36" s="13">
        <f t="shared" si="11"/>
        <v>80</v>
      </c>
      <c r="G36" s="13">
        <f t="shared" si="11"/>
        <v>78</v>
      </c>
      <c r="H36" s="13">
        <f t="shared" si="11"/>
        <v>11</v>
      </c>
      <c r="I36" s="13">
        <f t="shared" si="11"/>
        <v>70</v>
      </c>
      <c r="J36" s="13">
        <f t="shared" si="11"/>
        <v>72</v>
      </c>
      <c r="K36" s="13">
        <f t="shared" si="11"/>
        <v>66</v>
      </c>
      <c r="L36" s="13">
        <f t="shared" si="11"/>
        <v>83</v>
      </c>
      <c r="M36" s="13">
        <f t="shared" si="11"/>
        <v>72</v>
      </c>
      <c r="N36" s="13">
        <f t="shared" si="11"/>
        <v>81</v>
      </c>
      <c r="O36" s="13">
        <f t="shared" si="11"/>
        <v>62</v>
      </c>
      <c r="P36" s="13">
        <f t="shared" si="11"/>
        <v>63</v>
      </c>
      <c r="Q36" s="13">
        <f t="shared" si="11"/>
        <v>65</v>
      </c>
      <c r="R36" s="13">
        <f t="shared" si="11"/>
        <v>76</v>
      </c>
      <c r="S36" s="13">
        <f t="shared" si="11"/>
        <v>75</v>
      </c>
      <c r="T36" s="13">
        <f t="shared" si="10"/>
        <v>1032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13"/>
    </row>
    <row r="45" ht="12.75" customHeight="1">
      <c r="A45" s="63"/>
      <c r="B45" s="47">
        <v>1.0</v>
      </c>
      <c r="C45" s="48" t="s">
        <v>36</v>
      </c>
      <c r="D45" s="16"/>
      <c r="E45" s="19">
        <v>42.0</v>
      </c>
      <c r="F45" s="19">
        <v>24.0</v>
      </c>
      <c r="G45" s="19">
        <v>46.0</v>
      </c>
      <c r="H45" s="19">
        <v>35.0</v>
      </c>
      <c r="I45" s="19">
        <v>35.0</v>
      </c>
      <c r="J45" s="19">
        <v>49.0</v>
      </c>
      <c r="K45" s="19">
        <v>37.0</v>
      </c>
      <c r="L45" s="19">
        <v>35.0</v>
      </c>
      <c r="M45" s="19">
        <v>46.0</v>
      </c>
      <c r="N45" s="19">
        <v>46.0</v>
      </c>
      <c r="O45" s="19">
        <v>50.0</v>
      </c>
      <c r="P45" s="19">
        <v>55.0</v>
      </c>
      <c r="Q45" s="19">
        <v>37.0</v>
      </c>
      <c r="R45" s="19">
        <v>25.0</v>
      </c>
      <c r="S45" s="19">
        <v>28.0</v>
      </c>
      <c r="T45" s="13">
        <f t="shared" ref="T45:T47" si="14">SUM(E45:S45)</f>
        <v>590</v>
      </c>
    </row>
    <row r="46" ht="12.75" customHeight="1">
      <c r="A46" s="18"/>
      <c r="B46" s="47">
        <v>2.0</v>
      </c>
      <c r="C46" s="48" t="s">
        <v>37</v>
      </c>
      <c r="D46" s="16"/>
      <c r="E46" s="19">
        <v>117.0</v>
      </c>
      <c r="F46" s="19">
        <v>173.0</v>
      </c>
      <c r="G46" s="19">
        <v>119.0</v>
      </c>
      <c r="H46" s="19">
        <v>163.0</v>
      </c>
      <c r="I46" s="19">
        <v>152.0</v>
      </c>
      <c r="J46" s="19">
        <v>128.0</v>
      </c>
      <c r="K46" s="19">
        <v>127.0</v>
      </c>
      <c r="L46" s="19">
        <v>122.0</v>
      </c>
      <c r="M46" s="19">
        <v>127.0</v>
      </c>
      <c r="N46" s="19">
        <v>130.0</v>
      </c>
      <c r="O46" s="19">
        <v>135.0</v>
      </c>
      <c r="P46" s="19">
        <v>107.0</v>
      </c>
      <c r="Q46" s="19">
        <v>145.0</v>
      </c>
      <c r="R46" s="19">
        <v>145.0</v>
      </c>
      <c r="S46" s="19">
        <v>112.0</v>
      </c>
      <c r="T46" s="13">
        <f t="shared" si="14"/>
        <v>2002</v>
      </c>
    </row>
    <row r="47" ht="12.75" customHeight="1">
      <c r="A47" s="45"/>
      <c r="B47" s="47">
        <v>3.0</v>
      </c>
      <c r="C47" s="48" t="s">
        <v>38</v>
      </c>
      <c r="D47" s="16"/>
      <c r="E47" s="19">
        <v>56.0</v>
      </c>
      <c r="F47" s="19">
        <v>23.0</v>
      </c>
      <c r="G47" s="19">
        <v>34.0</v>
      </c>
      <c r="H47" s="19">
        <v>38.0</v>
      </c>
      <c r="I47" s="19">
        <v>32.0</v>
      </c>
      <c r="J47" s="19">
        <v>45.0</v>
      </c>
      <c r="K47" s="19">
        <v>59.0</v>
      </c>
      <c r="L47" s="19">
        <v>37.0</v>
      </c>
      <c r="M47" s="19">
        <v>44.0</v>
      </c>
      <c r="N47" s="19">
        <v>46.0</v>
      </c>
      <c r="O47" s="19">
        <v>45.0</v>
      </c>
      <c r="P47" s="19">
        <v>46.0</v>
      </c>
      <c r="Q47" s="19">
        <v>45.0</v>
      </c>
      <c r="R47" s="19">
        <v>37.0</v>
      </c>
      <c r="S47" s="19">
        <v>72.0</v>
      </c>
      <c r="T47" s="13">
        <f t="shared" si="14"/>
        <v>659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S50" si="15">SUM(E45:E47)</f>
        <v>215</v>
      </c>
      <c r="F50" s="19">
        <f t="shared" si="15"/>
        <v>220</v>
      </c>
      <c r="G50" s="19">
        <f t="shared" si="15"/>
        <v>199</v>
      </c>
      <c r="H50" s="19">
        <f t="shared" si="15"/>
        <v>236</v>
      </c>
      <c r="I50" s="19">
        <f t="shared" si="15"/>
        <v>219</v>
      </c>
      <c r="J50" s="19">
        <f t="shared" si="15"/>
        <v>222</v>
      </c>
      <c r="K50" s="19">
        <f t="shared" si="15"/>
        <v>223</v>
      </c>
      <c r="L50" s="19">
        <f t="shared" si="15"/>
        <v>194</v>
      </c>
      <c r="M50" s="19">
        <f t="shared" si="15"/>
        <v>217</v>
      </c>
      <c r="N50" s="19">
        <f t="shared" si="15"/>
        <v>222</v>
      </c>
      <c r="O50" s="19">
        <f t="shared" si="15"/>
        <v>230</v>
      </c>
      <c r="P50" s="19">
        <f t="shared" si="15"/>
        <v>208</v>
      </c>
      <c r="Q50" s="19">
        <f t="shared" si="15"/>
        <v>227</v>
      </c>
      <c r="R50" s="19">
        <f t="shared" si="15"/>
        <v>207</v>
      </c>
      <c r="S50" s="19">
        <f t="shared" si="15"/>
        <v>212</v>
      </c>
      <c r="T50" s="13">
        <f t="shared" ref="T50:T52" si="16">SUM(E50:S50)</f>
        <v>3251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4.0</v>
      </c>
      <c r="F51" s="19">
        <v>1.0</v>
      </c>
      <c r="G51" s="19">
        <v>4.0</v>
      </c>
      <c r="H51" s="19">
        <v>4.0</v>
      </c>
      <c r="I51" s="19">
        <v>3.0</v>
      </c>
      <c r="J51" s="19">
        <v>1.0</v>
      </c>
      <c r="K51" s="19">
        <v>4.0</v>
      </c>
      <c r="L51" s="19">
        <v>5.0</v>
      </c>
      <c r="M51" s="19">
        <v>4.0</v>
      </c>
      <c r="N51" s="19">
        <v>2.0</v>
      </c>
      <c r="O51" s="19">
        <v>2.0</v>
      </c>
      <c r="P51" s="19">
        <v>2.0</v>
      </c>
      <c r="Q51" s="19">
        <v>8.0</v>
      </c>
      <c r="R51" s="19">
        <v>4.0</v>
      </c>
      <c r="S51" s="19">
        <v>7.0</v>
      </c>
      <c r="T51" s="13">
        <f t="shared" si="16"/>
        <v>55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S52" si="17">SUM(E50:E51)</f>
        <v>219</v>
      </c>
      <c r="F52" s="13">
        <f t="shared" si="17"/>
        <v>221</v>
      </c>
      <c r="G52" s="13">
        <f t="shared" si="17"/>
        <v>203</v>
      </c>
      <c r="H52" s="13">
        <f t="shared" si="17"/>
        <v>240</v>
      </c>
      <c r="I52" s="13">
        <f t="shared" si="17"/>
        <v>222</v>
      </c>
      <c r="J52" s="13">
        <f t="shared" si="17"/>
        <v>223</v>
      </c>
      <c r="K52" s="13">
        <f t="shared" si="17"/>
        <v>227</v>
      </c>
      <c r="L52" s="13">
        <f t="shared" si="17"/>
        <v>199</v>
      </c>
      <c r="M52" s="13">
        <f t="shared" si="17"/>
        <v>221</v>
      </c>
      <c r="N52" s="13">
        <f t="shared" si="17"/>
        <v>224</v>
      </c>
      <c r="O52" s="13">
        <f t="shared" si="17"/>
        <v>232</v>
      </c>
      <c r="P52" s="13">
        <f t="shared" si="17"/>
        <v>210</v>
      </c>
      <c r="Q52" s="13">
        <f t="shared" si="17"/>
        <v>235</v>
      </c>
      <c r="R52" s="13">
        <f t="shared" si="17"/>
        <v>211</v>
      </c>
      <c r="S52" s="13">
        <f t="shared" si="17"/>
        <v>219</v>
      </c>
      <c r="T52" s="13">
        <f t="shared" si="16"/>
        <v>3306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S34">
    <cfRule type="expression" dxfId="0" priority="1">
      <formula>E34&lt;&gt;#REF!</formula>
    </cfRule>
  </conditionalFormatting>
  <conditionalFormatting sqref="E14:S15 E45:S47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E30&lt;&gt;E46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50:S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91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13" t="s">
        <v>68</v>
      </c>
      <c r="V13" s="13" t="s">
        <v>69</v>
      </c>
      <c r="W13" s="13" t="s">
        <v>70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19">
        <v>138.0</v>
      </c>
      <c r="F14" s="19">
        <v>132.0</v>
      </c>
      <c r="G14" s="19">
        <v>110.0</v>
      </c>
      <c r="H14" s="19">
        <v>144.0</v>
      </c>
      <c r="I14" s="19">
        <v>130.0</v>
      </c>
      <c r="J14" s="19">
        <v>133.0</v>
      </c>
      <c r="K14" s="19">
        <v>127.0</v>
      </c>
      <c r="L14" s="19">
        <v>113.0</v>
      </c>
      <c r="M14" s="19">
        <v>126.0</v>
      </c>
      <c r="N14" s="19">
        <v>124.0</v>
      </c>
      <c r="O14" s="19">
        <v>120.0</v>
      </c>
      <c r="P14" s="19">
        <v>113.0</v>
      </c>
      <c r="Q14" s="19">
        <v>106.0</v>
      </c>
      <c r="R14" s="19">
        <v>106.0</v>
      </c>
      <c r="S14" s="19">
        <v>96.0</v>
      </c>
      <c r="T14" s="19">
        <v>130.0</v>
      </c>
      <c r="U14" s="19">
        <v>123.0</v>
      </c>
      <c r="V14" s="19">
        <v>98.0</v>
      </c>
      <c r="W14" s="19">
        <v>102.0</v>
      </c>
      <c r="X14" s="13">
        <f t="shared" ref="X14:X16" si="1">SUM(E14:W14)</f>
        <v>2271</v>
      </c>
    </row>
    <row r="15" ht="12.75" customHeight="1">
      <c r="A15" s="18"/>
      <c r="B15" s="26"/>
      <c r="C15" s="27"/>
      <c r="D15" s="19" t="s">
        <v>12</v>
      </c>
      <c r="E15" s="19">
        <v>150.0</v>
      </c>
      <c r="F15" s="19">
        <v>151.0</v>
      </c>
      <c r="G15" s="19">
        <v>134.0</v>
      </c>
      <c r="H15" s="19">
        <v>128.0</v>
      </c>
      <c r="I15" s="19">
        <v>136.0</v>
      </c>
      <c r="J15" s="19">
        <v>124.0</v>
      </c>
      <c r="K15" s="19">
        <v>130.0</v>
      </c>
      <c r="L15" s="19">
        <v>131.0</v>
      </c>
      <c r="M15" s="19">
        <v>137.0</v>
      </c>
      <c r="N15" s="19">
        <v>139.0</v>
      </c>
      <c r="O15" s="19">
        <v>141.0</v>
      </c>
      <c r="P15" s="19">
        <v>112.0</v>
      </c>
      <c r="Q15" s="19">
        <v>119.0</v>
      </c>
      <c r="R15" s="19">
        <v>110.0</v>
      </c>
      <c r="S15" s="19">
        <v>105.0</v>
      </c>
      <c r="T15" s="19">
        <v>134.0</v>
      </c>
      <c r="U15" s="19">
        <v>125.0</v>
      </c>
      <c r="V15" s="19">
        <v>102.0</v>
      </c>
      <c r="W15" s="19">
        <v>91.0</v>
      </c>
      <c r="X15" s="13">
        <f t="shared" si="1"/>
        <v>2399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288</v>
      </c>
      <c r="F16" s="13">
        <f t="shared" si="2"/>
        <v>283</v>
      </c>
      <c r="G16" s="13">
        <f t="shared" si="2"/>
        <v>244</v>
      </c>
      <c r="H16" s="13">
        <f t="shared" si="2"/>
        <v>272</v>
      </c>
      <c r="I16" s="13">
        <f t="shared" si="2"/>
        <v>266</v>
      </c>
      <c r="J16" s="13">
        <f t="shared" si="2"/>
        <v>257</v>
      </c>
      <c r="K16" s="13">
        <f t="shared" si="2"/>
        <v>257</v>
      </c>
      <c r="L16" s="13">
        <f t="shared" si="2"/>
        <v>244</v>
      </c>
      <c r="M16" s="13">
        <f t="shared" si="2"/>
        <v>263</v>
      </c>
      <c r="N16" s="13">
        <f t="shared" si="2"/>
        <v>263</v>
      </c>
      <c r="O16" s="13">
        <f t="shared" si="2"/>
        <v>261</v>
      </c>
      <c r="P16" s="13">
        <f t="shared" si="2"/>
        <v>225</v>
      </c>
      <c r="Q16" s="13">
        <f t="shared" si="2"/>
        <v>225</v>
      </c>
      <c r="R16" s="13">
        <f t="shared" si="2"/>
        <v>216</v>
      </c>
      <c r="S16" s="13">
        <f t="shared" si="2"/>
        <v>201</v>
      </c>
      <c r="T16" s="13">
        <f t="shared" si="2"/>
        <v>264</v>
      </c>
      <c r="U16" s="13">
        <f t="shared" si="2"/>
        <v>248</v>
      </c>
      <c r="V16" s="13">
        <f t="shared" si="2"/>
        <v>200</v>
      </c>
      <c r="W16" s="13">
        <f t="shared" si="2"/>
        <v>193</v>
      </c>
      <c r="X16" s="13">
        <f t="shared" si="1"/>
        <v>4670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98.0</v>
      </c>
      <c r="F19" s="19">
        <v>100.0</v>
      </c>
      <c r="G19" s="19">
        <v>86.0</v>
      </c>
      <c r="H19" s="19">
        <v>100.0</v>
      </c>
      <c r="I19" s="19">
        <v>92.0</v>
      </c>
      <c r="J19" s="19">
        <v>97.0</v>
      </c>
      <c r="K19" s="19">
        <v>95.0</v>
      </c>
      <c r="L19" s="19">
        <v>81.0</v>
      </c>
      <c r="M19" s="19">
        <v>84.0</v>
      </c>
      <c r="N19" s="19">
        <v>93.0</v>
      </c>
      <c r="O19" s="19">
        <v>89.0</v>
      </c>
      <c r="P19" s="19">
        <v>73.0</v>
      </c>
      <c r="Q19" s="19">
        <v>68.0</v>
      </c>
      <c r="R19" s="19">
        <v>75.0</v>
      </c>
      <c r="S19" s="19">
        <v>68.0</v>
      </c>
      <c r="T19" s="19">
        <v>103.0</v>
      </c>
      <c r="U19" s="19">
        <v>87.0</v>
      </c>
      <c r="V19" s="19">
        <v>81.0</v>
      </c>
      <c r="W19" s="19">
        <v>76.0</v>
      </c>
      <c r="X19" s="13">
        <f t="shared" ref="X19:X30" si="3">SUM(E19:W19)</f>
        <v>1646</v>
      </c>
    </row>
    <row r="20" ht="12.75" customHeight="1">
      <c r="A20" s="33"/>
      <c r="B20" s="27"/>
      <c r="C20" s="34"/>
      <c r="D20" s="19" t="s">
        <v>12</v>
      </c>
      <c r="E20" s="19">
        <v>128.0</v>
      </c>
      <c r="F20" s="19">
        <v>126.0</v>
      </c>
      <c r="G20" s="19">
        <v>114.0</v>
      </c>
      <c r="H20" s="19">
        <v>110.0</v>
      </c>
      <c r="I20" s="19">
        <v>102.0</v>
      </c>
      <c r="J20" s="19">
        <v>99.0</v>
      </c>
      <c r="K20" s="19">
        <v>112.0</v>
      </c>
      <c r="L20" s="19">
        <v>97.0</v>
      </c>
      <c r="M20" s="19">
        <v>113.0</v>
      </c>
      <c r="N20" s="19">
        <v>116.0</v>
      </c>
      <c r="O20" s="19">
        <v>110.0</v>
      </c>
      <c r="P20" s="19">
        <v>86.0</v>
      </c>
      <c r="Q20" s="19">
        <v>92.0</v>
      </c>
      <c r="R20" s="19">
        <v>86.0</v>
      </c>
      <c r="S20" s="19">
        <v>83.0</v>
      </c>
      <c r="T20" s="19">
        <v>101.0</v>
      </c>
      <c r="U20" s="19">
        <v>96.0</v>
      </c>
      <c r="V20" s="19">
        <v>94.0</v>
      </c>
      <c r="W20" s="19">
        <v>77.0</v>
      </c>
      <c r="X20" s="13">
        <f t="shared" si="3"/>
        <v>1942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226</v>
      </c>
      <c r="F21" s="13">
        <f t="shared" si="4"/>
        <v>226</v>
      </c>
      <c r="G21" s="13">
        <f t="shared" si="4"/>
        <v>200</v>
      </c>
      <c r="H21" s="13">
        <f t="shared" si="4"/>
        <v>210</v>
      </c>
      <c r="I21" s="13">
        <f t="shared" si="4"/>
        <v>194</v>
      </c>
      <c r="J21" s="13">
        <f t="shared" si="4"/>
        <v>196</v>
      </c>
      <c r="K21" s="13">
        <f t="shared" si="4"/>
        <v>207</v>
      </c>
      <c r="L21" s="13">
        <f t="shared" si="4"/>
        <v>178</v>
      </c>
      <c r="M21" s="13">
        <f t="shared" si="4"/>
        <v>197</v>
      </c>
      <c r="N21" s="13">
        <f t="shared" si="4"/>
        <v>209</v>
      </c>
      <c r="O21" s="13">
        <f t="shared" si="4"/>
        <v>199</v>
      </c>
      <c r="P21" s="13">
        <f t="shared" si="4"/>
        <v>159</v>
      </c>
      <c r="Q21" s="13">
        <f t="shared" si="4"/>
        <v>160</v>
      </c>
      <c r="R21" s="13">
        <f t="shared" si="4"/>
        <v>161</v>
      </c>
      <c r="S21" s="13">
        <f t="shared" si="4"/>
        <v>151</v>
      </c>
      <c r="T21" s="13">
        <f t="shared" si="4"/>
        <v>204</v>
      </c>
      <c r="U21" s="13">
        <f t="shared" si="4"/>
        <v>183</v>
      </c>
      <c r="V21" s="13">
        <f t="shared" si="4"/>
        <v>175</v>
      </c>
      <c r="W21" s="13">
        <f t="shared" si="4"/>
        <v>153</v>
      </c>
      <c r="X21" s="13">
        <f t="shared" si="3"/>
        <v>3588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2.0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1.0</v>
      </c>
      <c r="X22" s="13">
        <f t="shared" si="3"/>
        <v>6</v>
      </c>
    </row>
    <row r="23" ht="12.75" customHeight="1">
      <c r="A23" s="33"/>
      <c r="B23" s="27"/>
      <c r="C23" s="34"/>
      <c r="D23" s="19" t="s">
        <v>12</v>
      </c>
      <c r="E23" s="19">
        <v>2.0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2.0</v>
      </c>
      <c r="P23" s="19">
        <v>0.0</v>
      </c>
      <c r="Q23" s="19">
        <v>1.0</v>
      </c>
      <c r="R23" s="19">
        <v>0.0</v>
      </c>
      <c r="S23" s="19">
        <v>0.0</v>
      </c>
      <c r="T23" s="19">
        <v>2.0</v>
      </c>
      <c r="U23" s="19">
        <v>0.0</v>
      </c>
      <c r="V23" s="19">
        <v>0.0</v>
      </c>
      <c r="W23" s="19">
        <v>1.0</v>
      </c>
      <c r="X23" s="13">
        <f t="shared" si="3"/>
        <v>9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2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3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3"/>
        <v>15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2.0</v>
      </c>
      <c r="H25" s="19">
        <v>0.0</v>
      </c>
      <c r="I25" s="19">
        <v>0.0</v>
      </c>
      <c r="J25" s="19">
        <v>1.0</v>
      </c>
      <c r="K25" s="19">
        <v>0.0</v>
      </c>
      <c r="L25" s="19">
        <v>1.0</v>
      </c>
      <c r="M25" s="19">
        <v>0.0</v>
      </c>
      <c r="N25" s="19">
        <v>1.0</v>
      </c>
      <c r="O25" s="19">
        <v>2.0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9">
        <v>2.0</v>
      </c>
      <c r="V25" s="19">
        <v>4.0</v>
      </c>
      <c r="W25" s="19">
        <v>2.0</v>
      </c>
      <c r="X25" s="13">
        <f t="shared" si="3"/>
        <v>16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3.0</v>
      </c>
      <c r="H26" s="19">
        <v>0.0</v>
      </c>
      <c r="I26" s="19">
        <v>0.0</v>
      </c>
      <c r="J26" s="19">
        <v>4.0</v>
      </c>
      <c r="K26" s="19">
        <v>1.0</v>
      </c>
      <c r="L26" s="19">
        <v>2.0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3.0</v>
      </c>
      <c r="V26" s="19">
        <v>2.0</v>
      </c>
      <c r="W26" s="19">
        <v>4.0</v>
      </c>
      <c r="X26" s="13">
        <f t="shared" si="3"/>
        <v>21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1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0</v>
      </c>
      <c r="J27" s="13">
        <f t="shared" si="6"/>
        <v>5</v>
      </c>
      <c r="K27" s="13">
        <f t="shared" si="6"/>
        <v>1</v>
      </c>
      <c r="L27" s="13">
        <f t="shared" si="6"/>
        <v>3</v>
      </c>
      <c r="M27" s="13">
        <f t="shared" si="6"/>
        <v>0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5</v>
      </c>
      <c r="V27" s="13">
        <f t="shared" si="6"/>
        <v>6</v>
      </c>
      <c r="W27" s="13">
        <f t="shared" si="6"/>
        <v>6</v>
      </c>
      <c r="X27" s="13">
        <f t="shared" si="3"/>
        <v>37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98</v>
      </c>
      <c r="F28" s="13">
        <f t="shared" si="7"/>
        <v>100</v>
      </c>
      <c r="G28" s="13">
        <f t="shared" si="7"/>
        <v>88</v>
      </c>
      <c r="H28" s="13">
        <f t="shared" si="7"/>
        <v>100</v>
      </c>
      <c r="I28" s="13">
        <f t="shared" si="7"/>
        <v>92</v>
      </c>
      <c r="J28" s="13">
        <f t="shared" si="7"/>
        <v>99</v>
      </c>
      <c r="K28" s="13">
        <f t="shared" si="7"/>
        <v>95</v>
      </c>
      <c r="L28" s="13">
        <f t="shared" si="7"/>
        <v>82</v>
      </c>
      <c r="M28" s="13">
        <f t="shared" si="7"/>
        <v>84</v>
      </c>
      <c r="N28" s="13">
        <f t="shared" si="7"/>
        <v>96</v>
      </c>
      <c r="O28" s="13">
        <f t="shared" si="7"/>
        <v>92</v>
      </c>
      <c r="P28" s="13">
        <f t="shared" si="7"/>
        <v>74</v>
      </c>
      <c r="Q28" s="13">
        <f t="shared" si="7"/>
        <v>68</v>
      </c>
      <c r="R28" s="13">
        <f t="shared" si="7"/>
        <v>75</v>
      </c>
      <c r="S28" s="13">
        <f t="shared" si="7"/>
        <v>68</v>
      </c>
      <c r="T28" s="13">
        <f t="shared" si="7"/>
        <v>104</v>
      </c>
      <c r="U28" s="13">
        <f t="shared" si="7"/>
        <v>89</v>
      </c>
      <c r="V28" s="13">
        <f t="shared" si="7"/>
        <v>85</v>
      </c>
      <c r="W28" s="13">
        <f t="shared" si="7"/>
        <v>79</v>
      </c>
      <c r="X28" s="13">
        <f t="shared" si="3"/>
        <v>1668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131</v>
      </c>
      <c r="F29" s="13">
        <f t="shared" si="8"/>
        <v>127</v>
      </c>
      <c r="G29" s="13">
        <f t="shared" si="8"/>
        <v>117</v>
      </c>
      <c r="H29" s="13">
        <f t="shared" si="8"/>
        <v>110</v>
      </c>
      <c r="I29" s="13">
        <f t="shared" si="8"/>
        <v>102</v>
      </c>
      <c r="J29" s="13">
        <f t="shared" si="8"/>
        <v>103</v>
      </c>
      <c r="K29" s="13">
        <f t="shared" si="8"/>
        <v>113</v>
      </c>
      <c r="L29" s="13">
        <f t="shared" si="8"/>
        <v>99</v>
      </c>
      <c r="M29" s="13">
        <f t="shared" si="8"/>
        <v>113</v>
      </c>
      <c r="N29" s="13">
        <f t="shared" si="8"/>
        <v>117</v>
      </c>
      <c r="O29" s="13">
        <f t="shared" si="8"/>
        <v>112</v>
      </c>
      <c r="P29" s="13">
        <f t="shared" si="8"/>
        <v>86</v>
      </c>
      <c r="Q29" s="13">
        <f t="shared" si="8"/>
        <v>93</v>
      </c>
      <c r="R29" s="13">
        <f t="shared" si="8"/>
        <v>86</v>
      </c>
      <c r="S29" s="13">
        <f t="shared" si="8"/>
        <v>83</v>
      </c>
      <c r="T29" s="13">
        <f t="shared" si="8"/>
        <v>103</v>
      </c>
      <c r="U29" s="13">
        <f t="shared" si="8"/>
        <v>99</v>
      </c>
      <c r="V29" s="13">
        <f t="shared" si="8"/>
        <v>96</v>
      </c>
      <c r="W29" s="13">
        <f t="shared" si="8"/>
        <v>82</v>
      </c>
      <c r="X29" s="13">
        <f t="shared" si="3"/>
        <v>1972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229</v>
      </c>
      <c r="F30" s="13">
        <f t="shared" si="9"/>
        <v>227</v>
      </c>
      <c r="G30" s="13">
        <f t="shared" si="9"/>
        <v>205</v>
      </c>
      <c r="H30" s="13">
        <f t="shared" si="9"/>
        <v>210</v>
      </c>
      <c r="I30" s="13">
        <f t="shared" si="9"/>
        <v>194</v>
      </c>
      <c r="J30" s="13">
        <f t="shared" si="9"/>
        <v>202</v>
      </c>
      <c r="K30" s="13">
        <f t="shared" si="9"/>
        <v>208</v>
      </c>
      <c r="L30" s="13">
        <f t="shared" si="9"/>
        <v>181</v>
      </c>
      <c r="M30" s="13">
        <f t="shared" si="9"/>
        <v>197</v>
      </c>
      <c r="N30" s="13">
        <f t="shared" si="9"/>
        <v>213</v>
      </c>
      <c r="O30" s="13">
        <f t="shared" si="9"/>
        <v>204</v>
      </c>
      <c r="P30" s="13">
        <f t="shared" si="9"/>
        <v>160</v>
      </c>
      <c r="Q30" s="13">
        <f t="shared" si="9"/>
        <v>161</v>
      </c>
      <c r="R30" s="13">
        <f t="shared" si="9"/>
        <v>161</v>
      </c>
      <c r="S30" s="13">
        <f t="shared" si="9"/>
        <v>151</v>
      </c>
      <c r="T30" s="13">
        <f t="shared" si="9"/>
        <v>207</v>
      </c>
      <c r="U30" s="13">
        <f t="shared" si="9"/>
        <v>188</v>
      </c>
      <c r="V30" s="13">
        <f t="shared" si="9"/>
        <v>181</v>
      </c>
      <c r="W30" s="13">
        <f t="shared" si="9"/>
        <v>161</v>
      </c>
      <c r="X30" s="13">
        <f t="shared" si="3"/>
        <v>3640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0"/>
    </row>
    <row r="33" ht="12.75" customHeight="1">
      <c r="A33" s="19">
        <v>1.0</v>
      </c>
      <c r="B33" s="20" t="s">
        <v>26</v>
      </c>
      <c r="C33" s="15"/>
      <c r="D33" s="16"/>
      <c r="E33" s="19">
        <v>294.0</v>
      </c>
      <c r="F33" s="19">
        <v>289.0</v>
      </c>
      <c r="G33" s="19">
        <v>249.0</v>
      </c>
      <c r="H33" s="19">
        <v>280.0</v>
      </c>
      <c r="I33" s="19">
        <v>273.0</v>
      </c>
      <c r="J33" s="19">
        <v>263.0</v>
      </c>
      <c r="K33" s="19">
        <v>263.0</v>
      </c>
      <c r="L33" s="19">
        <v>249.0</v>
      </c>
      <c r="M33" s="19">
        <v>269.0</v>
      </c>
      <c r="N33" s="19">
        <v>270.0</v>
      </c>
      <c r="O33" s="19">
        <v>267.0</v>
      </c>
      <c r="P33" s="19">
        <v>228.0</v>
      </c>
      <c r="Q33" s="19">
        <v>231.0</v>
      </c>
      <c r="R33" s="19">
        <v>221.0</v>
      </c>
      <c r="S33" s="19">
        <v>206.0</v>
      </c>
      <c r="T33" s="19">
        <v>270.0</v>
      </c>
      <c r="U33" s="19">
        <v>256.0</v>
      </c>
      <c r="V33" s="19">
        <v>205.0</v>
      </c>
      <c r="W33" s="19">
        <v>197.0</v>
      </c>
      <c r="X33" s="13">
        <f t="shared" ref="X33:X36" si="10">SUM(E33:W33)</f>
        <v>4780</v>
      </c>
    </row>
    <row r="34" ht="12.75" customHeight="1">
      <c r="A34" s="19">
        <v>2.0</v>
      </c>
      <c r="B34" s="20" t="s">
        <v>27</v>
      </c>
      <c r="C34" s="15"/>
      <c r="D34" s="16"/>
      <c r="E34" s="13">
        <v>229.0</v>
      </c>
      <c r="F34" s="13">
        <v>227.0</v>
      </c>
      <c r="G34" s="13">
        <v>205.0</v>
      </c>
      <c r="H34" s="13">
        <v>210.0</v>
      </c>
      <c r="I34" s="13">
        <v>194.0</v>
      </c>
      <c r="J34" s="13">
        <v>202.0</v>
      </c>
      <c r="K34" s="13">
        <v>208.0</v>
      </c>
      <c r="L34" s="13">
        <v>181.0</v>
      </c>
      <c r="M34" s="13">
        <v>197.0</v>
      </c>
      <c r="N34" s="13">
        <v>213.0</v>
      </c>
      <c r="O34" s="13">
        <v>204.0</v>
      </c>
      <c r="P34" s="13">
        <v>160.0</v>
      </c>
      <c r="Q34" s="13">
        <v>161.0</v>
      </c>
      <c r="R34" s="13">
        <v>161.0</v>
      </c>
      <c r="S34" s="13">
        <v>151.0</v>
      </c>
      <c r="T34" s="13">
        <v>207.0</v>
      </c>
      <c r="U34" s="13">
        <v>188.0</v>
      </c>
      <c r="V34" s="13">
        <v>181.0</v>
      </c>
      <c r="W34" s="13">
        <v>161.0</v>
      </c>
      <c r="X34" s="13">
        <f t="shared" si="10"/>
        <v>3640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65</v>
      </c>
      <c r="F36" s="13">
        <f t="shared" si="11"/>
        <v>62</v>
      </c>
      <c r="G36" s="13">
        <f t="shared" si="11"/>
        <v>44</v>
      </c>
      <c r="H36" s="13">
        <f t="shared" si="11"/>
        <v>70</v>
      </c>
      <c r="I36" s="13">
        <f t="shared" si="11"/>
        <v>77</v>
      </c>
      <c r="J36" s="13">
        <f t="shared" si="11"/>
        <v>61</v>
      </c>
      <c r="K36" s="13">
        <f t="shared" si="11"/>
        <v>55</v>
      </c>
      <c r="L36" s="13">
        <f t="shared" si="11"/>
        <v>68</v>
      </c>
      <c r="M36" s="13">
        <f t="shared" si="11"/>
        <v>72</v>
      </c>
      <c r="N36" s="13">
        <f t="shared" si="11"/>
        <v>57</v>
      </c>
      <c r="O36" s="13">
        <f t="shared" si="11"/>
        <v>63</v>
      </c>
      <c r="P36" s="13">
        <f t="shared" si="11"/>
        <v>68</v>
      </c>
      <c r="Q36" s="13">
        <f t="shared" si="11"/>
        <v>70</v>
      </c>
      <c r="R36" s="13">
        <f t="shared" si="11"/>
        <v>60</v>
      </c>
      <c r="S36" s="13">
        <f t="shared" si="11"/>
        <v>55</v>
      </c>
      <c r="T36" s="13">
        <f t="shared" si="11"/>
        <v>63</v>
      </c>
      <c r="U36" s="13">
        <f t="shared" si="11"/>
        <v>68</v>
      </c>
      <c r="V36" s="13">
        <f t="shared" si="11"/>
        <v>24</v>
      </c>
      <c r="W36" s="13">
        <f t="shared" si="11"/>
        <v>36</v>
      </c>
      <c r="X36" s="13">
        <f t="shared" si="10"/>
        <v>1138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0"/>
    </row>
    <row r="39" ht="12.75" customHeight="1">
      <c r="A39" s="30"/>
      <c r="B39" s="43" t="s">
        <v>32</v>
      </c>
      <c r="C39" s="23"/>
      <c r="D39" s="19" t="s">
        <v>11</v>
      </c>
      <c r="E39" s="19">
        <v>1.0</v>
      </c>
      <c r="F39" s="19"/>
      <c r="G39" s="19"/>
      <c r="H39" s="19"/>
      <c r="I39" s="19"/>
      <c r="J39" s="19"/>
      <c r="K39" s="19">
        <v>2.0</v>
      </c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9">
        <v>3.0</v>
      </c>
      <c r="W39" s="19"/>
      <c r="X39" s="13">
        <f t="shared" ref="X39:X41" si="12">SUM(E39:W39)</f>
        <v>7</v>
      </c>
    </row>
    <row r="40" ht="12.75" customHeight="1">
      <c r="A40" s="33"/>
      <c r="C40" s="27"/>
      <c r="D40" s="19" t="s">
        <v>12</v>
      </c>
      <c r="E40" s="19"/>
      <c r="F40" s="19"/>
      <c r="G40" s="19"/>
      <c r="H40" s="19"/>
      <c r="I40" s="19"/>
      <c r="J40" s="19"/>
      <c r="K40" s="19">
        <v>1.0</v>
      </c>
      <c r="L40" s="19"/>
      <c r="M40" s="19"/>
      <c r="N40" s="19"/>
      <c r="O40" s="19"/>
      <c r="P40" s="19"/>
      <c r="Q40" s="19"/>
      <c r="R40" s="19">
        <v>1.0</v>
      </c>
      <c r="S40" s="19"/>
      <c r="T40" s="19"/>
      <c r="U40" s="19"/>
      <c r="V40" s="19">
        <v>3.0</v>
      </c>
      <c r="W40" s="19"/>
      <c r="X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6</v>
      </c>
      <c r="W41" s="13">
        <f t="shared" si="13"/>
        <v>0</v>
      </c>
      <c r="X41" s="13">
        <f t="shared" si="12"/>
        <v>12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  <c r="V43" s="61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19"/>
      <c r="X44" s="13"/>
    </row>
    <row r="45" ht="12.75" customHeight="1">
      <c r="A45" s="63"/>
      <c r="B45" s="47">
        <v>1.0</v>
      </c>
      <c r="C45" s="48" t="s">
        <v>36</v>
      </c>
      <c r="D45" s="16"/>
      <c r="E45" s="19">
        <v>28.0</v>
      </c>
      <c r="F45" s="19">
        <v>27.0</v>
      </c>
      <c r="G45" s="19">
        <v>27.0</v>
      </c>
      <c r="H45" s="19">
        <v>24.0</v>
      </c>
      <c r="I45" s="19">
        <v>32.0</v>
      </c>
      <c r="J45" s="19">
        <v>44.0</v>
      </c>
      <c r="K45" s="19">
        <v>42.0</v>
      </c>
      <c r="L45" s="19">
        <v>30.0</v>
      </c>
      <c r="M45" s="19">
        <v>33.0</v>
      </c>
      <c r="N45" s="19">
        <v>43.0</v>
      </c>
      <c r="O45" s="19">
        <v>52.0</v>
      </c>
      <c r="P45" s="19">
        <v>18.0</v>
      </c>
      <c r="Q45" s="19">
        <v>32.0</v>
      </c>
      <c r="R45" s="19">
        <v>33.0</v>
      </c>
      <c r="S45" s="19">
        <v>32.0</v>
      </c>
      <c r="T45" s="19">
        <v>31.0</v>
      </c>
      <c r="U45" s="19">
        <v>36.0</v>
      </c>
      <c r="V45" s="19">
        <v>18.0</v>
      </c>
      <c r="W45" s="19">
        <v>29.0</v>
      </c>
      <c r="X45" s="13">
        <f t="shared" ref="X45:X47" si="14">SUM(E45:W45)</f>
        <v>611</v>
      </c>
    </row>
    <row r="46" ht="12.75" customHeight="1">
      <c r="A46" s="18"/>
      <c r="B46" s="47">
        <v>2.0</v>
      </c>
      <c r="C46" s="48" t="s">
        <v>37</v>
      </c>
      <c r="D46" s="16"/>
      <c r="E46" s="19">
        <v>144.0</v>
      </c>
      <c r="F46" s="19">
        <v>144.0</v>
      </c>
      <c r="G46" s="19">
        <v>130.0</v>
      </c>
      <c r="H46" s="19">
        <v>145.0</v>
      </c>
      <c r="I46" s="19">
        <v>126.0</v>
      </c>
      <c r="J46" s="19">
        <v>121.0</v>
      </c>
      <c r="K46" s="19">
        <v>133.0</v>
      </c>
      <c r="L46" s="19">
        <v>110.0</v>
      </c>
      <c r="M46" s="19">
        <v>127.0</v>
      </c>
      <c r="N46" s="19">
        <v>132.0</v>
      </c>
      <c r="O46" s="19">
        <v>114.0</v>
      </c>
      <c r="P46" s="19">
        <v>79.0</v>
      </c>
      <c r="Q46" s="19">
        <v>102.0</v>
      </c>
      <c r="R46" s="19">
        <v>104.0</v>
      </c>
      <c r="S46" s="19">
        <v>97.0</v>
      </c>
      <c r="T46" s="19">
        <v>136.0</v>
      </c>
      <c r="U46" s="19">
        <v>111.0</v>
      </c>
      <c r="V46" s="19">
        <v>137.0</v>
      </c>
      <c r="W46" s="19">
        <v>107.0</v>
      </c>
      <c r="X46" s="13">
        <f t="shared" si="14"/>
        <v>2299</v>
      </c>
    </row>
    <row r="47" ht="12.75" customHeight="1">
      <c r="A47" s="45"/>
      <c r="B47" s="47">
        <v>3.0</v>
      </c>
      <c r="C47" s="48" t="s">
        <v>38</v>
      </c>
      <c r="D47" s="16"/>
      <c r="E47" s="19">
        <v>53.0</v>
      </c>
      <c r="F47" s="19">
        <v>51.0</v>
      </c>
      <c r="G47" s="19">
        <v>44.0</v>
      </c>
      <c r="H47" s="19">
        <v>33.0</v>
      </c>
      <c r="I47" s="19">
        <v>30.0</v>
      </c>
      <c r="J47" s="19">
        <v>34.0</v>
      </c>
      <c r="K47" s="19">
        <v>30.0</v>
      </c>
      <c r="L47" s="19">
        <v>38.0</v>
      </c>
      <c r="M47" s="19">
        <v>33.0</v>
      </c>
      <c r="N47" s="19">
        <v>34.0</v>
      </c>
      <c r="O47" s="19">
        <v>35.0</v>
      </c>
      <c r="P47" s="19">
        <v>57.0</v>
      </c>
      <c r="Q47" s="19">
        <v>26.0</v>
      </c>
      <c r="R47" s="19">
        <v>21.0</v>
      </c>
      <c r="S47" s="19">
        <v>15.0</v>
      </c>
      <c r="T47" s="19">
        <v>36.0</v>
      </c>
      <c r="U47" s="19">
        <v>34.0</v>
      </c>
      <c r="V47" s="19">
        <v>19.0</v>
      </c>
      <c r="W47" s="19">
        <v>17.0</v>
      </c>
      <c r="X47" s="13">
        <f t="shared" si="14"/>
        <v>640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W50" si="15">SUM(E45:E47)</f>
        <v>225</v>
      </c>
      <c r="F50" s="19">
        <f t="shared" si="15"/>
        <v>222</v>
      </c>
      <c r="G50" s="19">
        <f t="shared" si="15"/>
        <v>201</v>
      </c>
      <c r="H50" s="19">
        <f t="shared" si="15"/>
        <v>202</v>
      </c>
      <c r="I50" s="19">
        <f t="shared" si="15"/>
        <v>188</v>
      </c>
      <c r="J50" s="19">
        <f t="shared" si="15"/>
        <v>199</v>
      </c>
      <c r="K50" s="19">
        <f t="shared" si="15"/>
        <v>205</v>
      </c>
      <c r="L50" s="19">
        <f t="shared" si="15"/>
        <v>178</v>
      </c>
      <c r="M50" s="19">
        <f t="shared" si="15"/>
        <v>193</v>
      </c>
      <c r="N50" s="19">
        <f t="shared" si="15"/>
        <v>209</v>
      </c>
      <c r="O50" s="19">
        <f t="shared" si="15"/>
        <v>201</v>
      </c>
      <c r="P50" s="19">
        <f t="shared" si="15"/>
        <v>154</v>
      </c>
      <c r="Q50" s="19">
        <f t="shared" si="15"/>
        <v>160</v>
      </c>
      <c r="R50" s="19">
        <f t="shared" si="15"/>
        <v>158</v>
      </c>
      <c r="S50" s="19">
        <f t="shared" si="15"/>
        <v>144</v>
      </c>
      <c r="T50" s="19">
        <f t="shared" si="15"/>
        <v>203</v>
      </c>
      <c r="U50" s="19">
        <f t="shared" si="15"/>
        <v>181</v>
      </c>
      <c r="V50" s="19">
        <f t="shared" si="15"/>
        <v>174</v>
      </c>
      <c r="W50" s="19">
        <f t="shared" si="15"/>
        <v>153</v>
      </c>
      <c r="X50" s="13">
        <f t="shared" ref="X50:X52" si="16">SUM(E50:W50)</f>
        <v>3550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4.0</v>
      </c>
      <c r="F51" s="19">
        <v>5.0</v>
      </c>
      <c r="G51" s="19">
        <v>4.0</v>
      </c>
      <c r="H51" s="19">
        <v>8.0</v>
      </c>
      <c r="I51" s="19">
        <v>6.0</v>
      </c>
      <c r="J51" s="19">
        <v>3.0</v>
      </c>
      <c r="K51" s="19">
        <v>3.0</v>
      </c>
      <c r="L51" s="19">
        <v>3.0</v>
      </c>
      <c r="M51" s="19">
        <v>4.0</v>
      </c>
      <c r="N51" s="19">
        <v>4.0</v>
      </c>
      <c r="O51" s="19">
        <v>3.0</v>
      </c>
      <c r="P51" s="19">
        <v>6.0</v>
      </c>
      <c r="Q51" s="19">
        <v>1.0</v>
      </c>
      <c r="R51" s="19">
        <v>3.0</v>
      </c>
      <c r="S51" s="19">
        <v>7.0</v>
      </c>
      <c r="T51" s="19">
        <v>4.0</v>
      </c>
      <c r="U51" s="19">
        <v>7.0</v>
      </c>
      <c r="V51" s="19">
        <v>7.0</v>
      </c>
      <c r="W51" s="19">
        <v>8.0</v>
      </c>
      <c r="X51" s="13">
        <f t="shared" si="16"/>
        <v>90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W52" si="17">SUM(E50:E51)</f>
        <v>229</v>
      </c>
      <c r="F52" s="13">
        <f t="shared" si="17"/>
        <v>227</v>
      </c>
      <c r="G52" s="13">
        <f t="shared" si="17"/>
        <v>205</v>
      </c>
      <c r="H52" s="13">
        <f t="shared" si="17"/>
        <v>210</v>
      </c>
      <c r="I52" s="13">
        <f t="shared" si="17"/>
        <v>194</v>
      </c>
      <c r="J52" s="13">
        <f t="shared" si="17"/>
        <v>202</v>
      </c>
      <c r="K52" s="13">
        <f t="shared" si="17"/>
        <v>208</v>
      </c>
      <c r="L52" s="13">
        <f t="shared" si="17"/>
        <v>181</v>
      </c>
      <c r="M52" s="13">
        <f t="shared" si="17"/>
        <v>197</v>
      </c>
      <c r="N52" s="13">
        <f t="shared" si="17"/>
        <v>213</v>
      </c>
      <c r="O52" s="13">
        <f t="shared" si="17"/>
        <v>204</v>
      </c>
      <c r="P52" s="13">
        <f t="shared" si="17"/>
        <v>160</v>
      </c>
      <c r="Q52" s="13">
        <f t="shared" si="17"/>
        <v>161</v>
      </c>
      <c r="R52" s="13">
        <f t="shared" si="17"/>
        <v>161</v>
      </c>
      <c r="S52" s="13">
        <f t="shared" si="17"/>
        <v>151</v>
      </c>
      <c r="T52" s="13">
        <f t="shared" si="17"/>
        <v>207</v>
      </c>
      <c r="U52" s="13">
        <f t="shared" si="17"/>
        <v>188</v>
      </c>
      <c r="V52" s="13">
        <f t="shared" si="17"/>
        <v>181</v>
      </c>
      <c r="W52" s="13">
        <f t="shared" si="17"/>
        <v>161</v>
      </c>
      <c r="X52" s="13">
        <f t="shared" si="16"/>
        <v>3640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W34">
    <cfRule type="expression" dxfId="0" priority="1">
      <formula>E34&lt;&gt;#REF!</formula>
    </cfRule>
  </conditionalFormatting>
  <conditionalFormatting sqref="E14:W15 E45:W47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E30&lt;&gt;E46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50:W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92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36"/>
    </row>
    <row r="14" ht="12.75" customHeight="1">
      <c r="A14" s="18"/>
      <c r="B14" s="22" t="s">
        <v>10</v>
      </c>
      <c r="C14" s="23"/>
      <c r="D14" s="19" t="s">
        <v>11</v>
      </c>
      <c r="E14" s="19">
        <v>132.0</v>
      </c>
      <c r="F14" s="19">
        <v>94.0</v>
      </c>
      <c r="G14" s="19">
        <v>99.0</v>
      </c>
      <c r="H14" s="19">
        <v>138.0</v>
      </c>
      <c r="I14" s="19">
        <v>146.0</v>
      </c>
      <c r="J14" s="19">
        <v>118.0</v>
      </c>
      <c r="K14" s="19">
        <v>114.0</v>
      </c>
      <c r="L14" s="19">
        <v>139.0</v>
      </c>
      <c r="M14" s="19">
        <v>141.0</v>
      </c>
      <c r="N14" s="19">
        <v>117.0</v>
      </c>
      <c r="O14" s="19">
        <v>130.0</v>
      </c>
      <c r="P14" s="19">
        <v>121.0</v>
      </c>
      <c r="Q14" s="19">
        <v>116.0</v>
      </c>
      <c r="R14" s="19">
        <v>132.0</v>
      </c>
      <c r="S14" s="19">
        <v>125.0</v>
      </c>
      <c r="T14" s="19">
        <v>108.0</v>
      </c>
      <c r="U14" s="13">
        <f t="shared" ref="U14:U16" si="1">SUM(E14:T14)</f>
        <v>1970</v>
      </c>
    </row>
    <row r="15" ht="12.75" customHeight="1">
      <c r="A15" s="18"/>
      <c r="B15" s="26"/>
      <c r="C15" s="27"/>
      <c r="D15" s="19" t="s">
        <v>12</v>
      </c>
      <c r="E15" s="19">
        <v>157.0</v>
      </c>
      <c r="F15" s="19">
        <v>109.0</v>
      </c>
      <c r="G15" s="19">
        <v>102.0</v>
      </c>
      <c r="H15" s="19">
        <v>146.0</v>
      </c>
      <c r="I15" s="19">
        <v>144.0</v>
      </c>
      <c r="J15" s="19">
        <v>117.0</v>
      </c>
      <c r="K15" s="19">
        <v>110.0</v>
      </c>
      <c r="L15" s="19">
        <v>151.0</v>
      </c>
      <c r="M15" s="19">
        <v>141.0</v>
      </c>
      <c r="N15" s="19">
        <v>119.0</v>
      </c>
      <c r="O15" s="19">
        <v>143.0</v>
      </c>
      <c r="P15" s="19">
        <v>132.0</v>
      </c>
      <c r="Q15" s="19">
        <v>114.0</v>
      </c>
      <c r="R15" s="19">
        <v>135.0</v>
      </c>
      <c r="S15" s="19">
        <v>128.0</v>
      </c>
      <c r="T15" s="19">
        <v>117.0</v>
      </c>
      <c r="U15" s="13">
        <f t="shared" si="1"/>
        <v>2065</v>
      </c>
    </row>
    <row r="16" ht="12.75" customHeight="1">
      <c r="A16" s="25"/>
      <c r="B16" s="21"/>
      <c r="C16" s="28"/>
      <c r="D16" s="13" t="s">
        <v>13</v>
      </c>
      <c r="E16" s="13">
        <f t="shared" ref="E16:T16" si="2">SUM(E14:E15)</f>
        <v>289</v>
      </c>
      <c r="F16" s="13">
        <f t="shared" si="2"/>
        <v>203</v>
      </c>
      <c r="G16" s="13">
        <f t="shared" si="2"/>
        <v>201</v>
      </c>
      <c r="H16" s="13">
        <f t="shared" si="2"/>
        <v>284</v>
      </c>
      <c r="I16" s="13">
        <f t="shared" si="2"/>
        <v>290</v>
      </c>
      <c r="J16" s="13">
        <f t="shared" si="2"/>
        <v>235</v>
      </c>
      <c r="K16" s="13">
        <f t="shared" si="2"/>
        <v>224</v>
      </c>
      <c r="L16" s="13">
        <f t="shared" si="2"/>
        <v>290</v>
      </c>
      <c r="M16" s="13">
        <f t="shared" si="2"/>
        <v>282</v>
      </c>
      <c r="N16" s="13">
        <f t="shared" si="2"/>
        <v>236</v>
      </c>
      <c r="O16" s="13">
        <f t="shared" si="2"/>
        <v>273</v>
      </c>
      <c r="P16" s="13">
        <f t="shared" si="2"/>
        <v>253</v>
      </c>
      <c r="Q16" s="13">
        <f t="shared" si="2"/>
        <v>230</v>
      </c>
      <c r="R16" s="13">
        <f t="shared" si="2"/>
        <v>267</v>
      </c>
      <c r="S16" s="13">
        <f t="shared" si="2"/>
        <v>253</v>
      </c>
      <c r="T16" s="13">
        <f t="shared" si="2"/>
        <v>225</v>
      </c>
      <c r="U16" s="13">
        <f t="shared" si="1"/>
        <v>4035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122.0</v>
      </c>
      <c r="F19" s="19">
        <v>73.0</v>
      </c>
      <c r="G19" s="19">
        <v>72.0</v>
      </c>
      <c r="H19" s="19">
        <v>103.0</v>
      </c>
      <c r="I19" s="19">
        <v>100.0</v>
      </c>
      <c r="J19" s="19">
        <v>99.0</v>
      </c>
      <c r="K19" s="19">
        <v>78.0</v>
      </c>
      <c r="L19" s="19">
        <v>106.0</v>
      </c>
      <c r="M19" s="19">
        <v>107.0</v>
      </c>
      <c r="N19" s="19">
        <v>82.0</v>
      </c>
      <c r="O19" s="19">
        <v>100.0</v>
      </c>
      <c r="P19" s="19">
        <v>85.0</v>
      </c>
      <c r="Q19" s="19">
        <v>89.0</v>
      </c>
      <c r="R19" s="19">
        <v>99.0</v>
      </c>
      <c r="S19" s="19">
        <v>79.0</v>
      </c>
      <c r="T19" s="19">
        <v>87.0</v>
      </c>
      <c r="U19" s="13">
        <f t="shared" ref="U19:U30" si="3">SUM(E19:T19)</f>
        <v>1481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90.0</v>
      </c>
      <c r="G20" s="19">
        <v>84.0</v>
      </c>
      <c r="H20" s="19">
        <v>114.0</v>
      </c>
      <c r="I20" s="19">
        <v>117.0</v>
      </c>
      <c r="J20" s="19">
        <v>105.0</v>
      </c>
      <c r="K20" s="19">
        <v>91.0</v>
      </c>
      <c r="L20" s="19">
        <v>116.0</v>
      </c>
      <c r="M20" s="19">
        <v>117.0</v>
      </c>
      <c r="N20" s="19">
        <v>93.0</v>
      </c>
      <c r="O20" s="19">
        <v>116.0</v>
      </c>
      <c r="P20" s="19">
        <v>107.0</v>
      </c>
      <c r="Q20" s="19">
        <v>94.0</v>
      </c>
      <c r="R20" s="19">
        <v>113.0</v>
      </c>
      <c r="S20" s="19">
        <v>94.0</v>
      </c>
      <c r="T20" s="19">
        <v>96.0</v>
      </c>
      <c r="U20" s="13">
        <f t="shared" si="3"/>
        <v>1651</v>
      </c>
    </row>
    <row r="21" ht="12.75" customHeight="1">
      <c r="A21" s="35"/>
      <c r="B21" s="28"/>
      <c r="C21" s="36"/>
      <c r="D21" s="13" t="s">
        <v>13</v>
      </c>
      <c r="E21" s="13">
        <f t="shared" ref="E21:T21" si="4">SUM(E19:E20)</f>
        <v>226</v>
      </c>
      <c r="F21" s="13">
        <f t="shared" si="4"/>
        <v>163</v>
      </c>
      <c r="G21" s="13">
        <f t="shared" si="4"/>
        <v>156</v>
      </c>
      <c r="H21" s="13">
        <f t="shared" si="4"/>
        <v>217</v>
      </c>
      <c r="I21" s="13">
        <f t="shared" si="4"/>
        <v>217</v>
      </c>
      <c r="J21" s="13">
        <f t="shared" si="4"/>
        <v>204</v>
      </c>
      <c r="K21" s="13">
        <f t="shared" si="4"/>
        <v>169</v>
      </c>
      <c r="L21" s="13">
        <f t="shared" si="4"/>
        <v>222</v>
      </c>
      <c r="M21" s="13">
        <f t="shared" si="4"/>
        <v>224</v>
      </c>
      <c r="N21" s="13">
        <f t="shared" si="4"/>
        <v>175</v>
      </c>
      <c r="O21" s="13">
        <f t="shared" si="4"/>
        <v>216</v>
      </c>
      <c r="P21" s="13">
        <f t="shared" si="4"/>
        <v>192</v>
      </c>
      <c r="Q21" s="13">
        <f t="shared" si="4"/>
        <v>183</v>
      </c>
      <c r="R21" s="13">
        <f t="shared" si="4"/>
        <v>212</v>
      </c>
      <c r="S21" s="13">
        <f t="shared" si="4"/>
        <v>173</v>
      </c>
      <c r="T21" s="13">
        <f t="shared" si="4"/>
        <v>183</v>
      </c>
      <c r="U21" s="13">
        <f t="shared" si="3"/>
        <v>3132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3.0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4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7.0</v>
      </c>
      <c r="O23" s="19">
        <v>9.0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3">
        <f t="shared" si="3"/>
        <v>18</v>
      </c>
    </row>
    <row r="24" ht="12.75" customHeight="1">
      <c r="A24" s="35"/>
      <c r="B24" s="28"/>
      <c r="C24" s="36"/>
      <c r="D24" s="13" t="s">
        <v>13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10</v>
      </c>
      <c r="O24" s="13">
        <f t="shared" si="5"/>
        <v>10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22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2.0</v>
      </c>
      <c r="F25" s="19">
        <v>2.0</v>
      </c>
      <c r="G25" s="19">
        <v>0.0</v>
      </c>
      <c r="H25" s="19">
        <v>4.0</v>
      </c>
      <c r="I25" s="19">
        <v>3.0</v>
      </c>
      <c r="J25" s="19">
        <v>1.0</v>
      </c>
      <c r="K25" s="19">
        <v>4.0</v>
      </c>
      <c r="L25" s="19">
        <v>3.0</v>
      </c>
      <c r="M25" s="19">
        <v>3.0</v>
      </c>
      <c r="N25" s="19">
        <v>2.0</v>
      </c>
      <c r="O25" s="19">
        <v>5.0</v>
      </c>
      <c r="P25" s="19">
        <v>3.0</v>
      </c>
      <c r="Q25" s="19">
        <v>0.0</v>
      </c>
      <c r="R25" s="19">
        <v>1.0</v>
      </c>
      <c r="S25" s="19">
        <v>10.0</v>
      </c>
      <c r="T25" s="19">
        <v>7.0</v>
      </c>
      <c r="U25" s="13">
        <f t="shared" si="3"/>
        <v>50</v>
      </c>
    </row>
    <row r="26" ht="12.75" customHeight="1">
      <c r="A26" s="33"/>
      <c r="B26" s="27"/>
      <c r="C26" s="34"/>
      <c r="D26" s="19" t="s">
        <v>12</v>
      </c>
      <c r="E26" s="19">
        <v>5.0</v>
      </c>
      <c r="F26" s="19">
        <v>3.0</v>
      </c>
      <c r="G26" s="19">
        <v>1.0</v>
      </c>
      <c r="H26" s="19">
        <v>7.0</v>
      </c>
      <c r="I26" s="19">
        <v>6.0</v>
      </c>
      <c r="J26" s="19">
        <v>4.0</v>
      </c>
      <c r="K26" s="19">
        <v>4.0</v>
      </c>
      <c r="L26" s="19">
        <v>1.0</v>
      </c>
      <c r="M26" s="19">
        <v>3.0</v>
      </c>
      <c r="N26" s="19">
        <v>1.0</v>
      </c>
      <c r="O26" s="19">
        <v>4.0</v>
      </c>
      <c r="P26" s="19">
        <v>3.0</v>
      </c>
      <c r="Q26" s="19">
        <v>1.0</v>
      </c>
      <c r="R26" s="19">
        <v>2.0</v>
      </c>
      <c r="S26" s="19">
        <v>12.0</v>
      </c>
      <c r="T26" s="19">
        <v>9.0</v>
      </c>
      <c r="U26" s="13">
        <f t="shared" si="3"/>
        <v>66</v>
      </c>
    </row>
    <row r="27" ht="12.75" customHeight="1">
      <c r="A27" s="35"/>
      <c r="B27" s="28"/>
      <c r="C27" s="36"/>
      <c r="D27" s="13" t="s">
        <v>13</v>
      </c>
      <c r="E27" s="13">
        <f t="shared" ref="E27:T27" si="6">SUM(E25:E26)</f>
        <v>7</v>
      </c>
      <c r="F27" s="13">
        <f t="shared" si="6"/>
        <v>5</v>
      </c>
      <c r="G27" s="13">
        <f t="shared" si="6"/>
        <v>1</v>
      </c>
      <c r="H27" s="13">
        <f t="shared" si="6"/>
        <v>11</v>
      </c>
      <c r="I27" s="13">
        <f t="shared" si="6"/>
        <v>9</v>
      </c>
      <c r="J27" s="13">
        <f t="shared" si="6"/>
        <v>5</v>
      </c>
      <c r="K27" s="13">
        <f t="shared" si="6"/>
        <v>8</v>
      </c>
      <c r="L27" s="13">
        <f t="shared" si="6"/>
        <v>4</v>
      </c>
      <c r="M27" s="13">
        <f t="shared" si="6"/>
        <v>6</v>
      </c>
      <c r="N27" s="13">
        <f t="shared" si="6"/>
        <v>3</v>
      </c>
      <c r="O27" s="13">
        <f t="shared" si="6"/>
        <v>9</v>
      </c>
      <c r="P27" s="13">
        <f t="shared" si="6"/>
        <v>6</v>
      </c>
      <c r="Q27" s="13">
        <f t="shared" si="6"/>
        <v>1</v>
      </c>
      <c r="R27" s="13">
        <f t="shared" si="6"/>
        <v>3</v>
      </c>
      <c r="S27" s="13">
        <f t="shared" si="6"/>
        <v>22</v>
      </c>
      <c r="T27" s="13">
        <f t="shared" si="6"/>
        <v>16</v>
      </c>
      <c r="U27" s="13">
        <f t="shared" si="3"/>
        <v>116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T28" si="7">SUM(E19,E22,E25)</f>
        <v>124</v>
      </c>
      <c r="F28" s="13">
        <f t="shared" si="7"/>
        <v>75</v>
      </c>
      <c r="G28" s="13">
        <f t="shared" si="7"/>
        <v>72</v>
      </c>
      <c r="H28" s="13">
        <f t="shared" si="7"/>
        <v>107</v>
      </c>
      <c r="I28" s="13">
        <f t="shared" si="7"/>
        <v>103</v>
      </c>
      <c r="J28" s="13">
        <f t="shared" si="7"/>
        <v>100</v>
      </c>
      <c r="K28" s="13">
        <f t="shared" si="7"/>
        <v>82</v>
      </c>
      <c r="L28" s="13">
        <f t="shared" si="7"/>
        <v>109</v>
      </c>
      <c r="M28" s="13">
        <f t="shared" si="7"/>
        <v>110</v>
      </c>
      <c r="N28" s="13">
        <f t="shared" si="7"/>
        <v>87</v>
      </c>
      <c r="O28" s="13">
        <f t="shared" si="7"/>
        <v>106</v>
      </c>
      <c r="P28" s="13">
        <f t="shared" si="7"/>
        <v>88</v>
      </c>
      <c r="Q28" s="13">
        <f t="shared" si="7"/>
        <v>89</v>
      </c>
      <c r="R28" s="13">
        <f t="shared" si="7"/>
        <v>100</v>
      </c>
      <c r="S28" s="13">
        <f t="shared" si="7"/>
        <v>89</v>
      </c>
      <c r="T28" s="13">
        <f t="shared" si="7"/>
        <v>94</v>
      </c>
      <c r="U28" s="13">
        <f t="shared" si="3"/>
        <v>1535</v>
      </c>
    </row>
    <row r="29" ht="12.75" customHeight="1">
      <c r="A29" s="35"/>
      <c r="B29" s="27"/>
      <c r="C29" s="34"/>
      <c r="D29" s="13" t="s">
        <v>12</v>
      </c>
      <c r="E29" s="13">
        <f t="shared" ref="E29:T29" si="8">SUM(E20,E23,E26)</f>
        <v>109</v>
      </c>
      <c r="F29" s="13">
        <f t="shared" si="8"/>
        <v>93</v>
      </c>
      <c r="G29" s="13">
        <f t="shared" si="8"/>
        <v>85</v>
      </c>
      <c r="H29" s="13">
        <f t="shared" si="8"/>
        <v>121</v>
      </c>
      <c r="I29" s="13">
        <f t="shared" si="8"/>
        <v>123</v>
      </c>
      <c r="J29" s="13">
        <f t="shared" si="8"/>
        <v>109</v>
      </c>
      <c r="K29" s="13">
        <f t="shared" si="8"/>
        <v>95</v>
      </c>
      <c r="L29" s="13">
        <f t="shared" si="8"/>
        <v>117</v>
      </c>
      <c r="M29" s="13">
        <f t="shared" si="8"/>
        <v>121</v>
      </c>
      <c r="N29" s="13">
        <f t="shared" si="8"/>
        <v>101</v>
      </c>
      <c r="O29" s="13">
        <f t="shared" si="8"/>
        <v>129</v>
      </c>
      <c r="P29" s="13">
        <f t="shared" si="8"/>
        <v>110</v>
      </c>
      <c r="Q29" s="13">
        <f t="shared" si="8"/>
        <v>96</v>
      </c>
      <c r="R29" s="13">
        <f t="shared" si="8"/>
        <v>115</v>
      </c>
      <c r="S29" s="13">
        <f t="shared" si="8"/>
        <v>106</v>
      </c>
      <c r="T29" s="13">
        <f t="shared" si="8"/>
        <v>105</v>
      </c>
      <c r="U29" s="13">
        <f t="shared" si="3"/>
        <v>1735</v>
      </c>
    </row>
    <row r="30" ht="12.75" customHeight="1">
      <c r="A30" s="35"/>
      <c r="B30" s="28"/>
      <c r="C30" s="36"/>
      <c r="D30" s="13" t="s">
        <v>13</v>
      </c>
      <c r="E30" s="13">
        <f t="shared" ref="E30:T30" si="9">SUM(E28:E29)</f>
        <v>233</v>
      </c>
      <c r="F30" s="13">
        <f t="shared" si="9"/>
        <v>168</v>
      </c>
      <c r="G30" s="13">
        <f t="shared" si="9"/>
        <v>157</v>
      </c>
      <c r="H30" s="13">
        <f t="shared" si="9"/>
        <v>228</v>
      </c>
      <c r="I30" s="13">
        <f t="shared" si="9"/>
        <v>226</v>
      </c>
      <c r="J30" s="13">
        <f t="shared" si="9"/>
        <v>209</v>
      </c>
      <c r="K30" s="13">
        <f t="shared" si="9"/>
        <v>177</v>
      </c>
      <c r="L30" s="13">
        <f t="shared" si="9"/>
        <v>226</v>
      </c>
      <c r="M30" s="13">
        <f t="shared" si="9"/>
        <v>231</v>
      </c>
      <c r="N30" s="13">
        <f t="shared" si="9"/>
        <v>188</v>
      </c>
      <c r="O30" s="13">
        <f t="shared" si="9"/>
        <v>235</v>
      </c>
      <c r="P30" s="13">
        <f t="shared" si="9"/>
        <v>198</v>
      </c>
      <c r="Q30" s="13">
        <f t="shared" si="9"/>
        <v>185</v>
      </c>
      <c r="R30" s="13">
        <f t="shared" si="9"/>
        <v>215</v>
      </c>
      <c r="S30" s="13">
        <f t="shared" si="9"/>
        <v>195</v>
      </c>
      <c r="T30" s="13">
        <f t="shared" si="9"/>
        <v>199</v>
      </c>
      <c r="U30" s="13">
        <f t="shared" si="3"/>
        <v>3270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61"/>
      <c r="U32" s="60"/>
    </row>
    <row r="33" ht="12.75" customHeight="1">
      <c r="A33" s="19">
        <v>1.0</v>
      </c>
      <c r="B33" s="20" t="s">
        <v>26</v>
      </c>
      <c r="C33" s="15"/>
      <c r="D33" s="16"/>
      <c r="E33" s="19">
        <v>294.0</v>
      </c>
      <c r="F33" s="19">
        <v>207.0</v>
      </c>
      <c r="G33" s="19">
        <v>206.0</v>
      </c>
      <c r="H33" s="19">
        <v>288.0</v>
      </c>
      <c r="I33" s="19">
        <v>294.0</v>
      </c>
      <c r="J33" s="19">
        <v>230.0</v>
      </c>
      <c r="K33" s="19">
        <v>227.0</v>
      </c>
      <c r="L33" s="19">
        <v>296.0</v>
      </c>
      <c r="M33" s="19">
        <v>288.0</v>
      </c>
      <c r="N33" s="19">
        <v>241.0</v>
      </c>
      <c r="O33" s="19">
        <v>278.0</v>
      </c>
      <c r="P33" s="19">
        <v>259.0</v>
      </c>
      <c r="Q33" s="19">
        <v>234.0</v>
      </c>
      <c r="R33" s="19">
        <v>273.0</v>
      </c>
      <c r="S33" s="19">
        <v>258.0</v>
      </c>
      <c r="T33" s="19">
        <v>230.0</v>
      </c>
      <c r="U33" s="13">
        <f t="shared" ref="U33:U36" si="10">SUM(E33:T33)</f>
        <v>4103</v>
      </c>
    </row>
    <row r="34" ht="12.75" customHeight="1">
      <c r="A34" s="19">
        <v>2.0</v>
      </c>
      <c r="B34" s="20" t="s">
        <v>27</v>
      </c>
      <c r="C34" s="15"/>
      <c r="D34" s="16"/>
      <c r="E34" s="13">
        <v>233.0</v>
      </c>
      <c r="F34" s="13">
        <v>168.0</v>
      </c>
      <c r="G34" s="13">
        <v>157.0</v>
      </c>
      <c r="H34" s="13">
        <v>228.0</v>
      </c>
      <c r="I34" s="13">
        <v>226.0</v>
      </c>
      <c r="J34" s="13">
        <v>209.0</v>
      </c>
      <c r="K34" s="13">
        <v>177.0</v>
      </c>
      <c r="L34" s="13">
        <v>226.0</v>
      </c>
      <c r="M34" s="13">
        <v>231.0</v>
      </c>
      <c r="N34" s="13">
        <v>188.0</v>
      </c>
      <c r="O34" s="13">
        <v>235.0</v>
      </c>
      <c r="P34" s="13">
        <v>198.0</v>
      </c>
      <c r="Q34" s="13">
        <v>185.0</v>
      </c>
      <c r="R34" s="13">
        <v>215.0</v>
      </c>
      <c r="S34" s="13">
        <v>195.0</v>
      </c>
      <c r="T34" s="13">
        <v>199.0</v>
      </c>
      <c r="U34" s="13">
        <f t="shared" si="10"/>
        <v>3270</v>
      </c>
    </row>
    <row r="35" ht="12.75" customHeight="1">
      <c r="A35" s="19">
        <v>3.0</v>
      </c>
      <c r="B35" s="20" t="s">
        <v>28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5.0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3">
        <f t="shared" si="10"/>
        <v>7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T36" si="11">E33-(E34+E35)</f>
        <v>60</v>
      </c>
      <c r="F36" s="13">
        <f t="shared" si="11"/>
        <v>39</v>
      </c>
      <c r="G36" s="13">
        <f t="shared" si="11"/>
        <v>49</v>
      </c>
      <c r="H36" s="13">
        <f t="shared" si="11"/>
        <v>60</v>
      </c>
      <c r="I36" s="13">
        <f t="shared" si="11"/>
        <v>63</v>
      </c>
      <c r="J36" s="13">
        <f t="shared" si="11"/>
        <v>21</v>
      </c>
      <c r="K36" s="13">
        <f t="shared" si="11"/>
        <v>50</v>
      </c>
      <c r="L36" s="13">
        <f t="shared" si="11"/>
        <v>70</v>
      </c>
      <c r="M36" s="13">
        <f t="shared" si="11"/>
        <v>57</v>
      </c>
      <c r="N36" s="13">
        <f t="shared" si="11"/>
        <v>53</v>
      </c>
      <c r="O36" s="13">
        <f t="shared" si="11"/>
        <v>43</v>
      </c>
      <c r="P36" s="13">
        <f t="shared" si="11"/>
        <v>61</v>
      </c>
      <c r="Q36" s="13">
        <f t="shared" si="11"/>
        <v>49</v>
      </c>
      <c r="R36" s="13">
        <f t="shared" si="11"/>
        <v>58</v>
      </c>
      <c r="S36" s="13">
        <f t="shared" si="11"/>
        <v>63</v>
      </c>
      <c r="T36" s="13">
        <f t="shared" si="11"/>
        <v>30</v>
      </c>
      <c r="U36" s="13">
        <f t="shared" si="10"/>
        <v>826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62"/>
      <c r="U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61"/>
      <c r="U38" s="60"/>
    </row>
    <row r="39" ht="12.75" customHeight="1">
      <c r="A39" s="30"/>
      <c r="B39" s="43" t="s">
        <v>32</v>
      </c>
      <c r="C39" s="23"/>
      <c r="D39" s="19" t="s">
        <v>11</v>
      </c>
      <c r="E39" s="19">
        <v>2.0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3">
        <f t="shared" ref="U39:U41" si="12">SUM(E39:T39)</f>
        <v>4</v>
      </c>
    </row>
    <row r="40" ht="12.75" customHeight="1">
      <c r="A40" s="33"/>
      <c r="C40" s="27"/>
      <c r="D40" s="19" t="s">
        <v>12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2.0</v>
      </c>
      <c r="T40" s="19">
        <v>0.0</v>
      </c>
      <c r="U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T41" si="13">SUM(E39:E40)</f>
        <v>3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61"/>
      <c r="U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3"/>
    </row>
    <row r="45" ht="12.75" customHeight="1">
      <c r="A45" s="63"/>
      <c r="B45" s="47">
        <v>1.0</v>
      </c>
      <c r="C45" s="48" t="s">
        <v>36</v>
      </c>
      <c r="D45" s="16"/>
      <c r="E45" s="19">
        <v>20.0</v>
      </c>
      <c r="F45" s="19">
        <v>24.0</v>
      </c>
      <c r="G45" s="19">
        <v>26.0</v>
      </c>
      <c r="H45" s="19">
        <v>23.0</v>
      </c>
      <c r="I45" s="19">
        <v>42.0</v>
      </c>
      <c r="J45" s="19">
        <v>19.0</v>
      </c>
      <c r="K45" s="19">
        <v>47.0</v>
      </c>
      <c r="L45" s="19">
        <v>56.0</v>
      </c>
      <c r="M45" s="19">
        <v>42.0</v>
      </c>
      <c r="N45" s="19">
        <v>57.0</v>
      </c>
      <c r="O45" s="19">
        <v>23.0</v>
      </c>
      <c r="P45" s="19">
        <v>40.0</v>
      </c>
      <c r="Q45" s="19">
        <v>33.0</v>
      </c>
      <c r="R45" s="19">
        <v>27.0</v>
      </c>
      <c r="S45" s="19">
        <v>14.0</v>
      </c>
      <c r="T45" s="19">
        <v>25.0</v>
      </c>
      <c r="U45" s="13">
        <f t="shared" ref="U45:U47" si="14">SUM(E45:T45)</f>
        <v>518</v>
      </c>
    </row>
    <row r="46" ht="12.75" customHeight="1">
      <c r="A46" s="18"/>
      <c r="B46" s="47">
        <v>2.0</v>
      </c>
      <c r="C46" s="48" t="s">
        <v>37</v>
      </c>
      <c r="D46" s="16"/>
      <c r="E46" s="19">
        <v>119.0</v>
      </c>
      <c r="F46" s="19">
        <v>124.0</v>
      </c>
      <c r="G46" s="19">
        <v>102.0</v>
      </c>
      <c r="H46" s="19">
        <v>167.0</v>
      </c>
      <c r="I46" s="19">
        <v>136.0</v>
      </c>
      <c r="J46" s="19">
        <v>113.0</v>
      </c>
      <c r="K46" s="19">
        <v>110.0</v>
      </c>
      <c r="L46" s="19">
        <v>131.0</v>
      </c>
      <c r="M46" s="19">
        <v>140.0</v>
      </c>
      <c r="N46" s="19">
        <v>100.0</v>
      </c>
      <c r="O46" s="19">
        <v>156.0</v>
      </c>
      <c r="P46" s="19">
        <v>120.0</v>
      </c>
      <c r="Q46" s="19">
        <v>112.0</v>
      </c>
      <c r="R46" s="19">
        <v>139.0</v>
      </c>
      <c r="S46" s="19">
        <v>146.0</v>
      </c>
      <c r="T46" s="19">
        <v>149.0</v>
      </c>
      <c r="U46" s="13">
        <f t="shared" si="14"/>
        <v>2064</v>
      </c>
    </row>
    <row r="47" ht="12.75" customHeight="1">
      <c r="A47" s="45"/>
      <c r="B47" s="47">
        <v>3.0</v>
      </c>
      <c r="C47" s="48" t="s">
        <v>38</v>
      </c>
      <c r="D47" s="16"/>
      <c r="E47" s="19">
        <v>88.0</v>
      </c>
      <c r="F47" s="19">
        <v>17.0</v>
      </c>
      <c r="G47" s="19">
        <v>27.0</v>
      </c>
      <c r="H47" s="19">
        <v>33.0</v>
      </c>
      <c r="I47" s="19">
        <v>43.0</v>
      </c>
      <c r="J47" s="19">
        <v>74.0</v>
      </c>
      <c r="K47" s="19">
        <v>17.0</v>
      </c>
      <c r="L47" s="19">
        <v>30.0</v>
      </c>
      <c r="M47" s="19">
        <v>48.0</v>
      </c>
      <c r="N47" s="19">
        <v>29.0</v>
      </c>
      <c r="O47" s="19">
        <v>50.0</v>
      </c>
      <c r="P47" s="19">
        <v>33.0</v>
      </c>
      <c r="Q47" s="19">
        <v>35.0</v>
      </c>
      <c r="R47" s="19">
        <v>41.0</v>
      </c>
      <c r="S47" s="19">
        <v>30.0</v>
      </c>
      <c r="T47" s="19">
        <v>22.0</v>
      </c>
      <c r="U47" s="13">
        <f t="shared" si="14"/>
        <v>617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61"/>
      <c r="U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T50" si="15">SUM(E45:E47)</f>
        <v>227</v>
      </c>
      <c r="F50" s="19">
        <f t="shared" si="15"/>
        <v>165</v>
      </c>
      <c r="G50" s="19">
        <f t="shared" si="15"/>
        <v>155</v>
      </c>
      <c r="H50" s="19">
        <f t="shared" si="15"/>
        <v>223</v>
      </c>
      <c r="I50" s="19">
        <f t="shared" si="15"/>
        <v>221</v>
      </c>
      <c r="J50" s="19">
        <f t="shared" si="15"/>
        <v>206</v>
      </c>
      <c r="K50" s="19">
        <f t="shared" si="15"/>
        <v>174</v>
      </c>
      <c r="L50" s="19">
        <f t="shared" si="15"/>
        <v>217</v>
      </c>
      <c r="M50" s="19">
        <f t="shared" si="15"/>
        <v>230</v>
      </c>
      <c r="N50" s="19">
        <f t="shared" si="15"/>
        <v>186</v>
      </c>
      <c r="O50" s="19">
        <f t="shared" si="15"/>
        <v>229</v>
      </c>
      <c r="P50" s="19">
        <f t="shared" si="15"/>
        <v>193</v>
      </c>
      <c r="Q50" s="19">
        <f t="shared" si="15"/>
        <v>180</v>
      </c>
      <c r="R50" s="19">
        <f t="shared" si="15"/>
        <v>207</v>
      </c>
      <c r="S50" s="19">
        <f t="shared" si="15"/>
        <v>190</v>
      </c>
      <c r="T50" s="19">
        <f t="shared" si="15"/>
        <v>196</v>
      </c>
      <c r="U50" s="13">
        <f t="shared" ref="U50:U52" si="16">SUM(E50:T50)</f>
        <v>3199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6.0</v>
      </c>
      <c r="F51" s="19">
        <v>3.0</v>
      </c>
      <c r="G51" s="19">
        <v>2.0</v>
      </c>
      <c r="H51" s="19">
        <v>5.0</v>
      </c>
      <c r="I51" s="19">
        <v>5.0</v>
      </c>
      <c r="J51" s="19">
        <v>3.0</v>
      </c>
      <c r="K51" s="19">
        <v>3.0</v>
      </c>
      <c r="L51" s="19">
        <v>9.0</v>
      </c>
      <c r="M51" s="19">
        <v>1.0</v>
      </c>
      <c r="N51" s="19">
        <v>2.0</v>
      </c>
      <c r="O51" s="19">
        <v>6.0</v>
      </c>
      <c r="P51" s="19">
        <v>5.0</v>
      </c>
      <c r="Q51" s="19">
        <v>5.0</v>
      </c>
      <c r="R51" s="19">
        <v>8.0</v>
      </c>
      <c r="S51" s="19">
        <v>5.0</v>
      </c>
      <c r="T51" s="19">
        <v>3.0</v>
      </c>
      <c r="U51" s="13">
        <f t="shared" si="16"/>
        <v>71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T52" si="17">SUM(E50:E51)</f>
        <v>233</v>
      </c>
      <c r="F52" s="13">
        <f t="shared" si="17"/>
        <v>168</v>
      </c>
      <c r="G52" s="13">
        <f t="shared" si="17"/>
        <v>157</v>
      </c>
      <c r="H52" s="13">
        <f t="shared" si="17"/>
        <v>228</v>
      </c>
      <c r="I52" s="13">
        <f t="shared" si="17"/>
        <v>226</v>
      </c>
      <c r="J52" s="13">
        <f t="shared" si="17"/>
        <v>209</v>
      </c>
      <c r="K52" s="13">
        <f t="shared" si="17"/>
        <v>177</v>
      </c>
      <c r="L52" s="13">
        <f t="shared" si="17"/>
        <v>226</v>
      </c>
      <c r="M52" s="13">
        <f t="shared" si="17"/>
        <v>231</v>
      </c>
      <c r="N52" s="13">
        <f t="shared" si="17"/>
        <v>188</v>
      </c>
      <c r="O52" s="13">
        <f t="shared" si="17"/>
        <v>235</v>
      </c>
      <c r="P52" s="13">
        <f t="shared" si="17"/>
        <v>198</v>
      </c>
      <c r="Q52" s="13">
        <f t="shared" si="17"/>
        <v>185</v>
      </c>
      <c r="R52" s="13">
        <f t="shared" si="17"/>
        <v>215</v>
      </c>
      <c r="S52" s="13">
        <f t="shared" si="17"/>
        <v>195</v>
      </c>
      <c r="T52" s="13">
        <f t="shared" si="17"/>
        <v>199</v>
      </c>
      <c r="U52" s="13">
        <f t="shared" si="16"/>
        <v>3270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T15 E45:T47">
    <cfRule type="containsBlanks" dxfId="1" priority="2">
      <formula>LEN(TRIM(E14))=0</formula>
    </cfRule>
  </conditionalFormatting>
  <conditionalFormatting sqref="E19:T20">
    <cfRule type="containsBlanks" dxfId="1" priority="3">
      <formula>LEN(TRIM(E19))=0</formula>
    </cfRule>
  </conditionalFormatting>
  <conditionalFormatting sqref="E22:T23 E25:T26 E33:T33 E35:T35 E39:T40">
    <cfRule type="containsBlanks" dxfId="1" priority="4">
      <formula>LEN(TRIM(E22))=0</formula>
    </cfRule>
  </conditionalFormatting>
  <conditionalFormatting sqref="E30:T30">
    <cfRule type="expression" dxfId="0" priority="5">
      <formula>E30&lt;&gt;E46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50:T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93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13" t="s">
        <v>68</v>
      </c>
      <c r="V13" s="13" t="s">
        <v>69</v>
      </c>
      <c r="W13" s="13" t="s">
        <v>70</v>
      </c>
      <c r="X13" s="13" t="s">
        <v>71</v>
      </c>
      <c r="Y13" s="13" t="s">
        <v>72</v>
      </c>
      <c r="Z13" s="13" t="s">
        <v>73</v>
      </c>
      <c r="AA13" s="13" t="s">
        <v>74</v>
      </c>
      <c r="AB13" s="13" t="s">
        <v>75</v>
      </c>
      <c r="AC13" s="13" t="s">
        <v>76</v>
      </c>
      <c r="AD13" s="13" t="s">
        <v>77</v>
      </c>
      <c r="AE13" s="36"/>
    </row>
    <row r="14" ht="12.75" customHeight="1">
      <c r="A14" s="18"/>
      <c r="B14" s="22" t="s">
        <v>10</v>
      </c>
      <c r="C14" s="23"/>
      <c r="D14" s="19" t="s">
        <v>11</v>
      </c>
      <c r="E14" s="19">
        <v>120.0</v>
      </c>
      <c r="F14" s="19">
        <v>125.0</v>
      </c>
      <c r="G14" s="19">
        <v>128.0</v>
      </c>
      <c r="H14" s="19">
        <v>138.0</v>
      </c>
      <c r="I14" s="19">
        <v>105.0</v>
      </c>
      <c r="J14" s="19">
        <v>88.0</v>
      </c>
      <c r="K14" s="19">
        <v>151.0</v>
      </c>
      <c r="L14" s="19">
        <v>139.0</v>
      </c>
      <c r="M14" s="19">
        <v>114.0</v>
      </c>
      <c r="N14" s="19">
        <v>140.0</v>
      </c>
      <c r="O14" s="19">
        <v>131.0</v>
      </c>
      <c r="P14" s="19">
        <v>120.0</v>
      </c>
      <c r="Q14" s="19">
        <v>128.0</v>
      </c>
      <c r="R14" s="19">
        <v>137.0</v>
      </c>
      <c r="S14" s="19">
        <v>141.0</v>
      </c>
      <c r="T14" s="19">
        <v>121.0</v>
      </c>
      <c r="U14" s="19">
        <v>118.0</v>
      </c>
      <c r="V14" s="19">
        <v>125.0</v>
      </c>
      <c r="W14" s="19">
        <v>101.0</v>
      </c>
      <c r="X14" s="19">
        <v>128.0</v>
      </c>
      <c r="Y14" s="19">
        <v>127.0</v>
      </c>
      <c r="Z14" s="19">
        <v>104.0</v>
      </c>
      <c r="AA14" s="19">
        <v>110.0</v>
      </c>
      <c r="AB14" s="19">
        <v>136.0</v>
      </c>
      <c r="AC14" s="19">
        <v>119.0</v>
      </c>
      <c r="AD14" s="19">
        <v>129.0</v>
      </c>
      <c r="AE14" s="13">
        <f t="shared" ref="AE14:AE16" si="1">SUM(E14:AD14)</f>
        <v>3223</v>
      </c>
    </row>
    <row r="15" ht="12.75" customHeight="1">
      <c r="A15" s="18"/>
      <c r="B15" s="26"/>
      <c r="C15" s="27"/>
      <c r="D15" s="19" t="s">
        <v>12</v>
      </c>
      <c r="E15" s="19">
        <v>152.0</v>
      </c>
      <c r="F15" s="19">
        <v>148.0</v>
      </c>
      <c r="G15" s="19">
        <v>130.0</v>
      </c>
      <c r="H15" s="19">
        <v>154.0</v>
      </c>
      <c r="I15" s="19">
        <v>117.0</v>
      </c>
      <c r="J15" s="19">
        <v>100.0</v>
      </c>
      <c r="K15" s="19">
        <v>137.0</v>
      </c>
      <c r="L15" s="19">
        <v>154.0</v>
      </c>
      <c r="M15" s="19">
        <v>142.0</v>
      </c>
      <c r="N15" s="19">
        <v>151.0</v>
      </c>
      <c r="O15" s="19">
        <v>144.0</v>
      </c>
      <c r="P15" s="19">
        <v>111.0</v>
      </c>
      <c r="Q15" s="19">
        <v>124.0</v>
      </c>
      <c r="R15" s="19">
        <v>143.0</v>
      </c>
      <c r="S15" s="19">
        <v>145.0</v>
      </c>
      <c r="T15" s="19">
        <v>127.0</v>
      </c>
      <c r="U15" s="19">
        <v>150.0</v>
      </c>
      <c r="V15" s="19">
        <v>129.0</v>
      </c>
      <c r="W15" s="19">
        <v>103.0</v>
      </c>
      <c r="X15" s="19">
        <v>158.0</v>
      </c>
      <c r="Y15" s="19">
        <v>151.0</v>
      </c>
      <c r="Z15" s="19">
        <v>126.0</v>
      </c>
      <c r="AA15" s="19">
        <v>112.0</v>
      </c>
      <c r="AB15" s="19">
        <v>149.0</v>
      </c>
      <c r="AC15" s="19">
        <v>138.0</v>
      </c>
      <c r="AD15" s="19">
        <v>137.0</v>
      </c>
      <c r="AE15" s="13">
        <f t="shared" si="1"/>
        <v>3532</v>
      </c>
    </row>
    <row r="16" ht="12.75" customHeight="1">
      <c r="A16" s="25"/>
      <c r="B16" s="21"/>
      <c r="C16" s="28"/>
      <c r="D16" s="13" t="s">
        <v>13</v>
      </c>
      <c r="E16" s="13">
        <f t="shared" ref="E16:AD16" si="2">SUM(E14:E15)</f>
        <v>272</v>
      </c>
      <c r="F16" s="13">
        <f t="shared" si="2"/>
        <v>273</v>
      </c>
      <c r="G16" s="13">
        <f t="shared" si="2"/>
        <v>258</v>
      </c>
      <c r="H16" s="13">
        <f t="shared" si="2"/>
        <v>292</v>
      </c>
      <c r="I16" s="13">
        <f t="shared" si="2"/>
        <v>222</v>
      </c>
      <c r="J16" s="13">
        <f t="shared" si="2"/>
        <v>188</v>
      </c>
      <c r="K16" s="13">
        <f t="shared" si="2"/>
        <v>288</v>
      </c>
      <c r="L16" s="13">
        <f t="shared" si="2"/>
        <v>293</v>
      </c>
      <c r="M16" s="13">
        <f t="shared" si="2"/>
        <v>256</v>
      </c>
      <c r="N16" s="13">
        <f t="shared" si="2"/>
        <v>291</v>
      </c>
      <c r="O16" s="13">
        <f t="shared" si="2"/>
        <v>275</v>
      </c>
      <c r="P16" s="13">
        <f t="shared" si="2"/>
        <v>231</v>
      </c>
      <c r="Q16" s="13">
        <f t="shared" si="2"/>
        <v>252</v>
      </c>
      <c r="R16" s="13">
        <f t="shared" si="2"/>
        <v>280</v>
      </c>
      <c r="S16" s="13">
        <f t="shared" si="2"/>
        <v>286</v>
      </c>
      <c r="T16" s="13">
        <f t="shared" si="2"/>
        <v>248</v>
      </c>
      <c r="U16" s="13">
        <f t="shared" si="2"/>
        <v>268</v>
      </c>
      <c r="V16" s="13">
        <f t="shared" si="2"/>
        <v>254</v>
      </c>
      <c r="W16" s="13">
        <f t="shared" si="2"/>
        <v>204</v>
      </c>
      <c r="X16" s="13">
        <f t="shared" si="2"/>
        <v>286</v>
      </c>
      <c r="Y16" s="13">
        <f t="shared" si="2"/>
        <v>278</v>
      </c>
      <c r="Z16" s="13">
        <f t="shared" si="2"/>
        <v>230</v>
      </c>
      <c r="AA16" s="13">
        <f t="shared" si="2"/>
        <v>222</v>
      </c>
      <c r="AB16" s="13">
        <f t="shared" si="2"/>
        <v>285</v>
      </c>
      <c r="AC16" s="13">
        <f t="shared" si="2"/>
        <v>257</v>
      </c>
      <c r="AD16" s="13">
        <f t="shared" si="2"/>
        <v>266</v>
      </c>
      <c r="AE16" s="13">
        <f t="shared" si="1"/>
        <v>6755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19"/>
      <c r="U17" s="19"/>
      <c r="V17" s="19"/>
      <c r="W17" s="19"/>
      <c r="X17" s="59"/>
      <c r="Y17" s="59"/>
      <c r="Z17" s="59"/>
      <c r="AA17" s="59"/>
      <c r="AB17" s="59"/>
      <c r="AC17" s="59"/>
      <c r="AD17" s="59"/>
      <c r="AE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19"/>
      <c r="U18" s="19"/>
      <c r="V18" s="19"/>
      <c r="W18" s="19"/>
      <c r="X18" s="59"/>
      <c r="Y18" s="59"/>
      <c r="Z18" s="59"/>
      <c r="AA18" s="59"/>
      <c r="AB18" s="59"/>
      <c r="AC18" s="59"/>
      <c r="AD18" s="59"/>
      <c r="AE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78.0</v>
      </c>
      <c r="F19" s="19">
        <v>83.0</v>
      </c>
      <c r="G19" s="19">
        <v>96.0</v>
      </c>
      <c r="H19" s="19">
        <v>94.0</v>
      </c>
      <c r="I19" s="19">
        <v>77.0</v>
      </c>
      <c r="J19" s="19">
        <v>62.0</v>
      </c>
      <c r="K19" s="19">
        <v>117.0</v>
      </c>
      <c r="L19" s="19">
        <v>91.0</v>
      </c>
      <c r="M19" s="19">
        <v>78.0</v>
      </c>
      <c r="N19" s="19">
        <v>100.0</v>
      </c>
      <c r="O19" s="19">
        <v>91.0</v>
      </c>
      <c r="P19" s="19">
        <v>86.0</v>
      </c>
      <c r="Q19" s="19">
        <v>93.0</v>
      </c>
      <c r="R19" s="19">
        <v>102.0</v>
      </c>
      <c r="S19" s="19">
        <v>102.0</v>
      </c>
      <c r="T19" s="19">
        <v>81.0</v>
      </c>
      <c r="U19" s="19">
        <v>72.0</v>
      </c>
      <c r="V19" s="19">
        <v>87.0</v>
      </c>
      <c r="W19" s="19">
        <v>69.0</v>
      </c>
      <c r="X19" s="19">
        <v>102.0</v>
      </c>
      <c r="Y19" s="19">
        <v>93.0</v>
      </c>
      <c r="Z19" s="19">
        <v>83.0</v>
      </c>
      <c r="AA19" s="19">
        <v>79.0</v>
      </c>
      <c r="AB19" s="19">
        <v>91.0</v>
      </c>
      <c r="AC19" s="19">
        <v>83.0</v>
      </c>
      <c r="AD19" s="19">
        <v>108.0</v>
      </c>
      <c r="AE19" s="13">
        <f t="shared" ref="AE19:AE30" si="3">SUM(E19:AD19)</f>
        <v>2298</v>
      </c>
    </row>
    <row r="20" ht="12.75" customHeight="1">
      <c r="A20" s="33"/>
      <c r="B20" s="27"/>
      <c r="C20" s="34"/>
      <c r="D20" s="19" t="s">
        <v>12</v>
      </c>
      <c r="E20" s="19">
        <v>108.0</v>
      </c>
      <c r="F20" s="19">
        <v>110.0</v>
      </c>
      <c r="G20" s="19">
        <v>99.0</v>
      </c>
      <c r="H20" s="19">
        <v>116.0</v>
      </c>
      <c r="I20" s="19">
        <v>84.0</v>
      </c>
      <c r="J20" s="19">
        <v>78.0</v>
      </c>
      <c r="K20" s="19">
        <v>113.0</v>
      </c>
      <c r="L20" s="19">
        <v>118.0</v>
      </c>
      <c r="M20" s="19">
        <v>113.0</v>
      </c>
      <c r="N20" s="19">
        <v>115.0</v>
      </c>
      <c r="O20" s="19">
        <v>115.0</v>
      </c>
      <c r="P20" s="19">
        <v>91.0</v>
      </c>
      <c r="Q20" s="19">
        <v>104.0</v>
      </c>
      <c r="R20" s="19">
        <v>112.0</v>
      </c>
      <c r="S20" s="19">
        <v>125.0</v>
      </c>
      <c r="T20" s="19">
        <v>97.0</v>
      </c>
      <c r="U20" s="19">
        <v>108.0</v>
      </c>
      <c r="V20" s="19">
        <v>109.0</v>
      </c>
      <c r="W20" s="19">
        <v>78.0</v>
      </c>
      <c r="X20" s="19">
        <v>129.0</v>
      </c>
      <c r="Y20" s="19">
        <v>120.0</v>
      </c>
      <c r="Z20" s="19">
        <v>106.0</v>
      </c>
      <c r="AA20" s="19">
        <v>87.0</v>
      </c>
      <c r="AB20" s="19">
        <v>116.0</v>
      </c>
      <c r="AC20" s="19">
        <v>106.0</v>
      </c>
      <c r="AD20" s="19">
        <v>118.0</v>
      </c>
      <c r="AE20" s="13">
        <f t="shared" si="3"/>
        <v>2775</v>
      </c>
    </row>
    <row r="21" ht="12.75" customHeight="1">
      <c r="A21" s="35"/>
      <c r="B21" s="28"/>
      <c r="C21" s="36"/>
      <c r="D21" s="13" t="s">
        <v>13</v>
      </c>
      <c r="E21" s="13">
        <f t="shared" ref="E21:AD21" si="4">SUM(E19:E20)</f>
        <v>186</v>
      </c>
      <c r="F21" s="13">
        <f t="shared" si="4"/>
        <v>193</v>
      </c>
      <c r="G21" s="13">
        <f t="shared" si="4"/>
        <v>195</v>
      </c>
      <c r="H21" s="13">
        <f t="shared" si="4"/>
        <v>210</v>
      </c>
      <c r="I21" s="13">
        <f t="shared" si="4"/>
        <v>161</v>
      </c>
      <c r="J21" s="13">
        <f t="shared" si="4"/>
        <v>140</v>
      </c>
      <c r="K21" s="13">
        <f t="shared" si="4"/>
        <v>230</v>
      </c>
      <c r="L21" s="13">
        <f t="shared" si="4"/>
        <v>209</v>
      </c>
      <c r="M21" s="13">
        <f t="shared" si="4"/>
        <v>191</v>
      </c>
      <c r="N21" s="13">
        <f t="shared" si="4"/>
        <v>215</v>
      </c>
      <c r="O21" s="13">
        <f t="shared" si="4"/>
        <v>206</v>
      </c>
      <c r="P21" s="13">
        <f t="shared" si="4"/>
        <v>177</v>
      </c>
      <c r="Q21" s="13">
        <f t="shared" si="4"/>
        <v>197</v>
      </c>
      <c r="R21" s="13">
        <f t="shared" si="4"/>
        <v>214</v>
      </c>
      <c r="S21" s="13">
        <f t="shared" si="4"/>
        <v>227</v>
      </c>
      <c r="T21" s="13">
        <f t="shared" si="4"/>
        <v>178</v>
      </c>
      <c r="U21" s="13">
        <f t="shared" si="4"/>
        <v>180</v>
      </c>
      <c r="V21" s="13">
        <f t="shared" si="4"/>
        <v>196</v>
      </c>
      <c r="W21" s="13">
        <f t="shared" si="4"/>
        <v>147</v>
      </c>
      <c r="X21" s="13">
        <f t="shared" si="4"/>
        <v>231</v>
      </c>
      <c r="Y21" s="13">
        <f t="shared" si="4"/>
        <v>213</v>
      </c>
      <c r="Z21" s="13">
        <f t="shared" si="4"/>
        <v>189</v>
      </c>
      <c r="AA21" s="13">
        <f t="shared" si="4"/>
        <v>166</v>
      </c>
      <c r="AB21" s="13">
        <f t="shared" si="4"/>
        <v>207</v>
      </c>
      <c r="AC21" s="13">
        <f t="shared" si="4"/>
        <v>189</v>
      </c>
      <c r="AD21" s="13">
        <f t="shared" si="4"/>
        <v>226</v>
      </c>
      <c r="AE21" s="13">
        <f t="shared" si="3"/>
        <v>5073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2.0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3"/>
        <v>4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2.0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0.0</v>
      </c>
      <c r="U23" s="19">
        <v>0.0</v>
      </c>
      <c r="V23" s="19">
        <v>2.0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9">
        <v>0.0</v>
      </c>
      <c r="AD23" s="19">
        <v>0.0</v>
      </c>
      <c r="AE23" s="13">
        <f t="shared" si="3"/>
        <v>6</v>
      </c>
    </row>
    <row r="24" ht="12.75" customHeight="1">
      <c r="A24" s="35"/>
      <c r="B24" s="28"/>
      <c r="C24" s="36"/>
      <c r="D24" s="13" t="s">
        <v>13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4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3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10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4.0</v>
      </c>
      <c r="F25" s="19"/>
      <c r="G25" s="19"/>
      <c r="H25" s="19">
        <v>4.0</v>
      </c>
      <c r="I25" s="19">
        <v>2.0</v>
      </c>
      <c r="J25" s="19">
        <v>1.0</v>
      </c>
      <c r="K25" s="19">
        <v>5.0</v>
      </c>
      <c r="L25" s="19">
        <v>3.0</v>
      </c>
      <c r="M25" s="19"/>
      <c r="N25" s="19">
        <v>3.0</v>
      </c>
      <c r="O25" s="19"/>
      <c r="P25" s="19"/>
      <c r="Q25" s="19"/>
      <c r="R25" s="19">
        <v>5.0</v>
      </c>
      <c r="S25" s="19">
        <v>3.0</v>
      </c>
      <c r="T25" s="19">
        <v>0.0</v>
      </c>
      <c r="U25" s="64">
        <v>2.0</v>
      </c>
      <c r="V25" s="64">
        <v>2.0</v>
      </c>
      <c r="W25" s="64">
        <v>2.0</v>
      </c>
      <c r="X25" s="64">
        <v>3.0</v>
      </c>
      <c r="Y25" s="64">
        <v>0.0</v>
      </c>
      <c r="Z25" s="64">
        <v>2.0</v>
      </c>
      <c r="AA25" s="64">
        <v>5.0</v>
      </c>
      <c r="AB25" s="64">
        <v>0.0</v>
      </c>
      <c r="AC25" s="64">
        <v>1.0</v>
      </c>
      <c r="AD25" s="64">
        <v>0.0</v>
      </c>
      <c r="AE25" s="13">
        <f t="shared" si="3"/>
        <v>47</v>
      </c>
    </row>
    <row r="26" ht="12.75" customHeight="1">
      <c r="A26" s="33"/>
      <c r="B26" s="27"/>
      <c r="C26" s="34"/>
      <c r="D26" s="19" t="s">
        <v>12</v>
      </c>
      <c r="E26" s="19">
        <v>2.0</v>
      </c>
      <c r="F26" s="19"/>
      <c r="G26" s="19">
        <v>1.0</v>
      </c>
      <c r="H26" s="19">
        <v>1.0</v>
      </c>
      <c r="I26" s="19"/>
      <c r="J26" s="19">
        <v>2.0</v>
      </c>
      <c r="K26" s="19">
        <v>6.0</v>
      </c>
      <c r="L26" s="19">
        <v>2.0</v>
      </c>
      <c r="M26" s="19">
        <v>2.0</v>
      </c>
      <c r="N26" s="19">
        <v>10.0</v>
      </c>
      <c r="O26" s="19">
        <v>2.0</v>
      </c>
      <c r="P26" s="19">
        <v>3.0</v>
      </c>
      <c r="Q26" s="19"/>
      <c r="R26" s="19">
        <v>3.0</v>
      </c>
      <c r="S26" s="19">
        <v>6.0</v>
      </c>
      <c r="T26" s="19">
        <v>0.0</v>
      </c>
      <c r="U26" s="19">
        <v>3.0</v>
      </c>
      <c r="V26" s="19">
        <v>0.0</v>
      </c>
      <c r="W26" s="19">
        <v>3.0</v>
      </c>
      <c r="X26" s="19">
        <v>1.0</v>
      </c>
      <c r="Y26" s="19">
        <v>2.0</v>
      </c>
      <c r="Z26" s="19">
        <v>2.0</v>
      </c>
      <c r="AA26" s="19">
        <v>4.0</v>
      </c>
      <c r="AB26" s="19">
        <v>0.0</v>
      </c>
      <c r="AC26" s="19">
        <v>1.0</v>
      </c>
      <c r="AD26" s="19">
        <v>0.0</v>
      </c>
      <c r="AE26" s="13">
        <f t="shared" si="3"/>
        <v>56</v>
      </c>
    </row>
    <row r="27" ht="12.75" customHeight="1">
      <c r="A27" s="35"/>
      <c r="B27" s="28"/>
      <c r="C27" s="36"/>
      <c r="D27" s="13" t="s">
        <v>13</v>
      </c>
      <c r="E27" s="13">
        <f t="shared" ref="E27:AD27" si="6">SUM(E25:E26)</f>
        <v>6</v>
      </c>
      <c r="F27" s="13">
        <f t="shared" si="6"/>
        <v>0</v>
      </c>
      <c r="G27" s="13">
        <f t="shared" si="6"/>
        <v>1</v>
      </c>
      <c r="H27" s="13">
        <f t="shared" si="6"/>
        <v>5</v>
      </c>
      <c r="I27" s="13">
        <f t="shared" si="6"/>
        <v>2</v>
      </c>
      <c r="J27" s="13">
        <f t="shared" si="6"/>
        <v>3</v>
      </c>
      <c r="K27" s="13">
        <f t="shared" si="6"/>
        <v>11</v>
      </c>
      <c r="L27" s="13">
        <f t="shared" si="6"/>
        <v>5</v>
      </c>
      <c r="M27" s="13">
        <f t="shared" si="6"/>
        <v>2</v>
      </c>
      <c r="N27" s="13">
        <f t="shared" si="6"/>
        <v>13</v>
      </c>
      <c r="O27" s="13">
        <f t="shared" si="6"/>
        <v>2</v>
      </c>
      <c r="P27" s="13">
        <f t="shared" si="6"/>
        <v>3</v>
      </c>
      <c r="Q27" s="13">
        <f t="shared" si="6"/>
        <v>0</v>
      </c>
      <c r="R27" s="13">
        <f t="shared" si="6"/>
        <v>8</v>
      </c>
      <c r="S27" s="13">
        <f t="shared" si="6"/>
        <v>9</v>
      </c>
      <c r="T27" s="13">
        <f t="shared" si="6"/>
        <v>0</v>
      </c>
      <c r="U27" s="13">
        <f t="shared" si="6"/>
        <v>5</v>
      </c>
      <c r="V27" s="13">
        <f t="shared" si="6"/>
        <v>2</v>
      </c>
      <c r="W27" s="13">
        <f t="shared" si="6"/>
        <v>5</v>
      </c>
      <c r="X27" s="13">
        <f t="shared" si="6"/>
        <v>4</v>
      </c>
      <c r="Y27" s="13">
        <f t="shared" si="6"/>
        <v>2</v>
      </c>
      <c r="Z27" s="13">
        <f t="shared" si="6"/>
        <v>4</v>
      </c>
      <c r="AA27" s="13">
        <f t="shared" si="6"/>
        <v>9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3"/>
        <v>103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D28" si="7">SUM(E19,E22,E25)</f>
        <v>82</v>
      </c>
      <c r="F28" s="13">
        <f t="shared" si="7"/>
        <v>83</v>
      </c>
      <c r="G28" s="13">
        <f t="shared" si="7"/>
        <v>97</v>
      </c>
      <c r="H28" s="13">
        <f t="shared" si="7"/>
        <v>98</v>
      </c>
      <c r="I28" s="13">
        <f t="shared" si="7"/>
        <v>79</v>
      </c>
      <c r="J28" s="13">
        <f t="shared" si="7"/>
        <v>65</v>
      </c>
      <c r="K28" s="13">
        <f t="shared" si="7"/>
        <v>122</v>
      </c>
      <c r="L28" s="13">
        <f t="shared" si="7"/>
        <v>94</v>
      </c>
      <c r="M28" s="13">
        <f t="shared" si="7"/>
        <v>78</v>
      </c>
      <c r="N28" s="13">
        <f t="shared" si="7"/>
        <v>103</v>
      </c>
      <c r="O28" s="13">
        <f t="shared" si="7"/>
        <v>91</v>
      </c>
      <c r="P28" s="13">
        <f t="shared" si="7"/>
        <v>86</v>
      </c>
      <c r="Q28" s="13">
        <f t="shared" si="7"/>
        <v>93</v>
      </c>
      <c r="R28" s="13">
        <f t="shared" si="7"/>
        <v>107</v>
      </c>
      <c r="S28" s="13">
        <f t="shared" si="7"/>
        <v>105</v>
      </c>
      <c r="T28" s="13">
        <f t="shared" si="7"/>
        <v>81</v>
      </c>
      <c r="U28" s="13">
        <f t="shared" si="7"/>
        <v>74</v>
      </c>
      <c r="V28" s="13">
        <f t="shared" si="7"/>
        <v>90</v>
      </c>
      <c r="W28" s="13">
        <f t="shared" si="7"/>
        <v>71</v>
      </c>
      <c r="X28" s="13">
        <f t="shared" si="7"/>
        <v>105</v>
      </c>
      <c r="Y28" s="13">
        <f t="shared" si="7"/>
        <v>93</v>
      </c>
      <c r="Z28" s="13">
        <f t="shared" si="7"/>
        <v>85</v>
      </c>
      <c r="AA28" s="13">
        <f t="shared" si="7"/>
        <v>84</v>
      </c>
      <c r="AB28" s="13">
        <f t="shared" si="7"/>
        <v>91</v>
      </c>
      <c r="AC28" s="13">
        <f t="shared" si="7"/>
        <v>84</v>
      </c>
      <c r="AD28" s="13">
        <f t="shared" si="7"/>
        <v>108</v>
      </c>
      <c r="AE28" s="13">
        <f t="shared" si="3"/>
        <v>2349</v>
      </c>
    </row>
    <row r="29" ht="12.75" customHeight="1">
      <c r="A29" s="35"/>
      <c r="B29" s="27"/>
      <c r="C29" s="34"/>
      <c r="D29" s="13" t="s">
        <v>12</v>
      </c>
      <c r="E29" s="13">
        <f t="shared" ref="E29:AD29" si="8">SUM(E20,E23,E26)</f>
        <v>110</v>
      </c>
      <c r="F29" s="13">
        <f t="shared" si="8"/>
        <v>110</v>
      </c>
      <c r="G29" s="13">
        <f t="shared" si="8"/>
        <v>100</v>
      </c>
      <c r="H29" s="13">
        <f t="shared" si="8"/>
        <v>117</v>
      </c>
      <c r="I29" s="13">
        <f t="shared" si="8"/>
        <v>84</v>
      </c>
      <c r="J29" s="13">
        <f t="shared" si="8"/>
        <v>82</v>
      </c>
      <c r="K29" s="13">
        <f t="shared" si="8"/>
        <v>119</v>
      </c>
      <c r="L29" s="13">
        <f t="shared" si="8"/>
        <v>120</v>
      </c>
      <c r="M29" s="13">
        <f t="shared" si="8"/>
        <v>115</v>
      </c>
      <c r="N29" s="13">
        <f t="shared" si="8"/>
        <v>125</v>
      </c>
      <c r="O29" s="13">
        <f t="shared" si="8"/>
        <v>117</v>
      </c>
      <c r="P29" s="13">
        <f t="shared" si="8"/>
        <v>94</v>
      </c>
      <c r="Q29" s="13">
        <f t="shared" si="8"/>
        <v>104</v>
      </c>
      <c r="R29" s="13">
        <f t="shared" si="8"/>
        <v>115</v>
      </c>
      <c r="S29" s="13">
        <f t="shared" si="8"/>
        <v>132</v>
      </c>
      <c r="T29" s="13">
        <f t="shared" si="8"/>
        <v>97</v>
      </c>
      <c r="U29" s="13">
        <f t="shared" si="8"/>
        <v>111</v>
      </c>
      <c r="V29" s="13">
        <f t="shared" si="8"/>
        <v>111</v>
      </c>
      <c r="W29" s="13">
        <f t="shared" si="8"/>
        <v>81</v>
      </c>
      <c r="X29" s="13">
        <f t="shared" si="8"/>
        <v>130</v>
      </c>
      <c r="Y29" s="13">
        <f t="shared" si="8"/>
        <v>122</v>
      </c>
      <c r="Z29" s="13">
        <f t="shared" si="8"/>
        <v>108</v>
      </c>
      <c r="AA29" s="13">
        <f t="shared" si="8"/>
        <v>92</v>
      </c>
      <c r="AB29" s="13">
        <f t="shared" si="8"/>
        <v>116</v>
      </c>
      <c r="AC29" s="13">
        <f t="shared" si="8"/>
        <v>107</v>
      </c>
      <c r="AD29" s="13">
        <f t="shared" si="8"/>
        <v>118</v>
      </c>
      <c r="AE29" s="13">
        <f t="shared" si="3"/>
        <v>2837</v>
      </c>
    </row>
    <row r="30" ht="12.75" customHeight="1">
      <c r="A30" s="35"/>
      <c r="B30" s="28"/>
      <c r="C30" s="36"/>
      <c r="D30" s="13" t="s">
        <v>13</v>
      </c>
      <c r="E30" s="13">
        <f t="shared" ref="E30:AD30" si="9">SUM(E28:E29)</f>
        <v>192</v>
      </c>
      <c r="F30" s="13">
        <f t="shared" si="9"/>
        <v>193</v>
      </c>
      <c r="G30" s="13">
        <f t="shared" si="9"/>
        <v>197</v>
      </c>
      <c r="H30" s="13">
        <f t="shared" si="9"/>
        <v>215</v>
      </c>
      <c r="I30" s="13">
        <f t="shared" si="9"/>
        <v>163</v>
      </c>
      <c r="J30" s="13">
        <f t="shared" si="9"/>
        <v>147</v>
      </c>
      <c r="K30" s="13">
        <f t="shared" si="9"/>
        <v>241</v>
      </c>
      <c r="L30" s="13">
        <f t="shared" si="9"/>
        <v>214</v>
      </c>
      <c r="M30" s="13">
        <f t="shared" si="9"/>
        <v>193</v>
      </c>
      <c r="N30" s="13">
        <f t="shared" si="9"/>
        <v>228</v>
      </c>
      <c r="O30" s="13">
        <f t="shared" si="9"/>
        <v>208</v>
      </c>
      <c r="P30" s="13">
        <f t="shared" si="9"/>
        <v>180</v>
      </c>
      <c r="Q30" s="13">
        <f t="shared" si="9"/>
        <v>197</v>
      </c>
      <c r="R30" s="13">
        <f t="shared" si="9"/>
        <v>222</v>
      </c>
      <c r="S30" s="13">
        <f t="shared" si="9"/>
        <v>237</v>
      </c>
      <c r="T30" s="13">
        <f t="shared" si="9"/>
        <v>178</v>
      </c>
      <c r="U30" s="13">
        <f t="shared" si="9"/>
        <v>185</v>
      </c>
      <c r="V30" s="13">
        <f t="shared" si="9"/>
        <v>201</v>
      </c>
      <c r="W30" s="13">
        <f t="shared" si="9"/>
        <v>152</v>
      </c>
      <c r="X30" s="13">
        <f t="shared" si="9"/>
        <v>235</v>
      </c>
      <c r="Y30" s="13">
        <f t="shared" si="9"/>
        <v>215</v>
      </c>
      <c r="Z30" s="13">
        <f t="shared" si="9"/>
        <v>193</v>
      </c>
      <c r="AA30" s="13">
        <f t="shared" si="9"/>
        <v>176</v>
      </c>
      <c r="AB30" s="13">
        <f t="shared" si="9"/>
        <v>207</v>
      </c>
      <c r="AC30" s="13">
        <f t="shared" si="9"/>
        <v>191</v>
      </c>
      <c r="AD30" s="13">
        <f t="shared" si="9"/>
        <v>226</v>
      </c>
      <c r="AE30" s="13">
        <f t="shared" si="3"/>
        <v>5186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19"/>
      <c r="U31" s="19"/>
      <c r="V31" s="19"/>
      <c r="W31" s="19"/>
      <c r="X31" s="59"/>
      <c r="Y31" s="59"/>
      <c r="Z31" s="59"/>
      <c r="AA31" s="59"/>
      <c r="AB31" s="59"/>
      <c r="AC31" s="59"/>
      <c r="AD31" s="59"/>
      <c r="AE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13"/>
      <c r="U32" s="13"/>
      <c r="V32" s="13"/>
      <c r="W32" s="13"/>
      <c r="X32" s="61"/>
      <c r="Y32" s="61"/>
      <c r="Z32" s="61"/>
      <c r="AA32" s="61"/>
      <c r="AB32" s="61"/>
      <c r="AC32" s="61"/>
      <c r="AD32" s="61"/>
      <c r="AE32" s="60"/>
    </row>
    <row r="33" ht="12.75" customHeight="1">
      <c r="A33" s="19">
        <v>1.0</v>
      </c>
      <c r="B33" s="20" t="s">
        <v>60</v>
      </c>
      <c r="C33" s="15"/>
      <c r="D33" s="16"/>
      <c r="E33" s="19">
        <v>278.0</v>
      </c>
      <c r="F33" s="19">
        <v>279.0</v>
      </c>
      <c r="G33" s="19">
        <v>264.0</v>
      </c>
      <c r="H33" s="19">
        <v>298.0</v>
      </c>
      <c r="I33" s="19">
        <v>227.0</v>
      </c>
      <c r="J33" s="19">
        <v>292.0</v>
      </c>
      <c r="K33" s="19">
        <v>294.0</v>
      </c>
      <c r="L33" s="19">
        <v>299.0</v>
      </c>
      <c r="M33" s="19">
        <v>262.0</v>
      </c>
      <c r="N33" s="19">
        <v>297.0</v>
      </c>
      <c r="O33" s="19">
        <v>281.0</v>
      </c>
      <c r="P33" s="19">
        <v>236.0</v>
      </c>
      <c r="Q33" s="19">
        <v>258.0</v>
      </c>
      <c r="R33" s="19">
        <v>286.0</v>
      </c>
      <c r="S33" s="19">
        <v>296.0</v>
      </c>
      <c r="T33" s="19">
        <v>253.0</v>
      </c>
      <c r="U33" s="19">
        <v>275.0</v>
      </c>
      <c r="V33" s="19">
        <v>260.0</v>
      </c>
      <c r="W33" s="19">
        <v>209.0</v>
      </c>
      <c r="X33" s="19">
        <v>295.0</v>
      </c>
      <c r="Y33" s="19">
        <v>284.0</v>
      </c>
      <c r="Z33" s="19">
        <v>235.0</v>
      </c>
      <c r="AA33" s="19">
        <v>229.0</v>
      </c>
      <c r="AB33" s="19">
        <v>291.0</v>
      </c>
      <c r="AC33" s="19">
        <v>263.0</v>
      </c>
      <c r="AD33" s="19">
        <v>272.0</v>
      </c>
      <c r="AE33" s="13">
        <f t="shared" ref="AE33:AE36" si="10">SUM(E33:AD33)</f>
        <v>7013</v>
      </c>
    </row>
    <row r="34" ht="12.75" customHeight="1">
      <c r="A34" s="19">
        <v>2.0</v>
      </c>
      <c r="B34" s="20" t="s">
        <v>27</v>
      </c>
      <c r="C34" s="15"/>
      <c r="D34" s="16"/>
      <c r="E34" s="13">
        <v>192.0</v>
      </c>
      <c r="F34" s="13">
        <v>193.0</v>
      </c>
      <c r="G34" s="13">
        <v>197.0</v>
      </c>
      <c r="H34" s="13">
        <v>215.0</v>
      </c>
      <c r="I34" s="13">
        <v>163.0</v>
      </c>
      <c r="J34" s="13">
        <v>147.0</v>
      </c>
      <c r="K34" s="13">
        <v>241.0</v>
      </c>
      <c r="L34" s="13">
        <v>214.0</v>
      </c>
      <c r="M34" s="13">
        <v>193.0</v>
      </c>
      <c r="N34" s="13">
        <v>228.0</v>
      </c>
      <c r="O34" s="13">
        <v>208.0</v>
      </c>
      <c r="P34" s="13">
        <v>180.0</v>
      </c>
      <c r="Q34" s="13">
        <v>197.0</v>
      </c>
      <c r="R34" s="13">
        <v>222.0</v>
      </c>
      <c r="S34" s="13">
        <v>237.0</v>
      </c>
      <c r="T34" s="13">
        <v>178.0</v>
      </c>
      <c r="U34" s="13">
        <v>185.0</v>
      </c>
      <c r="V34" s="13">
        <v>201.0</v>
      </c>
      <c r="W34" s="13">
        <v>152.0</v>
      </c>
      <c r="X34" s="65">
        <v>235.0</v>
      </c>
      <c r="Y34" s="65">
        <v>215.0</v>
      </c>
      <c r="Z34" s="65">
        <v>193.0</v>
      </c>
      <c r="AA34" s="65">
        <v>176.0</v>
      </c>
      <c r="AB34" s="65">
        <v>207.0</v>
      </c>
      <c r="AC34" s="65">
        <v>191.0</v>
      </c>
      <c r="AD34" s="65">
        <v>226.0</v>
      </c>
      <c r="AE34" s="13">
        <f t="shared" si="10"/>
        <v>5186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7.0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0.0</v>
      </c>
      <c r="AD35" s="19">
        <v>0.0</v>
      </c>
      <c r="AE35" s="13">
        <f t="shared" si="10"/>
        <v>10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D36" si="11">E33-(E34+E35)</f>
        <v>86</v>
      </c>
      <c r="F36" s="13">
        <f t="shared" si="11"/>
        <v>86</v>
      </c>
      <c r="G36" s="13">
        <f t="shared" si="11"/>
        <v>67</v>
      </c>
      <c r="H36" s="13">
        <f t="shared" si="11"/>
        <v>83</v>
      </c>
      <c r="I36" s="13">
        <f t="shared" si="11"/>
        <v>64</v>
      </c>
      <c r="J36" s="13">
        <f t="shared" si="11"/>
        <v>145</v>
      </c>
      <c r="K36" s="13">
        <f t="shared" si="11"/>
        <v>53</v>
      </c>
      <c r="L36" s="13">
        <f t="shared" si="11"/>
        <v>85</v>
      </c>
      <c r="M36" s="13">
        <f t="shared" si="11"/>
        <v>69</v>
      </c>
      <c r="N36" s="13">
        <f t="shared" si="11"/>
        <v>68</v>
      </c>
      <c r="O36" s="13">
        <f t="shared" si="11"/>
        <v>73</v>
      </c>
      <c r="P36" s="13">
        <f t="shared" si="11"/>
        <v>56</v>
      </c>
      <c r="Q36" s="13">
        <f t="shared" si="11"/>
        <v>61</v>
      </c>
      <c r="R36" s="13">
        <f t="shared" si="11"/>
        <v>64</v>
      </c>
      <c r="S36" s="13">
        <f t="shared" si="11"/>
        <v>59</v>
      </c>
      <c r="T36" s="13">
        <f t="shared" si="11"/>
        <v>75</v>
      </c>
      <c r="U36" s="13">
        <f t="shared" si="11"/>
        <v>90</v>
      </c>
      <c r="V36" s="13">
        <f t="shared" si="11"/>
        <v>58</v>
      </c>
      <c r="W36" s="13">
        <f t="shared" si="11"/>
        <v>50</v>
      </c>
      <c r="X36" s="13">
        <f t="shared" si="11"/>
        <v>60</v>
      </c>
      <c r="Y36" s="13">
        <f t="shared" si="11"/>
        <v>69</v>
      </c>
      <c r="Z36" s="13">
        <f t="shared" si="11"/>
        <v>41</v>
      </c>
      <c r="AA36" s="13">
        <f t="shared" si="11"/>
        <v>53</v>
      </c>
      <c r="AB36" s="13">
        <f t="shared" si="11"/>
        <v>84</v>
      </c>
      <c r="AC36" s="13">
        <f t="shared" si="11"/>
        <v>72</v>
      </c>
      <c r="AD36" s="13">
        <f t="shared" si="11"/>
        <v>46</v>
      </c>
      <c r="AE36" s="13">
        <f t="shared" si="10"/>
        <v>1817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19"/>
      <c r="U37" s="19"/>
      <c r="V37" s="19"/>
      <c r="W37" s="19"/>
      <c r="X37" s="59"/>
      <c r="Y37" s="62"/>
      <c r="Z37" s="62"/>
      <c r="AA37" s="62"/>
      <c r="AB37" s="62"/>
      <c r="AC37" s="62"/>
      <c r="AD37" s="62"/>
      <c r="AE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13"/>
      <c r="U38" s="13"/>
      <c r="V38" s="13"/>
      <c r="W38" s="13"/>
      <c r="X38" s="61"/>
      <c r="Y38" s="61"/>
      <c r="Z38" s="61"/>
      <c r="AA38" s="61"/>
      <c r="AB38" s="61"/>
      <c r="AC38" s="61"/>
      <c r="AD38" s="61"/>
      <c r="AE38" s="60"/>
    </row>
    <row r="39" ht="12.75" customHeight="1">
      <c r="A39" s="30"/>
      <c r="B39" s="43" t="s">
        <v>32</v>
      </c>
      <c r="C39" s="23"/>
      <c r="D39" s="19" t="s">
        <v>11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>
        <v>1.0</v>
      </c>
      <c r="P39" s="19"/>
      <c r="Q39" s="19"/>
      <c r="R39" s="19"/>
      <c r="S39" s="19">
        <v>2.0</v>
      </c>
      <c r="T39" s="19"/>
      <c r="U39" s="19"/>
      <c r="V39" s="19"/>
      <c r="W39" s="19">
        <v>1.0</v>
      </c>
      <c r="X39" s="19"/>
      <c r="Y39" s="19"/>
      <c r="Z39" s="19"/>
      <c r="AA39" s="19"/>
      <c r="AB39" s="19"/>
      <c r="AC39" s="19">
        <v>1.0</v>
      </c>
      <c r="AD39" s="19"/>
      <c r="AE39" s="13">
        <f t="shared" ref="AE39:AE41" si="12">SUM(E39:AD39)</f>
        <v>5</v>
      </c>
    </row>
    <row r="40" ht="12.75" customHeight="1">
      <c r="A40" s="33"/>
      <c r="C40" s="27"/>
      <c r="D40" s="19" t="s">
        <v>12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4.0</v>
      </c>
      <c r="T40" s="19"/>
      <c r="U40" s="19"/>
      <c r="V40" s="19"/>
      <c r="W40" s="19"/>
      <c r="X40" s="19"/>
      <c r="Y40" s="19"/>
      <c r="Z40" s="19"/>
      <c r="AA40" s="19"/>
      <c r="AB40" s="19"/>
      <c r="AC40" s="19">
        <v>1.0</v>
      </c>
      <c r="AD40" s="19"/>
      <c r="AE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AD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19"/>
      <c r="U42" s="19"/>
      <c r="V42" s="19"/>
      <c r="W42" s="19"/>
      <c r="X42" s="59"/>
      <c r="Y42" s="19"/>
      <c r="Z42" s="59"/>
      <c r="AA42" s="19"/>
      <c r="AB42" s="59"/>
      <c r="AC42" s="19"/>
      <c r="AD42" s="59"/>
      <c r="AE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13"/>
      <c r="U43" s="13"/>
      <c r="V43" s="13"/>
      <c r="W43" s="13"/>
      <c r="X43" s="61"/>
      <c r="Y43" s="13"/>
      <c r="Z43" s="61"/>
      <c r="AA43" s="13"/>
      <c r="AB43" s="61"/>
      <c r="AC43" s="13"/>
      <c r="AD43" s="61"/>
      <c r="AE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19"/>
      <c r="U44" s="19"/>
      <c r="V44" s="19"/>
      <c r="W44" s="19"/>
      <c r="X44" s="59"/>
      <c r="Y44" s="19"/>
      <c r="Z44" s="59"/>
      <c r="AA44" s="19"/>
      <c r="AB44" s="59"/>
      <c r="AC44" s="19"/>
      <c r="AD44" s="59"/>
      <c r="AE44" s="13"/>
    </row>
    <row r="45" ht="12.75" customHeight="1">
      <c r="A45" s="63"/>
      <c r="B45" s="47">
        <v>1.0</v>
      </c>
      <c r="C45" s="48" t="s">
        <v>36</v>
      </c>
      <c r="D45" s="16"/>
      <c r="E45" s="19">
        <v>52.0</v>
      </c>
      <c r="F45" s="19">
        <v>35.0</v>
      </c>
      <c r="G45" s="19">
        <v>30.0</v>
      </c>
      <c r="H45" s="19">
        <v>36.0</v>
      </c>
      <c r="I45" s="19">
        <v>77.0</v>
      </c>
      <c r="J45" s="19">
        <v>68.0</v>
      </c>
      <c r="K45" s="19">
        <v>46.0</v>
      </c>
      <c r="L45" s="19">
        <v>31.0</v>
      </c>
      <c r="M45" s="19">
        <v>36.0</v>
      </c>
      <c r="N45" s="19">
        <v>85.0</v>
      </c>
      <c r="O45" s="19">
        <v>60.0</v>
      </c>
      <c r="P45" s="19">
        <v>54.0</v>
      </c>
      <c r="Q45" s="19">
        <v>28.0</v>
      </c>
      <c r="R45" s="19">
        <v>52.0</v>
      </c>
      <c r="S45" s="19">
        <v>36.0</v>
      </c>
      <c r="T45" s="19">
        <v>38.0</v>
      </c>
      <c r="U45" s="19">
        <v>60.0</v>
      </c>
      <c r="V45" s="19">
        <v>50.0</v>
      </c>
      <c r="W45" s="19">
        <v>12.0</v>
      </c>
      <c r="X45" s="19">
        <v>39.0</v>
      </c>
      <c r="Y45" s="19">
        <v>31.0</v>
      </c>
      <c r="Z45" s="19">
        <v>56.0</v>
      </c>
      <c r="AA45" s="19">
        <v>34.0</v>
      </c>
      <c r="AB45" s="19">
        <v>42.0</v>
      </c>
      <c r="AC45" s="19">
        <v>40.0</v>
      </c>
      <c r="AD45" s="19">
        <v>32.0</v>
      </c>
      <c r="AE45" s="13">
        <f t="shared" ref="AE45:AE47" si="14">SUM(E45:AD45)</f>
        <v>1160</v>
      </c>
    </row>
    <row r="46" ht="12.75" customHeight="1">
      <c r="A46" s="18"/>
      <c r="B46" s="47">
        <v>2.0</v>
      </c>
      <c r="C46" s="48" t="s">
        <v>37</v>
      </c>
      <c r="D46" s="16"/>
      <c r="E46" s="19">
        <v>105.0</v>
      </c>
      <c r="F46" s="19">
        <v>130.0</v>
      </c>
      <c r="G46" s="19">
        <v>115.0</v>
      </c>
      <c r="H46" s="19">
        <v>147.0</v>
      </c>
      <c r="I46" s="19">
        <v>53.0</v>
      </c>
      <c r="J46" s="19">
        <v>49.0</v>
      </c>
      <c r="K46" s="19">
        <v>161.0</v>
      </c>
      <c r="L46" s="19">
        <v>138.0</v>
      </c>
      <c r="M46" s="19">
        <v>129.0</v>
      </c>
      <c r="N46" s="19">
        <v>118.0</v>
      </c>
      <c r="O46" s="19">
        <v>128.0</v>
      </c>
      <c r="P46" s="19">
        <v>112.0</v>
      </c>
      <c r="Q46" s="19">
        <v>134.0</v>
      </c>
      <c r="R46" s="19">
        <v>132.0</v>
      </c>
      <c r="S46" s="19">
        <v>154.0</v>
      </c>
      <c r="T46" s="19">
        <v>118.0</v>
      </c>
      <c r="U46" s="19">
        <v>92.0</v>
      </c>
      <c r="V46" s="19">
        <v>107.0</v>
      </c>
      <c r="W46" s="19">
        <v>111.0</v>
      </c>
      <c r="X46" s="19">
        <v>139.0</v>
      </c>
      <c r="Y46" s="19">
        <v>153.0</v>
      </c>
      <c r="Z46" s="19">
        <v>87.0</v>
      </c>
      <c r="AA46" s="19">
        <v>74.0</v>
      </c>
      <c r="AB46" s="19">
        <v>126.0</v>
      </c>
      <c r="AC46" s="19">
        <v>126.0</v>
      </c>
      <c r="AD46" s="19">
        <v>167.0</v>
      </c>
      <c r="AE46" s="13">
        <f t="shared" si="14"/>
        <v>3105</v>
      </c>
    </row>
    <row r="47" ht="12.75" customHeight="1">
      <c r="A47" s="45"/>
      <c r="B47" s="47">
        <v>3.0</v>
      </c>
      <c r="C47" s="48" t="s">
        <v>38</v>
      </c>
      <c r="D47" s="16"/>
      <c r="E47" s="19">
        <v>33.0</v>
      </c>
      <c r="F47" s="19">
        <v>27.0</v>
      </c>
      <c r="G47" s="19">
        <v>50.0</v>
      </c>
      <c r="H47" s="19">
        <v>27.0</v>
      </c>
      <c r="I47" s="19">
        <v>29.0</v>
      </c>
      <c r="J47" s="19">
        <v>30.0</v>
      </c>
      <c r="K47" s="19">
        <v>32.0</v>
      </c>
      <c r="L47" s="19">
        <v>42.0</v>
      </c>
      <c r="M47" s="19">
        <v>24.0</v>
      </c>
      <c r="N47" s="19">
        <v>24.0</v>
      </c>
      <c r="O47" s="19">
        <v>17.0</v>
      </c>
      <c r="P47" s="19">
        <v>12.0</v>
      </c>
      <c r="Q47" s="19">
        <v>32.0</v>
      </c>
      <c r="R47" s="19">
        <v>34.0</v>
      </c>
      <c r="S47" s="19">
        <v>42.0</v>
      </c>
      <c r="T47" s="19">
        <v>17.0</v>
      </c>
      <c r="U47" s="19">
        <v>29.0</v>
      </c>
      <c r="V47" s="19">
        <v>38.0</v>
      </c>
      <c r="W47" s="19">
        <v>24.0</v>
      </c>
      <c r="X47" s="19">
        <v>53.0</v>
      </c>
      <c r="Y47" s="19">
        <v>28.0</v>
      </c>
      <c r="Z47" s="19">
        <v>46.0</v>
      </c>
      <c r="AA47" s="19">
        <v>68.0</v>
      </c>
      <c r="AB47" s="19">
        <v>37.0</v>
      </c>
      <c r="AC47" s="19">
        <v>22.0</v>
      </c>
      <c r="AD47" s="19">
        <v>25.0</v>
      </c>
      <c r="AE47" s="13">
        <f t="shared" si="14"/>
        <v>842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13"/>
      <c r="U49" s="13"/>
      <c r="V49" s="13"/>
      <c r="W49" s="13"/>
      <c r="X49" s="61"/>
      <c r="Y49" s="61"/>
      <c r="Z49" s="61"/>
      <c r="AA49" s="61"/>
      <c r="AB49" s="61"/>
      <c r="AC49" s="61"/>
      <c r="AD49" s="61"/>
      <c r="AE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D50" si="15">SUM(E45:E47)</f>
        <v>190</v>
      </c>
      <c r="F50" s="19">
        <f t="shared" si="15"/>
        <v>192</v>
      </c>
      <c r="G50" s="19">
        <f t="shared" si="15"/>
        <v>195</v>
      </c>
      <c r="H50" s="19">
        <f t="shared" si="15"/>
        <v>210</v>
      </c>
      <c r="I50" s="19">
        <f t="shared" si="15"/>
        <v>159</v>
      </c>
      <c r="J50" s="19">
        <f t="shared" si="15"/>
        <v>147</v>
      </c>
      <c r="K50" s="19">
        <f t="shared" si="15"/>
        <v>239</v>
      </c>
      <c r="L50" s="19">
        <f t="shared" si="15"/>
        <v>211</v>
      </c>
      <c r="M50" s="19">
        <f t="shared" si="15"/>
        <v>189</v>
      </c>
      <c r="N50" s="19">
        <f t="shared" si="15"/>
        <v>227</v>
      </c>
      <c r="O50" s="19">
        <f t="shared" si="15"/>
        <v>205</v>
      </c>
      <c r="P50" s="19">
        <f t="shared" si="15"/>
        <v>178</v>
      </c>
      <c r="Q50" s="19">
        <f t="shared" si="15"/>
        <v>194</v>
      </c>
      <c r="R50" s="19">
        <f t="shared" si="15"/>
        <v>218</v>
      </c>
      <c r="S50" s="19">
        <f t="shared" si="15"/>
        <v>232</v>
      </c>
      <c r="T50" s="19">
        <f t="shared" si="15"/>
        <v>173</v>
      </c>
      <c r="U50" s="19">
        <f t="shared" si="15"/>
        <v>181</v>
      </c>
      <c r="V50" s="19">
        <f t="shared" si="15"/>
        <v>195</v>
      </c>
      <c r="W50" s="19">
        <f t="shared" si="15"/>
        <v>147</v>
      </c>
      <c r="X50" s="19">
        <f t="shared" si="15"/>
        <v>231</v>
      </c>
      <c r="Y50" s="19">
        <f t="shared" si="15"/>
        <v>212</v>
      </c>
      <c r="Z50" s="19">
        <f t="shared" si="15"/>
        <v>189</v>
      </c>
      <c r="AA50" s="19">
        <f t="shared" si="15"/>
        <v>176</v>
      </c>
      <c r="AB50" s="19">
        <f t="shared" si="15"/>
        <v>205</v>
      </c>
      <c r="AC50" s="19">
        <f t="shared" si="15"/>
        <v>188</v>
      </c>
      <c r="AD50" s="19">
        <f t="shared" si="15"/>
        <v>224</v>
      </c>
      <c r="AE50" s="13">
        <f t="shared" ref="AE50:AE52" si="16">SUM(E50:AD50)</f>
        <v>5107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2.0</v>
      </c>
      <c r="F51" s="19">
        <v>1.0</v>
      </c>
      <c r="G51" s="19">
        <v>2.0</v>
      </c>
      <c r="H51" s="19">
        <v>5.0</v>
      </c>
      <c r="I51" s="19">
        <v>4.0</v>
      </c>
      <c r="J51" s="19">
        <v>0.0</v>
      </c>
      <c r="K51" s="19">
        <v>2.0</v>
      </c>
      <c r="L51" s="19">
        <v>3.0</v>
      </c>
      <c r="M51" s="19">
        <v>4.0</v>
      </c>
      <c r="N51" s="19">
        <v>1.0</v>
      </c>
      <c r="O51" s="19">
        <v>3.0</v>
      </c>
      <c r="P51" s="19">
        <v>2.0</v>
      </c>
      <c r="Q51" s="19">
        <v>3.0</v>
      </c>
      <c r="R51" s="19">
        <v>4.0</v>
      </c>
      <c r="S51" s="19">
        <v>5.0</v>
      </c>
      <c r="T51" s="19">
        <v>5.0</v>
      </c>
      <c r="U51" s="19">
        <v>4.0</v>
      </c>
      <c r="V51" s="19">
        <v>6.0</v>
      </c>
      <c r="W51" s="19">
        <v>5.0</v>
      </c>
      <c r="X51" s="19">
        <v>4.0</v>
      </c>
      <c r="Y51" s="19">
        <v>3.0</v>
      </c>
      <c r="Z51" s="19">
        <v>4.0</v>
      </c>
      <c r="AA51" s="19">
        <v>0.0</v>
      </c>
      <c r="AB51" s="19">
        <v>2.0</v>
      </c>
      <c r="AC51" s="19">
        <v>3.0</v>
      </c>
      <c r="AD51" s="19">
        <v>2.0</v>
      </c>
      <c r="AE51" s="13">
        <f t="shared" si="16"/>
        <v>79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D52" si="17">SUM(E50:E51)</f>
        <v>192</v>
      </c>
      <c r="F52" s="13">
        <f t="shared" si="17"/>
        <v>193</v>
      </c>
      <c r="G52" s="13">
        <f t="shared" si="17"/>
        <v>197</v>
      </c>
      <c r="H52" s="13">
        <f t="shared" si="17"/>
        <v>215</v>
      </c>
      <c r="I52" s="13">
        <f t="shared" si="17"/>
        <v>163</v>
      </c>
      <c r="J52" s="13">
        <f t="shared" si="17"/>
        <v>147</v>
      </c>
      <c r="K52" s="13">
        <f t="shared" si="17"/>
        <v>241</v>
      </c>
      <c r="L52" s="13">
        <f t="shared" si="17"/>
        <v>214</v>
      </c>
      <c r="M52" s="13">
        <f t="shared" si="17"/>
        <v>193</v>
      </c>
      <c r="N52" s="13">
        <f t="shared" si="17"/>
        <v>228</v>
      </c>
      <c r="O52" s="13">
        <f t="shared" si="17"/>
        <v>208</v>
      </c>
      <c r="P52" s="13">
        <f t="shared" si="17"/>
        <v>180</v>
      </c>
      <c r="Q52" s="13">
        <f t="shared" si="17"/>
        <v>197</v>
      </c>
      <c r="R52" s="13">
        <f t="shared" si="17"/>
        <v>222</v>
      </c>
      <c r="S52" s="13">
        <f t="shared" si="17"/>
        <v>237</v>
      </c>
      <c r="T52" s="13">
        <f t="shared" si="17"/>
        <v>178</v>
      </c>
      <c r="U52" s="13">
        <f t="shared" si="17"/>
        <v>185</v>
      </c>
      <c r="V52" s="13">
        <f t="shared" si="17"/>
        <v>201</v>
      </c>
      <c r="W52" s="13">
        <f t="shared" si="17"/>
        <v>152</v>
      </c>
      <c r="X52" s="13">
        <f t="shared" si="17"/>
        <v>235</v>
      </c>
      <c r="Y52" s="13">
        <f t="shared" si="17"/>
        <v>215</v>
      </c>
      <c r="Z52" s="13">
        <f t="shared" si="17"/>
        <v>193</v>
      </c>
      <c r="AA52" s="13">
        <f t="shared" si="17"/>
        <v>176</v>
      </c>
      <c r="AB52" s="13">
        <f t="shared" si="17"/>
        <v>207</v>
      </c>
      <c r="AC52" s="13">
        <f t="shared" si="17"/>
        <v>191</v>
      </c>
      <c r="AD52" s="13">
        <f t="shared" si="17"/>
        <v>226</v>
      </c>
      <c r="AE52" s="13">
        <f t="shared" si="16"/>
        <v>5186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D34">
    <cfRule type="expression" dxfId="0" priority="1">
      <formula>E34&lt;&gt;#REF!</formula>
    </cfRule>
  </conditionalFormatting>
  <conditionalFormatting sqref="E14:AD15 E45:AD47">
    <cfRule type="containsBlanks" dxfId="1" priority="2">
      <formula>LEN(TRIM(E14))=0</formula>
    </cfRule>
  </conditionalFormatting>
  <conditionalFormatting sqref="E19:AD20">
    <cfRule type="containsBlanks" dxfId="1" priority="3">
      <formula>LEN(TRIM(E19))=0</formula>
    </cfRule>
  </conditionalFormatting>
  <conditionalFormatting sqref="E22:AD23 E25:AD26 E33:AD33 E35:AD35 E39:AD40">
    <cfRule type="containsBlanks" dxfId="1" priority="4">
      <formula>LEN(TRIM(E22))=0</formula>
    </cfRule>
  </conditionalFormatting>
  <conditionalFormatting sqref="E30:AD30">
    <cfRule type="expression" dxfId="0" priority="5">
      <formula>E30&lt;&gt;E46</formula>
    </cfRule>
  </conditionalFormatting>
  <conditionalFormatting sqref="E30:AD30">
    <cfRule type="expression" dxfId="0" priority="6">
      <formula>E30&lt;&gt;E34</formula>
    </cfRule>
  </conditionalFormatting>
  <conditionalFormatting sqref="E34:AD34">
    <cfRule type="expression" dxfId="2" priority="7">
      <formula>E30&lt;&gt;E34</formula>
    </cfRule>
  </conditionalFormatting>
  <conditionalFormatting sqref="E34:AD34">
    <cfRule type="expression" dxfId="3" priority="8">
      <formula>E30=E34</formula>
    </cfRule>
  </conditionalFormatting>
  <conditionalFormatting sqref="E34:AD34">
    <cfRule type="expression" dxfId="0" priority="9">
      <formula>E34&lt;&gt;E30</formula>
    </cfRule>
  </conditionalFormatting>
  <conditionalFormatting sqref="E50:AD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13" t="s">
        <v>68</v>
      </c>
      <c r="V13" s="13" t="s">
        <v>69</v>
      </c>
      <c r="W13" s="13" t="s">
        <v>70</v>
      </c>
      <c r="X13" s="13" t="s">
        <v>71</v>
      </c>
      <c r="Y13" s="13" t="s">
        <v>72</v>
      </c>
      <c r="Z13" s="13" t="s">
        <v>73</v>
      </c>
      <c r="AA13" s="13" t="s">
        <v>74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19">
        <v>144.0</v>
      </c>
      <c r="F14" s="19">
        <v>127.0</v>
      </c>
      <c r="G14" s="19">
        <v>126.0</v>
      </c>
      <c r="H14" s="19">
        <v>136.0</v>
      </c>
      <c r="I14" s="19">
        <v>127.0</v>
      </c>
      <c r="J14" s="19">
        <v>137.0</v>
      </c>
      <c r="K14" s="19">
        <v>143.0</v>
      </c>
      <c r="L14" s="19">
        <v>135.0</v>
      </c>
      <c r="M14" s="19">
        <v>139.0</v>
      </c>
      <c r="N14" s="19">
        <v>141.0</v>
      </c>
      <c r="O14" s="19">
        <v>125.0</v>
      </c>
      <c r="P14" s="19">
        <v>134.0</v>
      </c>
      <c r="Q14" s="19">
        <v>148.0</v>
      </c>
      <c r="R14" s="19">
        <v>127.0</v>
      </c>
      <c r="S14" s="19">
        <v>138.0</v>
      </c>
      <c r="T14" s="19">
        <v>131.0</v>
      </c>
      <c r="U14" s="19">
        <v>123.0</v>
      </c>
      <c r="V14" s="19">
        <v>132.0</v>
      </c>
      <c r="W14" s="19">
        <v>142.0</v>
      </c>
      <c r="X14" s="19">
        <v>140.0</v>
      </c>
      <c r="Y14" s="19">
        <v>142.0</v>
      </c>
      <c r="Z14" s="19">
        <v>142.0</v>
      </c>
      <c r="AA14" s="19">
        <v>131.0</v>
      </c>
      <c r="AB14" s="13">
        <f t="shared" ref="AB14:AB16" si="1">SUM(E14:AA14)</f>
        <v>3110</v>
      </c>
    </row>
    <row r="15" ht="12.75" customHeight="1">
      <c r="A15" s="18"/>
      <c r="B15" s="26"/>
      <c r="C15" s="27"/>
      <c r="D15" s="19" t="s">
        <v>12</v>
      </c>
      <c r="E15" s="19">
        <v>146.0</v>
      </c>
      <c r="F15" s="19">
        <v>159.0</v>
      </c>
      <c r="G15" s="19">
        <v>162.0</v>
      </c>
      <c r="H15" s="19">
        <v>147.0</v>
      </c>
      <c r="I15" s="19">
        <v>147.0</v>
      </c>
      <c r="J15" s="19">
        <v>145.0</v>
      </c>
      <c r="K15" s="19">
        <v>142.0</v>
      </c>
      <c r="L15" s="19">
        <v>146.0</v>
      </c>
      <c r="M15" s="19">
        <v>156.0</v>
      </c>
      <c r="N15" s="19">
        <v>149.0</v>
      </c>
      <c r="O15" s="19">
        <v>162.0</v>
      </c>
      <c r="P15" s="19">
        <v>164.0</v>
      </c>
      <c r="Q15" s="19">
        <v>142.0</v>
      </c>
      <c r="R15" s="19">
        <v>147.0</v>
      </c>
      <c r="S15" s="19">
        <v>156.0</v>
      </c>
      <c r="T15" s="19">
        <v>147.0</v>
      </c>
      <c r="U15" s="19">
        <v>155.0</v>
      </c>
      <c r="V15" s="19">
        <v>149.0</v>
      </c>
      <c r="W15" s="19">
        <v>147.0</v>
      </c>
      <c r="X15" s="19">
        <v>147.0</v>
      </c>
      <c r="Y15" s="19">
        <v>144.0</v>
      </c>
      <c r="Z15" s="19">
        <v>152.0</v>
      </c>
      <c r="AA15" s="19">
        <v>152.0</v>
      </c>
      <c r="AB15" s="13">
        <f t="shared" si="1"/>
        <v>3463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290</v>
      </c>
      <c r="F16" s="13">
        <f t="shared" si="2"/>
        <v>286</v>
      </c>
      <c r="G16" s="13">
        <f t="shared" si="2"/>
        <v>288</v>
      </c>
      <c r="H16" s="13">
        <f t="shared" si="2"/>
        <v>283</v>
      </c>
      <c r="I16" s="13">
        <f t="shared" si="2"/>
        <v>274</v>
      </c>
      <c r="J16" s="13">
        <f t="shared" si="2"/>
        <v>282</v>
      </c>
      <c r="K16" s="13">
        <f t="shared" si="2"/>
        <v>285</v>
      </c>
      <c r="L16" s="13">
        <f t="shared" si="2"/>
        <v>281</v>
      </c>
      <c r="M16" s="13">
        <f t="shared" si="2"/>
        <v>295</v>
      </c>
      <c r="N16" s="13">
        <f t="shared" si="2"/>
        <v>290</v>
      </c>
      <c r="O16" s="13">
        <f t="shared" si="2"/>
        <v>287</v>
      </c>
      <c r="P16" s="13">
        <f t="shared" si="2"/>
        <v>298</v>
      </c>
      <c r="Q16" s="13">
        <f t="shared" si="2"/>
        <v>290</v>
      </c>
      <c r="R16" s="13">
        <f t="shared" si="2"/>
        <v>274</v>
      </c>
      <c r="S16" s="13">
        <f t="shared" si="2"/>
        <v>294</v>
      </c>
      <c r="T16" s="13">
        <f t="shared" si="2"/>
        <v>278</v>
      </c>
      <c r="U16" s="13">
        <f t="shared" si="2"/>
        <v>278</v>
      </c>
      <c r="V16" s="13">
        <f t="shared" si="2"/>
        <v>281</v>
      </c>
      <c r="W16" s="13">
        <f t="shared" si="2"/>
        <v>289</v>
      </c>
      <c r="X16" s="13">
        <f t="shared" si="2"/>
        <v>287</v>
      </c>
      <c r="Y16" s="13">
        <f t="shared" si="2"/>
        <v>286</v>
      </c>
      <c r="Z16" s="13">
        <f t="shared" si="2"/>
        <v>294</v>
      </c>
      <c r="AA16" s="13">
        <f t="shared" si="2"/>
        <v>283</v>
      </c>
      <c r="AB16" s="13">
        <f t="shared" si="1"/>
        <v>6573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19"/>
      <c r="U17" s="19"/>
      <c r="V17" s="19"/>
      <c r="W17" s="19"/>
      <c r="X17" s="59"/>
      <c r="Y17" s="59"/>
      <c r="Z17" s="59"/>
      <c r="AA17" s="59"/>
      <c r="AB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19"/>
      <c r="U18" s="19"/>
      <c r="V18" s="19"/>
      <c r="W18" s="19"/>
      <c r="X18" s="59"/>
      <c r="Y18" s="59"/>
      <c r="Z18" s="59"/>
      <c r="AA18" s="59"/>
      <c r="AB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102.0</v>
      </c>
      <c r="F19" s="19">
        <v>93.0</v>
      </c>
      <c r="G19" s="19">
        <v>89.0</v>
      </c>
      <c r="H19" s="19">
        <v>85.0</v>
      </c>
      <c r="I19" s="19">
        <v>87.0</v>
      </c>
      <c r="J19" s="19">
        <v>102.0</v>
      </c>
      <c r="K19" s="19">
        <v>109.0</v>
      </c>
      <c r="L19" s="19">
        <v>108.0</v>
      </c>
      <c r="M19" s="19">
        <v>97.0</v>
      </c>
      <c r="N19" s="19">
        <v>100.0</v>
      </c>
      <c r="O19" s="19">
        <v>90.0</v>
      </c>
      <c r="P19" s="19">
        <v>104.0</v>
      </c>
      <c r="Q19" s="19">
        <v>116.0</v>
      </c>
      <c r="R19" s="19">
        <v>95.0</v>
      </c>
      <c r="S19" s="19">
        <v>95.0</v>
      </c>
      <c r="T19" s="19">
        <v>84.0</v>
      </c>
      <c r="U19" s="19">
        <v>99.0</v>
      </c>
      <c r="V19" s="19">
        <v>91.0</v>
      </c>
      <c r="W19" s="19">
        <v>104.0</v>
      </c>
      <c r="X19" s="19">
        <v>101.0</v>
      </c>
      <c r="Y19" s="19">
        <v>91.0</v>
      </c>
      <c r="Z19" s="19">
        <v>95.0</v>
      </c>
      <c r="AA19" s="19">
        <v>87.0</v>
      </c>
      <c r="AB19" s="13">
        <f t="shared" ref="AB19:AB30" si="3">SUM(E19:AA19)</f>
        <v>2224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132.0</v>
      </c>
      <c r="G20" s="19">
        <v>117.0</v>
      </c>
      <c r="H20" s="19">
        <v>104.0</v>
      </c>
      <c r="I20" s="19">
        <v>100.0</v>
      </c>
      <c r="J20" s="19">
        <v>117.0</v>
      </c>
      <c r="K20" s="19">
        <v>105.0</v>
      </c>
      <c r="L20" s="19">
        <v>121.0</v>
      </c>
      <c r="M20" s="19">
        <v>129.0</v>
      </c>
      <c r="N20" s="19">
        <v>118.0</v>
      </c>
      <c r="O20" s="19">
        <v>129.0</v>
      </c>
      <c r="P20" s="19">
        <v>119.0</v>
      </c>
      <c r="Q20" s="19">
        <v>110.0</v>
      </c>
      <c r="R20" s="19">
        <v>115.0</v>
      </c>
      <c r="S20" s="19">
        <v>123.0</v>
      </c>
      <c r="T20" s="19">
        <v>112.0</v>
      </c>
      <c r="U20" s="19">
        <v>129.0</v>
      </c>
      <c r="V20" s="19">
        <v>120.0</v>
      </c>
      <c r="W20" s="19">
        <v>128.0</v>
      </c>
      <c r="X20" s="19">
        <v>122.0</v>
      </c>
      <c r="Y20" s="19">
        <v>107.0</v>
      </c>
      <c r="Z20" s="19">
        <v>123.0</v>
      </c>
      <c r="AA20" s="19">
        <v>124.0</v>
      </c>
      <c r="AB20" s="13">
        <f t="shared" si="3"/>
        <v>2708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206</v>
      </c>
      <c r="F21" s="13">
        <f t="shared" si="4"/>
        <v>225</v>
      </c>
      <c r="G21" s="13">
        <f t="shared" si="4"/>
        <v>206</v>
      </c>
      <c r="H21" s="13">
        <f t="shared" si="4"/>
        <v>189</v>
      </c>
      <c r="I21" s="13">
        <f t="shared" si="4"/>
        <v>187</v>
      </c>
      <c r="J21" s="13">
        <f t="shared" si="4"/>
        <v>219</v>
      </c>
      <c r="K21" s="13">
        <f t="shared" si="4"/>
        <v>214</v>
      </c>
      <c r="L21" s="13">
        <f t="shared" si="4"/>
        <v>229</v>
      </c>
      <c r="M21" s="13">
        <f t="shared" si="4"/>
        <v>226</v>
      </c>
      <c r="N21" s="13">
        <f t="shared" si="4"/>
        <v>218</v>
      </c>
      <c r="O21" s="13">
        <f t="shared" si="4"/>
        <v>219</v>
      </c>
      <c r="P21" s="13">
        <f t="shared" si="4"/>
        <v>223</v>
      </c>
      <c r="Q21" s="13">
        <f t="shared" si="4"/>
        <v>226</v>
      </c>
      <c r="R21" s="13">
        <f t="shared" si="4"/>
        <v>210</v>
      </c>
      <c r="S21" s="13">
        <f t="shared" si="4"/>
        <v>218</v>
      </c>
      <c r="T21" s="13">
        <f t="shared" si="4"/>
        <v>196</v>
      </c>
      <c r="U21" s="13">
        <f t="shared" si="4"/>
        <v>228</v>
      </c>
      <c r="V21" s="13">
        <f t="shared" si="4"/>
        <v>211</v>
      </c>
      <c r="W21" s="13">
        <f t="shared" si="4"/>
        <v>232</v>
      </c>
      <c r="X21" s="13">
        <f t="shared" si="4"/>
        <v>223</v>
      </c>
      <c r="Y21" s="13">
        <f t="shared" si="4"/>
        <v>198</v>
      </c>
      <c r="Z21" s="13">
        <f t="shared" si="4"/>
        <v>218</v>
      </c>
      <c r="AA21" s="13">
        <f t="shared" si="4"/>
        <v>211</v>
      </c>
      <c r="AB21" s="13">
        <f t="shared" si="3"/>
        <v>4932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2.0</v>
      </c>
      <c r="F22" s="19">
        <v>2.0</v>
      </c>
      <c r="G22" s="19">
        <v>0.0</v>
      </c>
      <c r="H22" s="19">
        <v>1.0</v>
      </c>
      <c r="I22" s="19">
        <v>6.0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3.0</v>
      </c>
      <c r="P22" s="19">
        <v>1.0</v>
      </c>
      <c r="Q22" s="19">
        <v>1.0</v>
      </c>
      <c r="R22" s="19">
        <v>0.0</v>
      </c>
      <c r="S22" s="19">
        <v>1.0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2.0</v>
      </c>
      <c r="Z22" s="19">
        <v>1.0</v>
      </c>
      <c r="AA22" s="19">
        <v>3.0</v>
      </c>
      <c r="AB22" s="13">
        <f t="shared" si="3"/>
        <v>25</v>
      </c>
    </row>
    <row r="23" ht="12.75" customHeight="1">
      <c r="A23" s="33"/>
      <c r="B23" s="27"/>
      <c r="C23" s="34"/>
      <c r="D23" s="19" t="s">
        <v>12</v>
      </c>
      <c r="E23" s="19">
        <v>4.0</v>
      </c>
      <c r="F23" s="19">
        <v>1.0</v>
      </c>
      <c r="G23" s="19">
        <v>1.0</v>
      </c>
      <c r="H23" s="19">
        <v>0.0</v>
      </c>
      <c r="I23" s="19">
        <v>6.0</v>
      </c>
      <c r="J23" s="19">
        <v>0.0</v>
      </c>
      <c r="K23" s="19">
        <v>0.0</v>
      </c>
      <c r="L23" s="19">
        <v>2.0</v>
      </c>
      <c r="M23" s="19">
        <v>1.0</v>
      </c>
      <c r="N23" s="19">
        <v>0.0</v>
      </c>
      <c r="O23" s="19">
        <v>2.0</v>
      </c>
      <c r="P23" s="19">
        <v>1.0</v>
      </c>
      <c r="Q23" s="19">
        <v>1.0</v>
      </c>
      <c r="R23" s="19">
        <v>0.0</v>
      </c>
      <c r="S23" s="19">
        <v>2.0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2.0</v>
      </c>
      <c r="Z23" s="19">
        <v>1.0</v>
      </c>
      <c r="AA23" s="19">
        <v>2.0</v>
      </c>
      <c r="AB23" s="13">
        <f t="shared" si="3"/>
        <v>26</v>
      </c>
    </row>
    <row r="24" ht="12.75" customHeight="1">
      <c r="A24" s="35"/>
      <c r="B24" s="28"/>
      <c r="C24" s="36"/>
      <c r="D24" s="13" t="s">
        <v>13</v>
      </c>
      <c r="E24" s="13">
        <f t="shared" ref="E24:V24" si="5">SUM(E22:E23)</f>
        <v>6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12</v>
      </c>
      <c r="J24" s="13">
        <f t="shared" si="5"/>
        <v>0</v>
      </c>
      <c r="K24" s="13">
        <f t="shared" si="5"/>
        <v>0</v>
      </c>
      <c r="L24" s="13">
        <f t="shared" si="5"/>
        <v>3</v>
      </c>
      <c r="M24" s="13">
        <f t="shared" si="5"/>
        <v>1</v>
      </c>
      <c r="N24" s="13">
        <f t="shared" si="5"/>
        <v>0</v>
      </c>
      <c r="O24" s="13">
        <f t="shared" si="5"/>
        <v>5</v>
      </c>
      <c r="P24" s="13">
        <f t="shared" si="5"/>
        <v>2</v>
      </c>
      <c r="Q24" s="13">
        <f t="shared" si="5"/>
        <v>2</v>
      </c>
      <c r="R24" s="13">
        <f t="shared" si="5"/>
        <v>0</v>
      </c>
      <c r="S24" s="13">
        <f t="shared" si="5"/>
        <v>3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v>0.0</v>
      </c>
      <c r="X24" s="13">
        <f t="shared" ref="X24:AA24" si="6">SUM(X22:X23)</f>
        <v>0</v>
      </c>
      <c r="Y24" s="13">
        <f t="shared" si="6"/>
        <v>4</v>
      </c>
      <c r="Z24" s="13">
        <f t="shared" si="6"/>
        <v>2</v>
      </c>
      <c r="AA24" s="13">
        <f t="shared" si="6"/>
        <v>5</v>
      </c>
      <c r="AB24" s="13">
        <f t="shared" si="3"/>
        <v>51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0.0</v>
      </c>
      <c r="N25" s="19">
        <v>3.0</v>
      </c>
      <c r="O25" s="19">
        <v>2.0</v>
      </c>
      <c r="P25" s="19">
        <v>2.0</v>
      </c>
      <c r="Q25" s="19">
        <v>5.0</v>
      </c>
      <c r="R25" s="19">
        <v>1.0</v>
      </c>
      <c r="S25" s="19">
        <v>1.0</v>
      </c>
      <c r="T25" s="19">
        <v>2.0</v>
      </c>
      <c r="U25" s="19">
        <v>0.0</v>
      </c>
      <c r="V25" s="19">
        <v>3.0</v>
      </c>
      <c r="W25" s="19">
        <v>1.0</v>
      </c>
      <c r="X25" s="19">
        <v>1.0</v>
      </c>
      <c r="Y25" s="19">
        <v>2.0</v>
      </c>
      <c r="Z25" s="19">
        <v>1.0</v>
      </c>
      <c r="AA25" s="19">
        <v>2.0</v>
      </c>
      <c r="AB25" s="13">
        <f t="shared" si="3"/>
        <v>28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3.0</v>
      </c>
      <c r="G26" s="19">
        <v>0.0</v>
      </c>
      <c r="H26" s="19">
        <v>1.0</v>
      </c>
      <c r="I26" s="19">
        <v>1.0</v>
      </c>
      <c r="J26" s="19">
        <v>2.0</v>
      </c>
      <c r="K26" s="19">
        <v>3.0</v>
      </c>
      <c r="L26" s="19">
        <v>0.0</v>
      </c>
      <c r="M26" s="19">
        <v>0.0</v>
      </c>
      <c r="N26" s="19">
        <v>4.0</v>
      </c>
      <c r="O26" s="19">
        <v>1.0</v>
      </c>
      <c r="P26" s="19">
        <v>2.0</v>
      </c>
      <c r="Q26" s="19">
        <v>9.0</v>
      </c>
      <c r="R26" s="19">
        <v>0.0</v>
      </c>
      <c r="S26" s="19">
        <v>5.0</v>
      </c>
      <c r="T26" s="19">
        <v>3.0</v>
      </c>
      <c r="U26" s="19">
        <v>1.0</v>
      </c>
      <c r="V26" s="19">
        <v>3.0</v>
      </c>
      <c r="W26" s="19">
        <v>0.0</v>
      </c>
      <c r="X26" s="19">
        <v>0.0</v>
      </c>
      <c r="Y26" s="19">
        <v>2.0</v>
      </c>
      <c r="Z26" s="19">
        <v>0.0</v>
      </c>
      <c r="AA26" s="19">
        <v>0.0</v>
      </c>
      <c r="AB26" s="13">
        <f t="shared" si="3"/>
        <v>41</v>
      </c>
    </row>
    <row r="27" ht="12.75" customHeight="1">
      <c r="A27" s="35"/>
      <c r="B27" s="28"/>
      <c r="C27" s="36"/>
      <c r="D27" s="13" t="s">
        <v>13</v>
      </c>
      <c r="E27" s="13">
        <f t="shared" ref="E27:AA27" si="7">SUM(E25:E26)</f>
        <v>1</v>
      </c>
      <c r="F27" s="13">
        <f t="shared" si="7"/>
        <v>3</v>
      </c>
      <c r="G27" s="13">
        <f t="shared" si="7"/>
        <v>0</v>
      </c>
      <c r="H27" s="13">
        <f t="shared" si="7"/>
        <v>1</v>
      </c>
      <c r="I27" s="13">
        <f t="shared" si="7"/>
        <v>1</v>
      </c>
      <c r="J27" s="13">
        <f t="shared" si="7"/>
        <v>3</v>
      </c>
      <c r="K27" s="13">
        <f t="shared" si="7"/>
        <v>4</v>
      </c>
      <c r="L27" s="13">
        <f t="shared" si="7"/>
        <v>0</v>
      </c>
      <c r="M27" s="13">
        <f t="shared" si="7"/>
        <v>0</v>
      </c>
      <c r="N27" s="13">
        <f t="shared" si="7"/>
        <v>7</v>
      </c>
      <c r="O27" s="13">
        <f t="shared" si="7"/>
        <v>3</v>
      </c>
      <c r="P27" s="13">
        <f t="shared" si="7"/>
        <v>4</v>
      </c>
      <c r="Q27" s="13">
        <f t="shared" si="7"/>
        <v>14</v>
      </c>
      <c r="R27" s="13">
        <f t="shared" si="7"/>
        <v>1</v>
      </c>
      <c r="S27" s="13">
        <f t="shared" si="7"/>
        <v>6</v>
      </c>
      <c r="T27" s="13">
        <f t="shared" si="7"/>
        <v>5</v>
      </c>
      <c r="U27" s="13">
        <f t="shared" si="7"/>
        <v>1</v>
      </c>
      <c r="V27" s="13">
        <f t="shared" si="7"/>
        <v>6</v>
      </c>
      <c r="W27" s="13">
        <f t="shared" si="7"/>
        <v>1</v>
      </c>
      <c r="X27" s="13">
        <f t="shared" si="7"/>
        <v>1</v>
      </c>
      <c r="Y27" s="13">
        <f t="shared" si="7"/>
        <v>4</v>
      </c>
      <c r="Z27" s="13">
        <f t="shared" si="7"/>
        <v>1</v>
      </c>
      <c r="AA27" s="13">
        <f t="shared" si="7"/>
        <v>2</v>
      </c>
      <c r="AB27" s="13">
        <f t="shared" si="3"/>
        <v>69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8">SUM(E19,E22,E25)</f>
        <v>104</v>
      </c>
      <c r="F28" s="13">
        <f t="shared" si="8"/>
        <v>95</v>
      </c>
      <c r="G28" s="13">
        <f t="shared" si="8"/>
        <v>89</v>
      </c>
      <c r="H28" s="13">
        <f t="shared" si="8"/>
        <v>86</v>
      </c>
      <c r="I28" s="13">
        <f t="shared" si="8"/>
        <v>93</v>
      </c>
      <c r="J28" s="13">
        <f t="shared" si="8"/>
        <v>103</v>
      </c>
      <c r="K28" s="13">
        <f t="shared" si="8"/>
        <v>110</v>
      </c>
      <c r="L28" s="13">
        <f t="shared" si="8"/>
        <v>109</v>
      </c>
      <c r="M28" s="13">
        <f t="shared" si="8"/>
        <v>97</v>
      </c>
      <c r="N28" s="13">
        <f t="shared" si="8"/>
        <v>103</v>
      </c>
      <c r="O28" s="13">
        <f t="shared" si="8"/>
        <v>95</v>
      </c>
      <c r="P28" s="13">
        <f t="shared" si="8"/>
        <v>107</v>
      </c>
      <c r="Q28" s="13">
        <f t="shared" si="8"/>
        <v>122</v>
      </c>
      <c r="R28" s="13">
        <f t="shared" si="8"/>
        <v>96</v>
      </c>
      <c r="S28" s="13">
        <f t="shared" si="8"/>
        <v>97</v>
      </c>
      <c r="T28" s="13">
        <f t="shared" si="8"/>
        <v>87</v>
      </c>
      <c r="U28" s="13">
        <f t="shared" si="8"/>
        <v>99</v>
      </c>
      <c r="V28" s="13">
        <f t="shared" si="8"/>
        <v>94</v>
      </c>
      <c r="W28" s="13">
        <f t="shared" si="8"/>
        <v>105</v>
      </c>
      <c r="X28" s="13">
        <f t="shared" si="8"/>
        <v>102</v>
      </c>
      <c r="Y28" s="13">
        <f t="shared" si="8"/>
        <v>95</v>
      </c>
      <c r="Z28" s="13">
        <f t="shared" si="8"/>
        <v>97</v>
      </c>
      <c r="AA28" s="13">
        <f t="shared" si="8"/>
        <v>92</v>
      </c>
      <c r="AB28" s="13">
        <f t="shared" si="3"/>
        <v>2277</v>
      </c>
    </row>
    <row r="29" ht="12.75" customHeight="1">
      <c r="A29" s="35"/>
      <c r="B29" s="27"/>
      <c r="C29" s="34"/>
      <c r="D29" s="13" t="s">
        <v>12</v>
      </c>
      <c r="E29" s="13">
        <f t="shared" ref="E29:AA29" si="9">SUM(E20,E23,E26)</f>
        <v>109</v>
      </c>
      <c r="F29" s="13">
        <f t="shared" si="9"/>
        <v>136</v>
      </c>
      <c r="G29" s="13">
        <f t="shared" si="9"/>
        <v>118</v>
      </c>
      <c r="H29" s="13">
        <f t="shared" si="9"/>
        <v>105</v>
      </c>
      <c r="I29" s="13">
        <f t="shared" si="9"/>
        <v>107</v>
      </c>
      <c r="J29" s="13">
        <f t="shared" si="9"/>
        <v>119</v>
      </c>
      <c r="K29" s="13">
        <f t="shared" si="9"/>
        <v>108</v>
      </c>
      <c r="L29" s="13">
        <f t="shared" si="9"/>
        <v>123</v>
      </c>
      <c r="M29" s="13">
        <f t="shared" si="9"/>
        <v>130</v>
      </c>
      <c r="N29" s="13">
        <f t="shared" si="9"/>
        <v>122</v>
      </c>
      <c r="O29" s="13">
        <f t="shared" si="9"/>
        <v>132</v>
      </c>
      <c r="P29" s="13">
        <f t="shared" si="9"/>
        <v>122</v>
      </c>
      <c r="Q29" s="13">
        <f t="shared" si="9"/>
        <v>120</v>
      </c>
      <c r="R29" s="13">
        <f t="shared" si="9"/>
        <v>115</v>
      </c>
      <c r="S29" s="13">
        <f t="shared" si="9"/>
        <v>130</v>
      </c>
      <c r="T29" s="13">
        <f t="shared" si="9"/>
        <v>115</v>
      </c>
      <c r="U29" s="13">
        <f t="shared" si="9"/>
        <v>130</v>
      </c>
      <c r="V29" s="13">
        <f t="shared" si="9"/>
        <v>123</v>
      </c>
      <c r="W29" s="13">
        <f t="shared" si="9"/>
        <v>128</v>
      </c>
      <c r="X29" s="13">
        <f t="shared" si="9"/>
        <v>122</v>
      </c>
      <c r="Y29" s="13">
        <f t="shared" si="9"/>
        <v>111</v>
      </c>
      <c r="Z29" s="13">
        <f t="shared" si="9"/>
        <v>124</v>
      </c>
      <c r="AA29" s="13">
        <f t="shared" si="9"/>
        <v>126</v>
      </c>
      <c r="AB29" s="13">
        <f t="shared" si="3"/>
        <v>2775</v>
      </c>
    </row>
    <row r="30" ht="12.75" customHeight="1">
      <c r="A30" s="35"/>
      <c r="B30" s="28"/>
      <c r="C30" s="36"/>
      <c r="D30" s="13" t="s">
        <v>13</v>
      </c>
      <c r="E30" s="13">
        <f t="shared" ref="E30:AA30" si="10">SUM(E28:E29)</f>
        <v>213</v>
      </c>
      <c r="F30" s="13">
        <f t="shared" si="10"/>
        <v>231</v>
      </c>
      <c r="G30" s="13">
        <f t="shared" si="10"/>
        <v>207</v>
      </c>
      <c r="H30" s="13">
        <f t="shared" si="10"/>
        <v>191</v>
      </c>
      <c r="I30" s="13">
        <f t="shared" si="10"/>
        <v>200</v>
      </c>
      <c r="J30" s="13">
        <f t="shared" si="10"/>
        <v>222</v>
      </c>
      <c r="K30" s="13">
        <f t="shared" si="10"/>
        <v>218</v>
      </c>
      <c r="L30" s="13">
        <f t="shared" si="10"/>
        <v>232</v>
      </c>
      <c r="M30" s="13">
        <f t="shared" si="10"/>
        <v>227</v>
      </c>
      <c r="N30" s="13">
        <f t="shared" si="10"/>
        <v>225</v>
      </c>
      <c r="O30" s="13">
        <f t="shared" si="10"/>
        <v>227</v>
      </c>
      <c r="P30" s="13">
        <f t="shared" si="10"/>
        <v>229</v>
      </c>
      <c r="Q30" s="13">
        <f t="shared" si="10"/>
        <v>242</v>
      </c>
      <c r="R30" s="13">
        <f t="shared" si="10"/>
        <v>211</v>
      </c>
      <c r="S30" s="13">
        <f t="shared" si="10"/>
        <v>227</v>
      </c>
      <c r="T30" s="13">
        <f t="shared" si="10"/>
        <v>202</v>
      </c>
      <c r="U30" s="13">
        <f t="shared" si="10"/>
        <v>229</v>
      </c>
      <c r="V30" s="13">
        <f t="shared" si="10"/>
        <v>217</v>
      </c>
      <c r="W30" s="13">
        <f t="shared" si="10"/>
        <v>233</v>
      </c>
      <c r="X30" s="13">
        <f t="shared" si="10"/>
        <v>224</v>
      </c>
      <c r="Y30" s="13">
        <f t="shared" si="10"/>
        <v>206</v>
      </c>
      <c r="Z30" s="13">
        <f t="shared" si="10"/>
        <v>221</v>
      </c>
      <c r="AA30" s="13">
        <f t="shared" si="10"/>
        <v>218</v>
      </c>
      <c r="AB30" s="13">
        <f t="shared" si="3"/>
        <v>5052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66"/>
      <c r="Q31" s="59"/>
      <c r="R31" s="59"/>
      <c r="S31" s="59"/>
      <c r="T31" s="19"/>
      <c r="U31" s="19"/>
      <c r="V31" s="19"/>
      <c r="W31" s="19"/>
      <c r="X31" s="59"/>
      <c r="Y31" s="59"/>
      <c r="Z31" s="59"/>
      <c r="AA31" s="59"/>
      <c r="AB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13"/>
      <c r="U32" s="13"/>
      <c r="V32" s="13"/>
      <c r="W32" s="13"/>
      <c r="X32" s="61"/>
      <c r="Y32" s="61"/>
      <c r="Z32" s="61"/>
      <c r="AA32" s="61"/>
      <c r="AB32" s="60"/>
    </row>
    <row r="33" ht="12.75" customHeight="1">
      <c r="A33" s="19">
        <v>1.0</v>
      </c>
      <c r="B33" s="20" t="s">
        <v>26</v>
      </c>
      <c r="C33" s="15"/>
      <c r="D33" s="16"/>
      <c r="E33" s="19">
        <v>296.0</v>
      </c>
      <c r="F33" s="19">
        <v>292.0</v>
      </c>
      <c r="G33" s="19">
        <v>294.0</v>
      </c>
      <c r="H33" s="19">
        <v>289.0</v>
      </c>
      <c r="I33" s="19">
        <v>280.0</v>
      </c>
      <c r="J33" s="19">
        <v>289.0</v>
      </c>
      <c r="K33" s="19">
        <v>291.0</v>
      </c>
      <c r="L33" s="19">
        <v>287.0</v>
      </c>
      <c r="M33" s="19">
        <v>299.0</v>
      </c>
      <c r="N33" s="19">
        <v>296.0</v>
      </c>
      <c r="O33" s="19">
        <v>293.0</v>
      </c>
      <c r="P33" s="19">
        <v>304.0</v>
      </c>
      <c r="Q33" s="19">
        <v>296.0</v>
      </c>
      <c r="R33" s="19">
        <v>280.0</v>
      </c>
      <c r="S33" s="19">
        <v>300.0</v>
      </c>
      <c r="T33" s="19">
        <v>285.0</v>
      </c>
      <c r="U33" s="19">
        <v>285.0</v>
      </c>
      <c r="V33" s="19">
        <v>287.0</v>
      </c>
      <c r="W33" s="19">
        <v>296.0</v>
      </c>
      <c r="X33" s="19">
        <v>293.0</v>
      </c>
      <c r="Y33" s="19">
        <v>292.0</v>
      </c>
      <c r="Z33" s="19">
        <v>300.0</v>
      </c>
      <c r="AA33" s="19">
        <v>285.0</v>
      </c>
      <c r="AB33" s="13">
        <f t="shared" ref="AB33:AB36" si="11">SUM(E33:AA33)</f>
        <v>6709</v>
      </c>
    </row>
    <row r="34" ht="12.75" customHeight="1">
      <c r="A34" s="19">
        <v>2.0</v>
      </c>
      <c r="B34" s="20" t="s">
        <v>27</v>
      </c>
      <c r="C34" s="15"/>
      <c r="D34" s="16"/>
      <c r="E34" s="13">
        <v>213.0</v>
      </c>
      <c r="F34" s="13">
        <v>231.0</v>
      </c>
      <c r="G34" s="13">
        <v>207.0</v>
      </c>
      <c r="H34" s="13">
        <v>191.0</v>
      </c>
      <c r="I34" s="13">
        <v>200.0</v>
      </c>
      <c r="J34" s="13">
        <v>222.0</v>
      </c>
      <c r="K34" s="13">
        <v>218.0</v>
      </c>
      <c r="L34" s="13">
        <v>232.0</v>
      </c>
      <c r="M34" s="13">
        <v>227.0</v>
      </c>
      <c r="N34" s="13">
        <v>225.0</v>
      </c>
      <c r="O34" s="13">
        <v>227.0</v>
      </c>
      <c r="P34" s="13">
        <v>229.0</v>
      </c>
      <c r="Q34" s="13">
        <v>242.0</v>
      </c>
      <c r="R34" s="13">
        <v>211.0</v>
      </c>
      <c r="S34" s="13">
        <v>227.0</v>
      </c>
      <c r="T34" s="13">
        <v>202.0</v>
      </c>
      <c r="U34" s="13">
        <v>229.0</v>
      </c>
      <c r="V34" s="13">
        <v>217.0</v>
      </c>
      <c r="W34" s="13">
        <v>233.0</v>
      </c>
      <c r="X34" s="13">
        <v>224.0</v>
      </c>
      <c r="Y34" s="13">
        <v>206.0</v>
      </c>
      <c r="Z34" s="13">
        <v>221.0</v>
      </c>
      <c r="AA34" s="13">
        <v>218.0</v>
      </c>
      <c r="AB34" s="13">
        <f t="shared" si="11"/>
        <v>5052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2.0</v>
      </c>
      <c r="Y35" s="19">
        <v>0.0</v>
      </c>
      <c r="Z35" s="19">
        <v>0.0</v>
      </c>
      <c r="AA35" s="19">
        <v>0.0</v>
      </c>
      <c r="AB35" s="13">
        <f t="shared" si="11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2">E33-(E34+E35)</f>
        <v>83</v>
      </c>
      <c r="F36" s="13">
        <f t="shared" si="12"/>
        <v>61</v>
      </c>
      <c r="G36" s="13">
        <f t="shared" si="12"/>
        <v>87</v>
      </c>
      <c r="H36" s="13">
        <f t="shared" si="12"/>
        <v>98</v>
      </c>
      <c r="I36" s="13">
        <f t="shared" si="12"/>
        <v>80</v>
      </c>
      <c r="J36" s="13">
        <f t="shared" si="12"/>
        <v>67</v>
      </c>
      <c r="K36" s="13">
        <f t="shared" si="12"/>
        <v>73</v>
      </c>
      <c r="L36" s="13">
        <f t="shared" si="12"/>
        <v>55</v>
      </c>
      <c r="M36" s="13">
        <f t="shared" si="12"/>
        <v>72</v>
      </c>
      <c r="N36" s="13">
        <f t="shared" si="12"/>
        <v>71</v>
      </c>
      <c r="O36" s="13">
        <f t="shared" si="12"/>
        <v>66</v>
      </c>
      <c r="P36" s="13">
        <f t="shared" si="12"/>
        <v>75</v>
      </c>
      <c r="Q36" s="13">
        <f t="shared" si="12"/>
        <v>54</v>
      </c>
      <c r="R36" s="13">
        <f t="shared" si="12"/>
        <v>69</v>
      </c>
      <c r="S36" s="13">
        <f t="shared" si="12"/>
        <v>73</v>
      </c>
      <c r="T36" s="13">
        <f t="shared" si="12"/>
        <v>83</v>
      </c>
      <c r="U36" s="13">
        <f t="shared" si="12"/>
        <v>56</v>
      </c>
      <c r="V36" s="13">
        <f t="shared" si="12"/>
        <v>70</v>
      </c>
      <c r="W36" s="13">
        <f t="shared" si="12"/>
        <v>63</v>
      </c>
      <c r="X36" s="13">
        <f t="shared" si="12"/>
        <v>67</v>
      </c>
      <c r="Y36" s="13">
        <f t="shared" si="12"/>
        <v>86</v>
      </c>
      <c r="Z36" s="13">
        <f t="shared" si="12"/>
        <v>79</v>
      </c>
      <c r="AA36" s="13">
        <f t="shared" si="12"/>
        <v>67</v>
      </c>
      <c r="AB36" s="13">
        <f t="shared" si="11"/>
        <v>1655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19"/>
      <c r="U37" s="19"/>
      <c r="V37" s="19"/>
      <c r="W37" s="19"/>
      <c r="X37" s="59"/>
      <c r="Y37" s="62"/>
      <c r="Z37" s="62"/>
      <c r="AA37" s="62"/>
      <c r="AB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13"/>
      <c r="U38" s="13"/>
      <c r="V38" s="13"/>
      <c r="W38" s="13"/>
      <c r="X38" s="61"/>
      <c r="Y38" s="61"/>
      <c r="Z38" s="61"/>
      <c r="AA38" s="61"/>
      <c r="AB38" s="60"/>
    </row>
    <row r="39" ht="12.75" customHeight="1">
      <c r="A39" s="30"/>
      <c r="B39" s="43" t="s">
        <v>32</v>
      </c>
      <c r="C39" s="23"/>
      <c r="D39" s="19" t="s">
        <v>11</v>
      </c>
      <c r="E39" s="19">
        <v>2.0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3">
        <f t="shared" ref="AB39:AB41" si="13">SUM(E39:AA39)</f>
        <v>3</v>
      </c>
    </row>
    <row r="40" ht="12.75" customHeight="1">
      <c r="A40" s="33"/>
      <c r="C40" s="27"/>
      <c r="D40" s="19" t="s">
        <v>12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3">
        <f t="shared" si="13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AA41" si="14">SUM(E39:E40)</f>
        <v>3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4"/>
        <v>1</v>
      </c>
      <c r="X41" s="13">
        <f t="shared" si="14"/>
        <v>0</v>
      </c>
      <c r="Y41" s="13">
        <f t="shared" si="14"/>
        <v>0</v>
      </c>
      <c r="Z41" s="13">
        <f t="shared" si="14"/>
        <v>1</v>
      </c>
      <c r="AA41" s="13">
        <f t="shared" si="14"/>
        <v>0</v>
      </c>
      <c r="AB41" s="13">
        <f t="shared" si="13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19"/>
      <c r="U42" s="19"/>
      <c r="V42" s="19"/>
      <c r="W42" s="19"/>
      <c r="X42" s="59"/>
      <c r="Y42" s="19"/>
      <c r="Z42" s="59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13"/>
      <c r="U43" s="13"/>
      <c r="V43" s="13"/>
      <c r="W43" s="13"/>
      <c r="X43" s="61"/>
      <c r="Y43" s="13"/>
      <c r="Z43" s="61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19"/>
      <c r="U44" s="19"/>
      <c r="V44" s="19"/>
      <c r="W44" s="19"/>
      <c r="X44" s="59"/>
      <c r="Y44" s="19"/>
      <c r="Z44" s="59"/>
      <c r="AA44" s="19"/>
      <c r="AB44" s="13"/>
    </row>
    <row r="45" ht="12.75" customHeight="1">
      <c r="A45" s="63"/>
      <c r="B45" s="47">
        <v>1.0</v>
      </c>
      <c r="C45" s="48" t="s">
        <v>36</v>
      </c>
      <c r="D45" s="16"/>
      <c r="E45" s="19">
        <v>53.0</v>
      </c>
      <c r="F45" s="19">
        <v>48.0</v>
      </c>
      <c r="G45" s="19">
        <v>63.0</v>
      </c>
      <c r="H45" s="19">
        <v>36.0</v>
      </c>
      <c r="I45" s="19">
        <v>51.0</v>
      </c>
      <c r="J45" s="19">
        <v>20.0</v>
      </c>
      <c r="K45" s="19">
        <v>40.0</v>
      </c>
      <c r="L45" s="19">
        <v>11.0</v>
      </c>
      <c r="M45" s="19">
        <v>34.0</v>
      </c>
      <c r="N45" s="19">
        <v>34.0</v>
      </c>
      <c r="O45" s="19">
        <v>55.0</v>
      </c>
      <c r="P45" s="19">
        <v>52.0</v>
      </c>
      <c r="Q45" s="19">
        <v>22.0</v>
      </c>
      <c r="R45" s="19">
        <v>39.0</v>
      </c>
      <c r="S45" s="19">
        <v>49.0</v>
      </c>
      <c r="T45" s="19">
        <v>36.0</v>
      </c>
      <c r="U45" s="19">
        <v>21.0</v>
      </c>
      <c r="V45" s="19">
        <v>27.0</v>
      </c>
      <c r="W45" s="19">
        <v>60.0</v>
      </c>
      <c r="X45" s="19">
        <v>43.0</v>
      </c>
      <c r="Y45" s="19">
        <v>22.0</v>
      </c>
      <c r="Z45" s="19">
        <v>25.0</v>
      </c>
      <c r="AA45" s="19">
        <v>58.0</v>
      </c>
      <c r="AB45" s="13">
        <f t="shared" ref="AB45:AB47" si="15">SUM(E45:AA45)</f>
        <v>899</v>
      </c>
    </row>
    <row r="46" ht="12.75" customHeight="1">
      <c r="A46" s="18"/>
      <c r="B46" s="47">
        <v>2.0</v>
      </c>
      <c r="C46" s="48" t="s">
        <v>37</v>
      </c>
      <c r="D46" s="16"/>
      <c r="E46" s="19">
        <v>132.0</v>
      </c>
      <c r="F46" s="19">
        <v>161.0</v>
      </c>
      <c r="G46" s="19">
        <v>112.0</v>
      </c>
      <c r="H46" s="19">
        <v>127.0</v>
      </c>
      <c r="I46" s="19">
        <v>117.0</v>
      </c>
      <c r="J46" s="19">
        <v>170.0</v>
      </c>
      <c r="K46" s="19">
        <v>143.0</v>
      </c>
      <c r="L46" s="19">
        <v>160.0</v>
      </c>
      <c r="M46" s="19">
        <v>156.0</v>
      </c>
      <c r="N46" s="19">
        <v>146.0</v>
      </c>
      <c r="O46" s="19">
        <v>138.0</v>
      </c>
      <c r="P46" s="19">
        <v>143.0</v>
      </c>
      <c r="Q46" s="19">
        <v>166.0</v>
      </c>
      <c r="R46" s="19">
        <v>142.0</v>
      </c>
      <c r="S46" s="19">
        <v>145.0</v>
      </c>
      <c r="T46" s="19">
        <v>133.0</v>
      </c>
      <c r="U46" s="19">
        <v>175.0</v>
      </c>
      <c r="V46" s="19">
        <v>163.0</v>
      </c>
      <c r="W46" s="19">
        <v>142.0</v>
      </c>
      <c r="X46" s="19">
        <v>163.0</v>
      </c>
      <c r="Y46" s="19">
        <v>154.0</v>
      </c>
      <c r="Z46" s="19">
        <v>140.0</v>
      </c>
      <c r="AA46" s="19">
        <v>127.0</v>
      </c>
      <c r="AB46" s="13">
        <f t="shared" si="15"/>
        <v>3355</v>
      </c>
    </row>
    <row r="47" ht="12.75" customHeight="1">
      <c r="A47" s="45"/>
      <c r="B47" s="47">
        <v>3.0</v>
      </c>
      <c r="C47" s="48" t="s">
        <v>38</v>
      </c>
      <c r="D47" s="16"/>
      <c r="E47" s="19">
        <v>26.0</v>
      </c>
      <c r="F47" s="19">
        <v>16.0</v>
      </c>
      <c r="G47" s="19">
        <v>29.0</v>
      </c>
      <c r="H47" s="19">
        <v>27.0</v>
      </c>
      <c r="I47" s="19">
        <v>27.0</v>
      </c>
      <c r="J47" s="19">
        <v>29.0</v>
      </c>
      <c r="K47" s="19">
        <v>33.0</v>
      </c>
      <c r="L47" s="19">
        <v>38.0</v>
      </c>
      <c r="M47" s="19">
        <v>32.0</v>
      </c>
      <c r="N47" s="19">
        <v>36.0</v>
      </c>
      <c r="O47" s="19">
        <v>32.0</v>
      </c>
      <c r="P47" s="19">
        <v>33.0</v>
      </c>
      <c r="Q47" s="19">
        <v>24.0</v>
      </c>
      <c r="R47" s="19">
        <v>25.0</v>
      </c>
      <c r="S47" s="19">
        <v>32.0</v>
      </c>
      <c r="T47" s="19">
        <v>31.0</v>
      </c>
      <c r="U47" s="19">
        <v>28.0</v>
      </c>
      <c r="V47" s="19">
        <v>20.0</v>
      </c>
      <c r="W47" s="19">
        <v>29.0</v>
      </c>
      <c r="X47" s="19">
        <v>13.0</v>
      </c>
      <c r="Y47" s="19">
        <v>24.0</v>
      </c>
      <c r="Z47" s="19">
        <v>53.0</v>
      </c>
      <c r="AA47" s="19">
        <v>33.0</v>
      </c>
      <c r="AB47" s="13">
        <f t="shared" si="15"/>
        <v>670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13"/>
      <c r="U49" s="13"/>
      <c r="V49" s="13"/>
      <c r="W49" s="13"/>
      <c r="X49" s="61"/>
      <c r="Y49" s="61"/>
      <c r="Z49" s="61"/>
      <c r="AA49" s="61"/>
      <c r="AB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A50" si="16">SUM(E45:E47)</f>
        <v>211</v>
      </c>
      <c r="F50" s="19">
        <f t="shared" si="16"/>
        <v>225</v>
      </c>
      <c r="G50" s="19">
        <f t="shared" si="16"/>
        <v>204</v>
      </c>
      <c r="H50" s="19">
        <f t="shared" si="16"/>
        <v>190</v>
      </c>
      <c r="I50" s="19">
        <f t="shared" si="16"/>
        <v>195</v>
      </c>
      <c r="J50" s="19">
        <f t="shared" si="16"/>
        <v>219</v>
      </c>
      <c r="K50" s="19">
        <f t="shared" si="16"/>
        <v>216</v>
      </c>
      <c r="L50" s="19">
        <f t="shared" si="16"/>
        <v>209</v>
      </c>
      <c r="M50" s="19">
        <f t="shared" si="16"/>
        <v>222</v>
      </c>
      <c r="N50" s="19">
        <f t="shared" si="16"/>
        <v>216</v>
      </c>
      <c r="O50" s="19">
        <f t="shared" si="16"/>
        <v>225</v>
      </c>
      <c r="P50" s="19">
        <f t="shared" si="16"/>
        <v>228</v>
      </c>
      <c r="Q50" s="19">
        <f t="shared" si="16"/>
        <v>212</v>
      </c>
      <c r="R50" s="19">
        <f t="shared" si="16"/>
        <v>206</v>
      </c>
      <c r="S50" s="19">
        <f t="shared" si="16"/>
        <v>226</v>
      </c>
      <c r="T50" s="19">
        <f t="shared" si="16"/>
        <v>200</v>
      </c>
      <c r="U50" s="19">
        <f t="shared" si="16"/>
        <v>224</v>
      </c>
      <c r="V50" s="19">
        <f t="shared" si="16"/>
        <v>210</v>
      </c>
      <c r="W50" s="19">
        <f t="shared" si="16"/>
        <v>231</v>
      </c>
      <c r="X50" s="19">
        <f t="shared" si="16"/>
        <v>219</v>
      </c>
      <c r="Y50" s="19">
        <f t="shared" si="16"/>
        <v>200</v>
      </c>
      <c r="Z50" s="19">
        <f t="shared" si="16"/>
        <v>218</v>
      </c>
      <c r="AA50" s="19">
        <f t="shared" si="16"/>
        <v>218</v>
      </c>
      <c r="AB50" s="13">
        <f t="shared" ref="AB50:AB52" si="17">SUM(E50:AA50)</f>
        <v>4924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2.0</v>
      </c>
      <c r="F51" s="19">
        <v>6.0</v>
      </c>
      <c r="G51" s="19">
        <v>3.0</v>
      </c>
      <c r="H51" s="19">
        <v>1.0</v>
      </c>
      <c r="I51" s="19">
        <v>5.0</v>
      </c>
      <c r="J51" s="19">
        <v>3.0</v>
      </c>
      <c r="K51" s="19">
        <v>2.0</v>
      </c>
      <c r="L51" s="19">
        <v>23.0</v>
      </c>
      <c r="M51" s="19">
        <v>5.0</v>
      </c>
      <c r="N51" s="19">
        <v>9.0</v>
      </c>
      <c r="O51" s="19">
        <v>2.0</v>
      </c>
      <c r="P51" s="19">
        <v>1.0</v>
      </c>
      <c r="Q51" s="19">
        <v>30.0</v>
      </c>
      <c r="R51" s="19">
        <v>5.0</v>
      </c>
      <c r="S51" s="19">
        <v>1.0</v>
      </c>
      <c r="T51" s="19">
        <v>2.0</v>
      </c>
      <c r="U51" s="19">
        <v>5.0</v>
      </c>
      <c r="V51" s="19">
        <v>7.0</v>
      </c>
      <c r="W51" s="19">
        <v>2.0</v>
      </c>
      <c r="X51" s="19">
        <v>5.0</v>
      </c>
      <c r="Y51" s="19">
        <v>6.0</v>
      </c>
      <c r="Z51" s="19">
        <v>3.0</v>
      </c>
      <c r="AA51" s="19">
        <v>0.0</v>
      </c>
      <c r="AB51" s="13">
        <f t="shared" si="17"/>
        <v>128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A52" si="18">SUM(E50:E51)</f>
        <v>213</v>
      </c>
      <c r="F52" s="13">
        <f t="shared" si="18"/>
        <v>231</v>
      </c>
      <c r="G52" s="13">
        <f t="shared" si="18"/>
        <v>207</v>
      </c>
      <c r="H52" s="13">
        <f t="shared" si="18"/>
        <v>191</v>
      </c>
      <c r="I52" s="13">
        <f t="shared" si="18"/>
        <v>200</v>
      </c>
      <c r="J52" s="13">
        <f t="shared" si="18"/>
        <v>222</v>
      </c>
      <c r="K52" s="13">
        <f t="shared" si="18"/>
        <v>218</v>
      </c>
      <c r="L52" s="13">
        <f t="shared" si="18"/>
        <v>232</v>
      </c>
      <c r="M52" s="13">
        <f t="shared" si="18"/>
        <v>227</v>
      </c>
      <c r="N52" s="13">
        <f t="shared" si="18"/>
        <v>225</v>
      </c>
      <c r="O52" s="13">
        <f t="shared" si="18"/>
        <v>227</v>
      </c>
      <c r="P52" s="13">
        <f t="shared" si="18"/>
        <v>229</v>
      </c>
      <c r="Q52" s="13">
        <f t="shared" si="18"/>
        <v>242</v>
      </c>
      <c r="R52" s="13">
        <f t="shared" si="18"/>
        <v>211</v>
      </c>
      <c r="S52" s="13">
        <f t="shared" si="18"/>
        <v>227</v>
      </c>
      <c r="T52" s="13">
        <f t="shared" si="18"/>
        <v>202</v>
      </c>
      <c r="U52" s="13">
        <f t="shared" si="18"/>
        <v>229</v>
      </c>
      <c r="V52" s="13">
        <f t="shared" si="18"/>
        <v>217</v>
      </c>
      <c r="W52" s="13">
        <f t="shared" si="18"/>
        <v>233</v>
      </c>
      <c r="X52" s="13">
        <f t="shared" si="18"/>
        <v>224</v>
      </c>
      <c r="Y52" s="13">
        <f t="shared" si="18"/>
        <v>206</v>
      </c>
      <c r="Z52" s="13">
        <f t="shared" si="18"/>
        <v>221</v>
      </c>
      <c r="AA52" s="13">
        <f t="shared" si="18"/>
        <v>218</v>
      </c>
      <c r="AB52" s="13">
        <f t="shared" si="17"/>
        <v>5052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A34">
    <cfRule type="expression" dxfId="0" priority="1">
      <formula>E34&lt;&gt;#REF!</formula>
    </cfRule>
  </conditionalFormatting>
  <conditionalFormatting sqref="E14:AA15 E45:AA4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50:AA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36"/>
    </row>
    <row r="14" ht="12.75" customHeight="1">
      <c r="A14" s="18"/>
      <c r="B14" s="22" t="s">
        <v>10</v>
      </c>
      <c r="C14" s="23"/>
      <c r="D14" s="19" t="s">
        <v>11</v>
      </c>
      <c r="E14" s="19">
        <v>146.0</v>
      </c>
      <c r="F14" s="19">
        <v>111.0</v>
      </c>
      <c r="G14" s="19">
        <v>121.0</v>
      </c>
      <c r="H14" s="19">
        <v>146.0</v>
      </c>
      <c r="I14" s="19">
        <v>125.0</v>
      </c>
      <c r="J14" s="19">
        <v>129.0</v>
      </c>
      <c r="K14" s="19">
        <v>136.0</v>
      </c>
      <c r="L14" s="19">
        <v>138.0</v>
      </c>
      <c r="M14" s="19">
        <v>138.0</v>
      </c>
      <c r="N14" s="19">
        <v>154.0</v>
      </c>
      <c r="O14" s="19">
        <v>130.0</v>
      </c>
      <c r="P14" s="19">
        <v>131.0</v>
      </c>
      <c r="Q14" s="19">
        <v>103.0</v>
      </c>
      <c r="R14" s="19">
        <v>140.0</v>
      </c>
      <c r="S14" s="19">
        <v>99.0</v>
      </c>
      <c r="T14" s="19">
        <v>118.0</v>
      </c>
      <c r="U14" s="13">
        <f t="shared" ref="U14:U16" si="1">SUM(E14:T14)</f>
        <v>2065</v>
      </c>
    </row>
    <row r="15" ht="12.75" customHeight="1">
      <c r="A15" s="18"/>
      <c r="B15" s="26"/>
      <c r="C15" s="27"/>
      <c r="D15" s="19" t="s">
        <v>12</v>
      </c>
      <c r="E15" s="19">
        <v>130.0</v>
      </c>
      <c r="F15" s="19">
        <v>104.0</v>
      </c>
      <c r="G15" s="19">
        <v>115.0</v>
      </c>
      <c r="H15" s="19">
        <v>139.0</v>
      </c>
      <c r="I15" s="19">
        <v>138.0</v>
      </c>
      <c r="J15" s="19">
        <v>136.0</v>
      </c>
      <c r="K15" s="19">
        <v>151.0</v>
      </c>
      <c r="L15" s="19">
        <v>146.0</v>
      </c>
      <c r="M15" s="19">
        <v>146.0</v>
      </c>
      <c r="N15" s="19">
        <v>137.0</v>
      </c>
      <c r="O15" s="19">
        <v>148.0</v>
      </c>
      <c r="P15" s="19">
        <v>146.0</v>
      </c>
      <c r="Q15" s="19">
        <v>114.0</v>
      </c>
      <c r="R15" s="19">
        <v>139.0</v>
      </c>
      <c r="S15" s="19">
        <v>106.0</v>
      </c>
      <c r="T15" s="19">
        <v>125.0</v>
      </c>
      <c r="U15" s="13">
        <f t="shared" si="1"/>
        <v>2120</v>
      </c>
    </row>
    <row r="16" ht="12.75" customHeight="1">
      <c r="A16" s="25"/>
      <c r="B16" s="21"/>
      <c r="C16" s="28"/>
      <c r="D16" s="13" t="s">
        <v>13</v>
      </c>
      <c r="E16" s="13">
        <f t="shared" ref="E16:T16" si="2">SUM(E14:E15)</f>
        <v>276</v>
      </c>
      <c r="F16" s="13">
        <f t="shared" si="2"/>
        <v>215</v>
      </c>
      <c r="G16" s="13">
        <f t="shared" si="2"/>
        <v>236</v>
      </c>
      <c r="H16" s="13">
        <f t="shared" si="2"/>
        <v>285</v>
      </c>
      <c r="I16" s="13">
        <f t="shared" si="2"/>
        <v>263</v>
      </c>
      <c r="J16" s="13">
        <f t="shared" si="2"/>
        <v>265</v>
      </c>
      <c r="K16" s="13">
        <f t="shared" si="2"/>
        <v>287</v>
      </c>
      <c r="L16" s="13">
        <f t="shared" si="2"/>
        <v>284</v>
      </c>
      <c r="M16" s="13">
        <f t="shared" si="2"/>
        <v>284</v>
      </c>
      <c r="N16" s="13">
        <f t="shared" si="2"/>
        <v>291</v>
      </c>
      <c r="O16" s="13">
        <f t="shared" si="2"/>
        <v>278</v>
      </c>
      <c r="P16" s="13">
        <f t="shared" si="2"/>
        <v>277</v>
      </c>
      <c r="Q16" s="13">
        <f t="shared" si="2"/>
        <v>217</v>
      </c>
      <c r="R16" s="13">
        <f t="shared" si="2"/>
        <v>279</v>
      </c>
      <c r="S16" s="13">
        <f t="shared" si="2"/>
        <v>205</v>
      </c>
      <c r="T16" s="13">
        <f t="shared" si="2"/>
        <v>243</v>
      </c>
      <c r="U16" s="13">
        <f t="shared" si="1"/>
        <v>4185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19"/>
      <c r="U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19"/>
      <c r="U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99.0</v>
      </c>
      <c r="F19" s="19">
        <v>80.0</v>
      </c>
      <c r="G19" s="19">
        <v>85.0</v>
      </c>
      <c r="H19" s="19">
        <v>96.0</v>
      </c>
      <c r="I19" s="19">
        <v>89.0</v>
      </c>
      <c r="J19" s="19">
        <v>100.0</v>
      </c>
      <c r="K19" s="19">
        <v>95.0</v>
      </c>
      <c r="L19" s="19">
        <v>89.0</v>
      </c>
      <c r="M19" s="19">
        <v>91.0</v>
      </c>
      <c r="N19" s="19">
        <v>120.0</v>
      </c>
      <c r="O19" s="19">
        <v>89.0</v>
      </c>
      <c r="P19" s="19">
        <v>93.0</v>
      </c>
      <c r="Q19" s="19">
        <v>82.0</v>
      </c>
      <c r="R19" s="19">
        <v>106.0</v>
      </c>
      <c r="S19" s="19">
        <v>71.0</v>
      </c>
      <c r="T19" s="19">
        <v>98.0</v>
      </c>
      <c r="U19" s="13">
        <f t="shared" ref="U19:U30" si="3">SUM(E19:T19)</f>
        <v>1483</v>
      </c>
    </row>
    <row r="20" ht="12.75" customHeight="1">
      <c r="A20" s="33"/>
      <c r="B20" s="27"/>
      <c r="C20" s="34"/>
      <c r="D20" s="19" t="s">
        <v>12</v>
      </c>
      <c r="E20" s="19">
        <v>110.0</v>
      </c>
      <c r="F20" s="19">
        <v>87.0</v>
      </c>
      <c r="G20" s="19">
        <v>90.0</v>
      </c>
      <c r="H20" s="19">
        <v>109.0</v>
      </c>
      <c r="I20" s="19">
        <v>107.0</v>
      </c>
      <c r="J20" s="19">
        <v>106.0</v>
      </c>
      <c r="K20" s="19">
        <v>119.0</v>
      </c>
      <c r="L20" s="19">
        <v>114.0</v>
      </c>
      <c r="M20" s="19">
        <v>109.0</v>
      </c>
      <c r="N20" s="19">
        <v>129.0</v>
      </c>
      <c r="O20" s="19">
        <v>105.0</v>
      </c>
      <c r="P20" s="19">
        <v>129.0</v>
      </c>
      <c r="Q20" s="19">
        <v>100.0</v>
      </c>
      <c r="R20" s="19">
        <v>119.0</v>
      </c>
      <c r="S20" s="19">
        <v>90.0</v>
      </c>
      <c r="T20" s="19">
        <v>103.0</v>
      </c>
      <c r="U20" s="13">
        <f t="shared" si="3"/>
        <v>1726</v>
      </c>
    </row>
    <row r="21" ht="12.75" customHeight="1">
      <c r="A21" s="35"/>
      <c r="B21" s="28"/>
      <c r="C21" s="36"/>
      <c r="D21" s="13" t="s">
        <v>13</v>
      </c>
      <c r="E21" s="13">
        <f t="shared" ref="E21:T21" si="4">SUM(E19:E20)</f>
        <v>209</v>
      </c>
      <c r="F21" s="13">
        <f t="shared" si="4"/>
        <v>167</v>
      </c>
      <c r="G21" s="13">
        <f t="shared" si="4"/>
        <v>175</v>
      </c>
      <c r="H21" s="13">
        <f t="shared" si="4"/>
        <v>205</v>
      </c>
      <c r="I21" s="13">
        <f t="shared" si="4"/>
        <v>196</v>
      </c>
      <c r="J21" s="13">
        <f t="shared" si="4"/>
        <v>206</v>
      </c>
      <c r="K21" s="13">
        <f t="shared" si="4"/>
        <v>214</v>
      </c>
      <c r="L21" s="13">
        <f t="shared" si="4"/>
        <v>203</v>
      </c>
      <c r="M21" s="13">
        <f t="shared" si="4"/>
        <v>200</v>
      </c>
      <c r="N21" s="13">
        <f t="shared" si="4"/>
        <v>249</v>
      </c>
      <c r="O21" s="13">
        <f t="shared" si="4"/>
        <v>194</v>
      </c>
      <c r="P21" s="13">
        <f t="shared" si="4"/>
        <v>222</v>
      </c>
      <c r="Q21" s="13">
        <f t="shared" si="4"/>
        <v>182</v>
      </c>
      <c r="R21" s="13">
        <f t="shared" si="4"/>
        <v>225</v>
      </c>
      <c r="S21" s="13">
        <f t="shared" si="4"/>
        <v>161</v>
      </c>
      <c r="T21" s="13">
        <f t="shared" si="4"/>
        <v>201</v>
      </c>
      <c r="U21" s="13">
        <f t="shared" si="3"/>
        <v>3209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2.0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1.0</v>
      </c>
      <c r="M22" s="19">
        <v>3.0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2.0</v>
      </c>
      <c r="T22" s="19">
        <v>0.0</v>
      </c>
      <c r="U22" s="13">
        <f t="shared" si="3"/>
        <v>10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3.0</v>
      </c>
      <c r="M23" s="19">
        <v>1.0</v>
      </c>
      <c r="N23" s="19">
        <v>2.0</v>
      </c>
      <c r="O23" s="19">
        <v>0.0</v>
      </c>
      <c r="P23" s="19">
        <v>0.0</v>
      </c>
      <c r="Q23" s="19">
        <v>1.0</v>
      </c>
      <c r="R23" s="19">
        <v>0.0</v>
      </c>
      <c r="S23" s="19">
        <v>2.0</v>
      </c>
      <c r="T23" s="19">
        <v>0.0</v>
      </c>
      <c r="U23" s="13">
        <f t="shared" si="3"/>
        <v>9</v>
      </c>
    </row>
    <row r="24" ht="12.75" customHeight="1">
      <c r="A24" s="35"/>
      <c r="B24" s="28"/>
      <c r="C24" s="36"/>
      <c r="D24" s="13" t="s">
        <v>13</v>
      </c>
      <c r="E24" s="13">
        <f t="shared" ref="E24:T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4</v>
      </c>
      <c r="M24" s="13">
        <f t="shared" si="5"/>
        <v>4</v>
      </c>
      <c r="N24" s="13">
        <f t="shared" si="5"/>
        <v>3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4</v>
      </c>
      <c r="T24" s="13">
        <f t="shared" si="5"/>
        <v>0</v>
      </c>
      <c r="U24" s="13">
        <f t="shared" si="3"/>
        <v>19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2.0</v>
      </c>
      <c r="K25" s="19">
        <v>2.0</v>
      </c>
      <c r="L25" s="19">
        <v>0.0</v>
      </c>
      <c r="M25" s="19">
        <v>1.0</v>
      </c>
      <c r="N25" s="19">
        <v>3.0</v>
      </c>
      <c r="O25" s="19">
        <v>2.0</v>
      </c>
      <c r="P25" s="19">
        <v>0.0</v>
      </c>
      <c r="Q25" s="19">
        <v>0.0</v>
      </c>
      <c r="R25" s="19">
        <v>4.0</v>
      </c>
      <c r="S25" s="19">
        <v>2.0</v>
      </c>
      <c r="T25" s="19">
        <v>3.0</v>
      </c>
      <c r="U25" s="13">
        <f t="shared" si="3"/>
        <v>20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0.0</v>
      </c>
      <c r="H26" s="19">
        <v>1.0</v>
      </c>
      <c r="I26" s="19">
        <v>4.0</v>
      </c>
      <c r="J26" s="19">
        <v>2.0</v>
      </c>
      <c r="K26" s="19">
        <v>1.0</v>
      </c>
      <c r="L26" s="19">
        <v>2.0</v>
      </c>
      <c r="M26" s="19">
        <v>5.0</v>
      </c>
      <c r="N26" s="19">
        <v>2.0</v>
      </c>
      <c r="O26" s="19">
        <v>1.0</v>
      </c>
      <c r="P26" s="19">
        <v>1.0</v>
      </c>
      <c r="Q26" s="19">
        <v>4.0</v>
      </c>
      <c r="R26" s="19">
        <v>6.0</v>
      </c>
      <c r="S26" s="19">
        <v>3.0</v>
      </c>
      <c r="T26" s="19">
        <v>2.0</v>
      </c>
      <c r="U26" s="13">
        <f t="shared" si="3"/>
        <v>35</v>
      </c>
    </row>
    <row r="27" ht="12.75" customHeight="1">
      <c r="A27" s="35"/>
      <c r="B27" s="28"/>
      <c r="C27" s="36"/>
      <c r="D27" s="13" t="s">
        <v>13</v>
      </c>
      <c r="E27" s="13">
        <f t="shared" ref="E27:T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4</v>
      </c>
      <c r="J27" s="13">
        <f t="shared" si="6"/>
        <v>4</v>
      </c>
      <c r="K27" s="13">
        <f t="shared" si="6"/>
        <v>3</v>
      </c>
      <c r="L27" s="13">
        <f t="shared" si="6"/>
        <v>2</v>
      </c>
      <c r="M27" s="13">
        <f t="shared" si="6"/>
        <v>6</v>
      </c>
      <c r="N27" s="13">
        <f t="shared" si="6"/>
        <v>5</v>
      </c>
      <c r="O27" s="13">
        <f t="shared" si="6"/>
        <v>3</v>
      </c>
      <c r="P27" s="13">
        <f t="shared" si="6"/>
        <v>1</v>
      </c>
      <c r="Q27" s="13">
        <f t="shared" si="6"/>
        <v>4</v>
      </c>
      <c r="R27" s="13">
        <f t="shared" si="6"/>
        <v>10</v>
      </c>
      <c r="S27" s="13">
        <f t="shared" si="6"/>
        <v>5</v>
      </c>
      <c r="T27" s="13">
        <f t="shared" si="6"/>
        <v>5</v>
      </c>
      <c r="U27" s="13">
        <f t="shared" si="3"/>
        <v>55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T28" si="7">SUM(E19,E22,E25)</f>
        <v>100</v>
      </c>
      <c r="F28" s="13">
        <f t="shared" si="7"/>
        <v>82</v>
      </c>
      <c r="G28" s="13">
        <f t="shared" si="7"/>
        <v>85</v>
      </c>
      <c r="H28" s="13">
        <f t="shared" si="7"/>
        <v>97</v>
      </c>
      <c r="I28" s="13">
        <f t="shared" si="7"/>
        <v>89</v>
      </c>
      <c r="J28" s="13">
        <f t="shared" si="7"/>
        <v>102</v>
      </c>
      <c r="K28" s="13">
        <f t="shared" si="7"/>
        <v>97</v>
      </c>
      <c r="L28" s="13">
        <f t="shared" si="7"/>
        <v>90</v>
      </c>
      <c r="M28" s="13">
        <f t="shared" si="7"/>
        <v>95</v>
      </c>
      <c r="N28" s="13">
        <f t="shared" si="7"/>
        <v>124</v>
      </c>
      <c r="O28" s="13">
        <f t="shared" si="7"/>
        <v>91</v>
      </c>
      <c r="P28" s="13">
        <f t="shared" si="7"/>
        <v>93</v>
      </c>
      <c r="Q28" s="13">
        <f t="shared" si="7"/>
        <v>82</v>
      </c>
      <c r="R28" s="13">
        <f t="shared" si="7"/>
        <v>110</v>
      </c>
      <c r="S28" s="13">
        <f t="shared" si="7"/>
        <v>75</v>
      </c>
      <c r="T28" s="13">
        <f t="shared" si="7"/>
        <v>101</v>
      </c>
      <c r="U28" s="13">
        <f t="shared" si="3"/>
        <v>1513</v>
      </c>
    </row>
    <row r="29" ht="12.75" customHeight="1">
      <c r="A29" s="35"/>
      <c r="B29" s="27"/>
      <c r="C29" s="34"/>
      <c r="D29" s="13" t="s">
        <v>12</v>
      </c>
      <c r="E29" s="13">
        <f t="shared" ref="E29:T29" si="8">SUM(E20,E23,E26)</f>
        <v>111</v>
      </c>
      <c r="F29" s="13">
        <f t="shared" si="8"/>
        <v>87</v>
      </c>
      <c r="G29" s="13">
        <f t="shared" si="8"/>
        <v>90</v>
      </c>
      <c r="H29" s="13">
        <f t="shared" si="8"/>
        <v>110</v>
      </c>
      <c r="I29" s="13">
        <f t="shared" si="8"/>
        <v>111</v>
      </c>
      <c r="J29" s="13">
        <f t="shared" si="8"/>
        <v>108</v>
      </c>
      <c r="K29" s="13">
        <f t="shared" si="8"/>
        <v>120</v>
      </c>
      <c r="L29" s="13">
        <f t="shared" si="8"/>
        <v>119</v>
      </c>
      <c r="M29" s="13">
        <f t="shared" si="8"/>
        <v>115</v>
      </c>
      <c r="N29" s="13">
        <f t="shared" si="8"/>
        <v>133</v>
      </c>
      <c r="O29" s="13">
        <f t="shared" si="8"/>
        <v>106</v>
      </c>
      <c r="P29" s="13">
        <f t="shared" si="8"/>
        <v>130</v>
      </c>
      <c r="Q29" s="13">
        <f t="shared" si="8"/>
        <v>105</v>
      </c>
      <c r="R29" s="13">
        <f t="shared" si="8"/>
        <v>125</v>
      </c>
      <c r="S29" s="13">
        <f t="shared" si="8"/>
        <v>95</v>
      </c>
      <c r="T29" s="13">
        <f t="shared" si="8"/>
        <v>105</v>
      </c>
      <c r="U29" s="13">
        <f t="shared" si="3"/>
        <v>1770</v>
      </c>
    </row>
    <row r="30" ht="12.75" customHeight="1">
      <c r="A30" s="35"/>
      <c r="B30" s="28"/>
      <c r="C30" s="36"/>
      <c r="D30" s="13" t="s">
        <v>13</v>
      </c>
      <c r="E30" s="13">
        <f t="shared" ref="E30:T30" si="9">SUM(E28:E29)</f>
        <v>211</v>
      </c>
      <c r="F30" s="13">
        <f t="shared" si="9"/>
        <v>169</v>
      </c>
      <c r="G30" s="13">
        <f t="shared" si="9"/>
        <v>175</v>
      </c>
      <c r="H30" s="13">
        <f t="shared" si="9"/>
        <v>207</v>
      </c>
      <c r="I30" s="13">
        <f t="shared" si="9"/>
        <v>200</v>
      </c>
      <c r="J30" s="13">
        <f t="shared" si="9"/>
        <v>210</v>
      </c>
      <c r="K30" s="13">
        <f t="shared" si="9"/>
        <v>217</v>
      </c>
      <c r="L30" s="13">
        <f t="shared" si="9"/>
        <v>209</v>
      </c>
      <c r="M30" s="13">
        <f t="shared" si="9"/>
        <v>210</v>
      </c>
      <c r="N30" s="13">
        <f t="shared" si="9"/>
        <v>257</v>
      </c>
      <c r="O30" s="13">
        <f t="shared" si="9"/>
        <v>197</v>
      </c>
      <c r="P30" s="13">
        <f t="shared" si="9"/>
        <v>223</v>
      </c>
      <c r="Q30" s="13">
        <f t="shared" si="9"/>
        <v>187</v>
      </c>
      <c r="R30" s="13">
        <f t="shared" si="9"/>
        <v>235</v>
      </c>
      <c r="S30" s="13">
        <f t="shared" si="9"/>
        <v>170</v>
      </c>
      <c r="T30" s="13">
        <f t="shared" si="9"/>
        <v>206</v>
      </c>
      <c r="U30" s="13">
        <f t="shared" si="3"/>
        <v>3283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19"/>
      <c r="U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13"/>
      <c r="U32" s="60"/>
    </row>
    <row r="33" ht="12.75" customHeight="1">
      <c r="A33" s="19">
        <v>1.0</v>
      </c>
      <c r="B33" s="20" t="s">
        <v>26</v>
      </c>
      <c r="C33" s="15"/>
      <c r="D33" s="16"/>
      <c r="E33" s="19">
        <v>284.0</v>
      </c>
      <c r="F33" s="19">
        <v>221.0</v>
      </c>
      <c r="G33" s="19">
        <v>241.0</v>
      </c>
      <c r="H33" s="19">
        <v>293.0</v>
      </c>
      <c r="I33" s="19">
        <v>271.0</v>
      </c>
      <c r="J33" s="19">
        <v>272.0</v>
      </c>
      <c r="K33" s="19">
        <v>293.0</v>
      </c>
      <c r="L33" s="19">
        <v>290.0</v>
      </c>
      <c r="M33" s="19">
        <v>291.0</v>
      </c>
      <c r="N33" s="19">
        <v>298.0</v>
      </c>
      <c r="O33" s="19">
        <v>284.0</v>
      </c>
      <c r="P33" s="19">
        <v>283.0</v>
      </c>
      <c r="Q33" s="19">
        <v>222.0</v>
      </c>
      <c r="R33" s="19">
        <v>285.0</v>
      </c>
      <c r="S33" s="19">
        <v>209.0</v>
      </c>
      <c r="T33" s="19">
        <v>249.0</v>
      </c>
      <c r="U33" s="13">
        <f t="shared" ref="U33:U36" si="10">SUM(E33:T33)</f>
        <v>4286</v>
      </c>
    </row>
    <row r="34" ht="12.75" customHeight="1">
      <c r="A34" s="19">
        <v>2.0</v>
      </c>
      <c r="B34" s="20" t="s">
        <v>27</v>
      </c>
      <c r="C34" s="15"/>
      <c r="D34" s="16"/>
      <c r="E34" s="13">
        <v>211.0</v>
      </c>
      <c r="F34" s="13">
        <v>169.0</v>
      </c>
      <c r="G34" s="13">
        <v>175.0</v>
      </c>
      <c r="H34" s="13">
        <v>207.0</v>
      </c>
      <c r="I34" s="13">
        <v>200.0</v>
      </c>
      <c r="J34" s="13">
        <v>210.0</v>
      </c>
      <c r="K34" s="13">
        <v>217.0</v>
      </c>
      <c r="L34" s="13">
        <v>209.0</v>
      </c>
      <c r="M34" s="13">
        <v>210.0</v>
      </c>
      <c r="N34" s="13">
        <v>257.0</v>
      </c>
      <c r="O34" s="13">
        <v>197.0</v>
      </c>
      <c r="P34" s="13">
        <v>223.0</v>
      </c>
      <c r="Q34" s="13">
        <v>187.0</v>
      </c>
      <c r="R34" s="13">
        <v>235.0</v>
      </c>
      <c r="S34" s="13">
        <v>170.0</v>
      </c>
      <c r="T34" s="13">
        <v>206.0</v>
      </c>
      <c r="U34" s="13">
        <f t="shared" si="10"/>
        <v>3283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3">
        <f t="shared" si="10"/>
        <v>4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T36" si="11">E33-(E34+E35)</f>
        <v>73</v>
      </c>
      <c r="F36" s="13">
        <f t="shared" si="11"/>
        <v>52</v>
      </c>
      <c r="G36" s="13">
        <f t="shared" si="11"/>
        <v>66</v>
      </c>
      <c r="H36" s="13">
        <f t="shared" si="11"/>
        <v>84</v>
      </c>
      <c r="I36" s="13">
        <f t="shared" si="11"/>
        <v>71</v>
      </c>
      <c r="J36" s="13">
        <f t="shared" si="11"/>
        <v>62</v>
      </c>
      <c r="K36" s="13">
        <f t="shared" si="11"/>
        <v>76</v>
      </c>
      <c r="L36" s="13">
        <f t="shared" si="11"/>
        <v>80</v>
      </c>
      <c r="M36" s="13">
        <f t="shared" si="11"/>
        <v>81</v>
      </c>
      <c r="N36" s="13">
        <f t="shared" si="11"/>
        <v>41</v>
      </c>
      <c r="O36" s="13">
        <f t="shared" si="11"/>
        <v>87</v>
      </c>
      <c r="P36" s="13">
        <f t="shared" si="11"/>
        <v>60</v>
      </c>
      <c r="Q36" s="13">
        <f t="shared" si="11"/>
        <v>35</v>
      </c>
      <c r="R36" s="13">
        <f t="shared" si="11"/>
        <v>50</v>
      </c>
      <c r="S36" s="13">
        <f t="shared" si="11"/>
        <v>39</v>
      </c>
      <c r="T36" s="13">
        <f t="shared" si="11"/>
        <v>42</v>
      </c>
      <c r="U36" s="13">
        <f t="shared" si="10"/>
        <v>999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19"/>
      <c r="U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13"/>
      <c r="U38" s="60"/>
    </row>
    <row r="39" ht="12.75" customHeight="1">
      <c r="A39" s="30"/>
      <c r="B39" s="43" t="s">
        <v>32</v>
      </c>
      <c r="C39" s="23"/>
      <c r="D39" s="19" t="s">
        <v>11</v>
      </c>
      <c r="E39" s="19">
        <v>1.0</v>
      </c>
      <c r="F39" s="19"/>
      <c r="G39" s="19"/>
      <c r="H39" s="19"/>
      <c r="I39" s="19"/>
      <c r="J39" s="19"/>
      <c r="K39" s="19">
        <v>1.0</v>
      </c>
      <c r="L39" s="19"/>
      <c r="M39" s="19"/>
      <c r="N39" s="19"/>
      <c r="O39" s="19"/>
      <c r="P39" s="19">
        <v>1.0</v>
      </c>
      <c r="Q39" s="19">
        <v>2.0</v>
      </c>
      <c r="R39" s="19"/>
      <c r="S39" s="19">
        <v>1.0</v>
      </c>
      <c r="T39" s="19">
        <v>0.0</v>
      </c>
      <c r="U39" s="13">
        <f t="shared" ref="U39:U41" si="12">SUM(E39:T39)</f>
        <v>6</v>
      </c>
    </row>
    <row r="40" ht="12.75" customHeight="1">
      <c r="A40" s="33"/>
      <c r="C40" s="27"/>
      <c r="D40" s="19" t="s">
        <v>12</v>
      </c>
      <c r="E40" s="19">
        <v>1.0</v>
      </c>
      <c r="F40" s="19"/>
      <c r="G40" s="19"/>
      <c r="H40" s="19"/>
      <c r="I40" s="19"/>
      <c r="J40" s="19"/>
      <c r="K40" s="19">
        <v>1.0</v>
      </c>
      <c r="L40" s="19"/>
      <c r="M40" s="19"/>
      <c r="N40" s="19"/>
      <c r="O40" s="19">
        <v>1.0</v>
      </c>
      <c r="P40" s="19"/>
      <c r="Q40" s="19">
        <v>2.0</v>
      </c>
      <c r="R40" s="19"/>
      <c r="S40" s="19">
        <v>6.0</v>
      </c>
      <c r="T40" s="19">
        <v>0.0</v>
      </c>
      <c r="U40" s="13">
        <f t="shared" si="12"/>
        <v>11</v>
      </c>
    </row>
    <row r="41" ht="12.75" customHeight="1">
      <c r="A41" s="41"/>
      <c r="B41" s="44"/>
      <c r="C41" s="28"/>
      <c r="D41" s="13" t="s">
        <v>13</v>
      </c>
      <c r="E41" s="13">
        <f t="shared" ref="E41:T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4</v>
      </c>
      <c r="R41" s="13">
        <f t="shared" si="13"/>
        <v>0</v>
      </c>
      <c r="S41" s="13">
        <f t="shared" si="13"/>
        <v>7</v>
      </c>
      <c r="T41" s="13">
        <f t="shared" si="13"/>
        <v>0</v>
      </c>
      <c r="U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19"/>
      <c r="U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13"/>
      <c r="U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19"/>
      <c r="U44" s="13"/>
    </row>
    <row r="45" ht="12.75" customHeight="1">
      <c r="A45" s="63"/>
      <c r="B45" s="47">
        <v>1.0</v>
      </c>
      <c r="C45" s="48" t="s">
        <v>36</v>
      </c>
      <c r="D45" s="16"/>
      <c r="E45" s="19">
        <v>24.0</v>
      </c>
      <c r="F45" s="19">
        <v>28.0</v>
      </c>
      <c r="G45" s="19">
        <v>42.0</v>
      </c>
      <c r="H45" s="19">
        <v>30.0</v>
      </c>
      <c r="I45" s="19">
        <v>15.0</v>
      </c>
      <c r="J45" s="19">
        <v>29.0</v>
      </c>
      <c r="K45" s="19">
        <v>27.0</v>
      </c>
      <c r="L45" s="19">
        <v>56.0</v>
      </c>
      <c r="M45" s="19">
        <v>50.0</v>
      </c>
      <c r="N45" s="19">
        <v>44.0</v>
      </c>
      <c r="O45" s="19">
        <v>36.0</v>
      </c>
      <c r="P45" s="19">
        <v>27.0</v>
      </c>
      <c r="Q45" s="19">
        <v>20.0</v>
      </c>
      <c r="R45" s="19">
        <v>32.0</v>
      </c>
      <c r="S45" s="19">
        <v>28.0</v>
      </c>
      <c r="T45" s="19">
        <v>50.0</v>
      </c>
      <c r="U45" s="13">
        <f t="shared" ref="U45:U47" si="14">SUM(E45:T45)</f>
        <v>538</v>
      </c>
    </row>
    <row r="46" ht="12.75" customHeight="1">
      <c r="A46" s="18"/>
      <c r="B46" s="47">
        <v>2.0</v>
      </c>
      <c r="C46" s="48" t="s">
        <v>37</v>
      </c>
      <c r="D46" s="16"/>
      <c r="E46" s="19">
        <v>162.0</v>
      </c>
      <c r="F46" s="19">
        <v>128.0</v>
      </c>
      <c r="G46" s="19">
        <v>116.0</v>
      </c>
      <c r="H46" s="19">
        <v>133.0</v>
      </c>
      <c r="I46" s="19">
        <v>140.0</v>
      </c>
      <c r="J46" s="19">
        <v>136.0</v>
      </c>
      <c r="K46" s="19">
        <v>146.0</v>
      </c>
      <c r="L46" s="19">
        <v>120.0</v>
      </c>
      <c r="M46" s="19">
        <v>127.0</v>
      </c>
      <c r="N46" s="19">
        <v>162.0</v>
      </c>
      <c r="O46" s="19">
        <v>139.0</v>
      </c>
      <c r="P46" s="19">
        <v>163.0</v>
      </c>
      <c r="Q46" s="19">
        <v>135.0</v>
      </c>
      <c r="R46" s="19">
        <v>167.0</v>
      </c>
      <c r="S46" s="19">
        <v>126.0</v>
      </c>
      <c r="T46" s="19">
        <v>128.0</v>
      </c>
      <c r="U46" s="13">
        <f t="shared" si="14"/>
        <v>2228</v>
      </c>
    </row>
    <row r="47" ht="12.75" customHeight="1">
      <c r="A47" s="45"/>
      <c r="B47" s="47">
        <v>3.0</v>
      </c>
      <c r="C47" s="48" t="s">
        <v>38</v>
      </c>
      <c r="D47" s="16"/>
      <c r="E47" s="19">
        <v>24.0</v>
      </c>
      <c r="F47" s="19">
        <v>4.0</v>
      </c>
      <c r="G47" s="19">
        <v>14.0</v>
      </c>
      <c r="H47" s="19">
        <v>41.0</v>
      </c>
      <c r="I47" s="19">
        <v>33.0</v>
      </c>
      <c r="J47" s="19">
        <v>36.0</v>
      </c>
      <c r="K47" s="19">
        <v>40.0</v>
      </c>
      <c r="L47" s="19">
        <v>29.0</v>
      </c>
      <c r="M47" s="19">
        <v>29.0</v>
      </c>
      <c r="N47" s="19">
        <v>41.0</v>
      </c>
      <c r="O47" s="19">
        <v>19.0</v>
      </c>
      <c r="P47" s="19">
        <v>23.0</v>
      </c>
      <c r="Q47" s="19">
        <v>25.0</v>
      </c>
      <c r="R47" s="19">
        <v>33.0</v>
      </c>
      <c r="S47" s="19">
        <v>15.0</v>
      </c>
      <c r="T47" s="19">
        <v>26.0</v>
      </c>
      <c r="U47" s="13">
        <f t="shared" si="14"/>
        <v>432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13"/>
      <c r="U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T50" si="15">SUM(E45:E47)</f>
        <v>210</v>
      </c>
      <c r="F50" s="19">
        <f t="shared" si="15"/>
        <v>160</v>
      </c>
      <c r="G50" s="19">
        <f t="shared" si="15"/>
        <v>172</v>
      </c>
      <c r="H50" s="19">
        <f t="shared" si="15"/>
        <v>204</v>
      </c>
      <c r="I50" s="19">
        <f t="shared" si="15"/>
        <v>188</v>
      </c>
      <c r="J50" s="19">
        <f t="shared" si="15"/>
        <v>201</v>
      </c>
      <c r="K50" s="19">
        <f t="shared" si="15"/>
        <v>213</v>
      </c>
      <c r="L50" s="19">
        <f t="shared" si="15"/>
        <v>205</v>
      </c>
      <c r="M50" s="19">
        <f t="shared" si="15"/>
        <v>206</v>
      </c>
      <c r="N50" s="19">
        <f t="shared" si="15"/>
        <v>247</v>
      </c>
      <c r="O50" s="19">
        <f t="shared" si="15"/>
        <v>194</v>
      </c>
      <c r="P50" s="19">
        <f t="shared" si="15"/>
        <v>213</v>
      </c>
      <c r="Q50" s="19">
        <f t="shared" si="15"/>
        <v>180</v>
      </c>
      <c r="R50" s="19">
        <f t="shared" si="15"/>
        <v>232</v>
      </c>
      <c r="S50" s="19">
        <f t="shared" si="15"/>
        <v>169</v>
      </c>
      <c r="T50" s="19">
        <f t="shared" si="15"/>
        <v>204</v>
      </c>
      <c r="U50" s="13">
        <f t="shared" ref="U50:U52" si="16">SUM(E50:T50)</f>
        <v>3198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1.0</v>
      </c>
      <c r="F51" s="19">
        <v>9.0</v>
      </c>
      <c r="G51" s="19">
        <v>3.0</v>
      </c>
      <c r="H51" s="19">
        <v>3.0</v>
      </c>
      <c r="I51" s="19">
        <v>12.0</v>
      </c>
      <c r="J51" s="19">
        <v>9.0</v>
      </c>
      <c r="K51" s="19">
        <v>4.0</v>
      </c>
      <c r="L51" s="19">
        <v>4.0</v>
      </c>
      <c r="M51" s="19">
        <v>4.0</v>
      </c>
      <c r="N51" s="19">
        <v>10.0</v>
      </c>
      <c r="O51" s="19">
        <v>3.0</v>
      </c>
      <c r="P51" s="19">
        <v>10.0</v>
      </c>
      <c r="Q51" s="19">
        <v>7.0</v>
      </c>
      <c r="R51" s="19">
        <v>3.0</v>
      </c>
      <c r="S51" s="19">
        <v>1.0</v>
      </c>
      <c r="T51" s="19">
        <v>2.0</v>
      </c>
      <c r="U51" s="13">
        <f t="shared" si="16"/>
        <v>85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T52" si="17">SUM(E50:E51)</f>
        <v>211</v>
      </c>
      <c r="F52" s="13">
        <f t="shared" si="17"/>
        <v>169</v>
      </c>
      <c r="G52" s="13">
        <f t="shared" si="17"/>
        <v>175</v>
      </c>
      <c r="H52" s="13">
        <f t="shared" si="17"/>
        <v>207</v>
      </c>
      <c r="I52" s="13">
        <f t="shared" si="17"/>
        <v>200</v>
      </c>
      <c r="J52" s="13">
        <f t="shared" si="17"/>
        <v>210</v>
      </c>
      <c r="K52" s="13">
        <f t="shared" si="17"/>
        <v>217</v>
      </c>
      <c r="L52" s="13">
        <f t="shared" si="17"/>
        <v>209</v>
      </c>
      <c r="M52" s="13">
        <f t="shared" si="17"/>
        <v>210</v>
      </c>
      <c r="N52" s="13">
        <f t="shared" si="17"/>
        <v>257</v>
      </c>
      <c r="O52" s="13">
        <f t="shared" si="17"/>
        <v>197</v>
      </c>
      <c r="P52" s="13">
        <f t="shared" si="17"/>
        <v>223</v>
      </c>
      <c r="Q52" s="13">
        <f t="shared" si="17"/>
        <v>187</v>
      </c>
      <c r="R52" s="13">
        <f t="shared" si="17"/>
        <v>235</v>
      </c>
      <c r="S52" s="13">
        <f t="shared" si="17"/>
        <v>170</v>
      </c>
      <c r="T52" s="13">
        <f t="shared" si="17"/>
        <v>206</v>
      </c>
      <c r="U52" s="13">
        <f t="shared" si="16"/>
        <v>3283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">
    <cfRule type="expression" dxfId="0" priority="1">
      <formula>E34&lt;&gt;#REF!</formula>
    </cfRule>
  </conditionalFormatting>
  <conditionalFormatting sqref="E14:T15 E45:T47">
    <cfRule type="containsBlanks" dxfId="1" priority="2">
      <formula>LEN(TRIM(E14))=0</formula>
    </cfRule>
  </conditionalFormatting>
  <conditionalFormatting sqref="E19:T20">
    <cfRule type="containsBlanks" dxfId="1" priority="3">
      <formula>LEN(TRIM(E19))=0</formula>
    </cfRule>
  </conditionalFormatting>
  <conditionalFormatting sqref="E22:T23 E25:T26 E33:T33 E35:T35 E39:T40">
    <cfRule type="containsBlanks" dxfId="1" priority="4">
      <formula>LEN(TRIM(E22))=0</formula>
    </cfRule>
  </conditionalFormatting>
  <conditionalFormatting sqref="E30:T30">
    <cfRule type="expression" dxfId="0" priority="5">
      <formula>E30&lt;&gt;E46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50:T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13" t="s">
        <v>68</v>
      </c>
      <c r="V13" s="13" t="s">
        <v>69</v>
      </c>
      <c r="W13" s="13" t="s">
        <v>70</v>
      </c>
      <c r="X13" s="13" t="s">
        <v>71</v>
      </c>
      <c r="Y13" s="13" t="s">
        <v>72</v>
      </c>
      <c r="Z13" s="36"/>
    </row>
    <row r="14" ht="12.75" customHeight="1">
      <c r="A14" s="18"/>
      <c r="B14" s="22" t="s">
        <v>10</v>
      </c>
      <c r="C14" s="23"/>
      <c r="D14" s="19" t="s">
        <v>11</v>
      </c>
      <c r="E14" s="19">
        <v>124.0</v>
      </c>
      <c r="F14" s="19">
        <v>127.0</v>
      </c>
      <c r="G14" s="19">
        <v>113.0</v>
      </c>
      <c r="H14" s="19">
        <v>117.0</v>
      </c>
      <c r="I14" s="19">
        <v>117.0</v>
      </c>
      <c r="J14" s="19">
        <v>146.0</v>
      </c>
      <c r="K14" s="19">
        <v>142.0</v>
      </c>
      <c r="L14" s="19">
        <v>125.0</v>
      </c>
      <c r="M14" s="19">
        <v>117.0</v>
      </c>
      <c r="N14" s="19">
        <v>115.0</v>
      </c>
      <c r="O14" s="19">
        <v>133.0</v>
      </c>
      <c r="P14" s="19">
        <v>145.0</v>
      </c>
      <c r="Q14" s="19">
        <v>139.0</v>
      </c>
      <c r="R14" s="19">
        <v>124.0</v>
      </c>
      <c r="S14" s="19">
        <v>142.0</v>
      </c>
      <c r="T14" s="19">
        <v>138.0</v>
      </c>
      <c r="U14" s="19">
        <v>134.0</v>
      </c>
      <c r="V14" s="19">
        <v>133.0</v>
      </c>
      <c r="W14" s="19">
        <v>124.0</v>
      </c>
      <c r="X14" s="19">
        <v>126.0</v>
      </c>
      <c r="Y14" s="19">
        <v>131.0</v>
      </c>
      <c r="Z14" s="13">
        <f t="shared" ref="Z14:Z16" si="1">SUM(E14:Y14)</f>
        <v>2712</v>
      </c>
    </row>
    <row r="15" ht="12.75" customHeight="1">
      <c r="A15" s="18"/>
      <c r="B15" s="26"/>
      <c r="C15" s="27"/>
      <c r="D15" s="19" t="s">
        <v>12</v>
      </c>
      <c r="E15" s="19">
        <v>150.0</v>
      </c>
      <c r="F15" s="19">
        <v>138.0</v>
      </c>
      <c r="G15" s="19">
        <v>145.0</v>
      </c>
      <c r="H15" s="19">
        <v>131.0</v>
      </c>
      <c r="I15" s="19">
        <v>133.0</v>
      </c>
      <c r="J15" s="19">
        <v>145.0</v>
      </c>
      <c r="K15" s="19">
        <v>154.0</v>
      </c>
      <c r="L15" s="19">
        <v>150.0</v>
      </c>
      <c r="M15" s="19">
        <v>130.0</v>
      </c>
      <c r="N15" s="19">
        <v>144.0</v>
      </c>
      <c r="O15" s="19">
        <v>156.0</v>
      </c>
      <c r="P15" s="19">
        <v>147.0</v>
      </c>
      <c r="Q15" s="19">
        <v>146.0</v>
      </c>
      <c r="R15" s="19">
        <v>133.0</v>
      </c>
      <c r="S15" s="19">
        <v>150.0</v>
      </c>
      <c r="T15" s="19">
        <v>156.0</v>
      </c>
      <c r="U15" s="19">
        <v>161.0</v>
      </c>
      <c r="V15" s="19">
        <v>152.0</v>
      </c>
      <c r="W15" s="19">
        <v>145.0</v>
      </c>
      <c r="X15" s="19">
        <v>134.0</v>
      </c>
      <c r="Y15" s="19">
        <v>167.0</v>
      </c>
      <c r="Z15" s="13">
        <f t="shared" si="1"/>
        <v>3067</v>
      </c>
    </row>
    <row r="16" ht="12.75" customHeight="1">
      <c r="A16" s="25"/>
      <c r="B16" s="21"/>
      <c r="C16" s="28"/>
      <c r="D16" s="13" t="s">
        <v>13</v>
      </c>
      <c r="E16" s="13">
        <f t="shared" ref="E16:Y16" si="2">SUM(E14:E15)</f>
        <v>274</v>
      </c>
      <c r="F16" s="13">
        <f t="shared" si="2"/>
        <v>265</v>
      </c>
      <c r="G16" s="13">
        <f t="shared" si="2"/>
        <v>258</v>
      </c>
      <c r="H16" s="13">
        <f t="shared" si="2"/>
        <v>248</v>
      </c>
      <c r="I16" s="13">
        <f t="shared" si="2"/>
        <v>250</v>
      </c>
      <c r="J16" s="13">
        <f t="shared" si="2"/>
        <v>291</v>
      </c>
      <c r="K16" s="13">
        <f t="shared" si="2"/>
        <v>296</v>
      </c>
      <c r="L16" s="13">
        <f t="shared" si="2"/>
        <v>275</v>
      </c>
      <c r="M16" s="13">
        <f t="shared" si="2"/>
        <v>247</v>
      </c>
      <c r="N16" s="13">
        <f t="shared" si="2"/>
        <v>259</v>
      </c>
      <c r="O16" s="13">
        <f t="shared" si="2"/>
        <v>289</v>
      </c>
      <c r="P16" s="13">
        <f t="shared" si="2"/>
        <v>292</v>
      </c>
      <c r="Q16" s="13">
        <f t="shared" si="2"/>
        <v>285</v>
      </c>
      <c r="R16" s="13">
        <f t="shared" si="2"/>
        <v>257</v>
      </c>
      <c r="S16" s="13">
        <f t="shared" si="2"/>
        <v>292</v>
      </c>
      <c r="T16" s="13">
        <f t="shared" si="2"/>
        <v>294</v>
      </c>
      <c r="U16" s="13">
        <f t="shared" si="2"/>
        <v>295</v>
      </c>
      <c r="V16" s="13">
        <f t="shared" si="2"/>
        <v>285</v>
      </c>
      <c r="W16" s="13">
        <f t="shared" si="2"/>
        <v>269</v>
      </c>
      <c r="X16" s="13">
        <f t="shared" si="2"/>
        <v>260</v>
      </c>
      <c r="Y16" s="13">
        <f t="shared" si="2"/>
        <v>298</v>
      </c>
      <c r="Z16" s="13">
        <f t="shared" si="1"/>
        <v>5779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19"/>
      <c r="U17" s="19"/>
      <c r="V17" s="19"/>
      <c r="W17" s="19"/>
      <c r="X17" s="59"/>
      <c r="Y17" s="59"/>
      <c r="Z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19"/>
      <c r="U18" s="19"/>
      <c r="V18" s="19"/>
      <c r="W18" s="19"/>
      <c r="X18" s="59"/>
      <c r="Y18" s="59"/>
      <c r="Z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83.0</v>
      </c>
      <c r="F19" s="19">
        <v>74.0</v>
      </c>
      <c r="G19" s="19">
        <v>82.0</v>
      </c>
      <c r="H19" s="19">
        <v>85.0</v>
      </c>
      <c r="I19" s="19">
        <v>89.0</v>
      </c>
      <c r="J19" s="19">
        <v>108.0</v>
      </c>
      <c r="K19" s="19">
        <v>100.0</v>
      </c>
      <c r="L19" s="19">
        <v>96.0</v>
      </c>
      <c r="M19" s="19">
        <v>80.0</v>
      </c>
      <c r="N19" s="19">
        <v>82.0</v>
      </c>
      <c r="O19" s="19">
        <v>100.0</v>
      </c>
      <c r="P19" s="19">
        <v>99.0</v>
      </c>
      <c r="Q19" s="19">
        <v>97.0</v>
      </c>
      <c r="R19" s="19">
        <v>86.0</v>
      </c>
      <c r="S19" s="19">
        <v>87.0</v>
      </c>
      <c r="T19" s="19">
        <v>96.0</v>
      </c>
      <c r="U19" s="19">
        <v>103.0</v>
      </c>
      <c r="V19" s="19">
        <v>103.0</v>
      </c>
      <c r="W19" s="19">
        <v>83.0</v>
      </c>
      <c r="X19" s="19">
        <v>71.0</v>
      </c>
      <c r="Y19" s="19">
        <v>86.0</v>
      </c>
      <c r="Z19" s="13">
        <f t="shared" ref="Z19:Z30" si="3">SUM(E19:Y19)</f>
        <v>1890</v>
      </c>
    </row>
    <row r="20" ht="12.75" customHeight="1">
      <c r="A20" s="33"/>
      <c r="B20" s="27"/>
      <c r="C20" s="34"/>
      <c r="D20" s="19" t="s">
        <v>12</v>
      </c>
      <c r="E20" s="19">
        <v>118.0</v>
      </c>
      <c r="F20" s="19">
        <v>104.0</v>
      </c>
      <c r="G20" s="19">
        <v>123.0</v>
      </c>
      <c r="H20" s="19">
        <v>104.0</v>
      </c>
      <c r="I20" s="19">
        <v>98.0</v>
      </c>
      <c r="J20" s="19">
        <v>112.0</v>
      </c>
      <c r="K20" s="19">
        <v>120.0</v>
      </c>
      <c r="L20" s="19">
        <v>107.0</v>
      </c>
      <c r="M20" s="19">
        <v>99.0</v>
      </c>
      <c r="N20" s="19">
        <v>112.0</v>
      </c>
      <c r="O20" s="19">
        <v>124.0</v>
      </c>
      <c r="P20" s="19">
        <v>121.0</v>
      </c>
      <c r="Q20" s="19">
        <v>117.0</v>
      </c>
      <c r="R20" s="19">
        <v>99.0</v>
      </c>
      <c r="S20" s="19">
        <v>109.0</v>
      </c>
      <c r="T20" s="19">
        <v>122.0</v>
      </c>
      <c r="U20" s="19">
        <v>129.0</v>
      </c>
      <c r="V20" s="19">
        <v>126.0</v>
      </c>
      <c r="W20" s="19">
        <v>110.0</v>
      </c>
      <c r="X20" s="19">
        <v>84.0</v>
      </c>
      <c r="Y20" s="19">
        <v>113.0</v>
      </c>
      <c r="Z20" s="13">
        <f t="shared" si="3"/>
        <v>2351</v>
      </c>
    </row>
    <row r="21" ht="12.75" customHeight="1">
      <c r="A21" s="35"/>
      <c r="B21" s="28"/>
      <c r="C21" s="36"/>
      <c r="D21" s="13" t="s">
        <v>13</v>
      </c>
      <c r="E21" s="13">
        <f t="shared" ref="E21:Y21" si="4">SUM(E19:E20)</f>
        <v>201</v>
      </c>
      <c r="F21" s="13">
        <f t="shared" si="4"/>
        <v>178</v>
      </c>
      <c r="G21" s="13">
        <f t="shared" si="4"/>
        <v>205</v>
      </c>
      <c r="H21" s="13">
        <f t="shared" si="4"/>
        <v>189</v>
      </c>
      <c r="I21" s="13">
        <f t="shared" si="4"/>
        <v>187</v>
      </c>
      <c r="J21" s="13">
        <f t="shared" si="4"/>
        <v>220</v>
      </c>
      <c r="K21" s="13">
        <f t="shared" si="4"/>
        <v>220</v>
      </c>
      <c r="L21" s="13">
        <f t="shared" si="4"/>
        <v>203</v>
      </c>
      <c r="M21" s="13">
        <f t="shared" si="4"/>
        <v>179</v>
      </c>
      <c r="N21" s="13">
        <f t="shared" si="4"/>
        <v>194</v>
      </c>
      <c r="O21" s="13">
        <f t="shared" si="4"/>
        <v>224</v>
      </c>
      <c r="P21" s="13">
        <f t="shared" si="4"/>
        <v>220</v>
      </c>
      <c r="Q21" s="13">
        <f t="shared" si="4"/>
        <v>214</v>
      </c>
      <c r="R21" s="13">
        <f t="shared" si="4"/>
        <v>185</v>
      </c>
      <c r="S21" s="13">
        <f t="shared" si="4"/>
        <v>196</v>
      </c>
      <c r="T21" s="13">
        <f t="shared" si="4"/>
        <v>218</v>
      </c>
      <c r="U21" s="13">
        <f t="shared" si="4"/>
        <v>232</v>
      </c>
      <c r="V21" s="13">
        <f t="shared" si="4"/>
        <v>229</v>
      </c>
      <c r="W21" s="13">
        <f t="shared" si="4"/>
        <v>193</v>
      </c>
      <c r="X21" s="13">
        <f t="shared" si="4"/>
        <v>155</v>
      </c>
      <c r="Y21" s="13">
        <f t="shared" si="4"/>
        <v>199</v>
      </c>
      <c r="Z21" s="13">
        <f t="shared" si="3"/>
        <v>4241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1.0</v>
      </c>
      <c r="F22" s="19">
        <v>0.0</v>
      </c>
      <c r="G22" s="19">
        <v>2.0</v>
      </c>
      <c r="H22" s="19">
        <v>0.0</v>
      </c>
      <c r="I22" s="19">
        <v>2.0</v>
      </c>
      <c r="J22" s="19">
        <v>1.0</v>
      </c>
      <c r="K22" s="19">
        <v>2.0</v>
      </c>
      <c r="L22" s="19">
        <v>0.0</v>
      </c>
      <c r="M22" s="19">
        <v>0.0</v>
      </c>
      <c r="N22" s="19">
        <v>6.0</v>
      </c>
      <c r="O22" s="19">
        <v>5.0</v>
      </c>
      <c r="P22" s="19">
        <v>3.0</v>
      </c>
      <c r="Q22" s="19">
        <v>3.0</v>
      </c>
      <c r="R22" s="19">
        <v>1.0</v>
      </c>
      <c r="S22" s="19">
        <v>4.0</v>
      </c>
      <c r="T22" s="19">
        <v>3.0</v>
      </c>
      <c r="U22" s="19">
        <v>0.0</v>
      </c>
      <c r="V22" s="19">
        <v>0.0</v>
      </c>
      <c r="W22" s="19">
        <v>7.0</v>
      </c>
      <c r="X22" s="19">
        <v>1.0</v>
      </c>
      <c r="Y22" s="19">
        <v>1.0</v>
      </c>
      <c r="Z22" s="13">
        <f t="shared" si="3"/>
        <v>42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1.0</v>
      </c>
      <c r="G23" s="19">
        <v>4.0</v>
      </c>
      <c r="H23" s="19">
        <v>0.0</v>
      </c>
      <c r="I23" s="19">
        <v>1.0</v>
      </c>
      <c r="J23" s="19">
        <v>1.0</v>
      </c>
      <c r="K23" s="19">
        <v>1.0</v>
      </c>
      <c r="L23" s="19">
        <v>1.0</v>
      </c>
      <c r="M23" s="19">
        <v>0.0</v>
      </c>
      <c r="N23" s="19">
        <v>9.0</v>
      </c>
      <c r="O23" s="19">
        <v>5.0</v>
      </c>
      <c r="P23" s="19">
        <v>4.0</v>
      </c>
      <c r="Q23" s="19">
        <v>2.0</v>
      </c>
      <c r="R23" s="19">
        <v>1.0</v>
      </c>
      <c r="S23" s="19">
        <v>4.0</v>
      </c>
      <c r="T23" s="19">
        <v>0.0</v>
      </c>
      <c r="U23" s="19">
        <v>0.0</v>
      </c>
      <c r="V23" s="19">
        <v>0.0</v>
      </c>
      <c r="W23" s="19">
        <v>4.0</v>
      </c>
      <c r="X23" s="19">
        <v>1.0</v>
      </c>
      <c r="Y23" s="19">
        <v>2.0</v>
      </c>
      <c r="Z23" s="13">
        <f t="shared" si="3"/>
        <v>41</v>
      </c>
    </row>
    <row r="24" ht="12.75" customHeight="1">
      <c r="A24" s="35"/>
      <c r="B24" s="28"/>
      <c r="C24" s="36"/>
      <c r="D24" s="13" t="s">
        <v>13</v>
      </c>
      <c r="E24" s="13">
        <f t="shared" ref="E24:Y24" si="5">SUM(E22:E23)</f>
        <v>1</v>
      </c>
      <c r="F24" s="13">
        <f t="shared" si="5"/>
        <v>1</v>
      </c>
      <c r="G24" s="13">
        <f t="shared" si="5"/>
        <v>6</v>
      </c>
      <c r="H24" s="13">
        <f t="shared" si="5"/>
        <v>0</v>
      </c>
      <c r="I24" s="13">
        <f t="shared" si="5"/>
        <v>3</v>
      </c>
      <c r="J24" s="13">
        <f t="shared" si="5"/>
        <v>2</v>
      </c>
      <c r="K24" s="13">
        <f t="shared" si="5"/>
        <v>3</v>
      </c>
      <c r="L24" s="13">
        <f t="shared" si="5"/>
        <v>1</v>
      </c>
      <c r="M24" s="13">
        <f t="shared" si="5"/>
        <v>0</v>
      </c>
      <c r="N24" s="13">
        <f t="shared" si="5"/>
        <v>15</v>
      </c>
      <c r="O24" s="13">
        <f t="shared" si="5"/>
        <v>10</v>
      </c>
      <c r="P24" s="13">
        <f t="shared" si="5"/>
        <v>7</v>
      </c>
      <c r="Q24" s="13">
        <f t="shared" si="5"/>
        <v>5</v>
      </c>
      <c r="R24" s="13">
        <f t="shared" si="5"/>
        <v>2</v>
      </c>
      <c r="S24" s="13">
        <f t="shared" si="5"/>
        <v>8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11</v>
      </c>
      <c r="X24" s="13">
        <f t="shared" si="5"/>
        <v>2</v>
      </c>
      <c r="Y24" s="13">
        <f t="shared" si="5"/>
        <v>3</v>
      </c>
      <c r="Z24" s="13">
        <f t="shared" si="3"/>
        <v>83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4.0</v>
      </c>
      <c r="G25" s="19">
        <v>5.0</v>
      </c>
      <c r="H25" s="19">
        <v>2.0</v>
      </c>
      <c r="I25" s="19">
        <v>1.0</v>
      </c>
      <c r="J25" s="19">
        <v>1.0</v>
      </c>
      <c r="K25" s="19">
        <v>1.0</v>
      </c>
      <c r="L25" s="19">
        <v>3.0</v>
      </c>
      <c r="M25" s="19">
        <v>2.0</v>
      </c>
      <c r="N25" s="19">
        <v>3.0</v>
      </c>
      <c r="O25" s="19">
        <v>2.0</v>
      </c>
      <c r="P25" s="19">
        <v>5.0</v>
      </c>
      <c r="Q25" s="19">
        <v>2.0</v>
      </c>
      <c r="R25" s="19">
        <v>2.0</v>
      </c>
      <c r="S25" s="19">
        <v>2.0</v>
      </c>
      <c r="T25" s="19">
        <v>0.0</v>
      </c>
      <c r="U25" s="19">
        <v>3.0</v>
      </c>
      <c r="V25" s="19">
        <v>3.0</v>
      </c>
      <c r="W25" s="19">
        <v>6.0</v>
      </c>
      <c r="X25" s="19">
        <v>11.0</v>
      </c>
      <c r="Y25" s="19">
        <v>3.0</v>
      </c>
      <c r="Z25" s="13">
        <f t="shared" si="3"/>
        <v>61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4.0</v>
      </c>
      <c r="G26" s="19">
        <v>1.0</v>
      </c>
      <c r="H26" s="19">
        <v>1.0</v>
      </c>
      <c r="I26" s="19">
        <v>1.0</v>
      </c>
      <c r="J26" s="19">
        <v>4.0</v>
      </c>
      <c r="K26" s="19">
        <v>1.0</v>
      </c>
      <c r="L26" s="19">
        <v>2.0</v>
      </c>
      <c r="M26" s="19">
        <v>5.0</v>
      </c>
      <c r="N26" s="19">
        <v>2.0</v>
      </c>
      <c r="O26" s="19">
        <v>1.0</v>
      </c>
      <c r="P26" s="19">
        <v>5.0</v>
      </c>
      <c r="Q26" s="19">
        <v>4.0</v>
      </c>
      <c r="R26" s="19">
        <v>2.0</v>
      </c>
      <c r="S26" s="19">
        <v>5.0</v>
      </c>
      <c r="T26" s="19">
        <v>0.0</v>
      </c>
      <c r="U26" s="19">
        <v>3.0</v>
      </c>
      <c r="V26" s="19">
        <v>1.0</v>
      </c>
      <c r="W26" s="19">
        <v>4.0</v>
      </c>
      <c r="X26" s="19">
        <v>8.0</v>
      </c>
      <c r="Y26" s="19">
        <v>4.0</v>
      </c>
      <c r="Z26" s="13">
        <f t="shared" si="3"/>
        <v>59</v>
      </c>
    </row>
    <row r="27" ht="12.75" customHeight="1">
      <c r="A27" s="35"/>
      <c r="B27" s="28"/>
      <c r="C27" s="36"/>
      <c r="D27" s="13" t="s">
        <v>13</v>
      </c>
      <c r="E27" s="13">
        <f t="shared" ref="E27:Y27" si="6">SUM(E25:E26)</f>
        <v>1</v>
      </c>
      <c r="F27" s="13">
        <f t="shared" si="6"/>
        <v>8</v>
      </c>
      <c r="G27" s="13">
        <f t="shared" si="6"/>
        <v>6</v>
      </c>
      <c r="H27" s="13">
        <f t="shared" si="6"/>
        <v>3</v>
      </c>
      <c r="I27" s="13">
        <f t="shared" si="6"/>
        <v>2</v>
      </c>
      <c r="J27" s="13">
        <f t="shared" si="6"/>
        <v>5</v>
      </c>
      <c r="K27" s="13">
        <f t="shared" si="6"/>
        <v>2</v>
      </c>
      <c r="L27" s="13">
        <f t="shared" si="6"/>
        <v>5</v>
      </c>
      <c r="M27" s="13">
        <f t="shared" si="6"/>
        <v>7</v>
      </c>
      <c r="N27" s="13">
        <f t="shared" si="6"/>
        <v>5</v>
      </c>
      <c r="O27" s="13">
        <f t="shared" si="6"/>
        <v>3</v>
      </c>
      <c r="P27" s="13">
        <f t="shared" si="6"/>
        <v>10</v>
      </c>
      <c r="Q27" s="13">
        <f t="shared" si="6"/>
        <v>6</v>
      </c>
      <c r="R27" s="13">
        <f t="shared" si="6"/>
        <v>4</v>
      </c>
      <c r="S27" s="13">
        <f t="shared" si="6"/>
        <v>7</v>
      </c>
      <c r="T27" s="13">
        <f t="shared" si="6"/>
        <v>0</v>
      </c>
      <c r="U27" s="13">
        <f t="shared" si="6"/>
        <v>6</v>
      </c>
      <c r="V27" s="13">
        <f t="shared" si="6"/>
        <v>4</v>
      </c>
      <c r="W27" s="13">
        <f t="shared" si="6"/>
        <v>10</v>
      </c>
      <c r="X27" s="13">
        <f t="shared" si="6"/>
        <v>19</v>
      </c>
      <c r="Y27" s="13">
        <f t="shared" si="6"/>
        <v>7</v>
      </c>
      <c r="Z27" s="13">
        <f t="shared" si="3"/>
        <v>120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Y28" si="7">SUM(E19,E22,E25)</f>
        <v>84</v>
      </c>
      <c r="F28" s="13">
        <f t="shared" si="7"/>
        <v>78</v>
      </c>
      <c r="G28" s="13">
        <f t="shared" si="7"/>
        <v>89</v>
      </c>
      <c r="H28" s="13">
        <f t="shared" si="7"/>
        <v>87</v>
      </c>
      <c r="I28" s="13">
        <f t="shared" si="7"/>
        <v>92</v>
      </c>
      <c r="J28" s="13">
        <f t="shared" si="7"/>
        <v>110</v>
      </c>
      <c r="K28" s="13">
        <f t="shared" si="7"/>
        <v>103</v>
      </c>
      <c r="L28" s="13">
        <f t="shared" si="7"/>
        <v>99</v>
      </c>
      <c r="M28" s="13">
        <f t="shared" si="7"/>
        <v>82</v>
      </c>
      <c r="N28" s="13">
        <f t="shared" si="7"/>
        <v>91</v>
      </c>
      <c r="O28" s="13">
        <f t="shared" si="7"/>
        <v>107</v>
      </c>
      <c r="P28" s="13">
        <f t="shared" si="7"/>
        <v>107</v>
      </c>
      <c r="Q28" s="13">
        <f t="shared" si="7"/>
        <v>102</v>
      </c>
      <c r="R28" s="13">
        <f t="shared" si="7"/>
        <v>89</v>
      </c>
      <c r="S28" s="13">
        <f t="shared" si="7"/>
        <v>93</v>
      </c>
      <c r="T28" s="13">
        <f t="shared" si="7"/>
        <v>99</v>
      </c>
      <c r="U28" s="13">
        <f t="shared" si="7"/>
        <v>106</v>
      </c>
      <c r="V28" s="13">
        <f t="shared" si="7"/>
        <v>106</v>
      </c>
      <c r="W28" s="13">
        <f t="shared" si="7"/>
        <v>96</v>
      </c>
      <c r="X28" s="13">
        <f t="shared" si="7"/>
        <v>83</v>
      </c>
      <c r="Y28" s="13">
        <f t="shared" si="7"/>
        <v>90</v>
      </c>
      <c r="Z28" s="13">
        <f t="shared" si="3"/>
        <v>1993</v>
      </c>
    </row>
    <row r="29" ht="12.75" customHeight="1">
      <c r="A29" s="35"/>
      <c r="B29" s="27"/>
      <c r="C29" s="34"/>
      <c r="D29" s="13" t="s">
        <v>12</v>
      </c>
      <c r="E29" s="13">
        <f t="shared" ref="E29:Y29" si="8">SUM(E20,E23,E26)</f>
        <v>119</v>
      </c>
      <c r="F29" s="13">
        <f t="shared" si="8"/>
        <v>109</v>
      </c>
      <c r="G29" s="13">
        <f t="shared" si="8"/>
        <v>128</v>
      </c>
      <c r="H29" s="13">
        <f t="shared" si="8"/>
        <v>105</v>
      </c>
      <c r="I29" s="13">
        <f t="shared" si="8"/>
        <v>100</v>
      </c>
      <c r="J29" s="13">
        <f t="shared" si="8"/>
        <v>117</v>
      </c>
      <c r="K29" s="13">
        <f t="shared" si="8"/>
        <v>122</v>
      </c>
      <c r="L29" s="13">
        <f t="shared" si="8"/>
        <v>110</v>
      </c>
      <c r="M29" s="13">
        <f t="shared" si="8"/>
        <v>104</v>
      </c>
      <c r="N29" s="13">
        <f t="shared" si="8"/>
        <v>123</v>
      </c>
      <c r="O29" s="13">
        <f t="shared" si="8"/>
        <v>130</v>
      </c>
      <c r="P29" s="13">
        <f t="shared" si="8"/>
        <v>130</v>
      </c>
      <c r="Q29" s="13">
        <f t="shared" si="8"/>
        <v>123</v>
      </c>
      <c r="R29" s="13">
        <f t="shared" si="8"/>
        <v>102</v>
      </c>
      <c r="S29" s="13">
        <f t="shared" si="8"/>
        <v>118</v>
      </c>
      <c r="T29" s="13">
        <f t="shared" si="8"/>
        <v>122</v>
      </c>
      <c r="U29" s="13">
        <f t="shared" si="8"/>
        <v>132</v>
      </c>
      <c r="V29" s="13">
        <f t="shared" si="8"/>
        <v>127</v>
      </c>
      <c r="W29" s="13">
        <f t="shared" si="8"/>
        <v>118</v>
      </c>
      <c r="X29" s="13">
        <f t="shared" si="8"/>
        <v>93</v>
      </c>
      <c r="Y29" s="13">
        <f t="shared" si="8"/>
        <v>119</v>
      </c>
      <c r="Z29" s="13">
        <f t="shared" si="3"/>
        <v>2451</v>
      </c>
    </row>
    <row r="30" ht="12.75" customHeight="1">
      <c r="A30" s="35"/>
      <c r="B30" s="28"/>
      <c r="C30" s="36"/>
      <c r="D30" s="13" t="s">
        <v>13</v>
      </c>
      <c r="E30" s="13">
        <f t="shared" ref="E30:Y30" si="9">SUM(E28:E29)</f>
        <v>203</v>
      </c>
      <c r="F30" s="13">
        <f t="shared" si="9"/>
        <v>187</v>
      </c>
      <c r="G30" s="13">
        <f t="shared" si="9"/>
        <v>217</v>
      </c>
      <c r="H30" s="13">
        <f t="shared" si="9"/>
        <v>192</v>
      </c>
      <c r="I30" s="13">
        <f t="shared" si="9"/>
        <v>192</v>
      </c>
      <c r="J30" s="13">
        <f t="shared" si="9"/>
        <v>227</v>
      </c>
      <c r="K30" s="13">
        <f t="shared" si="9"/>
        <v>225</v>
      </c>
      <c r="L30" s="13">
        <f t="shared" si="9"/>
        <v>209</v>
      </c>
      <c r="M30" s="13">
        <f t="shared" si="9"/>
        <v>186</v>
      </c>
      <c r="N30" s="13">
        <f t="shared" si="9"/>
        <v>214</v>
      </c>
      <c r="O30" s="13">
        <f t="shared" si="9"/>
        <v>237</v>
      </c>
      <c r="P30" s="13">
        <f t="shared" si="9"/>
        <v>237</v>
      </c>
      <c r="Q30" s="13">
        <f t="shared" si="9"/>
        <v>225</v>
      </c>
      <c r="R30" s="13">
        <f t="shared" si="9"/>
        <v>191</v>
      </c>
      <c r="S30" s="13">
        <f t="shared" si="9"/>
        <v>211</v>
      </c>
      <c r="T30" s="13">
        <f t="shared" si="9"/>
        <v>221</v>
      </c>
      <c r="U30" s="13">
        <f t="shared" si="9"/>
        <v>238</v>
      </c>
      <c r="V30" s="13">
        <f t="shared" si="9"/>
        <v>233</v>
      </c>
      <c r="W30" s="13">
        <f t="shared" si="9"/>
        <v>214</v>
      </c>
      <c r="X30" s="13">
        <f t="shared" si="9"/>
        <v>176</v>
      </c>
      <c r="Y30" s="13">
        <f t="shared" si="9"/>
        <v>209</v>
      </c>
      <c r="Z30" s="13">
        <f t="shared" si="3"/>
        <v>4444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19"/>
      <c r="U31" s="19"/>
      <c r="V31" s="19"/>
      <c r="W31" s="19"/>
      <c r="X31" s="59"/>
      <c r="Y31" s="59"/>
      <c r="Z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13"/>
      <c r="U32" s="13"/>
      <c r="V32" s="13"/>
      <c r="W32" s="13"/>
      <c r="X32" s="61"/>
      <c r="Y32" s="61"/>
      <c r="Z32" s="60"/>
    </row>
    <row r="33" ht="12.75" customHeight="1">
      <c r="A33" s="19">
        <v>1.0</v>
      </c>
      <c r="B33" s="20" t="s">
        <v>26</v>
      </c>
      <c r="C33" s="15"/>
      <c r="D33" s="16"/>
      <c r="E33" s="19">
        <v>280.0</v>
      </c>
      <c r="F33" s="19">
        <v>270.0</v>
      </c>
      <c r="G33" s="19">
        <v>266.0</v>
      </c>
      <c r="H33" s="19">
        <v>253.0</v>
      </c>
      <c r="I33" s="19">
        <v>255.0</v>
      </c>
      <c r="J33" s="19">
        <v>297.0</v>
      </c>
      <c r="K33" s="19">
        <v>299.0</v>
      </c>
      <c r="L33" s="19">
        <v>281.0</v>
      </c>
      <c r="M33" s="19">
        <v>250.0</v>
      </c>
      <c r="N33" s="19">
        <v>265.0</v>
      </c>
      <c r="O33" s="19">
        <v>295.0</v>
      </c>
      <c r="P33" s="19">
        <v>298.0</v>
      </c>
      <c r="Q33" s="19">
        <v>288.0</v>
      </c>
      <c r="R33" s="19">
        <v>261.0</v>
      </c>
      <c r="S33" s="19">
        <v>298.0</v>
      </c>
      <c r="T33" s="19">
        <v>297.0</v>
      </c>
      <c r="U33" s="19">
        <v>303.0</v>
      </c>
      <c r="V33" s="19">
        <v>288.0</v>
      </c>
      <c r="W33" s="19">
        <v>272.0</v>
      </c>
      <c r="X33" s="19">
        <v>259.0</v>
      </c>
      <c r="Y33" s="19">
        <v>304.0</v>
      </c>
      <c r="Z33" s="13">
        <f t="shared" ref="Z33:Z36" si="10">SUM(E33:Y33)</f>
        <v>5879</v>
      </c>
    </row>
    <row r="34" ht="12.75" customHeight="1">
      <c r="A34" s="19">
        <v>2.0</v>
      </c>
      <c r="B34" s="20" t="s">
        <v>27</v>
      </c>
      <c r="C34" s="15"/>
      <c r="D34" s="16"/>
      <c r="E34" s="13">
        <v>203.0</v>
      </c>
      <c r="F34" s="13">
        <v>187.0</v>
      </c>
      <c r="G34" s="13">
        <v>217.0</v>
      </c>
      <c r="H34" s="13">
        <v>192.0</v>
      </c>
      <c r="I34" s="13">
        <v>192.0</v>
      </c>
      <c r="J34" s="13">
        <v>227.0</v>
      </c>
      <c r="K34" s="13">
        <v>225.0</v>
      </c>
      <c r="L34" s="13">
        <v>209.0</v>
      </c>
      <c r="M34" s="13">
        <v>186.0</v>
      </c>
      <c r="N34" s="13">
        <v>214.0</v>
      </c>
      <c r="O34" s="13">
        <v>237.0</v>
      </c>
      <c r="P34" s="13">
        <v>237.0</v>
      </c>
      <c r="Q34" s="13">
        <v>225.0</v>
      </c>
      <c r="R34" s="13">
        <v>191.0</v>
      </c>
      <c r="S34" s="13">
        <v>211.0</v>
      </c>
      <c r="T34" s="13">
        <v>221.0</v>
      </c>
      <c r="U34" s="13">
        <v>238.0</v>
      </c>
      <c r="V34" s="13">
        <v>233.0</v>
      </c>
      <c r="W34" s="13">
        <v>214.0</v>
      </c>
      <c r="X34" s="13">
        <v>176.0</v>
      </c>
      <c r="Y34" s="13">
        <v>209.0</v>
      </c>
      <c r="Z34" s="13">
        <f t="shared" si="10"/>
        <v>4444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1.0</v>
      </c>
      <c r="H35" s="19">
        <v>3.0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0.0</v>
      </c>
      <c r="Y35" s="19">
        <v>5.0</v>
      </c>
      <c r="Z35" s="13">
        <f t="shared" si="10"/>
        <v>13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Y36" si="11">E33-(E34+E35)</f>
        <v>77</v>
      </c>
      <c r="F36" s="13">
        <f t="shared" si="11"/>
        <v>83</v>
      </c>
      <c r="G36" s="13">
        <f t="shared" si="11"/>
        <v>48</v>
      </c>
      <c r="H36" s="13">
        <f t="shared" si="11"/>
        <v>58</v>
      </c>
      <c r="I36" s="13">
        <f t="shared" si="11"/>
        <v>63</v>
      </c>
      <c r="J36" s="13">
        <f t="shared" si="11"/>
        <v>69</v>
      </c>
      <c r="K36" s="13">
        <f t="shared" si="11"/>
        <v>74</v>
      </c>
      <c r="L36" s="13">
        <f t="shared" si="11"/>
        <v>72</v>
      </c>
      <c r="M36" s="13">
        <f t="shared" si="11"/>
        <v>64</v>
      </c>
      <c r="N36" s="13">
        <f t="shared" si="11"/>
        <v>50</v>
      </c>
      <c r="O36" s="13">
        <f t="shared" si="11"/>
        <v>58</v>
      </c>
      <c r="P36" s="13">
        <f t="shared" si="11"/>
        <v>61</v>
      </c>
      <c r="Q36" s="13">
        <f t="shared" si="11"/>
        <v>63</v>
      </c>
      <c r="R36" s="13">
        <f t="shared" si="11"/>
        <v>70</v>
      </c>
      <c r="S36" s="13">
        <f t="shared" si="11"/>
        <v>87</v>
      </c>
      <c r="T36" s="13">
        <f t="shared" si="11"/>
        <v>76</v>
      </c>
      <c r="U36" s="13">
        <f t="shared" si="11"/>
        <v>65</v>
      </c>
      <c r="V36" s="13">
        <f t="shared" si="11"/>
        <v>53</v>
      </c>
      <c r="W36" s="13">
        <f t="shared" si="11"/>
        <v>58</v>
      </c>
      <c r="X36" s="13">
        <f t="shared" si="11"/>
        <v>83</v>
      </c>
      <c r="Y36" s="13">
        <f t="shared" si="11"/>
        <v>90</v>
      </c>
      <c r="Z36" s="13">
        <f t="shared" si="10"/>
        <v>1422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19"/>
      <c r="U37" s="19"/>
      <c r="V37" s="19"/>
      <c r="W37" s="19"/>
      <c r="X37" s="59"/>
      <c r="Y37" s="62"/>
      <c r="Z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13"/>
      <c r="U38" s="13"/>
      <c r="V38" s="13"/>
      <c r="W38" s="13"/>
      <c r="X38" s="61"/>
      <c r="Y38" s="61"/>
      <c r="Z38" s="60"/>
    </row>
    <row r="39" ht="12.75" customHeight="1">
      <c r="A39" s="30"/>
      <c r="B39" s="43" t="s">
        <v>32</v>
      </c>
      <c r="C39" s="23"/>
      <c r="D39" s="19" t="s">
        <v>11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>
        <v>2.0</v>
      </c>
      <c r="Z39" s="13">
        <f t="shared" ref="Z39:Z41" si="12">SUM(E39:Y39)</f>
        <v>2</v>
      </c>
    </row>
    <row r="40" ht="12.75" customHeight="1">
      <c r="A40" s="33"/>
      <c r="C40" s="27"/>
      <c r="D40" s="19" t="s">
        <v>12</v>
      </c>
      <c r="E40" s="19"/>
      <c r="F40" s="19"/>
      <c r="G40" s="19"/>
      <c r="H40" s="19"/>
      <c r="I40" s="19"/>
      <c r="J40" s="19"/>
      <c r="K40" s="19"/>
      <c r="L40" s="19"/>
      <c r="M40" s="19"/>
      <c r="N40" s="19">
        <v>1.0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19"/>
      <c r="U42" s="19"/>
      <c r="V42" s="19"/>
      <c r="W42" s="19"/>
      <c r="X42" s="59"/>
      <c r="Y42" s="19"/>
      <c r="Z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13"/>
      <c r="U43" s="13"/>
      <c r="V43" s="13"/>
      <c r="W43" s="13"/>
      <c r="X43" s="61"/>
      <c r="Y43" s="13"/>
      <c r="Z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19"/>
      <c r="U44" s="19"/>
      <c r="V44" s="19"/>
      <c r="W44" s="19"/>
      <c r="X44" s="59"/>
      <c r="Y44" s="19"/>
      <c r="Z44" s="13"/>
    </row>
    <row r="45" ht="12.75" customHeight="1">
      <c r="A45" s="63"/>
      <c r="B45" s="47">
        <v>1.0</v>
      </c>
      <c r="C45" s="48" t="s">
        <v>36</v>
      </c>
      <c r="D45" s="16"/>
      <c r="E45" s="19">
        <v>40.0</v>
      </c>
      <c r="F45" s="19">
        <v>38.0</v>
      </c>
      <c r="G45" s="19">
        <v>60.0</v>
      </c>
      <c r="H45" s="19">
        <v>43.0</v>
      </c>
      <c r="I45" s="19">
        <v>40.0</v>
      </c>
      <c r="J45" s="19">
        <v>59.0</v>
      </c>
      <c r="K45" s="19">
        <v>60.0</v>
      </c>
      <c r="L45" s="19">
        <v>72.0</v>
      </c>
      <c r="M45" s="19">
        <v>44.0</v>
      </c>
      <c r="N45" s="19">
        <v>42.0</v>
      </c>
      <c r="O45" s="19">
        <v>79.0</v>
      </c>
      <c r="P45" s="19">
        <v>72.0</v>
      </c>
      <c r="Q45" s="19">
        <v>58.0</v>
      </c>
      <c r="R45" s="19">
        <v>55.0</v>
      </c>
      <c r="S45" s="19">
        <v>63.0</v>
      </c>
      <c r="T45" s="19">
        <v>75.0</v>
      </c>
      <c r="U45" s="19">
        <v>61.0</v>
      </c>
      <c r="V45" s="19">
        <v>105.0</v>
      </c>
      <c r="W45" s="19">
        <v>41.0</v>
      </c>
      <c r="X45" s="19">
        <v>44.0</v>
      </c>
      <c r="Y45" s="19">
        <v>33.0</v>
      </c>
      <c r="Z45" s="13">
        <f t="shared" ref="Z45:Z47" si="14">SUM(E45:Y45)</f>
        <v>1184</v>
      </c>
    </row>
    <row r="46" ht="12.75" customHeight="1">
      <c r="A46" s="18"/>
      <c r="B46" s="47">
        <v>2.0</v>
      </c>
      <c r="C46" s="48" t="s">
        <v>37</v>
      </c>
      <c r="D46" s="16"/>
      <c r="E46" s="19">
        <v>125.0</v>
      </c>
      <c r="F46" s="19">
        <v>108.0</v>
      </c>
      <c r="G46" s="19">
        <v>112.0</v>
      </c>
      <c r="H46" s="19">
        <v>99.0</v>
      </c>
      <c r="I46" s="19">
        <v>113.0</v>
      </c>
      <c r="J46" s="19">
        <v>105.0</v>
      </c>
      <c r="K46" s="19">
        <v>121.0</v>
      </c>
      <c r="L46" s="19">
        <v>91.0</v>
      </c>
      <c r="M46" s="19">
        <v>103.0</v>
      </c>
      <c r="N46" s="19">
        <v>129.0</v>
      </c>
      <c r="O46" s="19">
        <v>118.0</v>
      </c>
      <c r="P46" s="19">
        <v>138.0</v>
      </c>
      <c r="Q46" s="19">
        <v>131.0</v>
      </c>
      <c r="R46" s="19">
        <v>92.0</v>
      </c>
      <c r="S46" s="19">
        <v>106.0</v>
      </c>
      <c r="T46" s="19">
        <v>118.0</v>
      </c>
      <c r="U46" s="19">
        <v>122.0</v>
      </c>
      <c r="V46" s="19">
        <v>86.0</v>
      </c>
      <c r="W46" s="19">
        <v>123.0</v>
      </c>
      <c r="X46" s="19">
        <v>100.0</v>
      </c>
      <c r="Y46" s="19">
        <v>137.0</v>
      </c>
      <c r="Z46" s="13">
        <f t="shared" si="14"/>
        <v>2377</v>
      </c>
    </row>
    <row r="47" ht="12.75" customHeight="1">
      <c r="A47" s="45"/>
      <c r="B47" s="47">
        <v>3.0</v>
      </c>
      <c r="C47" s="48" t="s">
        <v>38</v>
      </c>
      <c r="D47" s="16"/>
      <c r="E47" s="19">
        <v>36.0</v>
      </c>
      <c r="F47" s="19">
        <v>36.0</v>
      </c>
      <c r="G47" s="19">
        <v>45.0</v>
      </c>
      <c r="H47" s="19">
        <v>44.0</v>
      </c>
      <c r="I47" s="19">
        <v>37.0</v>
      </c>
      <c r="J47" s="19">
        <v>59.0</v>
      </c>
      <c r="K47" s="19">
        <v>40.0</v>
      </c>
      <c r="L47" s="19">
        <v>44.0</v>
      </c>
      <c r="M47" s="19">
        <v>37.0</v>
      </c>
      <c r="N47" s="19">
        <v>38.0</v>
      </c>
      <c r="O47" s="19">
        <v>38.0</v>
      </c>
      <c r="P47" s="19">
        <v>26.0</v>
      </c>
      <c r="Q47" s="19">
        <v>33.0</v>
      </c>
      <c r="R47" s="19">
        <v>44.0</v>
      </c>
      <c r="S47" s="19">
        <v>39.0</v>
      </c>
      <c r="T47" s="19">
        <v>28.0</v>
      </c>
      <c r="U47" s="19">
        <v>48.0</v>
      </c>
      <c r="V47" s="19">
        <v>35.0</v>
      </c>
      <c r="W47" s="19">
        <v>47.0</v>
      </c>
      <c r="X47" s="19">
        <v>30.0</v>
      </c>
      <c r="Y47" s="19">
        <v>39.0</v>
      </c>
      <c r="Z47" s="13">
        <f t="shared" si="14"/>
        <v>823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13"/>
      <c r="U49" s="13"/>
      <c r="V49" s="13"/>
      <c r="W49" s="13"/>
      <c r="X49" s="61"/>
      <c r="Y49" s="61"/>
      <c r="Z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Y50" si="15">SUM(E45:E47)</f>
        <v>201</v>
      </c>
      <c r="F50" s="19">
        <f t="shared" si="15"/>
        <v>182</v>
      </c>
      <c r="G50" s="19">
        <f t="shared" si="15"/>
        <v>217</v>
      </c>
      <c r="H50" s="19">
        <f t="shared" si="15"/>
        <v>186</v>
      </c>
      <c r="I50" s="19">
        <f t="shared" si="15"/>
        <v>190</v>
      </c>
      <c r="J50" s="19">
        <f t="shared" si="15"/>
        <v>223</v>
      </c>
      <c r="K50" s="19">
        <f t="shared" si="15"/>
        <v>221</v>
      </c>
      <c r="L50" s="19">
        <f t="shared" si="15"/>
        <v>207</v>
      </c>
      <c r="M50" s="19">
        <f t="shared" si="15"/>
        <v>184</v>
      </c>
      <c r="N50" s="19">
        <f t="shared" si="15"/>
        <v>209</v>
      </c>
      <c r="O50" s="19">
        <f t="shared" si="15"/>
        <v>235</v>
      </c>
      <c r="P50" s="19">
        <f t="shared" si="15"/>
        <v>236</v>
      </c>
      <c r="Q50" s="19">
        <f t="shared" si="15"/>
        <v>222</v>
      </c>
      <c r="R50" s="19">
        <f t="shared" si="15"/>
        <v>191</v>
      </c>
      <c r="S50" s="19">
        <f t="shared" si="15"/>
        <v>208</v>
      </c>
      <c r="T50" s="19">
        <f t="shared" si="15"/>
        <v>221</v>
      </c>
      <c r="U50" s="19">
        <f t="shared" si="15"/>
        <v>231</v>
      </c>
      <c r="V50" s="19">
        <f t="shared" si="15"/>
        <v>226</v>
      </c>
      <c r="W50" s="19">
        <f t="shared" si="15"/>
        <v>211</v>
      </c>
      <c r="X50" s="19">
        <f t="shared" si="15"/>
        <v>174</v>
      </c>
      <c r="Y50" s="19">
        <f t="shared" si="15"/>
        <v>209</v>
      </c>
      <c r="Z50" s="13">
        <f t="shared" ref="Z50:Z52" si="16">SUM(E50:Y50)</f>
        <v>4384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2.0</v>
      </c>
      <c r="F51" s="19">
        <v>5.0</v>
      </c>
      <c r="G51" s="19">
        <v>0.0</v>
      </c>
      <c r="H51" s="19">
        <v>6.0</v>
      </c>
      <c r="I51" s="19">
        <v>2.0</v>
      </c>
      <c r="J51" s="19">
        <v>4.0</v>
      </c>
      <c r="K51" s="19">
        <v>4.0</v>
      </c>
      <c r="L51" s="19">
        <v>2.0</v>
      </c>
      <c r="M51" s="19">
        <v>2.0</v>
      </c>
      <c r="N51" s="19">
        <v>5.0</v>
      </c>
      <c r="O51" s="19">
        <v>2.0</v>
      </c>
      <c r="P51" s="19">
        <v>1.0</v>
      </c>
      <c r="Q51" s="19">
        <v>3.0</v>
      </c>
      <c r="R51" s="19">
        <v>0.0</v>
      </c>
      <c r="S51" s="19">
        <v>3.0</v>
      </c>
      <c r="T51" s="19">
        <v>0.0</v>
      </c>
      <c r="U51" s="19">
        <v>7.0</v>
      </c>
      <c r="V51" s="19">
        <v>7.0</v>
      </c>
      <c r="W51" s="19">
        <v>3.0</v>
      </c>
      <c r="X51" s="19">
        <v>2.0</v>
      </c>
      <c r="Y51" s="19">
        <v>0.0</v>
      </c>
      <c r="Z51" s="13">
        <f t="shared" si="16"/>
        <v>60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Y52" si="17">SUM(E50:E51)</f>
        <v>203</v>
      </c>
      <c r="F52" s="13">
        <f t="shared" si="17"/>
        <v>187</v>
      </c>
      <c r="G52" s="13">
        <f t="shared" si="17"/>
        <v>217</v>
      </c>
      <c r="H52" s="13">
        <f t="shared" si="17"/>
        <v>192</v>
      </c>
      <c r="I52" s="13">
        <f t="shared" si="17"/>
        <v>192</v>
      </c>
      <c r="J52" s="13">
        <f t="shared" si="17"/>
        <v>227</v>
      </c>
      <c r="K52" s="13">
        <f t="shared" si="17"/>
        <v>225</v>
      </c>
      <c r="L52" s="13">
        <f t="shared" si="17"/>
        <v>209</v>
      </c>
      <c r="M52" s="13">
        <f t="shared" si="17"/>
        <v>186</v>
      </c>
      <c r="N52" s="13">
        <f t="shared" si="17"/>
        <v>214</v>
      </c>
      <c r="O52" s="13">
        <f t="shared" si="17"/>
        <v>237</v>
      </c>
      <c r="P52" s="13">
        <f t="shared" si="17"/>
        <v>237</v>
      </c>
      <c r="Q52" s="13">
        <f t="shared" si="17"/>
        <v>225</v>
      </c>
      <c r="R52" s="13">
        <f t="shared" si="17"/>
        <v>191</v>
      </c>
      <c r="S52" s="13">
        <f t="shared" si="17"/>
        <v>211</v>
      </c>
      <c r="T52" s="13">
        <f t="shared" si="17"/>
        <v>221</v>
      </c>
      <c r="U52" s="13">
        <f t="shared" si="17"/>
        <v>238</v>
      </c>
      <c r="V52" s="13">
        <f t="shared" si="17"/>
        <v>233</v>
      </c>
      <c r="W52" s="13">
        <f t="shared" si="17"/>
        <v>214</v>
      </c>
      <c r="X52" s="13">
        <f t="shared" si="17"/>
        <v>176</v>
      </c>
      <c r="Y52" s="13">
        <f t="shared" si="17"/>
        <v>209</v>
      </c>
      <c r="Z52" s="13">
        <f t="shared" si="16"/>
        <v>4444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Y34">
    <cfRule type="expression" dxfId="0" priority="1">
      <formula>E34&lt;&gt;#REF!</formula>
    </cfRule>
  </conditionalFormatting>
  <conditionalFormatting sqref="E14:Y15 E45:Y47">
    <cfRule type="containsBlanks" dxfId="1" priority="2">
      <formula>LEN(TRIM(E14))=0</formula>
    </cfRule>
  </conditionalFormatting>
  <conditionalFormatting sqref="E19:Y20">
    <cfRule type="containsBlanks" dxfId="1" priority="3">
      <formula>LEN(TRIM(E19))=0</formula>
    </cfRule>
  </conditionalFormatting>
  <conditionalFormatting sqref="E22:Y23 E25:Y26 E33:Y33 E35:Y35 E39:Y40">
    <cfRule type="containsBlanks" dxfId="1" priority="4">
      <formula>LEN(TRIM(E22))=0</formula>
    </cfRule>
  </conditionalFormatting>
  <conditionalFormatting sqref="E30:Y30">
    <cfRule type="expression" dxfId="0" priority="5">
      <formula>E30&lt;&gt;E46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2" priority="7">
      <formula>E30&lt;&gt;E34</formula>
    </cfRule>
  </conditionalFormatting>
  <conditionalFormatting sqref="E34:Y34">
    <cfRule type="expression" dxfId="3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50:Y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1" width="8.71"/>
    <col customWidth="1" min="12" max="12" width="13.29"/>
    <col customWidth="1" min="1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97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36"/>
    </row>
    <row r="14" ht="12.75" customHeight="1">
      <c r="A14" s="18"/>
      <c r="B14" s="22" t="s">
        <v>10</v>
      </c>
      <c r="C14" s="23"/>
      <c r="D14" s="19" t="s">
        <v>11</v>
      </c>
      <c r="E14" s="19">
        <v>127.0</v>
      </c>
      <c r="F14" s="19">
        <v>92.0</v>
      </c>
      <c r="G14" s="19">
        <v>112.0</v>
      </c>
      <c r="H14" s="19">
        <v>127.0</v>
      </c>
      <c r="I14" s="19">
        <v>102.0</v>
      </c>
      <c r="J14" s="19">
        <v>109.0</v>
      </c>
      <c r="K14" s="19">
        <v>135.0</v>
      </c>
      <c r="L14" s="13">
        <f t="shared" ref="L14:L16" si="1">SUM(E14:K14)</f>
        <v>804</v>
      </c>
    </row>
    <row r="15" ht="12.75" customHeight="1">
      <c r="A15" s="18"/>
      <c r="B15" s="26"/>
      <c r="C15" s="27"/>
      <c r="D15" s="19" t="s">
        <v>12</v>
      </c>
      <c r="E15" s="19">
        <v>127.0</v>
      </c>
      <c r="F15" s="19">
        <v>99.0</v>
      </c>
      <c r="G15" s="19">
        <v>98.0</v>
      </c>
      <c r="H15" s="19">
        <v>129.0</v>
      </c>
      <c r="I15" s="19">
        <v>106.0</v>
      </c>
      <c r="J15" s="19">
        <v>117.0</v>
      </c>
      <c r="K15" s="19">
        <v>130.0</v>
      </c>
      <c r="L15" s="13">
        <f t="shared" si="1"/>
        <v>806</v>
      </c>
    </row>
    <row r="16" ht="12.75" customHeight="1">
      <c r="A16" s="25"/>
      <c r="B16" s="21"/>
      <c r="C16" s="28"/>
      <c r="D16" s="13" t="s">
        <v>13</v>
      </c>
      <c r="E16" s="13">
        <f t="shared" ref="E16:K16" si="2">SUM(E14:E15)</f>
        <v>254</v>
      </c>
      <c r="F16" s="13">
        <f t="shared" si="2"/>
        <v>191</v>
      </c>
      <c r="G16" s="13">
        <f t="shared" si="2"/>
        <v>210</v>
      </c>
      <c r="H16" s="13">
        <f t="shared" si="2"/>
        <v>256</v>
      </c>
      <c r="I16" s="13">
        <f t="shared" si="2"/>
        <v>208</v>
      </c>
      <c r="J16" s="13">
        <f t="shared" si="2"/>
        <v>226</v>
      </c>
      <c r="K16" s="13">
        <f t="shared" si="2"/>
        <v>265</v>
      </c>
      <c r="L16" s="13">
        <f t="shared" si="1"/>
        <v>1610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99.0</v>
      </c>
      <c r="F19" s="19">
        <v>70.0</v>
      </c>
      <c r="G19" s="19">
        <v>78.0</v>
      </c>
      <c r="H19" s="19">
        <v>86.0</v>
      </c>
      <c r="I19" s="19">
        <v>77.0</v>
      </c>
      <c r="J19" s="19">
        <v>81.0</v>
      </c>
      <c r="K19" s="19">
        <v>97.0</v>
      </c>
      <c r="L19" s="13">
        <f t="shared" ref="L19:L30" si="3">SUM(E19:K19)</f>
        <v>588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86.0</v>
      </c>
      <c r="G20" s="19">
        <v>77.0</v>
      </c>
      <c r="H20" s="19">
        <v>104.0</v>
      </c>
      <c r="I20" s="19">
        <v>90.0</v>
      </c>
      <c r="J20" s="19">
        <v>92.0</v>
      </c>
      <c r="K20" s="19">
        <v>112.0</v>
      </c>
      <c r="L20" s="13">
        <f t="shared" si="3"/>
        <v>665</v>
      </c>
    </row>
    <row r="21" ht="12.75" customHeight="1">
      <c r="A21" s="35"/>
      <c r="B21" s="28"/>
      <c r="C21" s="36"/>
      <c r="D21" s="13" t="s">
        <v>13</v>
      </c>
      <c r="E21" s="13">
        <f t="shared" ref="E21:K21" si="4">SUM(E19:E20)</f>
        <v>203</v>
      </c>
      <c r="F21" s="13">
        <f t="shared" si="4"/>
        <v>156</v>
      </c>
      <c r="G21" s="13">
        <f t="shared" si="4"/>
        <v>155</v>
      </c>
      <c r="H21" s="13">
        <f t="shared" si="4"/>
        <v>190</v>
      </c>
      <c r="I21" s="13">
        <f t="shared" si="4"/>
        <v>167</v>
      </c>
      <c r="J21" s="13">
        <f t="shared" si="4"/>
        <v>173</v>
      </c>
      <c r="K21" s="13">
        <f t="shared" si="4"/>
        <v>209</v>
      </c>
      <c r="L21" s="13">
        <f t="shared" si="3"/>
        <v>1253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4.0</v>
      </c>
      <c r="F25" s="19">
        <v>2.0</v>
      </c>
      <c r="G25" s="19">
        <v>3.0</v>
      </c>
      <c r="H25" s="19">
        <v>6.0</v>
      </c>
      <c r="I25" s="19">
        <v>1.0</v>
      </c>
      <c r="J25" s="19">
        <v>2.0</v>
      </c>
      <c r="K25" s="19">
        <v>1.0</v>
      </c>
      <c r="L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19">
        <v>6.0</v>
      </c>
      <c r="F26" s="19">
        <v>3.0</v>
      </c>
      <c r="G26" s="19">
        <v>4.0</v>
      </c>
      <c r="H26" s="19">
        <v>6.0</v>
      </c>
      <c r="I26" s="19">
        <v>1.0</v>
      </c>
      <c r="J26" s="19">
        <v>1.0</v>
      </c>
      <c r="K26" s="19">
        <v>1.0</v>
      </c>
      <c r="L26" s="13">
        <f t="shared" si="3"/>
        <v>22</v>
      </c>
    </row>
    <row r="27" ht="12.75" customHeight="1">
      <c r="A27" s="35"/>
      <c r="B27" s="28"/>
      <c r="C27" s="36"/>
      <c r="D27" s="13" t="s">
        <v>13</v>
      </c>
      <c r="E27" s="13">
        <f t="shared" ref="E27:K27" si="6">SUM(E25:E26)</f>
        <v>10</v>
      </c>
      <c r="F27" s="13">
        <f t="shared" si="6"/>
        <v>5</v>
      </c>
      <c r="G27" s="13">
        <f t="shared" si="6"/>
        <v>7</v>
      </c>
      <c r="H27" s="13">
        <f t="shared" si="6"/>
        <v>12</v>
      </c>
      <c r="I27" s="13">
        <f t="shared" si="6"/>
        <v>2</v>
      </c>
      <c r="J27" s="13">
        <f t="shared" si="6"/>
        <v>3</v>
      </c>
      <c r="K27" s="13">
        <f t="shared" si="6"/>
        <v>2</v>
      </c>
      <c r="L27" s="13">
        <f t="shared" si="3"/>
        <v>41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K28" si="7">SUM(E19,E22,E25)</f>
        <v>103</v>
      </c>
      <c r="F28" s="13">
        <f t="shared" si="7"/>
        <v>72</v>
      </c>
      <c r="G28" s="13">
        <f t="shared" si="7"/>
        <v>81</v>
      </c>
      <c r="H28" s="13">
        <f t="shared" si="7"/>
        <v>92</v>
      </c>
      <c r="I28" s="13">
        <f t="shared" si="7"/>
        <v>78</v>
      </c>
      <c r="J28" s="13">
        <f t="shared" si="7"/>
        <v>83</v>
      </c>
      <c r="K28" s="13">
        <f t="shared" si="7"/>
        <v>98</v>
      </c>
      <c r="L28" s="13">
        <f t="shared" si="3"/>
        <v>607</v>
      </c>
    </row>
    <row r="29" ht="12.75" customHeight="1">
      <c r="A29" s="35"/>
      <c r="B29" s="27"/>
      <c r="C29" s="34"/>
      <c r="D29" s="13" t="s">
        <v>12</v>
      </c>
      <c r="E29" s="13">
        <f t="shared" ref="E29:K29" si="8">SUM(E20,E23,E26)</f>
        <v>110</v>
      </c>
      <c r="F29" s="13">
        <f t="shared" si="8"/>
        <v>89</v>
      </c>
      <c r="G29" s="13">
        <f t="shared" si="8"/>
        <v>81</v>
      </c>
      <c r="H29" s="13">
        <f t="shared" si="8"/>
        <v>110</v>
      </c>
      <c r="I29" s="13">
        <f t="shared" si="8"/>
        <v>91</v>
      </c>
      <c r="J29" s="13">
        <f t="shared" si="8"/>
        <v>93</v>
      </c>
      <c r="K29" s="13">
        <f t="shared" si="8"/>
        <v>113</v>
      </c>
      <c r="L29" s="13">
        <f t="shared" si="3"/>
        <v>687</v>
      </c>
    </row>
    <row r="30" ht="12.75" customHeight="1">
      <c r="A30" s="35"/>
      <c r="B30" s="28"/>
      <c r="C30" s="36"/>
      <c r="D30" s="13" t="s">
        <v>13</v>
      </c>
      <c r="E30" s="13">
        <f t="shared" ref="E30:K30" si="9">SUM(E28:E29)</f>
        <v>213</v>
      </c>
      <c r="F30" s="13">
        <f t="shared" si="9"/>
        <v>161</v>
      </c>
      <c r="G30" s="13">
        <f t="shared" si="9"/>
        <v>162</v>
      </c>
      <c r="H30" s="13">
        <f t="shared" si="9"/>
        <v>202</v>
      </c>
      <c r="I30" s="13">
        <f t="shared" si="9"/>
        <v>169</v>
      </c>
      <c r="J30" s="13">
        <f t="shared" si="9"/>
        <v>176</v>
      </c>
      <c r="K30" s="13">
        <f t="shared" si="9"/>
        <v>211</v>
      </c>
      <c r="L30" s="13">
        <f t="shared" si="3"/>
        <v>1294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60"/>
    </row>
    <row r="33" ht="12.75" customHeight="1">
      <c r="A33" s="19">
        <v>1.0</v>
      </c>
      <c r="B33" s="20" t="s">
        <v>60</v>
      </c>
      <c r="C33" s="15"/>
      <c r="D33" s="16"/>
      <c r="E33" s="19">
        <v>260.0</v>
      </c>
      <c r="F33" s="19">
        <v>195.0</v>
      </c>
      <c r="G33" s="19">
        <v>213.0</v>
      </c>
      <c r="H33" s="19">
        <v>262.0</v>
      </c>
      <c r="I33" s="19">
        <v>216.0</v>
      </c>
      <c r="J33" s="19">
        <v>231.0</v>
      </c>
      <c r="K33" s="19">
        <v>270.0</v>
      </c>
      <c r="L33" s="13">
        <f t="shared" ref="L33:L36" si="10">SUM(E33:K33)</f>
        <v>1647</v>
      </c>
    </row>
    <row r="34" ht="12.75" customHeight="1">
      <c r="A34" s="19">
        <v>2.0</v>
      </c>
      <c r="B34" s="20" t="s">
        <v>27</v>
      </c>
      <c r="C34" s="15"/>
      <c r="D34" s="16"/>
      <c r="E34" s="13">
        <v>213.0</v>
      </c>
      <c r="F34" s="13">
        <v>161.0</v>
      </c>
      <c r="G34" s="13">
        <v>162.0</v>
      </c>
      <c r="H34" s="13">
        <v>202.0</v>
      </c>
      <c r="I34" s="13">
        <v>169.0</v>
      </c>
      <c r="J34" s="13">
        <v>176.0</v>
      </c>
      <c r="K34" s="13">
        <v>211.0</v>
      </c>
      <c r="L34" s="13">
        <f t="shared" si="10"/>
        <v>1294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K36" si="11">E33-(E34+E35)</f>
        <v>47</v>
      </c>
      <c r="F36" s="13">
        <f t="shared" si="11"/>
        <v>34</v>
      </c>
      <c r="G36" s="13">
        <f t="shared" si="11"/>
        <v>51</v>
      </c>
      <c r="H36" s="13">
        <f t="shared" si="11"/>
        <v>60</v>
      </c>
      <c r="I36" s="13">
        <f t="shared" si="11"/>
        <v>47</v>
      </c>
      <c r="J36" s="13">
        <f t="shared" si="11"/>
        <v>54</v>
      </c>
      <c r="K36" s="13">
        <f t="shared" si="11"/>
        <v>59</v>
      </c>
      <c r="L36" s="13">
        <f t="shared" si="10"/>
        <v>352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60"/>
    </row>
    <row r="39" ht="12.75" customHeight="1">
      <c r="A39" s="30"/>
      <c r="B39" s="43" t="s">
        <v>32</v>
      </c>
      <c r="C39" s="23"/>
      <c r="D39" s="19" t="s">
        <v>11</v>
      </c>
      <c r="E39" s="19"/>
      <c r="F39" s="19"/>
      <c r="G39" s="19"/>
      <c r="H39" s="19"/>
      <c r="I39" s="19"/>
      <c r="J39" s="19"/>
      <c r="K39" s="19"/>
      <c r="L39" s="13">
        <f t="shared" ref="L39:L41" si="12">SUM(E39:K39)</f>
        <v>0</v>
      </c>
    </row>
    <row r="40" ht="12.75" customHeight="1">
      <c r="A40" s="33"/>
      <c r="C40" s="27"/>
      <c r="D40" s="19" t="s">
        <v>12</v>
      </c>
      <c r="E40" s="19"/>
      <c r="F40" s="19"/>
      <c r="G40" s="19"/>
      <c r="H40" s="19"/>
      <c r="I40" s="19"/>
      <c r="J40" s="19"/>
      <c r="K40" s="19"/>
      <c r="L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3"/>
    </row>
    <row r="45" ht="12.75" customHeight="1">
      <c r="A45" s="63"/>
      <c r="B45" s="47">
        <v>1.0</v>
      </c>
      <c r="C45" s="48" t="s">
        <v>36</v>
      </c>
      <c r="D45" s="16"/>
      <c r="E45" s="19">
        <v>57.0</v>
      </c>
      <c r="F45" s="19">
        <v>16.0</v>
      </c>
      <c r="G45" s="19">
        <v>24.0</v>
      </c>
      <c r="H45" s="19">
        <v>34.0</v>
      </c>
      <c r="I45" s="19">
        <v>35.0</v>
      </c>
      <c r="J45" s="19">
        <v>19.0</v>
      </c>
      <c r="K45" s="19">
        <v>32.0</v>
      </c>
      <c r="L45" s="13">
        <f t="shared" ref="L45:L47" si="14">SUM(E45:K45)</f>
        <v>217</v>
      </c>
    </row>
    <row r="46" ht="12.75" customHeight="1">
      <c r="A46" s="18"/>
      <c r="B46" s="47">
        <v>2.0</v>
      </c>
      <c r="C46" s="48" t="s">
        <v>37</v>
      </c>
      <c r="D46" s="16"/>
      <c r="E46" s="19">
        <v>96.0</v>
      </c>
      <c r="F46" s="19">
        <v>121.0</v>
      </c>
      <c r="G46" s="19">
        <v>88.0</v>
      </c>
      <c r="H46" s="19">
        <v>104.0</v>
      </c>
      <c r="I46" s="19">
        <v>68.0</v>
      </c>
      <c r="J46" s="19">
        <v>119.0</v>
      </c>
      <c r="K46" s="19">
        <v>153.0</v>
      </c>
      <c r="L46" s="13">
        <f t="shared" si="14"/>
        <v>749</v>
      </c>
    </row>
    <row r="47" ht="12.75" customHeight="1">
      <c r="A47" s="45"/>
      <c r="B47" s="47">
        <v>3.0</v>
      </c>
      <c r="C47" s="48" t="s">
        <v>38</v>
      </c>
      <c r="D47" s="16"/>
      <c r="E47" s="19">
        <v>56.0</v>
      </c>
      <c r="F47" s="19">
        <v>24.0</v>
      </c>
      <c r="G47" s="19">
        <v>47.0</v>
      </c>
      <c r="H47" s="19">
        <v>61.0</v>
      </c>
      <c r="I47" s="19">
        <v>65.0</v>
      </c>
      <c r="J47" s="19">
        <v>33.0</v>
      </c>
      <c r="K47" s="19">
        <v>24.0</v>
      </c>
      <c r="L47" s="13">
        <f t="shared" si="14"/>
        <v>310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K50" si="15">SUM(E45:E47)</f>
        <v>209</v>
      </c>
      <c r="F50" s="19">
        <f t="shared" si="15"/>
        <v>161</v>
      </c>
      <c r="G50" s="19">
        <f t="shared" si="15"/>
        <v>159</v>
      </c>
      <c r="H50" s="19">
        <f t="shared" si="15"/>
        <v>199</v>
      </c>
      <c r="I50" s="19">
        <f t="shared" si="15"/>
        <v>168</v>
      </c>
      <c r="J50" s="19">
        <f t="shared" si="15"/>
        <v>171</v>
      </c>
      <c r="K50" s="19">
        <f t="shared" si="15"/>
        <v>209</v>
      </c>
      <c r="L50" s="13">
        <f t="shared" ref="L50:L52" si="16">SUM(E50:K50)</f>
        <v>1276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4.0</v>
      </c>
      <c r="F51" s="19">
        <v>0.0</v>
      </c>
      <c r="G51" s="19">
        <v>3.0</v>
      </c>
      <c r="H51" s="19">
        <v>3.0</v>
      </c>
      <c r="I51" s="19">
        <v>1.0</v>
      </c>
      <c r="J51" s="19">
        <v>5.0</v>
      </c>
      <c r="K51" s="19">
        <v>2.0</v>
      </c>
      <c r="L51" s="13">
        <f t="shared" si="16"/>
        <v>18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K52" si="17">SUM(E50:E51)</f>
        <v>213</v>
      </c>
      <c r="F52" s="13">
        <f t="shared" si="17"/>
        <v>161</v>
      </c>
      <c r="G52" s="13">
        <f t="shared" si="17"/>
        <v>162</v>
      </c>
      <c r="H52" s="13">
        <f t="shared" si="17"/>
        <v>202</v>
      </c>
      <c r="I52" s="13">
        <f t="shared" si="17"/>
        <v>169</v>
      </c>
      <c r="J52" s="13">
        <f t="shared" si="17"/>
        <v>176</v>
      </c>
      <c r="K52" s="13">
        <f t="shared" si="17"/>
        <v>211</v>
      </c>
      <c r="L52" s="13">
        <f t="shared" si="16"/>
        <v>1294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K12"/>
    <mergeCell ref="L12: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K34">
    <cfRule type="expression" dxfId="0" priority="1">
      <formula>E34&lt;&gt;#REF!</formula>
    </cfRule>
  </conditionalFormatting>
  <conditionalFormatting sqref="E14:K15 E45:K47">
    <cfRule type="containsBlanks" dxfId="1" priority="2">
      <formula>LEN(TRIM(E14))=0</formula>
    </cfRule>
  </conditionalFormatting>
  <conditionalFormatting sqref="E19:K20">
    <cfRule type="containsBlanks" dxfId="1" priority="3">
      <formula>LEN(TRIM(E19))=0</formula>
    </cfRule>
  </conditionalFormatting>
  <conditionalFormatting sqref="E22:K23 E25:K26 E33:K33 E35:K35 E39:K40">
    <cfRule type="containsBlanks" dxfId="1" priority="4">
      <formula>LEN(TRIM(E22))=0</formula>
    </cfRule>
  </conditionalFormatting>
  <conditionalFormatting sqref="E30:K30">
    <cfRule type="expression" dxfId="0" priority="5">
      <formula>E30&lt;&gt;E46</formula>
    </cfRule>
  </conditionalFormatting>
  <conditionalFormatting sqref="E30:K30">
    <cfRule type="expression" dxfId="0" priority="6">
      <formula>E30&lt;&gt;E34</formula>
    </cfRule>
  </conditionalFormatting>
  <conditionalFormatting sqref="E34:K34">
    <cfRule type="expression" dxfId="2" priority="7">
      <formula>E30&lt;&gt;E34</formula>
    </cfRule>
  </conditionalFormatting>
  <conditionalFormatting sqref="E34:K34">
    <cfRule type="expression" dxfId="3" priority="8">
      <formula>E30=E34</formula>
    </cfRule>
  </conditionalFormatting>
  <conditionalFormatting sqref="E34:K34">
    <cfRule type="expression" dxfId="0" priority="9">
      <formula>E34&lt;&gt;E30</formula>
    </cfRule>
  </conditionalFormatting>
  <conditionalFormatting sqref="E50:K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9.14"/>
    <col customWidth="1" min="21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 t="s">
        <v>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  <c r="Y11" s="1"/>
      <c r="Z11" s="1"/>
      <c r="AA11" s="1"/>
      <c r="AB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63</v>
      </c>
      <c r="Q13" s="13" t="s">
        <v>64</v>
      </c>
      <c r="R13" s="13" t="s">
        <v>65</v>
      </c>
      <c r="S13" s="13" t="s">
        <v>66</v>
      </c>
      <c r="T13" s="13" t="s">
        <v>67</v>
      </c>
      <c r="U13" s="13" t="s">
        <v>68</v>
      </c>
      <c r="V13" s="13" t="s">
        <v>69</v>
      </c>
      <c r="W13" s="13" t="s">
        <v>70</v>
      </c>
      <c r="X13" s="13" t="s">
        <v>71</v>
      </c>
      <c r="Y13" s="13" t="s">
        <v>72</v>
      </c>
      <c r="Z13" s="13" t="s">
        <v>73</v>
      </c>
      <c r="AA13" s="13" t="s">
        <v>74</v>
      </c>
      <c r="AB13" s="13" t="s">
        <v>75</v>
      </c>
      <c r="AC13" s="13" t="s">
        <v>76</v>
      </c>
      <c r="AD13" s="36"/>
    </row>
    <row r="14" ht="12.75" customHeight="1">
      <c r="A14" s="18"/>
      <c r="B14" s="22" t="s">
        <v>10</v>
      </c>
      <c r="C14" s="23"/>
      <c r="D14" s="19" t="s">
        <v>11</v>
      </c>
      <c r="E14" s="19">
        <v>136.0</v>
      </c>
      <c r="F14" s="19">
        <v>143.0</v>
      </c>
      <c r="G14" s="19">
        <v>115.0</v>
      </c>
      <c r="H14" s="19">
        <v>142.0</v>
      </c>
      <c r="I14" s="19">
        <v>126.0</v>
      </c>
      <c r="J14" s="19">
        <v>133.0</v>
      </c>
      <c r="K14" s="19">
        <v>129.0</v>
      </c>
      <c r="L14" s="19">
        <v>113.0</v>
      </c>
      <c r="M14" s="19">
        <v>130.0</v>
      </c>
      <c r="N14" s="19">
        <v>111.0</v>
      </c>
      <c r="O14" s="19">
        <v>120.0</v>
      </c>
      <c r="P14" s="19">
        <v>120.0</v>
      </c>
      <c r="Q14" s="19">
        <v>132.0</v>
      </c>
      <c r="R14" s="19">
        <v>129.0</v>
      </c>
      <c r="S14" s="19">
        <v>134.0</v>
      </c>
      <c r="T14" s="19">
        <v>136.0</v>
      </c>
      <c r="U14" s="19">
        <v>132.0</v>
      </c>
      <c r="V14" s="19">
        <v>133.0</v>
      </c>
      <c r="W14" s="19">
        <v>124.0</v>
      </c>
      <c r="X14" s="19">
        <v>135.0</v>
      </c>
      <c r="Y14" s="19">
        <v>127.0</v>
      </c>
      <c r="Z14" s="19">
        <v>142.0</v>
      </c>
      <c r="AA14" s="19">
        <v>120.0</v>
      </c>
      <c r="AB14" s="19">
        <v>148.0</v>
      </c>
      <c r="AC14" s="19">
        <v>126.0</v>
      </c>
      <c r="AD14" s="13">
        <f t="shared" ref="AD14:AD16" si="1">SUM(E14:AC14)</f>
        <v>3236</v>
      </c>
    </row>
    <row r="15" ht="12.75" customHeight="1">
      <c r="A15" s="18"/>
      <c r="B15" s="26"/>
      <c r="C15" s="27"/>
      <c r="D15" s="19" t="s">
        <v>12</v>
      </c>
      <c r="E15" s="19">
        <v>151.0</v>
      </c>
      <c r="F15" s="19">
        <v>147.0</v>
      </c>
      <c r="G15" s="19">
        <v>121.0</v>
      </c>
      <c r="H15" s="19">
        <v>138.0</v>
      </c>
      <c r="I15" s="19">
        <v>142.0</v>
      </c>
      <c r="J15" s="19">
        <v>138.0</v>
      </c>
      <c r="K15" s="19">
        <v>125.0</v>
      </c>
      <c r="L15" s="19">
        <v>127.0</v>
      </c>
      <c r="M15" s="19">
        <v>137.0</v>
      </c>
      <c r="N15" s="19">
        <v>125.0</v>
      </c>
      <c r="O15" s="19">
        <v>128.0</v>
      </c>
      <c r="P15" s="19">
        <v>147.0</v>
      </c>
      <c r="Q15" s="19">
        <v>129.0</v>
      </c>
      <c r="R15" s="19">
        <v>140.0</v>
      </c>
      <c r="S15" s="19">
        <v>149.0</v>
      </c>
      <c r="T15" s="19">
        <v>143.0</v>
      </c>
      <c r="U15" s="19">
        <v>148.0</v>
      </c>
      <c r="V15" s="19">
        <v>143.0</v>
      </c>
      <c r="W15" s="19">
        <v>144.0</v>
      </c>
      <c r="X15" s="19">
        <v>145.0</v>
      </c>
      <c r="Y15" s="19">
        <v>133.0</v>
      </c>
      <c r="Z15" s="19">
        <v>153.0</v>
      </c>
      <c r="AA15" s="19">
        <v>126.0</v>
      </c>
      <c r="AB15" s="19">
        <v>129.0</v>
      </c>
      <c r="AC15" s="19">
        <v>139.0</v>
      </c>
      <c r="AD15" s="13">
        <f t="shared" si="1"/>
        <v>3447</v>
      </c>
    </row>
    <row r="16" ht="12.75" customHeight="1">
      <c r="A16" s="25"/>
      <c r="B16" s="21"/>
      <c r="C16" s="28"/>
      <c r="D16" s="13" t="s">
        <v>13</v>
      </c>
      <c r="E16" s="13">
        <f t="shared" ref="E16:AC16" si="2">SUM(E14:E15)</f>
        <v>287</v>
      </c>
      <c r="F16" s="13">
        <f t="shared" si="2"/>
        <v>290</v>
      </c>
      <c r="G16" s="13">
        <f t="shared" si="2"/>
        <v>236</v>
      </c>
      <c r="H16" s="13">
        <f t="shared" si="2"/>
        <v>280</v>
      </c>
      <c r="I16" s="13">
        <f t="shared" si="2"/>
        <v>268</v>
      </c>
      <c r="J16" s="13">
        <f t="shared" si="2"/>
        <v>271</v>
      </c>
      <c r="K16" s="13">
        <f t="shared" si="2"/>
        <v>254</v>
      </c>
      <c r="L16" s="13">
        <f t="shared" si="2"/>
        <v>240</v>
      </c>
      <c r="M16" s="13">
        <f t="shared" si="2"/>
        <v>267</v>
      </c>
      <c r="N16" s="13">
        <f t="shared" si="2"/>
        <v>236</v>
      </c>
      <c r="O16" s="13">
        <f t="shared" si="2"/>
        <v>248</v>
      </c>
      <c r="P16" s="13">
        <f t="shared" si="2"/>
        <v>267</v>
      </c>
      <c r="Q16" s="13">
        <f t="shared" si="2"/>
        <v>261</v>
      </c>
      <c r="R16" s="13">
        <f t="shared" si="2"/>
        <v>269</v>
      </c>
      <c r="S16" s="13">
        <f t="shared" si="2"/>
        <v>283</v>
      </c>
      <c r="T16" s="13">
        <f t="shared" si="2"/>
        <v>279</v>
      </c>
      <c r="U16" s="13">
        <f t="shared" si="2"/>
        <v>280</v>
      </c>
      <c r="V16" s="13">
        <f t="shared" si="2"/>
        <v>276</v>
      </c>
      <c r="W16" s="13">
        <f t="shared" si="2"/>
        <v>268</v>
      </c>
      <c r="X16" s="13">
        <f t="shared" si="2"/>
        <v>280</v>
      </c>
      <c r="Y16" s="13">
        <f t="shared" si="2"/>
        <v>260</v>
      </c>
      <c r="Z16" s="13">
        <f t="shared" si="2"/>
        <v>295</v>
      </c>
      <c r="AA16" s="13">
        <f t="shared" si="2"/>
        <v>246</v>
      </c>
      <c r="AB16" s="13">
        <f t="shared" si="2"/>
        <v>277</v>
      </c>
      <c r="AC16" s="13">
        <f t="shared" si="2"/>
        <v>265</v>
      </c>
      <c r="AD16" s="13">
        <f t="shared" si="1"/>
        <v>6683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19"/>
      <c r="U17" s="19"/>
      <c r="V17" s="19"/>
      <c r="W17" s="19"/>
      <c r="X17" s="59"/>
      <c r="Y17" s="19"/>
      <c r="Z17" s="19"/>
      <c r="AA17" s="19"/>
      <c r="AB17" s="59"/>
      <c r="AC17" s="59"/>
      <c r="AD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19"/>
      <c r="U18" s="19"/>
      <c r="V18" s="19"/>
      <c r="W18" s="19"/>
      <c r="X18" s="59"/>
      <c r="Y18" s="19"/>
      <c r="Z18" s="19"/>
      <c r="AA18" s="19"/>
      <c r="AB18" s="59"/>
      <c r="AC18" s="59"/>
      <c r="AD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108.0</v>
      </c>
      <c r="F19" s="19">
        <v>93.0</v>
      </c>
      <c r="G19" s="19">
        <v>78.0</v>
      </c>
      <c r="H19" s="19">
        <v>105.0</v>
      </c>
      <c r="I19" s="19">
        <v>97.0</v>
      </c>
      <c r="J19" s="19">
        <v>105.0</v>
      </c>
      <c r="K19" s="19">
        <v>107.0</v>
      </c>
      <c r="L19" s="19">
        <v>80.0</v>
      </c>
      <c r="M19" s="19">
        <v>95.0</v>
      </c>
      <c r="N19" s="19">
        <v>71.0</v>
      </c>
      <c r="O19" s="19">
        <v>95.0</v>
      </c>
      <c r="P19" s="19">
        <v>93.0</v>
      </c>
      <c r="Q19" s="19">
        <v>97.0</v>
      </c>
      <c r="R19" s="19">
        <v>100.0</v>
      </c>
      <c r="S19" s="19">
        <v>93.0</v>
      </c>
      <c r="T19" s="19">
        <v>106.0</v>
      </c>
      <c r="U19" s="19">
        <v>96.0</v>
      </c>
      <c r="V19" s="19">
        <v>98.0</v>
      </c>
      <c r="W19" s="19">
        <v>87.0</v>
      </c>
      <c r="X19" s="19">
        <v>94.0</v>
      </c>
      <c r="Y19" s="19">
        <v>86.0</v>
      </c>
      <c r="Z19" s="19">
        <v>100.0</v>
      </c>
      <c r="AA19" s="19">
        <v>86.0</v>
      </c>
      <c r="AB19" s="19">
        <v>111.0</v>
      </c>
      <c r="AC19" s="19">
        <v>94.0</v>
      </c>
      <c r="AD19" s="13">
        <f t="shared" ref="AD19:AD30" si="3">SUM(E19:AC19)</f>
        <v>2375</v>
      </c>
    </row>
    <row r="20" ht="12.75" customHeight="1">
      <c r="A20" s="33"/>
      <c r="B20" s="27"/>
      <c r="C20" s="34"/>
      <c r="D20" s="19" t="s">
        <v>12</v>
      </c>
      <c r="E20" s="19">
        <v>125.0</v>
      </c>
      <c r="F20" s="19">
        <v>118.0</v>
      </c>
      <c r="G20" s="19">
        <v>96.0</v>
      </c>
      <c r="H20" s="19">
        <v>113.0</v>
      </c>
      <c r="I20" s="19">
        <v>112.0</v>
      </c>
      <c r="J20" s="19">
        <v>116.0</v>
      </c>
      <c r="K20" s="19">
        <v>112.0</v>
      </c>
      <c r="L20" s="19">
        <v>102.0</v>
      </c>
      <c r="M20" s="19">
        <v>109.0</v>
      </c>
      <c r="N20" s="19">
        <v>94.0</v>
      </c>
      <c r="O20" s="19">
        <v>102.0</v>
      </c>
      <c r="P20" s="19">
        <v>109.0</v>
      </c>
      <c r="Q20" s="19">
        <v>107.0</v>
      </c>
      <c r="R20" s="19">
        <v>115.0</v>
      </c>
      <c r="S20" s="19">
        <v>107.0</v>
      </c>
      <c r="T20" s="19">
        <v>123.0</v>
      </c>
      <c r="U20" s="19">
        <v>121.0</v>
      </c>
      <c r="V20" s="19">
        <v>115.0</v>
      </c>
      <c r="W20" s="19">
        <v>108.0</v>
      </c>
      <c r="X20" s="19">
        <v>112.0</v>
      </c>
      <c r="Y20" s="19">
        <v>102.0</v>
      </c>
      <c r="Z20" s="19">
        <v>123.0</v>
      </c>
      <c r="AA20" s="19">
        <v>97.0</v>
      </c>
      <c r="AB20" s="19">
        <v>109.0</v>
      </c>
      <c r="AC20" s="19">
        <v>108.0</v>
      </c>
      <c r="AD20" s="13">
        <f t="shared" si="3"/>
        <v>2755</v>
      </c>
    </row>
    <row r="21" ht="12.75" customHeight="1">
      <c r="A21" s="35"/>
      <c r="B21" s="28"/>
      <c r="C21" s="36"/>
      <c r="D21" s="13" t="s">
        <v>13</v>
      </c>
      <c r="E21" s="13">
        <f t="shared" ref="E21:AC21" si="4">SUM(E19:E20)</f>
        <v>233</v>
      </c>
      <c r="F21" s="13">
        <f t="shared" si="4"/>
        <v>211</v>
      </c>
      <c r="G21" s="13">
        <f t="shared" si="4"/>
        <v>174</v>
      </c>
      <c r="H21" s="13">
        <f t="shared" si="4"/>
        <v>218</v>
      </c>
      <c r="I21" s="13">
        <f t="shared" si="4"/>
        <v>209</v>
      </c>
      <c r="J21" s="13">
        <f t="shared" si="4"/>
        <v>221</v>
      </c>
      <c r="K21" s="13">
        <f t="shared" si="4"/>
        <v>219</v>
      </c>
      <c r="L21" s="13">
        <f t="shared" si="4"/>
        <v>182</v>
      </c>
      <c r="M21" s="13">
        <f t="shared" si="4"/>
        <v>204</v>
      </c>
      <c r="N21" s="13">
        <f t="shared" si="4"/>
        <v>165</v>
      </c>
      <c r="O21" s="13">
        <f t="shared" si="4"/>
        <v>197</v>
      </c>
      <c r="P21" s="13">
        <f t="shared" si="4"/>
        <v>202</v>
      </c>
      <c r="Q21" s="13">
        <f t="shared" si="4"/>
        <v>204</v>
      </c>
      <c r="R21" s="13">
        <f t="shared" si="4"/>
        <v>215</v>
      </c>
      <c r="S21" s="13">
        <f t="shared" si="4"/>
        <v>200</v>
      </c>
      <c r="T21" s="13">
        <f t="shared" si="4"/>
        <v>229</v>
      </c>
      <c r="U21" s="13">
        <f t="shared" si="4"/>
        <v>217</v>
      </c>
      <c r="V21" s="13">
        <f t="shared" si="4"/>
        <v>213</v>
      </c>
      <c r="W21" s="13">
        <f t="shared" si="4"/>
        <v>195</v>
      </c>
      <c r="X21" s="13">
        <f t="shared" si="4"/>
        <v>206</v>
      </c>
      <c r="Y21" s="13">
        <f t="shared" si="4"/>
        <v>188</v>
      </c>
      <c r="Z21" s="13">
        <f t="shared" si="4"/>
        <v>223</v>
      </c>
      <c r="AA21" s="13">
        <f t="shared" si="4"/>
        <v>183</v>
      </c>
      <c r="AB21" s="13">
        <f t="shared" si="4"/>
        <v>220</v>
      </c>
      <c r="AC21" s="13">
        <f t="shared" si="4"/>
        <v>202</v>
      </c>
      <c r="AD21" s="13">
        <f t="shared" si="3"/>
        <v>5130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2.0</v>
      </c>
      <c r="T22" s="19">
        <v>0.0</v>
      </c>
      <c r="U22" s="19">
        <v>1.0</v>
      </c>
      <c r="V22" s="19">
        <v>0.0</v>
      </c>
      <c r="W22" s="19">
        <v>7.0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14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2.0</v>
      </c>
      <c r="U23" s="19">
        <v>1.0</v>
      </c>
      <c r="V23" s="19">
        <v>0.0</v>
      </c>
      <c r="W23" s="19">
        <v>9.0</v>
      </c>
      <c r="X23" s="19">
        <v>0.0</v>
      </c>
      <c r="Y23" s="19">
        <v>1.0</v>
      </c>
      <c r="Z23" s="19">
        <v>1.0</v>
      </c>
      <c r="AA23" s="19">
        <v>1.0</v>
      </c>
      <c r="AB23" s="19">
        <v>0.0</v>
      </c>
      <c r="AC23" s="19">
        <v>0.0</v>
      </c>
      <c r="AD23" s="13">
        <f t="shared" si="3"/>
        <v>17</v>
      </c>
    </row>
    <row r="24" ht="12.75" customHeight="1">
      <c r="A24" s="35"/>
      <c r="B24" s="28"/>
      <c r="C24" s="36"/>
      <c r="D24" s="13" t="s">
        <v>13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2</v>
      </c>
      <c r="T24" s="13">
        <f t="shared" si="5"/>
        <v>2</v>
      </c>
      <c r="U24" s="13">
        <f t="shared" si="5"/>
        <v>2</v>
      </c>
      <c r="V24" s="13">
        <f t="shared" si="5"/>
        <v>0</v>
      </c>
      <c r="W24" s="13">
        <f t="shared" si="5"/>
        <v>16</v>
      </c>
      <c r="X24" s="13">
        <f t="shared" si="5"/>
        <v>0</v>
      </c>
      <c r="Y24" s="13">
        <f t="shared" si="5"/>
        <v>2</v>
      </c>
      <c r="Z24" s="13">
        <f t="shared" si="5"/>
        <v>1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3"/>
        <v>31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2.0</v>
      </c>
      <c r="G25" s="19">
        <v>7.0</v>
      </c>
      <c r="H25" s="19">
        <v>1.0</v>
      </c>
      <c r="I25" s="19">
        <v>3.0</v>
      </c>
      <c r="J25" s="19">
        <v>0.0</v>
      </c>
      <c r="K25" s="19">
        <v>2.0</v>
      </c>
      <c r="L25" s="19">
        <v>0.0</v>
      </c>
      <c r="M25" s="19">
        <v>2.0</v>
      </c>
      <c r="N25" s="19">
        <v>0.0</v>
      </c>
      <c r="O25" s="19">
        <v>2.0</v>
      </c>
      <c r="P25" s="19">
        <v>6.0</v>
      </c>
      <c r="Q25" s="19">
        <v>1.0</v>
      </c>
      <c r="R25" s="19">
        <v>0.0</v>
      </c>
      <c r="S25" s="19">
        <v>0.0</v>
      </c>
      <c r="T25" s="19">
        <v>2.0</v>
      </c>
      <c r="U25" s="19">
        <v>3.0</v>
      </c>
      <c r="V25" s="19">
        <v>1.0</v>
      </c>
      <c r="W25" s="19">
        <v>4.0</v>
      </c>
      <c r="X25" s="19">
        <v>1.0</v>
      </c>
      <c r="Y25" s="19">
        <v>1.0</v>
      </c>
      <c r="Z25" s="19">
        <v>8.0</v>
      </c>
      <c r="AA25" s="19">
        <v>2.0</v>
      </c>
      <c r="AB25" s="19">
        <v>3.0</v>
      </c>
      <c r="AC25" s="19">
        <v>2.0</v>
      </c>
      <c r="AD25" s="13">
        <f t="shared" si="3"/>
        <v>54</v>
      </c>
    </row>
    <row r="26" ht="12.75" customHeight="1">
      <c r="A26" s="33"/>
      <c r="B26" s="27"/>
      <c r="C26" s="34"/>
      <c r="D26" s="19" t="s">
        <v>12</v>
      </c>
      <c r="E26" s="19">
        <v>5.0</v>
      </c>
      <c r="F26" s="19">
        <v>3.0</v>
      </c>
      <c r="G26" s="19">
        <v>4.0</v>
      </c>
      <c r="H26" s="19">
        <v>0.0</v>
      </c>
      <c r="I26" s="19">
        <v>1.0</v>
      </c>
      <c r="J26" s="19">
        <v>1.0</v>
      </c>
      <c r="K26" s="19">
        <v>2.0</v>
      </c>
      <c r="L26" s="19">
        <v>2.0</v>
      </c>
      <c r="M26" s="19">
        <v>1.0</v>
      </c>
      <c r="N26" s="19">
        <v>0.0</v>
      </c>
      <c r="O26" s="19">
        <v>3.0</v>
      </c>
      <c r="P26" s="19">
        <v>4.0</v>
      </c>
      <c r="Q26" s="19">
        <v>2.0</v>
      </c>
      <c r="R26" s="19">
        <v>1.0</v>
      </c>
      <c r="S26" s="19">
        <v>2.0</v>
      </c>
      <c r="T26" s="19">
        <v>2.0</v>
      </c>
      <c r="U26" s="19">
        <v>7.0</v>
      </c>
      <c r="V26" s="19">
        <v>1.0</v>
      </c>
      <c r="W26" s="19">
        <v>6.0</v>
      </c>
      <c r="X26" s="19">
        <v>3.0</v>
      </c>
      <c r="Y26" s="19">
        <v>1.0</v>
      </c>
      <c r="Z26" s="19">
        <v>10.0</v>
      </c>
      <c r="AA26" s="19">
        <v>3.0</v>
      </c>
      <c r="AB26" s="19">
        <v>1.0</v>
      </c>
      <c r="AC26" s="19">
        <v>1.0</v>
      </c>
      <c r="AD26" s="13">
        <f t="shared" si="3"/>
        <v>66</v>
      </c>
    </row>
    <row r="27" ht="12.75" customHeight="1">
      <c r="A27" s="35"/>
      <c r="B27" s="28"/>
      <c r="C27" s="36"/>
      <c r="D27" s="13" t="s">
        <v>13</v>
      </c>
      <c r="E27" s="13">
        <f t="shared" ref="E27:AC27" si="6">SUM(E25:E26)</f>
        <v>6</v>
      </c>
      <c r="F27" s="13">
        <f t="shared" si="6"/>
        <v>5</v>
      </c>
      <c r="G27" s="13">
        <f t="shared" si="6"/>
        <v>11</v>
      </c>
      <c r="H27" s="13">
        <f t="shared" si="6"/>
        <v>1</v>
      </c>
      <c r="I27" s="13">
        <f t="shared" si="6"/>
        <v>4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5</v>
      </c>
      <c r="P27" s="13">
        <f t="shared" si="6"/>
        <v>10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4</v>
      </c>
      <c r="U27" s="13">
        <f t="shared" si="6"/>
        <v>10</v>
      </c>
      <c r="V27" s="13">
        <f t="shared" si="6"/>
        <v>2</v>
      </c>
      <c r="W27" s="13">
        <f t="shared" si="6"/>
        <v>10</v>
      </c>
      <c r="X27" s="13">
        <f t="shared" si="6"/>
        <v>4</v>
      </c>
      <c r="Y27" s="13">
        <f t="shared" si="6"/>
        <v>2</v>
      </c>
      <c r="Z27" s="13">
        <f t="shared" si="6"/>
        <v>18</v>
      </c>
      <c r="AA27" s="13">
        <f t="shared" si="6"/>
        <v>5</v>
      </c>
      <c r="AB27" s="13">
        <f t="shared" si="6"/>
        <v>4</v>
      </c>
      <c r="AC27" s="13">
        <f t="shared" si="6"/>
        <v>3</v>
      </c>
      <c r="AD27" s="13">
        <f t="shared" si="3"/>
        <v>120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C28" si="7">SUM(E19,E22,E25)</f>
        <v>109</v>
      </c>
      <c r="F28" s="13">
        <f t="shared" si="7"/>
        <v>95</v>
      </c>
      <c r="G28" s="13">
        <f t="shared" si="7"/>
        <v>86</v>
      </c>
      <c r="H28" s="13">
        <f t="shared" si="7"/>
        <v>106</v>
      </c>
      <c r="I28" s="13">
        <f t="shared" si="7"/>
        <v>101</v>
      </c>
      <c r="J28" s="13">
        <f t="shared" si="7"/>
        <v>105</v>
      </c>
      <c r="K28" s="13">
        <f t="shared" si="7"/>
        <v>109</v>
      </c>
      <c r="L28" s="13">
        <f t="shared" si="7"/>
        <v>80</v>
      </c>
      <c r="M28" s="13">
        <f t="shared" si="7"/>
        <v>97</v>
      </c>
      <c r="N28" s="13">
        <f t="shared" si="7"/>
        <v>72</v>
      </c>
      <c r="O28" s="13">
        <f t="shared" si="7"/>
        <v>97</v>
      </c>
      <c r="P28" s="13">
        <f t="shared" si="7"/>
        <v>99</v>
      </c>
      <c r="Q28" s="13">
        <f t="shared" si="7"/>
        <v>98</v>
      </c>
      <c r="R28" s="13">
        <f t="shared" si="7"/>
        <v>100</v>
      </c>
      <c r="S28" s="13">
        <f t="shared" si="7"/>
        <v>95</v>
      </c>
      <c r="T28" s="13">
        <f t="shared" si="7"/>
        <v>108</v>
      </c>
      <c r="U28" s="13">
        <f t="shared" si="7"/>
        <v>100</v>
      </c>
      <c r="V28" s="13">
        <f t="shared" si="7"/>
        <v>99</v>
      </c>
      <c r="W28" s="13">
        <f t="shared" si="7"/>
        <v>98</v>
      </c>
      <c r="X28" s="13">
        <f t="shared" si="7"/>
        <v>95</v>
      </c>
      <c r="Y28" s="13">
        <f t="shared" si="7"/>
        <v>88</v>
      </c>
      <c r="Z28" s="13">
        <f t="shared" si="7"/>
        <v>108</v>
      </c>
      <c r="AA28" s="13">
        <f t="shared" si="7"/>
        <v>88</v>
      </c>
      <c r="AB28" s="13">
        <f t="shared" si="7"/>
        <v>114</v>
      </c>
      <c r="AC28" s="13">
        <f t="shared" si="7"/>
        <v>96</v>
      </c>
      <c r="AD28" s="13">
        <f t="shared" si="3"/>
        <v>2443</v>
      </c>
    </row>
    <row r="29" ht="12.75" customHeight="1">
      <c r="A29" s="35"/>
      <c r="B29" s="27"/>
      <c r="C29" s="34"/>
      <c r="D29" s="13" t="s">
        <v>12</v>
      </c>
      <c r="E29" s="13">
        <f t="shared" ref="E29:AC29" si="8">SUM(E20,E23,E26)</f>
        <v>130</v>
      </c>
      <c r="F29" s="13">
        <f t="shared" si="8"/>
        <v>121</v>
      </c>
      <c r="G29" s="13">
        <f t="shared" si="8"/>
        <v>100</v>
      </c>
      <c r="H29" s="13">
        <f t="shared" si="8"/>
        <v>113</v>
      </c>
      <c r="I29" s="13">
        <f t="shared" si="8"/>
        <v>114</v>
      </c>
      <c r="J29" s="13">
        <f t="shared" si="8"/>
        <v>117</v>
      </c>
      <c r="K29" s="13">
        <f t="shared" si="8"/>
        <v>114</v>
      </c>
      <c r="L29" s="13">
        <f t="shared" si="8"/>
        <v>104</v>
      </c>
      <c r="M29" s="13">
        <f t="shared" si="8"/>
        <v>110</v>
      </c>
      <c r="N29" s="13">
        <f t="shared" si="8"/>
        <v>94</v>
      </c>
      <c r="O29" s="13">
        <f t="shared" si="8"/>
        <v>106</v>
      </c>
      <c r="P29" s="13">
        <f t="shared" si="8"/>
        <v>113</v>
      </c>
      <c r="Q29" s="13">
        <f t="shared" si="8"/>
        <v>109</v>
      </c>
      <c r="R29" s="13">
        <f t="shared" si="8"/>
        <v>116</v>
      </c>
      <c r="S29" s="13">
        <f t="shared" si="8"/>
        <v>109</v>
      </c>
      <c r="T29" s="13">
        <f t="shared" si="8"/>
        <v>127</v>
      </c>
      <c r="U29" s="13">
        <f t="shared" si="8"/>
        <v>129</v>
      </c>
      <c r="V29" s="13">
        <f t="shared" si="8"/>
        <v>116</v>
      </c>
      <c r="W29" s="13">
        <f t="shared" si="8"/>
        <v>123</v>
      </c>
      <c r="X29" s="13">
        <f t="shared" si="8"/>
        <v>115</v>
      </c>
      <c r="Y29" s="13">
        <f t="shared" si="8"/>
        <v>104</v>
      </c>
      <c r="Z29" s="13">
        <f t="shared" si="8"/>
        <v>134</v>
      </c>
      <c r="AA29" s="13">
        <f t="shared" si="8"/>
        <v>101</v>
      </c>
      <c r="AB29" s="13">
        <f t="shared" si="8"/>
        <v>110</v>
      </c>
      <c r="AC29" s="13">
        <f t="shared" si="8"/>
        <v>109</v>
      </c>
      <c r="AD29" s="13">
        <f t="shared" si="3"/>
        <v>2838</v>
      </c>
    </row>
    <row r="30" ht="12.75" customHeight="1">
      <c r="A30" s="35"/>
      <c r="B30" s="28"/>
      <c r="C30" s="36"/>
      <c r="D30" s="13" t="s">
        <v>13</v>
      </c>
      <c r="E30" s="13">
        <f t="shared" ref="E30:AC30" si="9">SUM(E28:E29)</f>
        <v>239</v>
      </c>
      <c r="F30" s="13">
        <f t="shared" si="9"/>
        <v>216</v>
      </c>
      <c r="G30" s="13">
        <f t="shared" si="9"/>
        <v>186</v>
      </c>
      <c r="H30" s="13">
        <f t="shared" si="9"/>
        <v>219</v>
      </c>
      <c r="I30" s="13">
        <f t="shared" si="9"/>
        <v>215</v>
      </c>
      <c r="J30" s="13">
        <f t="shared" si="9"/>
        <v>222</v>
      </c>
      <c r="K30" s="13">
        <f t="shared" si="9"/>
        <v>223</v>
      </c>
      <c r="L30" s="13">
        <f t="shared" si="9"/>
        <v>184</v>
      </c>
      <c r="M30" s="13">
        <f t="shared" si="9"/>
        <v>207</v>
      </c>
      <c r="N30" s="13">
        <f t="shared" si="9"/>
        <v>166</v>
      </c>
      <c r="O30" s="13">
        <f t="shared" si="9"/>
        <v>203</v>
      </c>
      <c r="P30" s="13">
        <f t="shared" si="9"/>
        <v>212</v>
      </c>
      <c r="Q30" s="13">
        <f t="shared" si="9"/>
        <v>207</v>
      </c>
      <c r="R30" s="13">
        <f t="shared" si="9"/>
        <v>216</v>
      </c>
      <c r="S30" s="13">
        <f t="shared" si="9"/>
        <v>204</v>
      </c>
      <c r="T30" s="13">
        <f t="shared" si="9"/>
        <v>235</v>
      </c>
      <c r="U30" s="13">
        <f t="shared" si="9"/>
        <v>229</v>
      </c>
      <c r="V30" s="13">
        <f t="shared" si="9"/>
        <v>215</v>
      </c>
      <c r="W30" s="13">
        <f t="shared" si="9"/>
        <v>221</v>
      </c>
      <c r="X30" s="13">
        <f t="shared" si="9"/>
        <v>210</v>
      </c>
      <c r="Y30" s="13">
        <f t="shared" si="9"/>
        <v>192</v>
      </c>
      <c r="Z30" s="13">
        <f t="shared" si="9"/>
        <v>242</v>
      </c>
      <c r="AA30" s="13">
        <f t="shared" si="9"/>
        <v>189</v>
      </c>
      <c r="AB30" s="13">
        <f t="shared" si="9"/>
        <v>224</v>
      </c>
      <c r="AC30" s="13">
        <f t="shared" si="9"/>
        <v>205</v>
      </c>
      <c r="AD30" s="13">
        <f t="shared" si="3"/>
        <v>5281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19"/>
      <c r="U31" s="19"/>
      <c r="V31" s="19"/>
      <c r="W31" s="19"/>
      <c r="X31" s="59"/>
      <c r="Y31" s="19"/>
      <c r="Z31" s="19"/>
      <c r="AA31" s="19"/>
      <c r="AB31" s="59"/>
      <c r="AC31" s="59"/>
      <c r="AD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1"/>
      <c r="P32" s="61"/>
      <c r="Q32" s="61"/>
      <c r="R32" s="61"/>
      <c r="S32" s="61"/>
      <c r="T32" s="13"/>
      <c r="U32" s="13"/>
      <c r="V32" s="13"/>
      <c r="W32" s="13"/>
      <c r="X32" s="61"/>
      <c r="Y32" s="13"/>
      <c r="Z32" s="13"/>
      <c r="AA32" s="13"/>
      <c r="AB32" s="61"/>
      <c r="AC32" s="61"/>
      <c r="AD32" s="60"/>
    </row>
    <row r="33" ht="12.75" customHeight="1">
      <c r="A33" s="19">
        <v>1.0</v>
      </c>
      <c r="B33" s="20" t="s">
        <v>26</v>
      </c>
      <c r="C33" s="15"/>
      <c r="D33" s="16"/>
      <c r="E33" s="19">
        <v>293.0</v>
      </c>
      <c r="F33" s="19">
        <v>296.0</v>
      </c>
      <c r="G33" s="19">
        <v>241.0</v>
      </c>
      <c r="H33" s="19">
        <v>287.0</v>
      </c>
      <c r="I33" s="19">
        <v>276.0</v>
      </c>
      <c r="J33" s="19">
        <v>277.0</v>
      </c>
      <c r="K33" s="19">
        <v>260.0</v>
      </c>
      <c r="L33" s="19">
        <v>246.0</v>
      </c>
      <c r="M33" s="19">
        <v>273.0</v>
      </c>
      <c r="N33" s="19">
        <v>241.0</v>
      </c>
      <c r="O33" s="19">
        <v>253.0</v>
      </c>
      <c r="P33" s="19">
        <v>273.0</v>
      </c>
      <c r="Q33" s="19">
        <v>268.0</v>
      </c>
      <c r="R33" s="19">
        <v>267.0</v>
      </c>
      <c r="S33" s="19">
        <v>289.0</v>
      </c>
      <c r="T33" s="19">
        <v>285.0</v>
      </c>
      <c r="U33" s="19">
        <v>286.0</v>
      </c>
      <c r="V33" s="19">
        <v>282.0</v>
      </c>
      <c r="W33" s="19">
        <v>274.0</v>
      </c>
      <c r="X33" s="19">
        <v>286.0</v>
      </c>
      <c r="Y33" s="19">
        <v>266.0</v>
      </c>
      <c r="Z33" s="19">
        <v>301.0</v>
      </c>
      <c r="AA33" s="19">
        <v>253.0</v>
      </c>
      <c r="AB33" s="19">
        <v>283.0</v>
      </c>
      <c r="AC33" s="19">
        <v>273.0</v>
      </c>
      <c r="AD33" s="13">
        <f t="shared" ref="AD33:AD36" si="10">SUM(E33:AC33)</f>
        <v>6829</v>
      </c>
    </row>
    <row r="34" ht="12.75" customHeight="1">
      <c r="A34" s="19">
        <v>2.0</v>
      </c>
      <c r="B34" s="20" t="s">
        <v>27</v>
      </c>
      <c r="C34" s="15"/>
      <c r="D34" s="16"/>
      <c r="E34" s="13">
        <v>239.0</v>
      </c>
      <c r="F34" s="13">
        <v>216.0</v>
      </c>
      <c r="G34" s="13">
        <v>186.0</v>
      </c>
      <c r="H34" s="13">
        <v>219.0</v>
      </c>
      <c r="I34" s="13">
        <v>215.0</v>
      </c>
      <c r="J34" s="13">
        <v>222.0</v>
      </c>
      <c r="K34" s="13">
        <v>223.0</v>
      </c>
      <c r="L34" s="13">
        <v>184.0</v>
      </c>
      <c r="M34" s="13">
        <v>207.0</v>
      </c>
      <c r="N34" s="13">
        <v>166.0</v>
      </c>
      <c r="O34" s="13">
        <v>203.0</v>
      </c>
      <c r="P34" s="13">
        <v>212.0</v>
      </c>
      <c r="Q34" s="13">
        <v>207.0</v>
      </c>
      <c r="R34" s="13">
        <v>216.0</v>
      </c>
      <c r="S34" s="13">
        <v>204.0</v>
      </c>
      <c r="T34" s="13">
        <v>235.0</v>
      </c>
      <c r="U34" s="13">
        <v>229.0</v>
      </c>
      <c r="V34" s="13">
        <v>215.0</v>
      </c>
      <c r="W34" s="13">
        <v>221.0</v>
      </c>
      <c r="X34" s="13">
        <v>210.0</v>
      </c>
      <c r="Y34" s="13">
        <v>192.0</v>
      </c>
      <c r="Z34" s="13">
        <v>242.0</v>
      </c>
      <c r="AA34" s="13">
        <v>189.0</v>
      </c>
      <c r="AB34" s="13">
        <v>224.0</v>
      </c>
      <c r="AC34" s="13">
        <v>205.0</v>
      </c>
      <c r="AD34" s="13">
        <f t="shared" si="10"/>
        <v>5281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2.0</v>
      </c>
      <c r="K35" s="19">
        <v>1.0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2.0</v>
      </c>
      <c r="Y35" s="19">
        <v>1.0</v>
      </c>
      <c r="Z35" s="19">
        <v>0.0</v>
      </c>
      <c r="AA35" s="19">
        <v>0.0</v>
      </c>
      <c r="AB35" s="19">
        <v>6.0</v>
      </c>
      <c r="AC35" s="19">
        <v>0.0</v>
      </c>
      <c r="AD35" s="13">
        <f t="shared" si="10"/>
        <v>13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C36" si="11">E33-(E34+E35)</f>
        <v>54</v>
      </c>
      <c r="F36" s="13">
        <f t="shared" si="11"/>
        <v>80</v>
      </c>
      <c r="G36" s="13">
        <f t="shared" si="11"/>
        <v>55</v>
      </c>
      <c r="H36" s="13">
        <f t="shared" si="11"/>
        <v>68</v>
      </c>
      <c r="I36" s="13">
        <f t="shared" si="11"/>
        <v>61</v>
      </c>
      <c r="J36" s="13">
        <f t="shared" si="11"/>
        <v>53</v>
      </c>
      <c r="K36" s="13">
        <f t="shared" si="11"/>
        <v>36</v>
      </c>
      <c r="L36" s="13">
        <f t="shared" si="11"/>
        <v>62</v>
      </c>
      <c r="M36" s="13">
        <f t="shared" si="11"/>
        <v>65</v>
      </c>
      <c r="N36" s="13">
        <f t="shared" si="11"/>
        <v>75</v>
      </c>
      <c r="O36" s="13">
        <f t="shared" si="11"/>
        <v>50</v>
      </c>
      <c r="P36" s="13">
        <f t="shared" si="11"/>
        <v>61</v>
      </c>
      <c r="Q36" s="13">
        <f t="shared" si="11"/>
        <v>61</v>
      </c>
      <c r="R36" s="13">
        <f t="shared" si="11"/>
        <v>51</v>
      </c>
      <c r="S36" s="13">
        <f t="shared" si="11"/>
        <v>85</v>
      </c>
      <c r="T36" s="13">
        <f t="shared" si="11"/>
        <v>50</v>
      </c>
      <c r="U36" s="13">
        <f t="shared" si="11"/>
        <v>57</v>
      </c>
      <c r="V36" s="13">
        <f t="shared" si="11"/>
        <v>67</v>
      </c>
      <c r="W36" s="13">
        <f t="shared" si="11"/>
        <v>53</v>
      </c>
      <c r="X36" s="13">
        <f t="shared" si="11"/>
        <v>74</v>
      </c>
      <c r="Y36" s="13">
        <f t="shared" si="11"/>
        <v>73</v>
      </c>
      <c r="Z36" s="13">
        <f t="shared" si="11"/>
        <v>59</v>
      </c>
      <c r="AA36" s="13">
        <f t="shared" si="11"/>
        <v>64</v>
      </c>
      <c r="AB36" s="13">
        <f t="shared" si="11"/>
        <v>53</v>
      </c>
      <c r="AC36" s="13">
        <f t="shared" si="11"/>
        <v>68</v>
      </c>
      <c r="AD36" s="13">
        <f t="shared" si="10"/>
        <v>1535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2"/>
      <c r="P37" s="62"/>
      <c r="Q37" s="62"/>
      <c r="R37" s="62"/>
      <c r="S37" s="62"/>
      <c r="T37" s="19"/>
      <c r="U37" s="19"/>
      <c r="V37" s="19"/>
      <c r="W37" s="19"/>
      <c r="X37" s="59"/>
      <c r="Y37" s="19"/>
      <c r="Z37" s="19"/>
      <c r="AA37" s="19"/>
      <c r="AB37" s="59"/>
      <c r="AC37" s="62"/>
      <c r="AD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1"/>
      <c r="P38" s="61"/>
      <c r="Q38" s="61"/>
      <c r="R38" s="61"/>
      <c r="S38" s="61"/>
      <c r="T38" s="13"/>
      <c r="U38" s="13"/>
      <c r="V38" s="13"/>
      <c r="W38" s="13"/>
      <c r="X38" s="61"/>
      <c r="Y38" s="13"/>
      <c r="Z38" s="13"/>
      <c r="AA38" s="13"/>
      <c r="AB38" s="61"/>
      <c r="AC38" s="61"/>
      <c r="AD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1.0</v>
      </c>
      <c r="H39" s="19">
        <v>1.0</v>
      </c>
      <c r="I39" s="19">
        <v>0.0</v>
      </c>
      <c r="J39" s="19">
        <v>1.0</v>
      </c>
      <c r="K39" s="19">
        <v>0.0</v>
      </c>
      <c r="L39" s="19">
        <v>0.0</v>
      </c>
      <c r="M39" s="19">
        <v>3.0</v>
      </c>
      <c r="N39" s="19">
        <v>0.0</v>
      </c>
      <c r="O39" s="19">
        <v>0.0</v>
      </c>
      <c r="P39" s="19">
        <v>1.0</v>
      </c>
      <c r="Q39" s="19">
        <v>5.0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2">SUM(E39:AC39)</f>
        <v>14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4.0</v>
      </c>
      <c r="N40" s="19">
        <v>0.0</v>
      </c>
      <c r="O40" s="19">
        <v>0.0</v>
      </c>
      <c r="P40" s="19">
        <v>1.0</v>
      </c>
      <c r="Q40" s="19">
        <v>2.0</v>
      </c>
      <c r="R40" s="19">
        <v>1.0</v>
      </c>
      <c r="S40" s="19">
        <v>0.0</v>
      </c>
      <c r="T40" s="19">
        <v>0.0</v>
      </c>
      <c r="U40" s="19">
        <v>0.0</v>
      </c>
      <c r="V40" s="19">
        <v>0.0</v>
      </c>
      <c r="W40" s="19">
        <v>4.0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3">
        <f t="shared" si="12"/>
        <v>12</v>
      </c>
    </row>
    <row r="41" ht="12.75" customHeight="1">
      <c r="A41" s="41"/>
      <c r="B41" s="44"/>
      <c r="C41" s="28"/>
      <c r="D41" s="13" t="s">
        <v>13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7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7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5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26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19"/>
      <c r="U42" s="19"/>
      <c r="V42" s="19"/>
      <c r="W42" s="19"/>
      <c r="X42" s="59"/>
      <c r="Y42" s="19"/>
      <c r="Z42" s="19"/>
      <c r="AA42" s="19"/>
      <c r="AB42" s="59"/>
      <c r="AC42" s="19"/>
      <c r="AD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61"/>
      <c r="Q43" s="13"/>
      <c r="R43" s="61"/>
      <c r="S43" s="13"/>
      <c r="T43" s="13"/>
      <c r="U43" s="13"/>
      <c r="V43" s="13"/>
      <c r="W43" s="13"/>
      <c r="X43" s="61"/>
      <c r="Y43" s="13"/>
      <c r="Z43" s="13"/>
      <c r="AA43" s="13"/>
      <c r="AB43" s="61"/>
      <c r="AC43" s="13"/>
      <c r="AD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19"/>
      <c r="U44" s="19"/>
      <c r="V44" s="19"/>
      <c r="W44" s="19"/>
      <c r="X44" s="59"/>
      <c r="Y44" s="19"/>
      <c r="Z44" s="19"/>
      <c r="AA44" s="19"/>
      <c r="AB44" s="59"/>
      <c r="AC44" s="19"/>
      <c r="AD44" s="13"/>
    </row>
    <row r="45" ht="12.75" customHeight="1">
      <c r="A45" s="63"/>
      <c r="B45" s="47">
        <v>1.0</v>
      </c>
      <c r="C45" s="48" t="s">
        <v>36</v>
      </c>
      <c r="D45" s="16"/>
      <c r="E45" s="19">
        <v>22.0</v>
      </c>
      <c r="F45" s="19">
        <v>22.0</v>
      </c>
      <c r="G45" s="19">
        <v>53.0</v>
      </c>
      <c r="H45" s="19">
        <v>42.0</v>
      </c>
      <c r="I45" s="19">
        <v>28.0</v>
      </c>
      <c r="J45" s="19">
        <v>53.0</v>
      </c>
      <c r="K45" s="19">
        <v>35.0</v>
      </c>
      <c r="L45" s="19">
        <v>62.0</v>
      </c>
      <c r="M45" s="19">
        <v>44.0</v>
      </c>
      <c r="N45" s="19">
        <v>37.0</v>
      </c>
      <c r="O45" s="19">
        <v>38.0</v>
      </c>
      <c r="P45" s="19">
        <v>56.0</v>
      </c>
      <c r="Q45" s="19">
        <v>35.0</v>
      </c>
      <c r="R45" s="19">
        <v>59.0</v>
      </c>
      <c r="S45" s="19">
        <v>47.0</v>
      </c>
      <c r="T45" s="19">
        <v>54.0</v>
      </c>
      <c r="U45" s="19">
        <v>56.0</v>
      </c>
      <c r="V45" s="19">
        <v>64.0</v>
      </c>
      <c r="W45" s="19">
        <v>73.0</v>
      </c>
      <c r="X45" s="19">
        <v>42.0</v>
      </c>
      <c r="Y45" s="19">
        <v>55.0</v>
      </c>
      <c r="Z45" s="19">
        <v>55.0</v>
      </c>
      <c r="AA45" s="19">
        <v>37.0</v>
      </c>
      <c r="AB45" s="19">
        <v>18.0</v>
      </c>
      <c r="AC45" s="19">
        <v>42.0</v>
      </c>
      <c r="AD45" s="13">
        <f t="shared" ref="AD45:AD47" si="14">SUM(E45:AC45)</f>
        <v>1129</v>
      </c>
    </row>
    <row r="46" ht="12.75" customHeight="1">
      <c r="A46" s="18"/>
      <c r="B46" s="47">
        <v>2.0</v>
      </c>
      <c r="C46" s="48" t="s">
        <v>37</v>
      </c>
      <c r="D46" s="16"/>
      <c r="E46" s="19">
        <v>172.0</v>
      </c>
      <c r="F46" s="19">
        <v>147.0</v>
      </c>
      <c r="G46" s="19">
        <v>104.0</v>
      </c>
      <c r="H46" s="19">
        <v>138.0</v>
      </c>
      <c r="I46" s="19">
        <v>123.0</v>
      </c>
      <c r="J46" s="19">
        <v>134.0</v>
      </c>
      <c r="K46" s="19">
        <v>148.0</v>
      </c>
      <c r="L46" s="19">
        <v>106.0</v>
      </c>
      <c r="M46" s="19">
        <v>134.0</v>
      </c>
      <c r="N46" s="19">
        <v>94.0</v>
      </c>
      <c r="O46" s="19">
        <v>136.0</v>
      </c>
      <c r="P46" s="19">
        <v>116.0</v>
      </c>
      <c r="Q46" s="19">
        <v>111.0</v>
      </c>
      <c r="R46" s="19">
        <v>107.0</v>
      </c>
      <c r="S46" s="19">
        <v>117.0</v>
      </c>
      <c r="T46" s="19">
        <v>147.0</v>
      </c>
      <c r="U46" s="19">
        <v>133.0</v>
      </c>
      <c r="V46" s="19">
        <v>117.0</v>
      </c>
      <c r="W46" s="19">
        <v>104.0</v>
      </c>
      <c r="X46" s="19">
        <v>126.0</v>
      </c>
      <c r="Y46" s="19">
        <v>101.0</v>
      </c>
      <c r="Z46" s="19">
        <v>136.0</v>
      </c>
      <c r="AA46" s="19">
        <v>120.0</v>
      </c>
      <c r="AB46" s="19">
        <v>159.0</v>
      </c>
      <c r="AC46" s="19">
        <v>138.0</v>
      </c>
      <c r="AD46" s="13">
        <f t="shared" si="14"/>
        <v>3168</v>
      </c>
    </row>
    <row r="47" ht="12.75" customHeight="1">
      <c r="A47" s="45"/>
      <c r="B47" s="47">
        <v>3.0</v>
      </c>
      <c r="C47" s="48" t="s">
        <v>38</v>
      </c>
      <c r="D47" s="16"/>
      <c r="E47" s="19">
        <v>40.0</v>
      </c>
      <c r="F47" s="19">
        <v>43.0</v>
      </c>
      <c r="G47" s="19">
        <v>29.0</v>
      </c>
      <c r="H47" s="19">
        <v>36.0</v>
      </c>
      <c r="I47" s="19">
        <v>58.0</v>
      </c>
      <c r="J47" s="19">
        <v>32.0</v>
      </c>
      <c r="K47" s="19">
        <v>36.0</v>
      </c>
      <c r="L47" s="19">
        <v>14.0</v>
      </c>
      <c r="M47" s="19">
        <v>26.0</v>
      </c>
      <c r="N47" s="19">
        <v>33.0</v>
      </c>
      <c r="O47" s="19">
        <v>28.0</v>
      </c>
      <c r="P47" s="19">
        <v>35.0</v>
      </c>
      <c r="Q47" s="19">
        <v>56.0</v>
      </c>
      <c r="R47" s="19">
        <v>48.0</v>
      </c>
      <c r="S47" s="19">
        <v>37.0</v>
      </c>
      <c r="T47" s="19">
        <v>31.0</v>
      </c>
      <c r="U47" s="19">
        <v>37.0</v>
      </c>
      <c r="V47" s="19">
        <v>31.0</v>
      </c>
      <c r="W47" s="19">
        <v>41.0</v>
      </c>
      <c r="X47" s="19">
        <v>36.0</v>
      </c>
      <c r="Y47" s="19">
        <v>31.0</v>
      </c>
      <c r="Z47" s="19">
        <v>43.0</v>
      </c>
      <c r="AA47" s="19">
        <v>28.0</v>
      </c>
      <c r="AB47" s="19">
        <v>39.0</v>
      </c>
      <c r="AC47" s="19">
        <v>22.0</v>
      </c>
      <c r="AD47" s="13">
        <f t="shared" si="14"/>
        <v>890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61"/>
      <c r="P49" s="61"/>
      <c r="Q49" s="61"/>
      <c r="R49" s="61"/>
      <c r="S49" s="61"/>
      <c r="T49" s="13"/>
      <c r="U49" s="13"/>
      <c r="V49" s="13"/>
      <c r="W49" s="13"/>
      <c r="X49" s="61"/>
      <c r="Y49" s="13"/>
      <c r="Z49" s="13"/>
      <c r="AA49" s="13"/>
      <c r="AB49" s="61"/>
      <c r="AC49" s="61"/>
      <c r="AD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C50" si="15">SUM(E45:E47)</f>
        <v>234</v>
      </c>
      <c r="F50" s="19">
        <f t="shared" si="15"/>
        <v>212</v>
      </c>
      <c r="G50" s="19">
        <f t="shared" si="15"/>
        <v>186</v>
      </c>
      <c r="H50" s="19">
        <f t="shared" si="15"/>
        <v>216</v>
      </c>
      <c r="I50" s="19">
        <f t="shared" si="15"/>
        <v>209</v>
      </c>
      <c r="J50" s="19">
        <f t="shared" si="15"/>
        <v>219</v>
      </c>
      <c r="K50" s="19">
        <f t="shared" si="15"/>
        <v>219</v>
      </c>
      <c r="L50" s="19">
        <f t="shared" si="15"/>
        <v>182</v>
      </c>
      <c r="M50" s="19">
        <f t="shared" si="15"/>
        <v>204</v>
      </c>
      <c r="N50" s="19">
        <f t="shared" si="15"/>
        <v>164</v>
      </c>
      <c r="O50" s="19">
        <f t="shared" si="15"/>
        <v>202</v>
      </c>
      <c r="P50" s="19">
        <f t="shared" si="15"/>
        <v>207</v>
      </c>
      <c r="Q50" s="19">
        <f t="shared" si="15"/>
        <v>202</v>
      </c>
      <c r="R50" s="19">
        <f t="shared" si="15"/>
        <v>214</v>
      </c>
      <c r="S50" s="19">
        <f t="shared" si="15"/>
        <v>201</v>
      </c>
      <c r="T50" s="19">
        <f t="shared" si="15"/>
        <v>232</v>
      </c>
      <c r="U50" s="19">
        <f t="shared" si="15"/>
        <v>226</v>
      </c>
      <c r="V50" s="19">
        <f t="shared" si="15"/>
        <v>212</v>
      </c>
      <c r="W50" s="19">
        <f t="shared" si="15"/>
        <v>218</v>
      </c>
      <c r="X50" s="19">
        <f t="shared" si="15"/>
        <v>204</v>
      </c>
      <c r="Y50" s="19">
        <f t="shared" si="15"/>
        <v>187</v>
      </c>
      <c r="Z50" s="19">
        <f t="shared" si="15"/>
        <v>234</v>
      </c>
      <c r="AA50" s="19">
        <f t="shared" si="15"/>
        <v>185</v>
      </c>
      <c r="AB50" s="19">
        <f t="shared" si="15"/>
        <v>216</v>
      </c>
      <c r="AC50" s="19">
        <f t="shared" si="15"/>
        <v>202</v>
      </c>
      <c r="AD50" s="13">
        <f t="shared" ref="AD50:AD52" si="16">SUM(E50:AC50)</f>
        <v>5187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5.0</v>
      </c>
      <c r="F51" s="19">
        <v>4.0</v>
      </c>
      <c r="G51" s="19">
        <v>0.0</v>
      </c>
      <c r="H51" s="19">
        <v>3.0</v>
      </c>
      <c r="I51" s="19">
        <v>6.0</v>
      </c>
      <c r="J51" s="19">
        <v>3.0</v>
      </c>
      <c r="K51" s="19">
        <v>4.0</v>
      </c>
      <c r="L51" s="19">
        <v>2.0</v>
      </c>
      <c r="M51" s="19">
        <v>3.0</v>
      </c>
      <c r="N51" s="19">
        <v>2.0</v>
      </c>
      <c r="O51" s="19">
        <v>1.0</v>
      </c>
      <c r="P51" s="19">
        <v>5.0</v>
      </c>
      <c r="Q51" s="19">
        <v>5.0</v>
      </c>
      <c r="R51" s="19">
        <v>2.0</v>
      </c>
      <c r="S51" s="19">
        <v>3.0</v>
      </c>
      <c r="T51" s="19">
        <v>3.0</v>
      </c>
      <c r="U51" s="19">
        <v>3.0</v>
      </c>
      <c r="V51" s="19">
        <v>3.0</v>
      </c>
      <c r="W51" s="19">
        <v>3.0</v>
      </c>
      <c r="X51" s="19">
        <v>6.0</v>
      </c>
      <c r="Y51" s="19">
        <v>5.0</v>
      </c>
      <c r="Z51" s="19">
        <v>8.0</v>
      </c>
      <c r="AA51" s="19">
        <v>4.0</v>
      </c>
      <c r="AB51" s="19">
        <v>8.0</v>
      </c>
      <c r="AC51" s="19">
        <v>3.0</v>
      </c>
      <c r="AD51" s="13">
        <f t="shared" si="16"/>
        <v>94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C52" si="17">SUM(E50:E51)</f>
        <v>239</v>
      </c>
      <c r="F52" s="13">
        <f t="shared" si="17"/>
        <v>216</v>
      </c>
      <c r="G52" s="13">
        <f t="shared" si="17"/>
        <v>186</v>
      </c>
      <c r="H52" s="13">
        <f t="shared" si="17"/>
        <v>219</v>
      </c>
      <c r="I52" s="13">
        <f t="shared" si="17"/>
        <v>215</v>
      </c>
      <c r="J52" s="13">
        <f t="shared" si="17"/>
        <v>222</v>
      </c>
      <c r="K52" s="13">
        <f t="shared" si="17"/>
        <v>223</v>
      </c>
      <c r="L52" s="13">
        <f t="shared" si="17"/>
        <v>184</v>
      </c>
      <c r="M52" s="13">
        <f t="shared" si="17"/>
        <v>207</v>
      </c>
      <c r="N52" s="13">
        <f t="shared" si="17"/>
        <v>166</v>
      </c>
      <c r="O52" s="13">
        <f t="shared" si="17"/>
        <v>203</v>
      </c>
      <c r="P52" s="13">
        <f t="shared" si="17"/>
        <v>212</v>
      </c>
      <c r="Q52" s="13">
        <f t="shared" si="17"/>
        <v>207</v>
      </c>
      <c r="R52" s="13">
        <f t="shared" si="17"/>
        <v>216</v>
      </c>
      <c r="S52" s="13">
        <f t="shared" si="17"/>
        <v>204</v>
      </c>
      <c r="T52" s="13">
        <f t="shared" si="17"/>
        <v>235</v>
      </c>
      <c r="U52" s="13">
        <f t="shared" si="17"/>
        <v>229</v>
      </c>
      <c r="V52" s="13">
        <f t="shared" si="17"/>
        <v>215</v>
      </c>
      <c r="W52" s="13">
        <f t="shared" si="17"/>
        <v>221</v>
      </c>
      <c r="X52" s="13">
        <f t="shared" si="17"/>
        <v>210</v>
      </c>
      <c r="Y52" s="13">
        <f t="shared" si="17"/>
        <v>192</v>
      </c>
      <c r="Z52" s="13">
        <f t="shared" si="17"/>
        <v>242</v>
      </c>
      <c r="AA52" s="13">
        <f t="shared" si="17"/>
        <v>189</v>
      </c>
      <c r="AB52" s="13">
        <f t="shared" si="17"/>
        <v>224</v>
      </c>
      <c r="AC52" s="13">
        <f t="shared" si="17"/>
        <v>205</v>
      </c>
      <c r="AD52" s="13">
        <f t="shared" si="16"/>
        <v>5281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C34">
    <cfRule type="expression" dxfId="0" priority="1">
      <formula>E34&lt;&gt;#REF!</formula>
    </cfRule>
  </conditionalFormatting>
  <conditionalFormatting sqref="E14:AC15 E45:AC47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E30&lt;&gt;E46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50:AC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