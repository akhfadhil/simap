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PWP" sheetId="1" r:id="rId4"/>
    <sheet state="visible" name="KALIPAIT" sheetId="2" r:id="rId5"/>
    <sheet state="visible" name="KEDUNGASRI" sheetId="3" r:id="rId6"/>
    <sheet state="visible" name="KEDUNGGEBANG" sheetId="4" r:id="rId7"/>
    <sheet state="visible" name="KEDUNGWUNGU" sheetId="5" r:id="rId8"/>
    <sheet state="visible" name="KENDALREJO" sheetId="6" r:id="rId9"/>
    <sheet state="visible" name="PURWOAGUNG" sheetId="7" r:id="rId10"/>
    <sheet state="visible" name="PURWOASRI" sheetId="8" r:id="rId11"/>
    <sheet state="visible" name="TEGALDLIMO" sheetId="9" r:id="rId12"/>
    <sheet state="visible" name="WRINGINPITU" sheetId="10" r:id="rId13"/>
  </sheets>
  <definedNames/>
  <calcPr/>
  <extLst>
    <ext uri="GoogleSheetsCustomDataVersion2">
      <go:sheetsCustomData xmlns:go="http://customooxmlschemas.google.com/" r:id="rId14" roundtripDataChecksum="3E93ZC5Ia5kyseRhubS6RppofhiMNaREsvhLewvEHfs="/>
    </ext>
  </extLst>
</workbook>
</file>

<file path=xl/sharedStrings.xml><?xml version="1.0" encoding="utf-8"?>
<sst xmlns="http://schemas.openxmlformats.org/spreadsheetml/2006/main" count="852" uniqueCount="91">
  <si>
    <t>Kecamatan</t>
  </si>
  <si>
    <t>TEGALDLIMO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</si>
  <si>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</si>
  <si>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</si>
  <si>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</si>
  <si>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</si>
  <si>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</si>
  <si>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</si>
  <si>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</si>
  <si>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</si>
  <si>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</si>
  <si>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</si>
  <si>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</si>
  <si>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</si>
  <si>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</si>
  <si>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</si>
  <si>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</si>
  <si>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</si>
  <si>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</si>
  <si>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</si>
  <si>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</si>
  <si>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</si>
  <si>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</si>
  <si>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</si>
  <si>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</si>
  <si>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</si>
  <si>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</si>
  <si>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</si>
  <si>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</si>
  <si>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</si>
  <si>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</si>
  <si>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</si>
  <si>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</si>
  <si>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</si>
  <si>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</si>
  <si>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</si>
  <si>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</si>
  <si>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H. ANIES RASYID BASWEDAN, Ph.D. - Dr. (H.C.) H. A. MUHAIMIN ISKANDAR</t>
  </si>
  <si>
    <t>H. PRABOWO SUBIANTO - GIBRAN RAKABUMING RAKA</t>
  </si>
  <si>
    <t>H. GANJAR PRANOWO, S.H., M.I.P. - Prof. Dr. H. M. MAHFUD MD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</si>
  <si>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</si>
  <si>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</si>
  <si>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</si>
  <si>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</si>
  <si>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</si>
  <si>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</si>
  <si>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</si>
  <si>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</si>
  <si>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</si>
  <si>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KALIPAIT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</si>
  <si>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</si>
  <si>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</si>
  <si>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</si>
  <si>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</si>
  <si>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</si>
  <si>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</si>
  <si>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</si>
  <si>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</si>
  <si>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</si>
  <si>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</si>
  <si>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</si>
  <si>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</si>
  <si>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</si>
  <si>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</si>
  <si>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</si>
  <si>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</si>
  <si>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</si>
  <si>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</si>
  <si>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</si>
  <si>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KEDUNGASRI</t>
  </si>
  <si>
    <t>TPS 020</t>
  </si>
  <si>
    <t>TPS 021</t>
  </si>
  <si>
    <t>TPS 022</t>
  </si>
  <si>
    <t>TPS 023</t>
  </si>
  <si>
    <t>TPS 024</t>
  </si>
  <si>
    <t>TPS 025</t>
  </si>
  <si>
    <t>KEDUNGGEBANG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</si>
  <si>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</si>
  <si>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</si>
  <si>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</si>
  <si>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</si>
  <si>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</si>
  <si>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</si>
  <si>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</si>
  <si>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</si>
  <si>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</si>
  <si>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KEDUNGWUNGU</t>
  </si>
  <si>
    <t>KENDALREJO</t>
  </si>
  <si>
    <t>PURWOAGUNG</t>
  </si>
  <si>
    <t>PURWOASRI</t>
  </si>
  <si>
    <t>WRINGINPITU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</si>
</sst>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b/>
      <sz val="10.0"/>
      <color rgb="FF000000"/>
      <name val="Bookman Old Style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4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6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7" numFmtId="0" xfId="0" applyBorder="1" applyFont="1"/>
    <xf borderId="1" fillId="0" fontId="1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KALIPAIT!X14+KEDUNGASRI!AD14+KEDUNGGEBANG!AM14+KEDUNGWUNGU!AF14+KENDALREJO!V14+PURWOAGUNG!S14+PURWOASRI!S14+TEGALDLIMO!AF14+WRINGINPITU!AF14</f>
        <v>26653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KALIPAIT!X15+KEDUNGASRI!AD15+KEDUNGGEBANG!AM15+KEDUNGWUNGU!AF15+KENDALREJO!V15+PURWOAGUNG!S15+PURWOASRI!S15+TEGALDLIMO!AF15+WRINGINPITU!AF15</f>
        <v>26210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52863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KALIPAIT!X19+KEDUNGASRI!AD19+KEDUNGGEBANG!AM19+KEDUNGWUNGU!AF19+KENDALREJO!V19+PURWOAGUNG!S19+PURWOASRI!S19+TEGALDLIMO!AF19+WRINGINPITU!AF19</f>
        <v>20780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KALIPAIT!X20+KEDUNGASRI!AD20+KEDUNGGEBANG!AM20+KEDUNGWUNGU!AF20+KENDALREJO!V20+PURWOAGUNG!S20+PURWOASRI!S20+TEGALDLIMO!AF20+WRINGINPITU!AF20</f>
        <v>21181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41961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KALIPAIT!X22+KEDUNGASRI!AD22+KEDUNGGEBANG!AM22+KEDUNGWUNGU!AF22+KENDALREJO!V22+PURWOAGUNG!S22+PURWOASRI!S22+TEGALDLIMO!AF22+WRINGINPITU!AF22</f>
        <v>59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KALIPAIT!X23+KEDUNGASRI!AD23+KEDUNGGEBANG!AM23+KEDUNGWUNGU!AF23+KENDALREJO!V23+PURWOAGUNG!S23+PURWOASRI!S23+TEGALDLIMO!AF23+WRINGINPITU!AF23</f>
        <v>35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94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KALIPAIT!X25+KEDUNGASRI!AD25+KEDUNGGEBANG!AM25+KEDUNGWUNGU!AF25+KENDALREJO!V25+PURWOAGUNG!S25+PURWOASRI!S25+TEGALDLIMO!AF25+WRINGINPITU!AF25</f>
        <v>56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KALIPAIT!X26+KEDUNGASRI!AD26+KEDUNGGEBANG!AM26+KEDUNGWUNGU!AF26+KENDALREJO!V26+PURWOAGUNG!S26+PURWOASRI!S26+TEGALDLIMO!AF26+WRINGINPITU!AF26</f>
        <v>87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143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20895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21303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42198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KALIPAIT!X33+KEDUNGASRI!AD33+KEDUNGGEBANG!AM33+KEDUNGWUNGU!AF33+KENDALREJO!V33+PURWOAGUNG!S33+PURWOASRI!S33+TEGALDLIMO!AF33+WRINGINPITU!AF33</f>
        <v>54103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KALIPAIT!X34+KEDUNGASRI!AD34+KEDUNGGEBANG!AM34+KEDUNGWUNGU!AF34+KENDALREJO!V34+PURWOAGUNG!S34+PURWOASRI!S34+TEGALDLIMO!AF34+WRINGINPITU!AF34</f>
        <v>42198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KALIPAIT!X35+KEDUNGASRI!AD35+KEDUNGGEBANG!AM35+KEDUNGWUNGU!AF35+KENDALREJO!V35+PURWOAGUNG!S35+PURWOASRI!S35+TEGALDLIMO!AF35+WRINGINPITU!AF35</f>
        <v>45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11860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KALIPAIT!X39+KEDUNGASRI!AD39+KEDUNGGEBANG!AM39+KEDUNGWUNGU!AF39+KENDALREJO!V39+PURWOAGUNG!S39+PURWOASRI!S39+TEGALDLIMO!AF39+WRINGINPITU!AF39</f>
        <v>17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KALIPAIT!X40+KEDUNGASRI!AD40+KEDUNGGEBANG!AM40+KEDUNGWUNGU!AF40+KENDALREJO!V40+PURWOAGUNG!S40+PURWOASRI!S40+TEGALDLIMO!AF40+WRINGINPITU!AF40</f>
        <v>22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39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/>
      <c r="B45" s="47">
        <v>1.0</v>
      </c>
      <c r="C45" s="48" t="s">
        <v>37</v>
      </c>
      <c r="D45" s="16"/>
      <c r="E45" s="24">
        <f>KALIPAIT!X45+KEDUNGASRI!AD45+KEDUNGGEBANG!AM45+KEDUNGWUNGU!AF45+KENDALREJO!V45+PURWOAGUNG!S45+PURWOASRI!S45+TEGALDLIMO!AF45+WRINGINPITU!AF45</f>
        <v>3245</v>
      </c>
      <c r="F45" s="49"/>
      <c r="G45" s="50"/>
      <c r="H45" s="50"/>
      <c r="I45" s="50"/>
      <c r="J45" s="50"/>
      <c r="K45" s="50"/>
      <c r="L45" s="50"/>
      <c r="M45" s="50"/>
      <c r="N45" s="50"/>
      <c r="O45" s="50"/>
      <c r="P45" s="51"/>
      <c r="Q45" s="3"/>
      <c r="R45" s="3"/>
      <c r="S45" s="3"/>
      <c r="T45" s="3"/>
      <c r="U45" s="3"/>
      <c r="V45" s="3"/>
      <c r="W45" s="52"/>
      <c r="X45" s="3"/>
      <c r="Y45" s="3"/>
      <c r="Z45" s="3"/>
    </row>
    <row r="46" ht="15.75" customHeight="1">
      <c r="A46" s="18"/>
      <c r="B46" s="47">
        <v>2.0</v>
      </c>
      <c r="C46" s="48" t="s">
        <v>38</v>
      </c>
      <c r="D46" s="16"/>
      <c r="E46" s="24">
        <f>KALIPAIT!X46+KEDUNGASRI!AD46+KEDUNGGEBANG!AM46+KEDUNGWUNGU!AF46+KENDALREJO!V46+PURWOAGUNG!S46+PURWOASRI!S46+TEGALDLIMO!AF46+WRINGINPITU!AF46</f>
        <v>30832</v>
      </c>
      <c r="F46" s="18"/>
      <c r="G46" s="5"/>
      <c r="H46" s="5"/>
      <c r="I46" s="5"/>
      <c r="J46" s="5"/>
      <c r="K46" s="5"/>
      <c r="L46" s="5"/>
      <c r="M46" s="5"/>
      <c r="N46" s="5"/>
      <c r="O46" s="5"/>
      <c r="P46" s="6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18"/>
      <c r="B47" s="47">
        <v>3.0</v>
      </c>
      <c r="C47" s="48" t="s">
        <v>39</v>
      </c>
      <c r="D47" s="16"/>
      <c r="E47" s="24">
        <f>KALIPAIT!X47+KEDUNGASRI!AD47+KEDUNGGEBANG!AM47+KEDUNGWUNGU!AF47+KENDALREJO!V47+PURWOAGUNG!S47+PURWOASRI!S47+TEGALDLIMO!AF47+WRINGINPITU!AF47</f>
        <v>7603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F48" s="18"/>
      <c r="G48" s="5"/>
      <c r="H48" s="5"/>
      <c r="I48" s="5"/>
      <c r="J48" s="5"/>
      <c r="K48" s="5"/>
      <c r="L48" s="5"/>
      <c r="M48" s="5"/>
      <c r="N48" s="5"/>
      <c r="O48" s="5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2" t="s">
        <v>40</v>
      </c>
      <c r="B49" s="14" t="s">
        <v>41</v>
      </c>
      <c r="C49" s="15"/>
      <c r="D49" s="16"/>
      <c r="E49" s="13"/>
      <c r="F49" s="18"/>
      <c r="G49" s="5"/>
      <c r="H49" s="5"/>
      <c r="I49" s="5"/>
      <c r="J49" s="5"/>
      <c r="K49" s="5"/>
      <c r="L49" s="5"/>
      <c r="M49" s="5"/>
      <c r="N49" s="5"/>
      <c r="O49" s="5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2"/>
      <c r="B50" s="53" t="s">
        <v>42</v>
      </c>
      <c r="C50" s="54" t="s">
        <v>43</v>
      </c>
      <c r="D50" s="16"/>
      <c r="E50" s="24">
        <f>KALIPAIT!X50+KEDUNGASRI!AD50+KEDUNGGEBANG!AM50+KEDUNGWUNGU!AF50+KENDALREJO!V50+PURWOAGUNG!S50+PURWOASRI!S50+TEGALDLIMO!AF50+WRINGINPITU!AF50</f>
        <v>41680</v>
      </c>
      <c r="F50" s="18"/>
      <c r="G50" s="5"/>
      <c r="H50" s="5"/>
      <c r="I50" s="5"/>
      <c r="J50" s="5"/>
      <c r="K50" s="5"/>
      <c r="L50" s="5"/>
      <c r="M50" s="5"/>
      <c r="N50" s="5"/>
      <c r="O50" s="10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5"/>
      <c r="B51" s="53" t="s">
        <v>44</v>
      </c>
      <c r="C51" s="54" t="s">
        <v>45</v>
      </c>
      <c r="D51" s="16"/>
      <c r="E51" s="24">
        <f>KALIPAIT!X51+KEDUNGASRI!AD51+KEDUNGGEBANG!AM51+KEDUNGWUNGU!AF51+KENDALREJO!V51+PURWOAGUNG!S51+PURWOASRI!S51+TEGALDLIMO!AF51+WRINGINPITU!AF51</f>
        <v>518</v>
      </c>
      <c r="F51" s="18"/>
      <c r="G51" s="5"/>
      <c r="H51" s="5"/>
      <c r="I51" s="5"/>
      <c r="J51" s="5"/>
      <c r="K51" s="5"/>
      <c r="L51" s="5"/>
      <c r="M51" s="5"/>
      <c r="N51" s="5"/>
      <c r="O51" s="10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1"/>
      <c r="B52" s="53" t="s">
        <v>46</v>
      </c>
      <c r="C52" s="54" t="s">
        <v>47</v>
      </c>
      <c r="D52" s="16"/>
      <c r="E52" s="13">
        <f>SUM(E50:E51)</f>
        <v>42198</v>
      </c>
      <c r="F52" s="18"/>
      <c r="G52" s="5"/>
      <c r="H52" s="5"/>
      <c r="I52" s="5"/>
      <c r="J52" s="5"/>
      <c r="K52" s="5"/>
      <c r="L52" s="5"/>
      <c r="M52" s="5"/>
      <c r="N52" s="5"/>
      <c r="O52" s="10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5"/>
      <c r="B53" s="55"/>
      <c r="C53" s="56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10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5"/>
      <c r="B54" s="55"/>
      <c r="C54" s="56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10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5"/>
      <c r="B55" s="55"/>
      <c r="C55" s="56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10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hidden="1" customHeight="1">
      <c r="A56" s="5"/>
      <c r="B56" s="55"/>
      <c r="C56" s="56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10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hidden="1" customHeight="1">
      <c r="A57" s="5"/>
      <c r="B57" s="55"/>
      <c r="C57" s="56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10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hidden="1" customHeight="1">
      <c r="A58" s="5"/>
      <c r="B58" s="55"/>
      <c r="C58" s="56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10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hidden="1" customHeight="1">
      <c r="A59" s="5"/>
      <c r="B59" s="55"/>
      <c r="C59" s="56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10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hidden="1" customHeight="1">
      <c r="A60" s="5"/>
      <c r="B60" s="55"/>
      <c r="C60" s="56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1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hidden="1" customHeight="1">
      <c r="A61" s="5"/>
      <c r="B61" s="55"/>
      <c r="C61" s="56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10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hidden="1" customHeight="1">
      <c r="A62" s="5"/>
      <c r="B62" s="55"/>
      <c r="C62" s="56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10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hidden="1" customHeight="1">
      <c r="A63" s="5"/>
      <c r="B63" s="55"/>
      <c r="C63" s="56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10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hidden="1" customHeight="1">
      <c r="A64" s="5"/>
      <c r="B64" s="55"/>
      <c r="C64" s="56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10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hidden="1" customHeight="1">
      <c r="A65" s="5"/>
      <c r="B65" s="55"/>
      <c r="C65" s="56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10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hidden="1" customHeight="1">
      <c r="A66" s="5"/>
      <c r="B66" s="55"/>
      <c r="C66" s="56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10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hidden="1" customHeight="1">
      <c r="A67" s="5"/>
      <c r="B67" s="55"/>
      <c r="C67" s="56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10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hidden="1" customHeight="1">
      <c r="A68" s="5"/>
      <c r="B68" s="55"/>
      <c r="C68" s="56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10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hidden="1" customHeight="1">
      <c r="A69" s="5"/>
      <c r="B69" s="55"/>
      <c r="C69" s="5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10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hidden="1" customHeight="1">
      <c r="A70" s="5"/>
      <c r="B70" s="55"/>
      <c r="C70" s="5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1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hidden="1" customHeight="1">
      <c r="A71" s="5"/>
      <c r="B71" s="55"/>
      <c r="C71" s="5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hidden="1" customHeight="1">
      <c r="A72" s="5"/>
      <c r="B72" s="55"/>
      <c r="C72" s="56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10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hidden="1" customHeight="1">
      <c r="A73" s="5"/>
      <c r="B73" s="55"/>
      <c r="C73" s="5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10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hidden="1" customHeight="1">
      <c r="A74" s="5"/>
      <c r="B74" s="55"/>
      <c r="C74" s="56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10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hidden="1" customHeight="1">
      <c r="A75" s="5"/>
      <c r="B75" s="55"/>
      <c r="C75" s="56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10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hidden="1" customHeight="1">
      <c r="A76" s="5"/>
      <c r="B76" s="55"/>
      <c r="C76" s="56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10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hidden="1" customHeight="1">
      <c r="A77" s="5"/>
      <c r="B77" s="55"/>
      <c r="C77" s="5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10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hidden="1" customHeight="1">
      <c r="A78" s="5"/>
      <c r="B78" s="55"/>
      <c r="C78" s="56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10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hidden="1" customHeight="1">
      <c r="A79" s="5"/>
      <c r="B79" s="55"/>
      <c r="C79" s="56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10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hidden="1" customHeight="1">
      <c r="A80" s="5"/>
      <c r="B80" s="55"/>
      <c r="C80" s="56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1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hidden="1" customHeight="1">
      <c r="A81" s="5"/>
      <c r="B81" s="55"/>
      <c r="C81" s="5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10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hidden="1" customHeight="1">
      <c r="A82" s="5"/>
      <c r="B82" s="55"/>
      <c r="C82" s="5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10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hidden="1" customHeight="1">
      <c r="A83" s="5"/>
      <c r="B83" s="55"/>
      <c r="C83" s="5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0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hidden="1" customHeight="1">
      <c r="A84" s="5"/>
      <c r="B84" s="55"/>
      <c r="C84" s="5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10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hidden="1" customHeight="1">
      <c r="A85" s="5"/>
      <c r="B85" s="55"/>
      <c r="C85" s="5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0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hidden="1" customHeight="1">
      <c r="A86" s="5"/>
      <c r="B86" s="55"/>
      <c r="C86" s="5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10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hidden="1" customHeight="1">
      <c r="A87" s="5"/>
      <c r="B87" s="55"/>
      <c r="C87" s="5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10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hidden="1" customHeight="1">
      <c r="A88" s="5"/>
      <c r="B88" s="55"/>
      <c r="C88" s="5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10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hidden="1" customHeight="1">
      <c r="A89" s="5"/>
      <c r="B89" s="55"/>
      <c r="C89" s="5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10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hidden="1" customHeight="1">
      <c r="A90" s="5"/>
      <c r="B90" s="55"/>
      <c r="C90" s="5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1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hidden="1" customHeight="1">
      <c r="A91" s="5"/>
      <c r="B91" s="55"/>
      <c r="C91" s="5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10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hidden="1" customHeight="1">
      <c r="A92" s="5"/>
      <c r="B92" s="55"/>
      <c r="C92" s="5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10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hidden="1" customHeight="1">
      <c r="A93" s="5"/>
      <c r="B93" s="55"/>
      <c r="C93" s="5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10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hidden="1" customHeight="1">
      <c r="A94" s="5"/>
      <c r="B94" s="55"/>
      <c r="C94" s="5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10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hidden="1" customHeight="1">
      <c r="A95" s="5"/>
      <c r="B95" s="55"/>
      <c r="C95" s="5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10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hidden="1" customHeight="1">
      <c r="A96" s="5"/>
      <c r="B96" s="55"/>
      <c r="C96" s="5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10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hidden="1" customHeight="1">
      <c r="A97" s="5"/>
      <c r="B97" s="55"/>
      <c r="C97" s="5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10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hidden="1" customHeight="1">
      <c r="A98" s="5"/>
      <c r="B98" s="55"/>
      <c r="C98" s="5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10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hidden="1" customHeight="1">
      <c r="A99" s="5"/>
      <c r="B99" s="55"/>
      <c r="C99" s="5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10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hidden="1" customHeight="1">
      <c r="A100" s="5"/>
      <c r="B100" s="55"/>
      <c r="C100" s="5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1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hidden="1" customHeight="1">
      <c r="A101" s="5"/>
      <c r="B101" s="55"/>
      <c r="C101" s="5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10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hidden="1" customHeight="1">
      <c r="A102" s="5"/>
      <c r="B102" s="55"/>
      <c r="C102" s="5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10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hidden="1" customHeight="1">
      <c r="A103" s="5"/>
      <c r="B103" s="55"/>
      <c r="C103" s="5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10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hidden="1" customHeight="1">
      <c r="A104" s="5"/>
      <c r="B104" s="55"/>
      <c r="C104" s="5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10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hidden="1" customHeight="1">
      <c r="A105" s="5"/>
      <c r="B105" s="55"/>
      <c r="C105" s="5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10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hidden="1" customHeight="1">
      <c r="A106" s="5"/>
      <c r="B106" s="55"/>
      <c r="C106" s="5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10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hidden="1" customHeight="1">
      <c r="A107" s="5"/>
      <c r="B107" s="55"/>
      <c r="C107" s="5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10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hidden="1" customHeight="1">
      <c r="A108" s="5"/>
      <c r="B108" s="55"/>
      <c r="C108" s="5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10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hidden="1" customHeight="1">
      <c r="A109" s="5"/>
      <c r="B109" s="55"/>
      <c r="C109" s="5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10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hidden="1" customHeight="1">
      <c r="A110" s="5"/>
      <c r="B110" s="55"/>
      <c r="C110" s="5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hidden="1" customHeight="1">
      <c r="A111" s="5"/>
      <c r="B111" s="55"/>
      <c r="C111" s="5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10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hidden="1" customHeight="1">
      <c r="A112" s="5"/>
      <c r="B112" s="55"/>
      <c r="C112" s="5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10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hidden="1" customHeight="1">
      <c r="A113" s="5"/>
      <c r="B113" s="55"/>
      <c r="C113" s="5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10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hidden="1" customHeight="1">
      <c r="A114" s="5"/>
      <c r="B114" s="55"/>
      <c r="C114" s="5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10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hidden="1" customHeight="1">
      <c r="A115" s="5"/>
      <c r="B115" s="55"/>
      <c r="C115" s="5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10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hidden="1" customHeight="1">
      <c r="A116" s="5"/>
      <c r="B116" s="55"/>
      <c r="C116" s="5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0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hidden="1" customHeight="1">
      <c r="A117" s="5"/>
      <c r="B117" s="55"/>
      <c r="C117" s="5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10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hidden="1" customHeight="1">
      <c r="A118" s="5"/>
      <c r="B118" s="55"/>
      <c r="C118" s="5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10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hidden="1" customHeight="1">
      <c r="A119" s="5"/>
      <c r="B119" s="55"/>
      <c r="C119" s="5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10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hidden="1" customHeight="1">
      <c r="A120" s="5"/>
      <c r="B120" s="55"/>
      <c r="C120" s="5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10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hidden="1" customHeight="1">
      <c r="A121" s="5"/>
      <c r="B121" s="55"/>
      <c r="C121" s="5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10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hidden="1" customHeight="1">
      <c r="A122" s="5"/>
      <c r="B122" s="55"/>
      <c r="C122" s="5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10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hidden="1" customHeight="1">
      <c r="A123" s="5"/>
      <c r="B123" s="55"/>
      <c r="C123" s="5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10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hidden="1" customHeight="1">
      <c r="A124" s="5"/>
      <c r="B124" s="55"/>
      <c r="C124" s="5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10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hidden="1" customHeight="1">
      <c r="A125" s="5"/>
      <c r="B125" s="55"/>
      <c r="C125" s="5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10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hidden="1" customHeight="1">
      <c r="A126" s="5"/>
      <c r="B126" s="55"/>
      <c r="C126" s="5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10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hidden="1" customHeight="1">
      <c r="A127" s="5"/>
      <c r="B127" s="55"/>
      <c r="C127" s="5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10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hidden="1" customHeight="1">
      <c r="A128" s="5"/>
      <c r="B128" s="55"/>
      <c r="C128" s="5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10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hidden="1" customHeight="1">
      <c r="A129" s="5"/>
      <c r="B129" s="55"/>
      <c r="C129" s="5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10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hidden="1" customHeight="1">
      <c r="A130" s="5"/>
      <c r="B130" s="55"/>
      <c r="C130" s="5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10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hidden="1" customHeight="1">
      <c r="A131" s="5"/>
      <c r="B131" s="55"/>
      <c r="C131" s="5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10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hidden="1" customHeight="1">
      <c r="A132" s="5"/>
      <c r="B132" s="55"/>
      <c r="C132" s="5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10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hidden="1" customHeight="1">
      <c r="A133" s="5"/>
      <c r="B133" s="55"/>
      <c r="C133" s="5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10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hidden="1" customHeight="1">
      <c r="A134" s="5"/>
      <c r="B134" s="55"/>
      <c r="C134" s="5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10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hidden="1" customHeight="1">
      <c r="A135" s="5"/>
      <c r="B135" s="55"/>
      <c r="C135" s="5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10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hidden="1" customHeight="1">
      <c r="A136" s="5"/>
      <c r="B136" s="55"/>
      <c r="C136" s="5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10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hidden="1" customHeight="1">
      <c r="A137" s="5"/>
      <c r="B137" s="55"/>
      <c r="C137" s="5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10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hidden="1" customHeight="1">
      <c r="A138" s="5"/>
      <c r="B138" s="55"/>
      <c r="C138" s="5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10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hidden="1" customHeight="1">
      <c r="A139" s="5"/>
      <c r="B139" s="55"/>
      <c r="C139" s="5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10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hidden="1" customHeight="1">
      <c r="A140" s="5"/>
      <c r="B140" s="55"/>
      <c r="C140" s="5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10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hidden="1" customHeight="1">
      <c r="A141" s="5"/>
      <c r="B141" s="55"/>
      <c r="C141" s="5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10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hidden="1" customHeight="1">
      <c r="A142" s="5"/>
      <c r="B142" s="55"/>
      <c r="C142" s="5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10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hidden="1" customHeight="1">
      <c r="A143" s="5"/>
      <c r="B143" s="55"/>
      <c r="C143" s="5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10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hidden="1" customHeight="1">
      <c r="A144" s="5"/>
      <c r="B144" s="55"/>
      <c r="C144" s="5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0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hidden="1" customHeight="1">
      <c r="A145" s="5"/>
      <c r="B145" s="55"/>
      <c r="C145" s="5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10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hidden="1" customHeight="1">
      <c r="A146" s="5"/>
      <c r="B146" s="55"/>
      <c r="C146" s="5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10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hidden="1" customHeight="1">
      <c r="A147" s="5"/>
      <c r="B147" s="55"/>
      <c r="C147" s="5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10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hidden="1" customHeight="1">
      <c r="A148" s="5"/>
      <c r="B148" s="55"/>
      <c r="C148" s="5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10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hidden="1" customHeight="1">
      <c r="A149" s="5"/>
      <c r="B149" s="55"/>
      <c r="C149" s="5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10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hidden="1" customHeight="1">
      <c r="A150" s="5"/>
      <c r="B150" s="55"/>
      <c r="C150" s="5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10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hidden="1" customHeight="1">
      <c r="A151" s="5"/>
      <c r="B151" s="55"/>
      <c r="C151" s="5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10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hidden="1" customHeight="1">
      <c r="A152" s="5"/>
      <c r="B152" s="55"/>
      <c r="C152" s="5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10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hidden="1" customHeight="1">
      <c r="A153" s="5"/>
      <c r="B153" s="55"/>
      <c r="C153" s="5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10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hidden="1" customHeight="1">
      <c r="A154" s="5"/>
      <c r="B154" s="55"/>
      <c r="C154" s="5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10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hidden="1" customHeight="1">
      <c r="A155" s="5"/>
      <c r="B155" s="55"/>
      <c r="C155" s="5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10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hidden="1" customHeight="1">
      <c r="A156" s="5"/>
      <c r="B156" s="55"/>
      <c r="C156" s="5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10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hidden="1" customHeight="1">
      <c r="A157" s="5"/>
      <c r="B157" s="55"/>
      <c r="C157" s="5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10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hidden="1" customHeight="1">
      <c r="A158" s="5"/>
      <c r="B158" s="55"/>
      <c r="C158" s="5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10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hidden="1" customHeight="1">
      <c r="A159" s="5"/>
      <c r="B159" s="55"/>
      <c r="C159" s="5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10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hidden="1" customHeight="1">
      <c r="A160" s="5"/>
      <c r="B160" s="55"/>
      <c r="C160" s="5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10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hidden="1" customHeight="1">
      <c r="A161" s="5"/>
      <c r="B161" s="55"/>
      <c r="C161" s="5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10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hidden="1" customHeight="1">
      <c r="A162" s="5"/>
      <c r="B162" s="55"/>
      <c r="C162" s="5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10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hidden="1" customHeight="1">
      <c r="A163" s="5"/>
      <c r="B163" s="55"/>
      <c r="C163" s="5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10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hidden="1" customHeight="1">
      <c r="A164" s="5"/>
      <c r="B164" s="55"/>
      <c r="C164" s="5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10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hidden="1" customHeight="1">
      <c r="A165" s="5"/>
      <c r="B165" s="55"/>
      <c r="C165" s="5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10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hidden="1" customHeight="1">
      <c r="A166" s="5"/>
      <c r="B166" s="55"/>
      <c r="C166" s="5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10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hidden="1" customHeight="1">
      <c r="A167" s="5"/>
      <c r="B167" s="55"/>
      <c r="C167" s="5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10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hidden="1" customHeight="1">
      <c r="A168" s="5"/>
      <c r="B168" s="55"/>
      <c r="C168" s="5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0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hidden="1" customHeight="1">
      <c r="A169" s="5"/>
      <c r="B169" s="55"/>
      <c r="C169" s="5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0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hidden="1" customHeight="1">
      <c r="A170" s="5"/>
      <c r="B170" s="55"/>
      <c r="C170" s="5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0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hidden="1" customHeight="1">
      <c r="A171" s="5"/>
      <c r="B171" s="55"/>
      <c r="C171" s="5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0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hidden="1" customHeight="1">
      <c r="A172" s="5"/>
      <c r="B172" s="55"/>
      <c r="C172" s="5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0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hidden="1" customHeight="1">
      <c r="A173" s="5"/>
      <c r="B173" s="55"/>
      <c r="C173" s="5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0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hidden="1" customHeight="1">
      <c r="A174" s="5"/>
      <c r="B174" s="55"/>
      <c r="C174" s="5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0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hidden="1" customHeight="1">
      <c r="A175" s="5"/>
      <c r="B175" s="55"/>
      <c r="C175" s="5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0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hidden="1" customHeight="1">
      <c r="A176" s="5"/>
      <c r="B176" s="55"/>
      <c r="C176" s="5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0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hidden="1" customHeight="1">
      <c r="A177" s="5"/>
      <c r="B177" s="55"/>
      <c r="C177" s="5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0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hidden="1" customHeight="1">
      <c r="A178" s="5"/>
      <c r="B178" s="55"/>
      <c r="C178" s="5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0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hidden="1" customHeight="1">
      <c r="A179" s="5"/>
      <c r="B179" s="55"/>
      <c r="C179" s="5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0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hidden="1" customHeight="1">
      <c r="A180" s="5"/>
      <c r="B180" s="55"/>
      <c r="C180" s="5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0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hidden="1" customHeight="1">
      <c r="A181" s="5"/>
      <c r="B181" s="55"/>
      <c r="C181" s="5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0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hidden="1" customHeight="1">
      <c r="A182" s="5"/>
      <c r="B182" s="55"/>
      <c r="C182" s="5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0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hidden="1" customHeight="1">
      <c r="A183" s="5"/>
      <c r="B183" s="55"/>
      <c r="C183" s="5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0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hidden="1" customHeight="1">
      <c r="A184" s="5"/>
      <c r="B184" s="55"/>
      <c r="C184" s="5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0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hidden="1" customHeight="1">
      <c r="A185" s="5"/>
      <c r="B185" s="55"/>
      <c r="C185" s="5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0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hidden="1" customHeight="1">
      <c r="A186" s="5"/>
      <c r="B186" s="55"/>
      <c r="C186" s="5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0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hidden="1" customHeight="1">
      <c r="A187" s="5"/>
      <c r="B187" s="55"/>
      <c r="C187" s="5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0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hidden="1" customHeight="1">
      <c r="A188" s="5"/>
      <c r="B188" s="55"/>
      <c r="C188" s="5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0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hidden="1" customHeight="1">
      <c r="A189" s="5"/>
      <c r="B189" s="55"/>
      <c r="C189" s="5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0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hidden="1" customHeight="1">
      <c r="A190" s="5"/>
      <c r="B190" s="55"/>
      <c r="C190" s="5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0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hidden="1" customHeight="1">
      <c r="A191" s="5"/>
      <c r="B191" s="55"/>
      <c r="C191" s="5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0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hidden="1" customHeight="1">
      <c r="A192" s="5"/>
      <c r="B192" s="55"/>
      <c r="C192" s="5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0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hidden="1" customHeight="1">
      <c r="A193" s="5"/>
      <c r="B193" s="55"/>
      <c r="C193" s="5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hidden="1" customHeight="1">
      <c r="A194" s="5"/>
      <c r="B194" s="55"/>
      <c r="C194" s="5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hidden="1" customHeight="1">
      <c r="A195" s="5"/>
      <c r="B195" s="55"/>
      <c r="C195" s="5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>
      <c r="A196" s="5"/>
      <c r="B196" s="55"/>
      <c r="C196" s="5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>
      <c r="A197" s="5"/>
      <c r="B197" s="55"/>
      <c r="C197" s="5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>
      <c r="A198" s="5"/>
      <c r="B198" s="55"/>
      <c r="C198" s="5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>
      <c r="A199" s="5"/>
      <c r="B199" s="55"/>
      <c r="C199" s="5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>
      <c r="A200" s="5"/>
      <c r="B200" s="55"/>
      <c r="C200" s="5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>
      <c r="A201" s="5"/>
      <c r="B201" s="55"/>
      <c r="C201" s="5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>
      <c r="A202" s="5"/>
      <c r="B202" s="55"/>
      <c r="C202" s="5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>
      <c r="A203" s="5"/>
      <c r="B203" s="55"/>
      <c r="C203" s="5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hidden="1" customHeight="1">
      <c r="A204" s="5"/>
      <c r="B204" s="55"/>
      <c r="C204" s="5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hidden="1" customHeight="1">
      <c r="A205" s="5"/>
      <c r="B205" s="55"/>
      <c r="C205" s="5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>
      <c r="A206" s="5"/>
      <c r="B206" s="55"/>
      <c r="C206" s="5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hidden="1" customHeight="1">
      <c r="A207" s="5"/>
      <c r="B207" s="55"/>
      <c r="C207" s="5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hidden="1" customHeight="1">
      <c r="A208" s="5"/>
      <c r="B208" s="55"/>
      <c r="C208" s="5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>
      <c r="A209" s="5"/>
      <c r="B209" s="55"/>
      <c r="C209" s="5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>
      <c r="A210" s="5"/>
      <c r="B210" s="55"/>
      <c r="C210" s="5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>
      <c r="A211" s="5"/>
      <c r="B211" s="55"/>
      <c r="C211" s="5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>
      <c r="A212" s="5"/>
      <c r="B212" s="55"/>
      <c r="C212" s="5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>
      <c r="A213" s="5"/>
      <c r="B213" s="55"/>
      <c r="C213" s="5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>
      <c r="A214" s="5"/>
      <c r="B214" s="55"/>
      <c r="C214" s="5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>
      <c r="A215" s="5"/>
      <c r="B215" s="55"/>
      <c r="C215" s="5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hidden="1" customHeight="1">
      <c r="A216" s="5"/>
      <c r="B216" s="55"/>
      <c r="C216" s="5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>
      <c r="A217" s="5"/>
      <c r="B217" s="55"/>
      <c r="C217" s="5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>
      <c r="A218" s="5"/>
      <c r="B218" s="55"/>
      <c r="C218" s="5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>
      <c r="A219" s="5"/>
      <c r="B219" s="55"/>
      <c r="C219" s="5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>
      <c r="A220" s="5"/>
      <c r="B220" s="55"/>
      <c r="C220" s="5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>
      <c r="A221" s="5"/>
      <c r="B221" s="55"/>
      <c r="C221" s="5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hidden="1" customHeight="1">
      <c r="A222" s="5"/>
      <c r="B222" s="55"/>
      <c r="C222" s="5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hidden="1" customHeight="1">
      <c r="A223" s="5"/>
      <c r="B223" s="55"/>
      <c r="C223" s="5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>
      <c r="A224" s="5"/>
      <c r="B224" s="55"/>
      <c r="C224" s="5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>
      <c r="A225" s="5"/>
      <c r="B225" s="55"/>
      <c r="C225" s="5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5"/>
      <c r="B226" s="55"/>
      <c r="C226" s="5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>
      <c r="A227" s="5"/>
      <c r="B227" s="55"/>
      <c r="C227" s="5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5"/>
      <c r="B228" s="55"/>
      <c r="C228" s="5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5"/>
      <c r="B229" s="55"/>
      <c r="C229" s="5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>
      <c r="A230" s="5"/>
      <c r="B230" s="55"/>
      <c r="C230" s="5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5"/>
      <c r="B231" s="55"/>
      <c r="C231" s="5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5"/>
      <c r="B232" s="55"/>
      <c r="C232" s="5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5"/>
      <c r="B233" s="55"/>
      <c r="C233" s="5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5"/>
      <c r="B234" s="55"/>
      <c r="C234" s="5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5"/>
      <c r="B235" s="55"/>
      <c r="C235" s="5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5"/>
      <c r="B236" s="55"/>
      <c r="C236" s="5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5"/>
      <c r="B237" s="55"/>
      <c r="C237" s="5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5"/>
      <c r="B238" s="55"/>
      <c r="C238" s="5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>
      <c r="A239" s="5"/>
      <c r="B239" s="55"/>
      <c r="C239" s="5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5"/>
      <c r="B240" s="55"/>
      <c r="C240" s="5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5"/>
      <c r="B241" s="55"/>
      <c r="C241" s="5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>
      <c r="A242" s="5"/>
      <c r="B242" s="55"/>
      <c r="C242" s="5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>
      <c r="A243" s="5"/>
      <c r="B243" s="55"/>
      <c r="C243" s="5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5"/>
      <c r="B244" s="55"/>
      <c r="C244" s="5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>
      <c r="A245" s="5"/>
      <c r="B245" s="55"/>
      <c r="C245" s="5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>
      <c r="A246" s="5"/>
      <c r="B246" s="55"/>
      <c r="C246" s="5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>
      <c r="A247" s="5"/>
      <c r="B247" s="55"/>
      <c r="C247" s="5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5"/>
      <c r="B248" s="55"/>
      <c r="C248" s="5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5"/>
      <c r="B249" s="55"/>
      <c r="C249" s="5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5"/>
      <c r="B250" s="55"/>
      <c r="C250" s="56"/>
      <c r="D250" s="5"/>
      <c r="E250" s="5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5"/>
      <c r="B251" s="55"/>
      <c r="C251" s="56"/>
      <c r="D251" s="5"/>
      <c r="E251" s="5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5"/>
      <c r="B252" s="55"/>
      <c r="C252" s="56"/>
      <c r="D252" s="5"/>
      <c r="E252" s="5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C47:D47"/>
    <mergeCell ref="B49:D49"/>
    <mergeCell ref="C50:D50"/>
    <mergeCell ref="C51:D51"/>
    <mergeCell ref="C52:D52"/>
    <mergeCell ref="B38:D38"/>
    <mergeCell ref="B39:C41"/>
    <mergeCell ref="A42:D42"/>
    <mergeCell ref="B43:D43"/>
    <mergeCell ref="A44:D44"/>
    <mergeCell ref="C45:D45"/>
    <mergeCell ref="C46:D46"/>
  </mergeCells>
  <conditionalFormatting sqref="F48:O49">
    <cfRule type="cellIs" dxfId="0" priority="1" operator="equal">
      <formula>"FALSE"</formula>
    </cfRule>
  </conditionalFormatting>
  <conditionalFormatting sqref="E30">
    <cfRule type="expression" dxfId="0" priority="2">
      <formula>E30&lt;&gt;E52</formula>
    </cfRule>
  </conditionalFormatting>
  <conditionalFormatting sqref="E30">
    <cfRule type="expression" dxfId="0" priority="3">
      <formula>E30&lt;&gt;E34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3" width="8.71"/>
    <col customWidth="1" min="24" max="24" width="13.29"/>
    <col customWidth="1" min="2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49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1"/>
      <c r="T11" s="1"/>
      <c r="U11" s="1"/>
      <c r="V11" s="1"/>
      <c r="W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36"/>
    </row>
    <row r="14" ht="12.75" customHeight="1">
      <c r="A14" s="18"/>
      <c r="B14" s="22" t="s">
        <v>11</v>
      </c>
      <c r="C14" s="23"/>
      <c r="D14" s="19" t="s">
        <v>12</v>
      </c>
      <c r="E14" s="19">
        <v>120.0</v>
      </c>
      <c r="F14" s="19">
        <v>126.0</v>
      </c>
      <c r="G14" s="19">
        <v>116.0</v>
      </c>
      <c r="H14" s="19">
        <v>132.0</v>
      </c>
      <c r="I14" s="19">
        <v>127.0</v>
      </c>
      <c r="J14" s="19">
        <v>120.0</v>
      </c>
      <c r="K14" s="19">
        <v>130.0</v>
      </c>
      <c r="L14" s="19">
        <v>135.0</v>
      </c>
      <c r="M14" s="19">
        <v>143.0</v>
      </c>
      <c r="N14" s="19">
        <v>139.0</v>
      </c>
      <c r="O14" s="19">
        <v>138.0</v>
      </c>
      <c r="P14" s="19">
        <v>127.0</v>
      </c>
      <c r="Q14" s="19">
        <v>144.0</v>
      </c>
      <c r="R14" s="19">
        <v>134.0</v>
      </c>
      <c r="S14" s="19">
        <v>128.0</v>
      </c>
      <c r="T14" s="19">
        <v>125.0</v>
      </c>
      <c r="U14" s="19">
        <v>107.0</v>
      </c>
      <c r="V14" s="19">
        <v>136.0</v>
      </c>
      <c r="W14" s="19">
        <v>128.0</v>
      </c>
      <c r="X14" s="13">
        <f t="shared" ref="X14:X16" si="1">SUM(E14:W14)</f>
        <v>2455</v>
      </c>
    </row>
    <row r="15" ht="12.75" customHeight="1">
      <c r="A15" s="18"/>
      <c r="B15" s="26"/>
      <c r="C15" s="27"/>
      <c r="D15" s="19" t="s">
        <v>13</v>
      </c>
      <c r="E15" s="19">
        <v>130.0</v>
      </c>
      <c r="F15" s="19">
        <v>121.0</v>
      </c>
      <c r="G15" s="19">
        <v>128.0</v>
      </c>
      <c r="H15" s="19">
        <v>134.0</v>
      </c>
      <c r="I15" s="19">
        <v>133.0</v>
      </c>
      <c r="J15" s="19">
        <v>126.0</v>
      </c>
      <c r="K15" s="19">
        <v>121.0</v>
      </c>
      <c r="L15" s="19">
        <v>127.0</v>
      </c>
      <c r="M15" s="19">
        <v>116.0</v>
      </c>
      <c r="N15" s="19">
        <v>126.0</v>
      </c>
      <c r="O15" s="19">
        <v>135.0</v>
      </c>
      <c r="P15" s="19">
        <v>141.0</v>
      </c>
      <c r="Q15" s="19">
        <v>130.0</v>
      </c>
      <c r="R15" s="19">
        <v>117.0</v>
      </c>
      <c r="S15" s="19">
        <v>123.0</v>
      </c>
      <c r="T15" s="19">
        <v>119.0</v>
      </c>
      <c r="U15" s="19">
        <v>132.0</v>
      </c>
      <c r="V15" s="19">
        <v>130.0</v>
      </c>
      <c r="W15" s="19">
        <v>123.0</v>
      </c>
      <c r="X15" s="13">
        <f t="shared" si="1"/>
        <v>2412</v>
      </c>
    </row>
    <row r="16" ht="12.75" customHeight="1">
      <c r="A16" s="25"/>
      <c r="B16" s="21"/>
      <c r="C16" s="28"/>
      <c r="D16" s="13" t="s">
        <v>14</v>
      </c>
      <c r="E16" s="13">
        <f t="shared" ref="E16:W16" si="2">SUM(E14:E15)</f>
        <v>250</v>
      </c>
      <c r="F16" s="13">
        <f t="shared" si="2"/>
        <v>247</v>
      </c>
      <c r="G16" s="13">
        <f t="shared" si="2"/>
        <v>244</v>
      </c>
      <c r="H16" s="13">
        <f t="shared" si="2"/>
        <v>266</v>
      </c>
      <c r="I16" s="13">
        <f t="shared" si="2"/>
        <v>260</v>
      </c>
      <c r="J16" s="13">
        <f t="shared" si="2"/>
        <v>246</v>
      </c>
      <c r="K16" s="13">
        <f t="shared" si="2"/>
        <v>251</v>
      </c>
      <c r="L16" s="13">
        <f t="shared" si="2"/>
        <v>262</v>
      </c>
      <c r="M16" s="13">
        <f t="shared" si="2"/>
        <v>259</v>
      </c>
      <c r="N16" s="13">
        <f t="shared" si="2"/>
        <v>265</v>
      </c>
      <c r="O16" s="13">
        <f t="shared" si="2"/>
        <v>273</v>
      </c>
      <c r="P16" s="13">
        <f t="shared" si="2"/>
        <v>268</v>
      </c>
      <c r="Q16" s="13">
        <f t="shared" si="2"/>
        <v>274</v>
      </c>
      <c r="R16" s="13">
        <f t="shared" si="2"/>
        <v>251</v>
      </c>
      <c r="S16" s="13">
        <f t="shared" si="2"/>
        <v>251</v>
      </c>
      <c r="T16" s="13">
        <f t="shared" si="2"/>
        <v>244</v>
      </c>
      <c r="U16" s="13">
        <f t="shared" si="2"/>
        <v>239</v>
      </c>
      <c r="V16" s="13">
        <f t="shared" si="2"/>
        <v>266</v>
      </c>
      <c r="W16" s="13">
        <f t="shared" si="2"/>
        <v>251</v>
      </c>
      <c r="X16" s="13">
        <f t="shared" si="1"/>
        <v>4867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19"/>
      <c r="P17" s="19"/>
      <c r="Q17" s="19"/>
      <c r="R17" s="19"/>
      <c r="S17" s="19"/>
      <c r="T17" s="19"/>
      <c r="U17" s="19"/>
      <c r="V17" s="19"/>
      <c r="W17" s="19"/>
      <c r="X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19"/>
      <c r="P18" s="19"/>
      <c r="Q18" s="19"/>
      <c r="R18" s="19"/>
      <c r="S18" s="19"/>
      <c r="T18" s="19"/>
      <c r="U18" s="19"/>
      <c r="V18" s="19"/>
      <c r="W18" s="19"/>
      <c r="X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94.0</v>
      </c>
      <c r="F19" s="19">
        <v>93.0</v>
      </c>
      <c r="G19" s="19">
        <v>93.0</v>
      </c>
      <c r="H19" s="19">
        <v>104.0</v>
      </c>
      <c r="I19" s="19">
        <v>101.0</v>
      </c>
      <c r="J19" s="19">
        <v>103.0</v>
      </c>
      <c r="K19" s="19">
        <v>109.0</v>
      </c>
      <c r="L19" s="19">
        <v>112.0</v>
      </c>
      <c r="M19" s="19">
        <v>107.0</v>
      </c>
      <c r="N19" s="19">
        <v>119.0</v>
      </c>
      <c r="O19" s="19">
        <v>123.0</v>
      </c>
      <c r="P19" s="19">
        <v>105.0</v>
      </c>
      <c r="Q19" s="19">
        <v>129.0</v>
      </c>
      <c r="R19" s="19">
        <v>109.0</v>
      </c>
      <c r="S19" s="19">
        <v>98.0</v>
      </c>
      <c r="T19" s="19">
        <v>103.0</v>
      </c>
      <c r="U19" s="19">
        <v>87.0</v>
      </c>
      <c r="V19" s="19">
        <v>113.0</v>
      </c>
      <c r="W19" s="19">
        <v>107.0</v>
      </c>
      <c r="X19" s="13">
        <f t="shared" ref="X19:X30" si="3">SUM(E19:W19)</f>
        <v>2009</v>
      </c>
    </row>
    <row r="20" ht="12.75" customHeight="1">
      <c r="A20" s="33"/>
      <c r="B20" s="27"/>
      <c r="C20" s="34"/>
      <c r="D20" s="19" t="s">
        <v>13</v>
      </c>
      <c r="E20" s="19">
        <v>117.0</v>
      </c>
      <c r="F20" s="19">
        <v>100.0</v>
      </c>
      <c r="G20" s="19">
        <v>104.0</v>
      </c>
      <c r="H20" s="19">
        <v>116.0</v>
      </c>
      <c r="I20" s="19">
        <v>118.0</v>
      </c>
      <c r="J20" s="19">
        <v>109.0</v>
      </c>
      <c r="K20" s="19">
        <v>106.0</v>
      </c>
      <c r="L20" s="19">
        <v>110.0</v>
      </c>
      <c r="M20" s="19">
        <v>93.0</v>
      </c>
      <c r="N20" s="19">
        <v>114.0</v>
      </c>
      <c r="O20" s="19">
        <v>110.0</v>
      </c>
      <c r="P20" s="19">
        <v>112.0</v>
      </c>
      <c r="Q20" s="19">
        <v>113.0</v>
      </c>
      <c r="R20" s="19">
        <v>95.0</v>
      </c>
      <c r="S20" s="19">
        <v>92.0</v>
      </c>
      <c r="T20" s="19">
        <v>100.0</v>
      </c>
      <c r="U20" s="19">
        <v>107.0</v>
      </c>
      <c r="V20" s="19">
        <v>107.0</v>
      </c>
      <c r="W20" s="19">
        <v>103.0</v>
      </c>
      <c r="X20" s="13">
        <f t="shared" si="3"/>
        <v>2026</v>
      </c>
    </row>
    <row r="21" ht="12.75" customHeight="1">
      <c r="A21" s="35"/>
      <c r="B21" s="28"/>
      <c r="C21" s="36"/>
      <c r="D21" s="13" t="s">
        <v>14</v>
      </c>
      <c r="E21" s="13">
        <f t="shared" ref="E21:W21" si="4">SUM(E19:E20)</f>
        <v>211</v>
      </c>
      <c r="F21" s="13">
        <f t="shared" si="4"/>
        <v>193</v>
      </c>
      <c r="G21" s="13">
        <f t="shared" si="4"/>
        <v>197</v>
      </c>
      <c r="H21" s="13">
        <f t="shared" si="4"/>
        <v>220</v>
      </c>
      <c r="I21" s="13">
        <f t="shared" si="4"/>
        <v>219</v>
      </c>
      <c r="J21" s="13">
        <f t="shared" si="4"/>
        <v>212</v>
      </c>
      <c r="K21" s="13">
        <f t="shared" si="4"/>
        <v>215</v>
      </c>
      <c r="L21" s="13">
        <f t="shared" si="4"/>
        <v>222</v>
      </c>
      <c r="M21" s="13">
        <f t="shared" si="4"/>
        <v>200</v>
      </c>
      <c r="N21" s="13">
        <f t="shared" si="4"/>
        <v>233</v>
      </c>
      <c r="O21" s="13">
        <f t="shared" si="4"/>
        <v>233</v>
      </c>
      <c r="P21" s="13">
        <f t="shared" si="4"/>
        <v>217</v>
      </c>
      <c r="Q21" s="13">
        <f t="shared" si="4"/>
        <v>242</v>
      </c>
      <c r="R21" s="13">
        <f t="shared" si="4"/>
        <v>204</v>
      </c>
      <c r="S21" s="13">
        <f t="shared" si="4"/>
        <v>190</v>
      </c>
      <c r="T21" s="13">
        <f t="shared" si="4"/>
        <v>203</v>
      </c>
      <c r="U21" s="13">
        <f t="shared" si="4"/>
        <v>194</v>
      </c>
      <c r="V21" s="13">
        <f t="shared" si="4"/>
        <v>220</v>
      </c>
      <c r="W21" s="13">
        <f t="shared" si="4"/>
        <v>210</v>
      </c>
      <c r="X21" s="13">
        <f t="shared" si="3"/>
        <v>4035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1.0</v>
      </c>
      <c r="M22" s="19">
        <v>0.0</v>
      </c>
      <c r="N22" s="19">
        <v>0.0</v>
      </c>
      <c r="O22" s="19">
        <v>0.0</v>
      </c>
      <c r="P22" s="19">
        <v>0.0</v>
      </c>
      <c r="Q22" s="19">
        <v>1.0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1.0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W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1</v>
      </c>
      <c r="M24" s="13">
        <f t="shared" si="5"/>
        <v>1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1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3"/>
        <v>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1.0</v>
      </c>
      <c r="G25" s="19">
        <v>2.0</v>
      </c>
      <c r="H25" s="19">
        <v>1.0</v>
      </c>
      <c r="I25" s="19">
        <v>2.0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19">
        <v>0.0</v>
      </c>
      <c r="U25" s="19">
        <v>0.0</v>
      </c>
      <c r="V25" s="19">
        <v>2.0</v>
      </c>
      <c r="W25" s="19">
        <v>0.0</v>
      </c>
      <c r="X25" s="13">
        <f t="shared" si="3"/>
        <v>8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2.0</v>
      </c>
      <c r="H26" s="19">
        <v>1.0</v>
      </c>
      <c r="I26" s="19">
        <v>0.0</v>
      </c>
      <c r="J26" s="19">
        <v>0.0</v>
      </c>
      <c r="K26" s="19">
        <v>0.0</v>
      </c>
      <c r="L26" s="19">
        <v>1.0</v>
      </c>
      <c r="M26" s="19">
        <v>0.0</v>
      </c>
      <c r="N26" s="19">
        <v>2.0</v>
      </c>
      <c r="O26" s="19">
        <v>0.0</v>
      </c>
      <c r="P26" s="19">
        <v>0.0</v>
      </c>
      <c r="Q26" s="19">
        <v>0.0</v>
      </c>
      <c r="R26" s="19">
        <v>0.0</v>
      </c>
      <c r="S26" s="19">
        <v>0.0</v>
      </c>
      <c r="T26" s="19">
        <v>1.0</v>
      </c>
      <c r="U26" s="19">
        <v>0.0</v>
      </c>
      <c r="V26" s="19">
        <v>1.0</v>
      </c>
      <c r="W26" s="19">
        <v>0.0</v>
      </c>
      <c r="X26" s="13">
        <f t="shared" si="3"/>
        <v>8</v>
      </c>
    </row>
    <row r="27" ht="12.75" customHeight="1">
      <c r="A27" s="35"/>
      <c r="B27" s="28"/>
      <c r="C27" s="36"/>
      <c r="D27" s="13" t="s">
        <v>14</v>
      </c>
      <c r="E27" s="13">
        <f t="shared" ref="E27:W27" si="6">SUM(E25:E26)</f>
        <v>0</v>
      </c>
      <c r="F27" s="13">
        <f t="shared" si="6"/>
        <v>1</v>
      </c>
      <c r="G27" s="13">
        <f t="shared" si="6"/>
        <v>4</v>
      </c>
      <c r="H27" s="13">
        <f t="shared" si="6"/>
        <v>2</v>
      </c>
      <c r="I27" s="13">
        <f t="shared" si="6"/>
        <v>2</v>
      </c>
      <c r="J27" s="13">
        <f t="shared" si="6"/>
        <v>0</v>
      </c>
      <c r="K27" s="13">
        <f t="shared" si="6"/>
        <v>0</v>
      </c>
      <c r="L27" s="13">
        <f t="shared" si="6"/>
        <v>1</v>
      </c>
      <c r="M27" s="13">
        <f t="shared" si="6"/>
        <v>0</v>
      </c>
      <c r="N27" s="13">
        <f t="shared" si="6"/>
        <v>2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6"/>
        <v>1</v>
      </c>
      <c r="U27" s="13">
        <f t="shared" si="6"/>
        <v>0</v>
      </c>
      <c r="V27" s="13">
        <f t="shared" si="6"/>
        <v>3</v>
      </c>
      <c r="W27" s="13">
        <f t="shared" si="6"/>
        <v>0</v>
      </c>
      <c r="X27" s="13">
        <f t="shared" si="3"/>
        <v>16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W28" si="7">SUM(E19,E22,E25)</f>
        <v>94</v>
      </c>
      <c r="F28" s="13">
        <f t="shared" si="7"/>
        <v>94</v>
      </c>
      <c r="G28" s="13">
        <f t="shared" si="7"/>
        <v>95</v>
      </c>
      <c r="H28" s="13">
        <f t="shared" si="7"/>
        <v>105</v>
      </c>
      <c r="I28" s="13">
        <f t="shared" si="7"/>
        <v>103</v>
      </c>
      <c r="J28" s="13">
        <f t="shared" si="7"/>
        <v>103</v>
      </c>
      <c r="K28" s="13">
        <f t="shared" si="7"/>
        <v>109</v>
      </c>
      <c r="L28" s="13">
        <f t="shared" si="7"/>
        <v>113</v>
      </c>
      <c r="M28" s="13">
        <f t="shared" si="7"/>
        <v>107</v>
      </c>
      <c r="N28" s="13">
        <f t="shared" si="7"/>
        <v>119</v>
      </c>
      <c r="O28" s="13">
        <f t="shared" si="7"/>
        <v>123</v>
      </c>
      <c r="P28" s="13">
        <f t="shared" si="7"/>
        <v>105</v>
      </c>
      <c r="Q28" s="13">
        <f t="shared" si="7"/>
        <v>130</v>
      </c>
      <c r="R28" s="13">
        <f t="shared" si="7"/>
        <v>109</v>
      </c>
      <c r="S28" s="13">
        <f t="shared" si="7"/>
        <v>98</v>
      </c>
      <c r="T28" s="13">
        <f t="shared" si="7"/>
        <v>103</v>
      </c>
      <c r="U28" s="13">
        <f t="shared" si="7"/>
        <v>87</v>
      </c>
      <c r="V28" s="13">
        <f t="shared" si="7"/>
        <v>115</v>
      </c>
      <c r="W28" s="13">
        <f t="shared" si="7"/>
        <v>107</v>
      </c>
      <c r="X28" s="13">
        <f t="shared" si="3"/>
        <v>2019</v>
      </c>
    </row>
    <row r="29" ht="12.75" customHeight="1">
      <c r="A29" s="35"/>
      <c r="B29" s="27"/>
      <c r="C29" s="34"/>
      <c r="D29" s="13" t="s">
        <v>13</v>
      </c>
      <c r="E29" s="13">
        <f t="shared" ref="E29:W29" si="8">SUM(E20,E23,E26)</f>
        <v>117</v>
      </c>
      <c r="F29" s="13">
        <f t="shared" si="8"/>
        <v>100</v>
      </c>
      <c r="G29" s="13">
        <f t="shared" si="8"/>
        <v>106</v>
      </c>
      <c r="H29" s="13">
        <f t="shared" si="8"/>
        <v>117</v>
      </c>
      <c r="I29" s="13">
        <f t="shared" si="8"/>
        <v>118</v>
      </c>
      <c r="J29" s="13">
        <f t="shared" si="8"/>
        <v>109</v>
      </c>
      <c r="K29" s="13">
        <f t="shared" si="8"/>
        <v>106</v>
      </c>
      <c r="L29" s="13">
        <f t="shared" si="8"/>
        <v>111</v>
      </c>
      <c r="M29" s="13">
        <f t="shared" si="8"/>
        <v>94</v>
      </c>
      <c r="N29" s="13">
        <f t="shared" si="8"/>
        <v>116</v>
      </c>
      <c r="O29" s="13">
        <f t="shared" si="8"/>
        <v>110</v>
      </c>
      <c r="P29" s="13">
        <f t="shared" si="8"/>
        <v>112</v>
      </c>
      <c r="Q29" s="13">
        <f t="shared" si="8"/>
        <v>113</v>
      </c>
      <c r="R29" s="13">
        <f t="shared" si="8"/>
        <v>95</v>
      </c>
      <c r="S29" s="13">
        <f t="shared" si="8"/>
        <v>92</v>
      </c>
      <c r="T29" s="13">
        <f t="shared" si="8"/>
        <v>101</v>
      </c>
      <c r="U29" s="13">
        <f t="shared" si="8"/>
        <v>107</v>
      </c>
      <c r="V29" s="13">
        <f t="shared" si="8"/>
        <v>108</v>
      </c>
      <c r="W29" s="13">
        <f t="shared" si="8"/>
        <v>103</v>
      </c>
      <c r="X29" s="13">
        <f t="shared" si="3"/>
        <v>2035</v>
      </c>
    </row>
    <row r="30" ht="12.75" customHeight="1">
      <c r="A30" s="35"/>
      <c r="B30" s="28"/>
      <c r="C30" s="36"/>
      <c r="D30" s="13" t="s">
        <v>14</v>
      </c>
      <c r="E30" s="13">
        <f t="shared" ref="E30:W30" si="9">SUM(E28:E29)</f>
        <v>211</v>
      </c>
      <c r="F30" s="13">
        <f t="shared" si="9"/>
        <v>194</v>
      </c>
      <c r="G30" s="13">
        <f t="shared" si="9"/>
        <v>201</v>
      </c>
      <c r="H30" s="13">
        <f t="shared" si="9"/>
        <v>222</v>
      </c>
      <c r="I30" s="13">
        <f t="shared" si="9"/>
        <v>221</v>
      </c>
      <c r="J30" s="13">
        <f t="shared" si="9"/>
        <v>212</v>
      </c>
      <c r="K30" s="13">
        <f t="shared" si="9"/>
        <v>215</v>
      </c>
      <c r="L30" s="13">
        <f t="shared" si="9"/>
        <v>224</v>
      </c>
      <c r="M30" s="13">
        <f t="shared" si="9"/>
        <v>201</v>
      </c>
      <c r="N30" s="13">
        <f t="shared" si="9"/>
        <v>235</v>
      </c>
      <c r="O30" s="13">
        <f t="shared" si="9"/>
        <v>233</v>
      </c>
      <c r="P30" s="13">
        <f t="shared" si="9"/>
        <v>217</v>
      </c>
      <c r="Q30" s="13">
        <f t="shared" si="9"/>
        <v>243</v>
      </c>
      <c r="R30" s="13">
        <f t="shared" si="9"/>
        <v>204</v>
      </c>
      <c r="S30" s="13">
        <f t="shared" si="9"/>
        <v>190</v>
      </c>
      <c r="T30" s="13">
        <f t="shared" si="9"/>
        <v>204</v>
      </c>
      <c r="U30" s="13">
        <f t="shared" si="9"/>
        <v>194</v>
      </c>
      <c r="V30" s="13">
        <f t="shared" si="9"/>
        <v>223</v>
      </c>
      <c r="W30" s="13">
        <f t="shared" si="9"/>
        <v>210</v>
      </c>
      <c r="X30" s="13">
        <f t="shared" si="3"/>
        <v>4054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19"/>
      <c r="P31" s="19"/>
      <c r="Q31" s="19"/>
      <c r="R31" s="19"/>
      <c r="S31" s="19"/>
      <c r="T31" s="19"/>
      <c r="U31" s="19"/>
      <c r="V31" s="19"/>
      <c r="W31" s="19"/>
      <c r="X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13"/>
      <c r="P32" s="13"/>
      <c r="Q32" s="13"/>
      <c r="R32" s="13"/>
      <c r="S32" s="13"/>
      <c r="T32" s="13"/>
      <c r="U32" s="13"/>
      <c r="V32" s="13"/>
      <c r="W32" s="13"/>
      <c r="X32" s="59"/>
    </row>
    <row r="33" ht="12.75" customHeight="1">
      <c r="A33" s="19">
        <v>1.0</v>
      </c>
      <c r="B33" s="20" t="s">
        <v>27</v>
      </c>
      <c r="C33" s="15"/>
      <c r="D33" s="16"/>
      <c r="E33" s="19">
        <v>255.0</v>
      </c>
      <c r="F33" s="19">
        <v>254.0</v>
      </c>
      <c r="G33" s="19">
        <v>250.0</v>
      </c>
      <c r="H33" s="19">
        <v>274.0</v>
      </c>
      <c r="I33" s="19">
        <v>266.0</v>
      </c>
      <c r="J33" s="19">
        <v>251.0</v>
      </c>
      <c r="K33" s="19">
        <v>259.0</v>
      </c>
      <c r="L33" s="19">
        <v>267.0</v>
      </c>
      <c r="M33" s="19">
        <v>266.0</v>
      </c>
      <c r="N33" s="19">
        <v>271.0</v>
      </c>
      <c r="O33" s="19">
        <v>279.0</v>
      </c>
      <c r="P33" s="19">
        <v>275.0</v>
      </c>
      <c r="Q33" s="19">
        <v>280.0</v>
      </c>
      <c r="R33" s="19">
        <v>257.0</v>
      </c>
      <c r="S33" s="19">
        <v>257.0</v>
      </c>
      <c r="T33" s="19">
        <v>250.0</v>
      </c>
      <c r="U33" s="19">
        <v>244.0</v>
      </c>
      <c r="V33" s="19">
        <v>273.0</v>
      </c>
      <c r="W33" s="19">
        <v>255.0</v>
      </c>
      <c r="X33" s="13">
        <f t="shared" ref="X33:X36" si="10">SUM(E33:W33)</f>
        <v>4983</v>
      </c>
    </row>
    <row r="34" ht="12.75" customHeight="1">
      <c r="A34" s="19">
        <v>2.0</v>
      </c>
      <c r="B34" s="20" t="s">
        <v>28</v>
      </c>
      <c r="C34" s="15"/>
      <c r="D34" s="16"/>
      <c r="E34" s="13">
        <v>211.0</v>
      </c>
      <c r="F34" s="13">
        <v>194.0</v>
      </c>
      <c r="G34" s="13">
        <v>201.0</v>
      </c>
      <c r="H34" s="13">
        <v>222.0</v>
      </c>
      <c r="I34" s="13">
        <v>221.0</v>
      </c>
      <c r="J34" s="13">
        <v>212.0</v>
      </c>
      <c r="K34" s="13">
        <v>215.0</v>
      </c>
      <c r="L34" s="13">
        <v>224.0</v>
      </c>
      <c r="M34" s="13">
        <v>201.0</v>
      </c>
      <c r="N34" s="13">
        <v>235.0</v>
      </c>
      <c r="O34" s="13">
        <v>233.0</v>
      </c>
      <c r="P34" s="13">
        <v>217.0</v>
      </c>
      <c r="Q34" s="13">
        <v>243.0</v>
      </c>
      <c r="R34" s="13">
        <v>204.0</v>
      </c>
      <c r="S34" s="13">
        <v>190.0</v>
      </c>
      <c r="T34" s="13">
        <v>204.0</v>
      </c>
      <c r="U34" s="13">
        <v>194.0</v>
      </c>
      <c r="V34" s="13">
        <v>223.0</v>
      </c>
      <c r="W34" s="13">
        <v>210.0</v>
      </c>
      <c r="X34" s="13">
        <f t="shared" si="10"/>
        <v>4054</v>
      </c>
    </row>
    <row r="35" ht="12.75" customHeight="1">
      <c r="A35" s="19">
        <v>3.0</v>
      </c>
      <c r="B35" s="20" t="s">
        <v>29</v>
      </c>
      <c r="C35" s="15"/>
      <c r="D35" s="16"/>
      <c r="E35" s="19">
        <v>1.0</v>
      </c>
      <c r="F35" s="19">
        <v>0.0</v>
      </c>
      <c r="G35" s="19">
        <v>0.0</v>
      </c>
      <c r="H35" s="19">
        <v>0.0</v>
      </c>
      <c r="I35" s="19">
        <v>5.0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3">
        <f t="shared" si="10"/>
        <v>6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W36" si="11">E33-(E34+E35)</f>
        <v>43</v>
      </c>
      <c r="F36" s="13">
        <f t="shared" si="11"/>
        <v>60</v>
      </c>
      <c r="G36" s="13">
        <f t="shared" si="11"/>
        <v>49</v>
      </c>
      <c r="H36" s="13">
        <f t="shared" si="11"/>
        <v>52</v>
      </c>
      <c r="I36" s="13">
        <f t="shared" si="11"/>
        <v>40</v>
      </c>
      <c r="J36" s="13">
        <f t="shared" si="11"/>
        <v>39</v>
      </c>
      <c r="K36" s="13">
        <f t="shared" si="11"/>
        <v>44</v>
      </c>
      <c r="L36" s="13">
        <f t="shared" si="11"/>
        <v>43</v>
      </c>
      <c r="M36" s="13">
        <f t="shared" si="11"/>
        <v>65</v>
      </c>
      <c r="N36" s="13">
        <f t="shared" si="11"/>
        <v>36</v>
      </c>
      <c r="O36" s="13">
        <f t="shared" si="11"/>
        <v>46</v>
      </c>
      <c r="P36" s="13">
        <f t="shared" si="11"/>
        <v>58</v>
      </c>
      <c r="Q36" s="13">
        <f t="shared" si="11"/>
        <v>37</v>
      </c>
      <c r="R36" s="13">
        <f t="shared" si="11"/>
        <v>53</v>
      </c>
      <c r="S36" s="13">
        <f t="shared" si="11"/>
        <v>67</v>
      </c>
      <c r="T36" s="13">
        <f t="shared" si="11"/>
        <v>46</v>
      </c>
      <c r="U36" s="13">
        <f t="shared" si="11"/>
        <v>50</v>
      </c>
      <c r="V36" s="13">
        <f t="shared" si="11"/>
        <v>50</v>
      </c>
      <c r="W36" s="13">
        <f t="shared" si="11"/>
        <v>45</v>
      </c>
      <c r="X36" s="13">
        <f t="shared" si="10"/>
        <v>923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13"/>
      <c r="P38" s="13"/>
      <c r="Q38" s="13"/>
      <c r="R38" s="13"/>
      <c r="S38" s="13"/>
      <c r="T38" s="13"/>
      <c r="U38" s="13"/>
      <c r="V38" s="13"/>
      <c r="W38" s="13"/>
      <c r="X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1.0</v>
      </c>
      <c r="U39" s="19">
        <v>0.0</v>
      </c>
      <c r="V39" s="19">
        <v>0.0</v>
      </c>
      <c r="W39" s="19">
        <v>0.0</v>
      </c>
      <c r="X39" s="13">
        <f t="shared" ref="X39:X41" si="12">SUM(E39:W39)</f>
        <v>1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W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1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2"/>
        <v>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  <c r="Q43" s="13"/>
      <c r="R43" s="13"/>
      <c r="S43" s="13"/>
      <c r="T43" s="13"/>
      <c r="U43" s="13"/>
      <c r="V43" s="13"/>
      <c r="W43" s="13"/>
      <c r="X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9"/>
      <c r="Q44" s="19"/>
      <c r="R44" s="19"/>
      <c r="S44" s="19"/>
      <c r="T44" s="19"/>
      <c r="U44" s="19"/>
      <c r="V44" s="19"/>
      <c r="W44" s="19"/>
      <c r="X44" s="13"/>
    </row>
    <row r="45" ht="12.75" customHeight="1">
      <c r="A45" s="30"/>
      <c r="B45" s="47">
        <v>1.0</v>
      </c>
      <c r="C45" s="48" t="s">
        <v>37</v>
      </c>
      <c r="D45" s="16"/>
      <c r="E45" s="19">
        <v>30.0</v>
      </c>
      <c r="F45" s="19">
        <v>25.0</v>
      </c>
      <c r="G45" s="19">
        <v>20.0</v>
      </c>
      <c r="H45" s="19">
        <v>37.0</v>
      </c>
      <c r="I45" s="19">
        <v>21.0</v>
      </c>
      <c r="J45" s="19">
        <v>10.0</v>
      </c>
      <c r="K45" s="19">
        <v>11.0</v>
      </c>
      <c r="L45" s="19">
        <v>17.0</v>
      </c>
      <c r="M45" s="19">
        <v>8.0</v>
      </c>
      <c r="N45" s="19">
        <v>2.0</v>
      </c>
      <c r="O45" s="19">
        <v>11.0</v>
      </c>
      <c r="P45" s="19">
        <v>9.0</v>
      </c>
      <c r="Q45" s="19">
        <v>8.0</v>
      </c>
      <c r="R45" s="19">
        <v>6.0</v>
      </c>
      <c r="S45" s="19">
        <v>5.0</v>
      </c>
      <c r="T45" s="19">
        <v>7.0</v>
      </c>
      <c r="U45" s="19">
        <v>15.0</v>
      </c>
      <c r="V45" s="19">
        <v>7.0</v>
      </c>
      <c r="W45" s="19">
        <v>12.0</v>
      </c>
      <c r="X45" s="13">
        <f t="shared" ref="X45:X47" si="14">SUM(E45:W45)</f>
        <v>261</v>
      </c>
    </row>
    <row r="46" ht="12.75" customHeight="1">
      <c r="A46" s="18"/>
      <c r="B46" s="47">
        <v>2.0</v>
      </c>
      <c r="C46" s="48" t="s">
        <v>38</v>
      </c>
      <c r="D46" s="16"/>
      <c r="E46" s="19">
        <v>148.0</v>
      </c>
      <c r="F46" s="19">
        <v>146.0</v>
      </c>
      <c r="G46" s="19">
        <v>138.0</v>
      </c>
      <c r="H46" s="19">
        <v>143.0</v>
      </c>
      <c r="I46" s="19">
        <v>169.0</v>
      </c>
      <c r="J46" s="19">
        <v>185.0</v>
      </c>
      <c r="K46" s="19">
        <v>174.0</v>
      </c>
      <c r="L46" s="19">
        <v>182.0</v>
      </c>
      <c r="M46" s="19">
        <v>171.0</v>
      </c>
      <c r="N46" s="19">
        <v>215.0</v>
      </c>
      <c r="O46" s="19">
        <v>207.0</v>
      </c>
      <c r="P46" s="19">
        <v>185.0</v>
      </c>
      <c r="Q46" s="19">
        <v>193.0</v>
      </c>
      <c r="R46" s="19">
        <v>160.0</v>
      </c>
      <c r="S46" s="19">
        <v>148.0</v>
      </c>
      <c r="T46" s="19">
        <v>155.0</v>
      </c>
      <c r="U46" s="19">
        <v>155.0</v>
      </c>
      <c r="V46" s="19">
        <v>186.0</v>
      </c>
      <c r="W46" s="19">
        <v>177.0</v>
      </c>
      <c r="X46" s="13">
        <f t="shared" si="14"/>
        <v>3237</v>
      </c>
    </row>
    <row r="47" ht="12.75" customHeight="1">
      <c r="A47" s="18"/>
      <c r="B47" s="47">
        <v>3.0</v>
      </c>
      <c r="C47" s="48" t="s">
        <v>39</v>
      </c>
      <c r="D47" s="16"/>
      <c r="E47" s="19">
        <v>31.0</v>
      </c>
      <c r="F47" s="19">
        <v>19.0</v>
      </c>
      <c r="G47" s="19">
        <v>42.0</v>
      </c>
      <c r="H47" s="19">
        <v>37.0</v>
      </c>
      <c r="I47" s="19">
        <v>30.0</v>
      </c>
      <c r="J47" s="19">
        <v>17.0</v>
      </c>
      <c r="K47" s="19">
        <v>29.0</v>
      </c>
      <c r="L47" s="19">
        <v>25.0</v>
      </c>
      <c r="M47" s="19">
        <v>22.0</v>
      </c>
      <c r="N47" s="19">
        <v>18.0</v>
      </c>
      <c r="O47" s="19">
        <v>15.0</v>
      </c>
      <c r="P47" s="19">
        <v>19.0</v>
      </c>
      <c r="Q47" s="19">
        <v>42.0</v>
      </c>
      <c r="R47" s="19">
        <v>37.0</v>
      </c>
      <c r="S47" s="19">
        <v>36.0</v>
      </c>
      <c r="T47" s="19">
        <v>40.0</v>
      </c>
      <c r="U47" s="19">
        <v>22.0</v>
      </c>
      <c r="V47" s="19">
        <v>30.0</v>
      </c>
      <c r="W47" s="19">
        <v>13.0</v>
      </c>
      <c r="X47" s="13">
        <f t="shared" si="14"/>
        <v>524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0"/>
      <c r="O49" s="13"/>
      <c r="P49" s="13"/>
      <c r="Q49" s="13"/>
      <c r="R49" s="13"/>
      <c r="S49" s="13"/>
      <c r="T49" s="13"/>
      <c r="U49" s="13"/>
      <c r="V49" s="13"/>
      <c r="W49" s="13"/>
      <c r="X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W50" si="15">SUM(E45:E47)</f>
        <v>209</v>
      </c>
      <c r="F50" s="19">
        <f t="shared" si="15"/>
        <v>190</v>
      </c>
      <c r="G50" s="19">
        <f t="shared" si="15"/>
        <v>200</v>
      </c>
      <c r="H50" s="19">
        <f t="shared" si="15"/>
        <v>217</v>
      </c>
      <c r="I50" s="19">
        <f t="shared" si="15"/>
        <v>220</v>
      </c>
      <c r="J50" s="19">
        <f t="shared" si="15"/>
        <v>212</v>
      </c>
      <c r="K50" s="19">
        <f t="shared" si="15"/>
        <v>214</v>
      </c>
      <c r="L50" s="19">
        <f t="shared" si="15"/>
        <v>224</v>
      </c>
      <c r="M50" s="19">
        <f t="shared" si="15"/>
        <v>201</v>
      </c>
      <c r="N50" s="19">
        <f t="shared" si="15"/>
        <v>235</v>
      </c>
      <c r="O50" s="19">
        <f t="shared" si="15"/>
        <v>233</v>
      </c>
      <c r="P50" s="19">
        <f t="shared" si="15"/>
        <v>213</v>
      </c>
      <c r="Q50" s="19">
        <f t="shared" si="15"/>
        <v>243</v>
      </c>
      <c r="R50" s="19">
        <f t="shared" si="15"/>
        <v>203</v>
      </c>
      <c r="S50" s="19">
        <f t="shared" si="15"/>
        <v>189</v>
      </c>
      <c r="T50" s="19">
        <f t="shared" si="15"/>
        <v>202</v>
      </c>
      <c r="U50" s="19">
        <f t="shared" si="15"/>
        <v>192</v>
      </c>
      <c r="V50" s="19">
        <f t="shared" si="15"/>
        <v>223</v>
      </c>
      <c r="W50" s="19">
        <f t="shared" si="15"/>
        <v>202</v>
      </c>
      <c r="X50" s="13">
        <f t="shared" ref="X50:X52" si="16">SUM(E50:W50)</f>
        <v>4022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2.0</v>
      </c>
      <c r="F51" s="19">
        <v>4.0</v>
      </c>
      <c r="G51" s="19">
        <v>1.0</v>
      </c>
      <c r="H51" s="19">
        <v>5.0</v>
      </c>
      <c r="I51" s="19">
        <v>1.0</v>
      </c>
      <c r="J51" s="19">
        <v>0.0</v>
      </c>
      <c r="K51" s="19">
        <v>1.0</v>
      </c>
      <c r="L51" s="19">
        <v>0.0</v>
      </c>
      <c r="M51" s="19">
        <v>0.0</v>
      </c>
      <c r="N51" s="19">
        <v>0.0</v>
      </c>
      <c r="O51" s="19">
        <v>0.0</v>
      </c>
      <c r="P51" s="19">
        <v>4.0</v>
      </c>
      <c r="Q51" s="19">
        <v>0.0</v>
      </c>
      <c r="R51" s="19">
        <v>1.0</v>
      </c>
      <c r="S51" s="19">
        <v>1.0</v>
      </c>
      <c r="T51" s="19">
        <v>2.0</v>
      </c>
      <c r="U51" s="19">
        <v>2.0</v>
      </c>
      <c r="V51" s="19">
        <v>0.0</v>
      </c>
      <c r="W51" s="19">
        <v>8.0</v>
      </c>
      <c r="X51" s="13">
        <f t="shared" si="16"/>
        <v>32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W52" si="17">SUM(E50:E51)</f>
        <v>211</v>
      </c>
      <c r="F52" s="13">
        <f t="shared" si="17"/>
        <v>194</v>
      </c>
      <c r="G52" s="13">
        <f t="shared" si="17"/>
        <v>201</v>
      </c>
      <c r="H52" s="13">
        <f t="shared" si="17"/>
        <v>222</v>
      </c>
      <c r="I52" s="13">
        <f t="shared" si="17"/>
        <v>221</v>
      </c>
      <c r="J52" s="13">
        <f t="shared" si="17"/>
        <v>212</v>
      </c>
      <c r="K52" s="13">
        <f t="shared" si="17"/>
        <v>215</v>
      </c>
      <c r="L52" s="13">
        <f t="shared" si="17"/>
        <v>224</v>
      </c>
      <c r="M52" s="13">
        <f t="shared" si="17"/>
        <v>201</v>
      </c>
      <c r="N52" s="13">
        <f t="shared" si="17"/>
        <v>235</v>
      </c>
      <c r="O52" s="13">
        <f t="shared" si="17"/>
        <v>233</v>
      </c>
      <c r="P52" s="13">
        <f t="shared" si="17"/>
        <v>217</v>
      </c>
      <c r="Q52" s="13">
        <f t="shared" si="17"/>
        <v>243</v>
      </c>
      <c r="R52" s="13">
        <f t="shared" si="17"/>
        <v>204</v>
      </c>
      <c r="S52" s="13">
        <f t="shared" si="17"/>
        <v>190</v>
      </c>
      <c r="T52" s="13">
        <f t="shared" si="17"/>
        <v>204</v>
      </c>
      <c r="U52" s="13">
        <f t="shared" si="17"/>
        <v>194</v>
      </c>
      <c r="V52" s="13">
        <f t="shared" si="17"/>
        <v>223</v>
      </c>
      <c r="W52" s="13">
        <f t="shared" si="17"/>
        <v>210</v>
      </c>
      <c r="X52" s="13">
        <f t="shared" si="16"/>
        <v>4054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W12"/>
    <mergeCell ref="X12:X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W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W42"/>
    <mergeCell ref="B43:D43"/>
    <mergeCell ref="A44:D44"/>
    <mergeCell ref="C45:D45"/>
  </mergeCells>
  <conditionalFormatting sqref="E14:W15 E19:W20 E22:W23 E25:W26 E33:W33 E35:W35 E39:W40 E45:W47 E50:W51">
    <cfRule type="containsBlanks" dxfId="1" priority="1">
      <formula>LEN(TRIM(E14))=0</formula>
    </cfRule>
  </conditionalFormatting>
  <conditionalFormatting sqref="E30:W30">
    <cfRule type="expression" dxfId="0" priority="2">
      <formula>E30&lt;&gt;E46</formula>
    </cfRule>
  </conditionalFormatting>
  <conditionalFormatting sqref="E30:W30">
    <cfRule type="expression" dxfId="0" priority="3">
      <formula>E30&lt;&gt;E34</formula>
    </cfRule>
  </conditionalFormatting>
  <conditionalFormatting sqref="E34:W34">
    <cfRule type="expression" dxfId="2" priority="4">
      <formula>E30&lt;&gt;E34</formula>
    </cfRule>
  </conditionalFormatting>
  <conditionalFormatting sqref="E34:W34">
    <cfRule type="expression" dxfId="3" priority="5">
      <formula>E30=E34</formula>
    </cfRule>
  </conditionalFormatting>
  <conditionalFormatting sqref="E34:W34">
    <cfRule type="expression" dxfId="0" priority="6">
      <formula>E34&lt;&gt;E30</formula>
    </cfRule>
  </conditionalFormatting>
  <conditionalFormatting sqref="E34:W34">
    <cfRule type="expression" dxfId="0" priority="7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9" width="8.71"/>
    <col customWidth="1" min="30" max="30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69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70</v>
      </c>
      <c r="Y13" s="13" t="s">
        <v>71</v>
      </c>
      <c r="Z13" s="13" t="s">
        <v>72</v>
      </c>
      <c r="AA13" s="13" t="s">
        <v>73</v>
      </c>
      <c r="AB13" s="13" t="s">
        <v>74</v>
      </c>
      <c r="AC13" s="13" t="s">
        <v>75</v>
      </c>
      <c r="AD13" s="36"/>
    </row>
    <row r="14" ht="12.75" customHeight="1">
      <c r="A14" s="18"/>
      <c r="B14" s="22" t="s">
        <v>11</v>
      </c>
      <c r="C14" s="23"/>
      <c r="D14" s="19" t="s">
        <v>12</v>
      </c>
      <c r="E14" s="19">
        <v>138.0</v>
      </c>
      <c r="F14" s="19">
        <v>129.0</v>
      </c>
      <c r="G14" s="19">
        <v>132.0</v>
      </c>
      <c r="H14" s="19">
        <v>134.0</v>
      </c>
      <c r="I14" s="19">
        <v>116.0</v>
      </c>
      <c r="J14" s="19">
        <v>124.0</v>
      </c>
      <c r="K14" s="19">
        <v>130.0</v>
      </c>
      <c r="L14" s="19">
        <v>140.0</v>
      </c>
      <c r="M14" s="19">
        <v>136.0</v>
      </c>
      <c r="N14" s="19">
        <v>124.0</v>
      </c>
      <c r="O14" s="19">
        <v>126.0</v>
      </c>
      <c r="P14" s="19">
        <v>136.0</v>
      </c>
      <c r="Q14" s="19">
        <v>135.0</v>
      </c>
      <c r="R14" s="19">
        <v>132.0</v>
      </c>
      <c r="S14" s="19">
        <v>147.0</v>
      </c>
      <c r="T14" s="19">
        <v>130.0</v>
      </c>
      <c r="U14" s="19">
        <v>135.0</v>
      </c>
      <c r="V14" s="19">
        <v>149.0</v>
      </c>
      <c r="W14" s="19">
        <v>110.0</v>
      </c>
      <c r="X14" s="19">
        <v>88.0</v>
      </c>
      <c r="Y14" s="19">
        <v>127.0</v>
      </c>
      <c r="Z14" s="19">
        <v>128.0</v>
      </c>
      <c r="AA14" s="19">
        <v>142.0</v>
      </c>
      <c r="AB14" s="19">
        <v>134.0</v>
      </c>
      <c r="AC14" s="19">
        <v>127.0</v>
      </c>
      <c r="AD14" s="13">
        <f t="shared" ref="AD14:AD16" si="1">SUM(E14:AC14)</f>
        <v>3249</v>
      </c>
    </row>
    <row r="15" ht="12.75" customHeight="1">
      <c r="A15" s="18"/>
      <c r="B15" s="26"/>
      <c r="C15" s="27"/>
      <c r="D15" s="19" t="s">
        <v>13</v>
      </c>
      <c r="E15" s="19">
        <v>129.0</v>
      </c>
      <c r="F15" s="19">
        <v>136.0</v>
      </c>
      <c r="G15" s="19">
        <v>138.0</v>
      </c>
      <c r="H15" s="19">
        <v>132.0</v>
      </c>
      <c r="I15" s="19">
        <v>122.0</v>
      </c>
      <c r="J15" s="19">
        <v>126.0</v>
      </c>
      <c r="K15" s="19">
        <v>130.0</v>
      </c>
      <c r="L15" s="19">
        <v>137.0</v>
      </c>
      <c r="M15" s="19">
        <v>139.0</v>
      </c>
      <c r="N15" s="19">
        <v>139.0</v>
      </c>
      <c r="O15" s="19">
        <v>137.0</v>
      </c>
      <c r="P15" s="19">
        <v>130.0</v>
      </c>
      <c r="Q15" s="19">
        <v>129.0</v>
      </c>
      <c r="R15" s="19">
        <v>134.0</v>
      </c>
      <c r="S15" s="19">
        <v>135.0</v>
      </c>
      <c r="T15" s="19">
        <v>137.0</v>
      </c>
      <c r="U15" s="19">
        <v>136.0</v>
      </c>
      <c r="V15" s="19">
        <v>133.0</v>
      </c>
      <c r="W15" s="19">
        <v>111.0</v>
      </c>
      <c r="X15" s="19">
        <v>66.0</v>
      </c>
      <c r="Y15" s="19">
        <v>131.0</v>
      </c>
      <c r="Z15" s="19">
        <v>126.0</v>
      </c>
      <c r="AA15" s="19">
        <v>115.0</v>
      </c>
      <c r="AB15" s="19">
        <v>134.0</v>
      </c>
      <c r="AC15" s="19">
        <v>127.0</v>
      </c>
      <c r="AD15" s="13">
        <f t="shared" si="1"/>
        <v>3209</v>
      </c>
    </row>
    <row r="16" ht="12.75" customHeight="1">
      <c r="A16" s="25"/>
      <c r="B16" s="21"/>
      <c r="C16" s="28"/>
      <c r="D16" s="13" t="s">
        <v>14</v>
      </c>
      <c r="E16" s="13">
        <f t="shared" ref="E16:AC16" si="2">SUM(E14:E15)</f>
        <v>267</v>
      </c>
      <c r="F16" s="13">
        <f t="shared" si="2"/>
        <v>265</v>
      </c>
      <c r="G16" s="13">
        <f t="shared" si="2"/>
        <v>270</v>
      </c>
      <c r="H16" s="13">
        <f t="shared" si="2"/>
        <v>266</v>
      </c>
      <c r="I16" s="13">
        <f t="shared" si="2"/>
        <v>238</v>
      </c>
      <c r="J16" s="13">
        <f t="shared" si="2"/>
        <v>250</v>
      </c>
      <c r="K16" s="13">
        <f t="shared" si="2"/>
        <v>260</v>
      </c>
      <c r="L16" s="13">
        <f t="shared" si="2"/>
        <v>277</v>
      </c>
      <c r="M16" s="13">
        <f t="shared" si="2"/>
        <v>275</v>
      </c>
      <c r="N16" s="13">
        <f t="shared" si="2"/>
        <v>263</v>
      </c>
      <c r="O16" s="13">
        <f t="shared" si="2"/>
        <v>263</v>
      </c>
      <c r="P16" s="13">
        <f t="shared" si="2"/>
        <v>266</v>
      </c>
      <c r="Q16" s="13">
        <f t="shared" si="2"/>
        <v>264</v>
      </c>
      <c r="R16" s="13">
        <f t="shared" si="2"/>
        <v>266</v>
      </c>
      <c r="S16" s="13">
        <f t="shared" si="2"/>
        <v>282</v>
      </c>
      <c r="T16" s="13">
        <f t="shared" si="2"/>
        <v>267</v>
      </c>
      <c r="U16" s="13">
        <f t="shared" si="2"/>
        <v>271</v>
      </c>
      <c r="V16" s="13">
        <f t="shared" si="2"/>
        <v>282</v>
      </c>
      <c r="W16" s="13">
        <f t="shared" si="2"/>
        <v>221</v>
      </c>
      <c r="X16" s="13">
        <f t="shared" si="2"/>
        <v>154</v>
      </c>
      <c r="Y16" s="13">
        <f t="shared" si="2"/>
        <v>258</v>
      </c>
      <c r="Z16" s="13">
        <f t="shared" si="2"/>
        <v>254</v>
      </c>
      <c r="AA16" s="13">
        <f t="shared" si="2"/>
        <v>257</v>
      </c>
      <c r="AB16" s="13">
        <f t="shared" si="2"/>
        <v>268</v>
      </c>
      <c r="AC16" s="13">
        <f t="shared" si="2"/>
        <v>254</v>
      </c>
      <c r="AD16" s="13">
        <f t="shared" si="1"/>
        <v>6458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121.0</v>
      </c>
      <c r="F19" s="19">
        <v>98.0</v>
      </c>
      <c r="G19" s="19">
        <v>101.0</v>
      </c>
      <c r="H19" s="19">
        <v>107.0</v>
      </c>
      <c r="I19" s="19">
        <v>81.0</v>
      </c>
      <c r="J19" s="19">
        <v>101.0</v>
      </c>
      <c r="K19" s="19">
        <v>97.0</v>
      </c>
      <c r="L19" s="19">
        <v>123.0</v>
      </c>
      <c r="M19" s="19">
        <v>102.0</v>
      </c>
      <c r="N19" s="19">
        <v>90.0</v>
      </c>
      <c r="O19" s="19">
        <v>97.0</v>
      </c>
      <c r="P19" s="19">
        <v>110.0</v>
      </c>
      <c r="Q19" s="19">
        <v>102.0</v>
      </c>
      <c r="R19" s="19">
        <v>101.0</v>
      </c>
      <c r="S19" s="19">
        <v>103.0</v>
      </c>
      <c r="T19" s="19">
        <v>95.0</v>
      </c>
      <c r="U19" s="19">
        <v>118.0</v>
      </c>
      <c r="V19" s="19">
        <v>123.0</v>
      </c>
      <c r="W19" s="19">
        <v>88.0</v>
      </c>
      <c r="X19" s="19">
        <v>66.0</v>
      </c>
      <c r="Y19" s="19">
        <v>97.0</v>
      </c>
      <c r="Z19" s="19">
        <v>106.0</v>
      </c>
      <c r="AA19" s="19">
        <v>97.0</v>
      </c>
      <c r="AB19" s="19">
        <v>107.0</v>
      </c>
      <c r="AC19" s="19">
        <v>108.0</v>
      </c>
      <c r="AD19" s="13">
        <f t="shared" ref="AD19:AD30" si="3">SUM(E19:AC19)</f>
        <v>2539</v>
      </c>
    </row>
    <row r="20" ht="12.75" customHeight="1">
      <c r="A20" s="33"/>
      <c r="B20" s="27"/>
      <c r="C20" s="34"/>
      <c r="D20" s="19" t="s">
        <v>13</v>
      </c>
      <c r="E20" s="19">
        <v>117.0</v>
      </c>
      <c r="F20" s="19">
        <v>100.0</v>
      </c>
      <c r="G20" s="19">
        <v>108.0</v>
      </c>
      <c r="H20" s="19">
        <v>118.0</v>
      </c>
      <c r="I20" s="19">
        <v>97.0</v>
      </c>
      <c r="J20" s="19">
        <v>103.0</v>
      </c>
      <c r="K20" s="19">
        <v>106.0</v>
      </c>
      <c r="L20" s="19">
        <v>119.0</v>
      </c>
      <c r="M20" s="19">
        <v>108.0</v>
      </c>
      <c r="N20" s="19">
        <v>114.0</v>
      </c>
      <c r="O20" s="19">
        <v>112.0</v>
      </c>
      <c r="P20" s="19">
        <v>104.0</v>
      </c>
      <c r="Q20" s="19">
        <v>105.0</v>
      </c>
      <c r="R20" s="19">
        <v>108.0</v>
      </c>
      <c r="S20" s="19">
        <v>110.0</v>
      </c>
      <c r="T20" s="19">
        <v>108.0</v>
      </c>
      <c r="U20" s="19">
        <v>110.0</v>
      </c>
      <c r="V20" s="19">
        <v>106.0</v>
      </c>
      <c r="W20" s="19">
        <v>93.0</v>
      </c>
      <c r="X20" s="19">
        <v>55.0</v>
      </c>
      <c r="Y20" s="19">
        <v>106.0</v>
      </c>
      <c r="Z20" s="19">
        <v>99.0</v>
      </c>
      <c r="AA20" s="19">
        <v>92.0</v>
      </c>
      <c r="AB20" s="19">
        <v>115.0</v>
      </c>
      <c r="AC20" s="19">
        <v>114.0</v>
      </c>
      <c r="AD20" s="13">
        <f t="shared" si="3"/>
        <v>2627</v>
      </c>
    </row>
    <row r="21" ht="12.75" customHeight="1">
      <c r="A21" s="35"/>
      <c r="B21" s="28"/>
      <c r="C21" s="36"/>
      <c r="D21" s="13" t="s">
        <v>14</v>
      </c>
      <c r="E21" s="13">
        <f t="shared" ref="E21:AC21" si="4">SUM(E19:E20)</f>
        <v>238</v>
      </c>
      <c r="F21" s="13">
        <f t="shared" si="4"/>
        <v>198</v>
      </c>
      <c r="G21" s="13">
        <f t="shared" si="4"/>
        <v>209</v>
      </c>
      <c r="H21" s="13">
        <f t="shared" si="4"/>
        <v>225</v>
      </c>
      <c r="I21" s="13">
        <f t="shared" si="4"/>
        <v>178</v>
      </c>
      <c r="J21" s="13">
        <f t="shared" si="4"/>
        <v>204</v>
      </c>
      <c r="K21" s="13">
        <f t="shared" si="4"/>
        <v>203</v>
      </c>
      <c r="L21" s="13">
        <f t="shared" si="4"/>
        <v>242</v>
      </c>
      <c r="M21" s="13">
        <f t="shared" si="4"/>
        <v>210</v>
      </c>
      <c r="N21" s="13">
        <f t="shared" si="4"/>
        <v>204</v>
      </c>
      <c r="O21" s="13">
        <f t="shared" si="4"/>
        <v>209</v>
      </c>
      <c r="P21" s="13">
        <f t="shared" si="4"/>
        <v>214</v>
      </c>
      <c r="Q21" s="13">
        <f t="shared" si="4"/>
        <v>207</v>
      </c>
      <c r="R21" s="13">
        <f t="shared" si="4"/>
        <v>209</v>
      </c>
      <c r="S21" s="13">
        <f t="shared" si="4"/>
        <v>213</v>
      </c>
      <c r="T21" s="13">
        <f t="shared" si="4"/>
        <v>203</v>
      </c>
      <c r="U21" s="13">
        <f t="shared" si="4"/>
        <v>228</v>
      </c>
      <c r="V21" s="13">
        <f t="shared" si="4"/>
        <v>229</v>
      </c>
      <c r="W21" s="13">
        <f t="shared" si="4"/>
        <v>181</v>
      </c>
      <c r="X21" s="13">
        <f t="shared" si="4"/>
        <v>121</v>
      </c>
      <c r="Y21" s="13">
        <f t="shared" si="4"/>
        <v>203</v>
      </c>
      <c r="Z21" s="13">
        <f t="shared" si="4"/>
        <v>205</v>
      </c>
      <c r="AA21" s="13">
        <f t="shared" si="4"/>
        <v>189</v>
      </c>
      <c r="AB21" s="13">
        <f t="shared" si="4"/>
        <v>222</v>
      </c>
      <c r="AC21" s="13">
        <f t="shared" si="4"/>
        <v>222</v>
      </c>
      <c r="AD21" s="13">
        <f t="shared" si="3"/>
        <v>5166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AC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3"/>
        <v>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19">
        <v>0.0</v>
      </c>
      <c r="U25" s="19">
        <v>0.0</v>
      </c>
      <c r="V25" s="19">
        <v>0.0</v>
      </c>
      <c r="W25" s="19">
        <v>0.0</v>
      </c>
      <c r="X25" s="19">
        <v>0.0</v>
      </c>
      <c r="Y25" s="19">
        <v>0.0</v>
      </c>
      <c r="Z25" s="19">
        <v>0.0</v>
      </c>
      <c r="AA25" s="19">
        <v>0.0</v>
      </c>
      <c r="AB25" s="19">
        <v>0.0</v>
      </c>
      <c r="AC25" s="19">
        <v>1.0</v>
      </c>
      <c r="AD25" s="13">
        <f t="shared" si="3"/>
        <v>1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0.0</v>
      </c>
      <c r="N26" s="19">
        <v>0.0</v>
      </c>
      <c r="O26" s="19">
        <v>0.0</v>
      </c>
      <c r="P26" s="19">
        <v>0.0</v>
      </c>
      <c r="Q26" s="19">
        <v>0.0</v>
      </c>
      <c r="R26" s="19">
        <v>0.0</v>
      </c>
      <c r="S26" s="19">
        <v>0.0</v>
      </c>
      <c r="T26" s="19">
        <v>0.0</v>
      </c>
      <c r="U26" s="19">
        <v>0.0</v>
      </c>
      <c r="V26" s="19">
        <v>0.0</v>
      </c>
      <c r="W26" s="19">
        <v>2.0</v>
      </c>
      <c r="X26" s="19">
        <v>0.0</v>
      </c>
      <c r="Y26" s="19">
        <v>0.0</v>
      </c>
      <c r="Z26" s="19">
        <v>0.0</v>
      </c>
      <c r="AA26" s="19">
        <v>0.0</v>
      </c>
      <c r="AB26" s="19">
        <v>0.0</v>
      </c>
      <c r="AC26" s="19">
        <v>0.0</v>
      </c>
      <c r="AD26" s="13">
        <f t="shared" si="3"/>
        <v>2</v>
      </c>
    </row>
    <row r="27" ht="12.75" customHeight="1">
      <c r="A27" s="35"/>
      <c r="B27" s="28"/>
      <c r="C27" s="36"/>
      <c r="D27" s="13" t="s">
        <v>14</v>
      </c>
      <c r="E27" s="13">
        <f t="shared" ref="E27:AC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6"/>
        <v>0</v>
      </c>
      <c r="V27" s="13">
        <f t="shared" si="6"/>
        <v>0</v>
      </c>
      <c r="W27" s="13">
        <f t="shared" si="6"/>
        <v>2</v>
      </c>
      <c r="X27" s="13">
        <f t="shared" si="6"/>
        <v>0</v>
      </c>
      <c r="Y27" s="13">
        <f t="shared" si="6"/>
        <v>0</v>
      </c>
      <c r="Z27" s="13">
        <f t="shared" si="6"/>
        <v>0</v>
      </c>
      <c r="AA27" s="13">
        <f t="shared" si="6"/>
        <v>0</v>
      </c>
      <c r="AB27" s="13">
        <f t="shared" si="6"/>
        <v>0</v>
      </c>
      <c r="AC27" s="13">
        <f t="shared" si="6"/>
        <v>1</v>
      </c>
      <c r="AD27" s="13">
        <f t="shared" si="3"/>
        <v>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C28" si="7">SUM(E19,E22,E25)</f>
        <v>121</v>
      </c>
      <c r="F28" s="13">
        <f t="shared" si="7"/>
        <v>98</v>
      </c>
      <c r="G28" s="13">
        <f t="shared" si="7"/>
        <v>101</v>
      </c>
      <c r="H28" s="13">
        <f t="shared" si="7"/>
        <v>107</v>
      </c>
      <c r="I28" s="13">
        <f t="shared" si="7"/>
        <v>81</v>
      </c>
      <c r="J28" s="13">
        <f t="shared" si="7"/>
        <v>101</v>
      </c>
      <c r="K28" s="13">
        <f t="shared" si="7"/>
        <v>97</v>
      </c>
      <c r="L28" s="13">
        <f t="shared" si="7"/>
        <v>123</v>
      </c>
      <c r="M28" s="13">
        <f t="shared" si="7"/>
        <v>102</v>
      </c>
      <c r="N28" s="13">
        <f t="shared" si="7"/>
        <v>90</v>
      </c>
      <c r="O28" s="13">
        <f t="shared" si="7"/>
        <v>97</v>
      </c>
      <c r="P28" s="13">
        <f t="shared" si="7"/>
        <v>110</v>
      </c>
      <c r="Q28" s="13">
        <f t="shared" si="7"/>
        <v>102</v>
      </c>
      <c r="R28" s="13">
        <f t="shared" si="7"/>
        <v>101</v>
      </c>
      <c r="S28" s="13">
        <f t="shared" si="7"/>
        <v>103</v>
      </c>
      <c r="T28" s="13">
        <f t="shared" si="7"/>
        <v>95</v>
      </c>
      <c r="U28" s="13">
        <f t="shared" si="7"/>
        <v>118</v>
      </c>
      <c r="V28" s="13">
        <f t="shared" si="7"/>
        <v>123</v>
      </c>
      <c r="W28" s="13">
        <f t="shared" si="7"/>
        <v>88</v>
      </c>
      <c r="X28" s="13">
        <f t="shared" si="7"/>
        <v>66</v>
      </c>
      <c r="Y28" s="13">
        <f t="shared" si="7"/>
        <v>97</v>
      </c>
      <c r="Z28" s="13">
        <f t="shared" si="7"/>
        <v>106</v>
      </c>
      <c r="AA28" s="13">
        <f t="shared" si="7"/>
        <v>97</v>
      </c>
      <c r="AB28" s="13">
        <f t="shared" si="7"/>
        <v>107</v>
      </c>
      <c r="AC28" s="13">
        <f t="shared" si="7"/>
        <v>109</v>
      </c>
      <c r="AD28" s="13">
        <f t="shared" si="3"/>
        <v>2540</v>
      </c>
    </row>
    <row r="29" ht="12.75" customHeight="1">
      <c r="A29" s="35"/>
      <c r="B29" s="27"/>
      <c r="C29" s="34"/>
      <c r="D29" s="13" t="s">
        <v>13</v>
      </c>
      <c r="E29" s="13">
        <f t="shared" ref="E29:AC29" si="8">SUM(E20,E23,E26)</f>
        <v>117</v>
      </c>
      <c r="F29" s="13">
        <f t="shared" si="8"/>
        <v>100</v>
      </c>
      <c r="G29" s="13">
        <f t="shared" si="8"/>
        <v>108</v>
      </c>
      <c r="H29" s="13">
        <f t="shared" si="8"/>
        <v>118</v>
      </c>
      <c r="I29" s="13">
        <f t="shared" si="8"/>
        <v>97</v>
      </c>
      <c r="J29" s="13">
        <f t="shared" si="8"/>
        <v>103</v>
      </c>
      <c r="K29" s="13">
        <f t="shared" si="8"/>
        <v>106</v>
      </c>
      <c r="L29" s="13">
        <f t="shared" si="8"/>
        <v>119</v>
      </c>
      <c r="M29" s="13">
        <f t="shared" si="8"/>
        <v>108</v>
      </c>
      <c r="N29" s="13">
        <f t="shared" si="8"/>
        <v>114</v>
      </c>
      <c r="O29" s="13">
        <f t="shared" si="8"/>
        <v>112</v>
      </c>
      <c r="P29" s="13">
        <f t="shared" si="8"/>
        <v>104</v>
      </c>
      <c r="Q29" s="13">
        <f t="shared" si="8"/>
        <v>105</v>
      </c>
      <c r="R29" s="13">
        <f t="shared" si="8"/>
        <v>108</v>
      </c>
      <c r="S29" s="13">
        <f t="shared" si="8"/>
        <v>110</v>
      </c>
      <c r="T29" s="13">
        <f t="shared" si="8"/>
        <v>108</v>
      </c>
      <c r="U29" s="13">
        <f t="shared" si="8"/>
        <v>110</v>
      </c>
      <c r="V29" s="13">
        <f t="shared" si="8"/>
        <v>106</v>
      </c>
      <c r="W29" s="13">
        <f t="shared" si="8"/>
        <v>95</v>
      </c>
      <c r="X29" s="13">
        <f t="shared" si="8"/>
        <v>55</v>
      </c>
      <c r="Y29" s="13">
        <f t="shared" si="8"/>
        <v>106</v>
      </c>
      <c r="Z29" s="13">
        <f t="shared" si="8"/>
        <v>99</v>
      </c>
      <c r="AA29" s="13">
        <f t="shared" si="8"/>
        <v>92</v>
      </c>
      <c r="AB29" s="13">
        <f t="shared" si="8"/>
        <v>115</v>
      </c>
      <c r="AC29" s="13">
        <f t="shared" si="8"/>
        <v>114</v>
      </c>
      <c r="AD29" s="13">
        <f t="shared" si="3"/>
        <v>2629</v>
      </c>
    </row>
    <row r="30" ht="12.75" customHeight="1">
      <c r="A30" s="35"/>
      <c r="B30" s="28"/>
      <c r="C30" s="36"/>
      <c r="D30" s="13" t="s">
        <v>14</v>
      </c>
      <c r="E30" s="13">
        <f t="shared" ref="E30:AC30" si="9">SUM(E28:E29)</f>
        <v>238</v>
      </c>
      <c r="F30" s="13">
        <f t="shared" si="9"/>
        <v>198</v>
      </c>
      <c r="G30" s="13">
        <f t="shared" si="9"/>
        <v>209</v>
      </c>
      <c r="H30" s="13">
        <f t="shared" si="9"/>
        <v>225</v>
      </c>
      <c r="I30" s="13">
        <f t="shared" si="9"/>
        <v>178</v>
      </c>
      <c r="J30" s="13">
        <f t="shared" si="9"/>
        <v>204</v>
      </c>
      <c r="K30" s="13">
        <f t="shared" si="9"/>
        <v>203</v>
      </c>
      <c r="L30" s="13">
        <f t="shared" si="9"/>
        <v>242</v>
      </c>
      <c r="M30" s="13">
        <f t="shared" si="9"/>
        <v>210</v>
      </c>
      <c r="N30" s="13">
        <f t="shared" si="9"/>
        <v>204</v>
      </c>
      <c r="O30" s="13">
        <f t="shared" si="9"/>
        <v>209</v>
      </c>
      <c r="P30" s="13">
        <f t="shared" si="9"/>
        <v>214</v>
      </c>
      <c r="Q30" s="13">
        <f t="shared" si="9"/>
        <v>207</v>
      </c>
      <c r="R30" s="13">
        <f t="shared" si="9"/>
        <v>209</v>
      </c>
      <c r="S30" s="13">
        <f t="shared" si="9"/>
        <v>213</v>
      </c>
      <c r="T30" s="13">
        <f t="shared" si="9"/>
        <v>203</v>
      </c>
      <c r="U30" s="13">
        <f t="shared" si="9"/>
        <v>228</v>
      </c>
      <c r="V30" s="13">
        <f t="shared" si="9"/>
        <v>229</v>
      </c>
      <c r="W30" s="13">
        <f t="shared" si="9"/>
        <v>183</v>
      </c>
      <c r="X30" s="13">
        <f t="shared" si="9"/>
        <v>121</v>
      </c>
      <c r="Y30" s="13">
        <f t="shared" si="9"/>
        <v>203</v>
      </c>
      <c r="Z30" s="13">
        <f t="shared" si="9"/>
        <v>205</v>
      </c>
      <c r="AA30" s="13">
        <f t="shared" si="9"/>
        <v>189</v>
      </c>
      <c r="AB30" s="13">
        <f t="shared" si="9"/>
        <v>222</v>
      </c>
      <c r="AC30" s="13">
        <f t="shared" si="9"/>
        <v>223</v>
      </c>
      <c r="AD30" s="13">
        <f t="shared" si="3"/>
        <v>5169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59"/>
    </row>
    <row r="33" ht="12.75" customHeight="1">
      <c r="A33" s="19">
        <v>1.0</v>
      </c>
      <c r="B33" s="20" t="s">
        <v>27</v>
      </c>
      <c r="C33" s="15"/>
      <c r="D33" s="16"/>
      <c r="E33" s="19">
        <v>273.0</v>
      </c>
      <c r="F33" s="19">
        <v>271.0</v>
      </c>
      <c r="G33" s="19">
        <v>276.0</v>
      </c>
      <c r="H33" s="19">
        <v>272.0</v>
      </c>
      <c r="I33" s="19">
        <v>243.0</v>
      </c>
      <c r="J33" s="19">
        <v>255.0</v>
      </c>
      <c r="K33" s="19">
        <v>266.0</v>
      </c>
      <c r="L33" s="19">
        <v>283.0</v>
      </c>
      <c r="M33" s="19">
        <v>281.0</v>
      </c>
      <c r="N33" s="19">
        <v>269.0</v>
      </c>
      <c r="O33" s="19">
        <v>269.0</v>
      </c>
      <c r="P33" s="19">
        <v>271.0</v>
      </c>
      <c r="Q33" s="19">
        <v>270.0</v>
      </c>
      <c r="R33" s="19">
        <v>272.0</v>
      </c>
      <c r="S33" s="19">
        <v>288.0</v>
      </c>
      <c r="T33" s="19">
        <v>272.0</v>
      </c>
      <c r="U33" s="19">
        <v>277.0</v>
      </c>
      <c r="V33" s="19">
        <v>288.0</v>
      </c>
      <c r="W33" s="19">
        <v>226.0</v>
      </c>
      <c r="X33" s="19">
        <v>158.0</v>
      </c>
      <c r="Y33" s="19">
        <v>264.0</v>
      </c>
      <c r="Z33" s="19">
        <v>260.0</v>
      </c>
      <c r="AA33" s="19">
        <v>265.0</v>
      </c>
      <c r="AB33" s="19">
        <v>273.0</v>
      </c>
      <c r="AC33" s="19">
        <v>272.0</v>
      </c>
      <c r="AD33" s="13">
        <f t="shared" ref="AD33:AD36" si="10">SUM(E33:AC33)</f>
        <v>6614</v>
      </c>
    </row>
    <row r="34" ht="12.75" customHeight="1">
      <c r="A34" s="19">
        <v>2.0</v>
      </c>
      <c r="B34" s="20" t="s">
        <v>28</v>
      </c>
      <c r="C34" s="15"/>
      <c r="D34" s="16"/>
      <c r="E34" s="13">
        <v>238.0</v>
      </c>
      <c r="F34" s="13">
        <v>198.0</v>
      </c>
      <c r="G34" s="13">
        <v>209.0</v>
      </c>
      <c r="H34" s="13">
        <v>225.0</v>
      </c>
      <c r="I34" s="13">
        <v>178.0</v>
      </c>
      <c r="J34" s="13">
        <v>204.0</v>
      </c>
      <c r="K34" s="13">
        <v>203.0</v>
      </c>
      <c r="L34" s="13">
        <v>242.0</v>
      </c>
      <c r="M34" s="13">
        <v>210.0</v>
      </c>
      <c r="N34" s="13">
        <v>204.0</v>
      </c>
      <c r="O34" s="13">
        <v>209.0</v>
      </c>
      <c r="P34" s="13">
        <v>214.0</v>
      </c>
      <c r="Q34" s="13">
        <v>207.0</v>
      </c>
      <c r="R34" s="13">
        <v>209.0</v>
      </c>
      <c r="S34" s="13">
        <v>213.0</v>
      </c>
      <c r="T34" s="13">
        <v>203.0</v>
      </c>
      <c r="U34" s="13">
        <v>228.0</v>
      </c>
      <c r="V34" s="13">
        <v>229.0</v>
      </c>
      <c r="W34" s="13">
        <v>183.0</v>
      </c>
      <c r="X34" s="13">
        <v>121.0</v>
      </c>
      <c r="Y34" s="13">
        <v>203.0</v>
      </c>
      <c r="Z34" s="13">
        <v>205.0</v>
      </c>
      <c r="AA34" s="13">
        <v>189.0</v>
      </c>
      <c r="AB34" s="13">
        <v>222.0</v>
      </c>
      <c r="AC34" s="13">
        <v>223.0</v>
      </c>
      <c r="AD34" s="13">
        <f t="shared" si="10"/>
        <v>5169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1.0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1.0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3">
        <f t="shared" si="10"/>
        <v>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C36" si="11">E33-(E34+E35)</f>
        <v>35</v>
      </c>
      <c r="F36" s="13">
        <f t="shared" si="11"/>
        <v>73</v>
      </c>
      <c r="G36" s="13">
        <f t="shared" si="11"/>
        <v>66</v>
      </c>
      <c r="H36" s="13">
        <f t="shared" si="11"/>
        <v>47</v>
      </c>
      <c r="I36" s="13">
        <f t="shared" si="11"/>
        <v>65</v>
      </c>
      <c r="J36" s="13">
        <f t="shared" si="11"/>
        <v>51</v>
      </c>
      <c r="K36" s="13">
        <f t="shared" si="11"/>
        <v>63</v>
      </c>
      <c r="L36" s="13">
        <f t="shared" si="11"/>
        <v>41</v>
      </c>
      <c r="M36" s="13">
        <f t="shared" si="11"/>
        <v>71</v>
      </c>
      <c r="N36" s="13">
        <f t="shared" si="11"/>
        <v>65</v>
      </c>
      <c r="O36" s="13">
        <f t="shared" si="11"/>
        <v>60</v>
      </c>
      <c r="P36" s="13">
        <f t="shared" si="11"/>
        <v>57</v>
      </c>
      <c r="Q36" s="13">
        <f t="shared" si="11"/>
        <v>63</v>
      </c>
      <c r="R36" s="13">
        <f t="shared" si="11"/>
        <v>63</v>
      </c>
      <c r="S36" s="13">
        <f t="shared" si="11"/>
        <v>75</v>
      </c>
      <c r="T36" s="13">
        <f t="shared" si="11"/>
        <v>69</v>
      </c>
      <c r="U36" s="13">
        <f t="shared" si="11"/>
        <v>49</v>
      </c>
      <c r="V36" s="13">
        <f t="shared" si="11"/>
        <v>59</v>
      </c>
      <c r="W36" s="13">
        <f t="shared" si="11"/>
        <v>43</v>
      </c>
      <c r="X36" s="13">
        <f t="shared" si="11"/>
        <v>36</v>
      </c>
      <c r="Y36" s="13">
        <f t="shared" si="11"/>
        <v>61</v>
      </c>
      <c r="Z36" s="13">
        <f t="shared" si="11"/>
        <v>55</v>
      </c>
      <c r="AA36" s="13">
        <f t="shared" si="11"/>
        <v>76</v>
      </c>
      <c r="AB36" s="13">
        <f t="shared" si="11"/>
        <v>51</v>
      </c>
      <c r="AC36" s="13">
        <f t="shared" si="11"/>
        <v>49</v>
      </c>
      <c r="AD36" s="13">
        <f t="shared" si="10"/>
        <v>1443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1.0</v>
      </c>
      <c r="AD39" s="13">
        <f t="shared" ref="AD39:AD41" si="12">SUM(E39:AC39)</f>
        <v>1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2.0</v>
      </c>
      <c r="AD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AC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3</v>
      </c>
      <c r="AD41" s="13">
        <f t="shared" si="12"/>
        <v>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3"/>
    </row>
    <row r="45" ht="12.75" customHeight="1">
      <c r="A45" s="30"/>
      <c r="B45" s="47">
        <v>1.0</v>
      </c>
      <c r="C45" s="48" t="s">
        <v>37</v>
      </c>
      <c r="D45" s="16"/>
      <c r="E45" s="19">
        <v>23.0</v>
      </c>
      <c r="F45" s="19">
        <v>31.0</v>
      </c>
      <c r="G45" s="19">
        <v>39.0</v>
      </c>
      <c r="H45" s="19">
        <v>17.0</v>
      </c>
      <c r="I45" s="19">
        <v>6.0</v>
      </c>
      <c r="J45" s="19">
        <v>7.0</v>
      </c>
      <c r="K45" s="19">
        <v>11.0</v>
      </c>
      <c r="L45" s="19">
        <v>27.0</v>
      </c>
      <c r="M45" s="19">
        <v>13.0</v>
      </c>
      <c r="N45" s="19">
        <v>8.0</v>
      </c>
      <c r="O45" s="19">
        <v>8.0</v>
      </c>
      <c r="P45" s="19">
        <v>10.0</v>
      </c>
      <c r="Q45" s="19">
        <v>11.0</v>
      </c>
      <c r="R45" s="19">
        <v>9.0</v>
      </c>
      <c r="S45" s="19">
        <v>1.0</v>
      </c>
      <c r="T45" s="19">
        <v>8.0</v>
      </c>
      <c r="U45" s="19">
        <v>6.0</v>
      </c>
      <c r="V45" s="19">
        <v>5.0</v>
      </c>
      <c r="W45" s="19">
        <v>4.0</v>
      </c>
      <c r="X45" s="19">
        <v>2.0</v>
      </c>
      <c r="Y45" s="19">
        <v>14.0</v>
      </c>
      <c r="Z45" s="19">
        <v>2.0</v>
      </c>
      <c r="AA45" s="19">
        <v>7.0</v>
      </c>
      <c r="AB45" s="19">
        <v>1.0</v>
      </c>
      <c r="AC45" s="19">
        <v>11.0</v>
      </c>
      <c r="AD45" s="13">
        <f t="shared" ref="AD45:AD47" si="14">SUM(E45:AC45)</f>
        <v>281</v>
      </c>
    </row>
    <row r="46" ht="12.75" customHeight="1">
      <c r="A46" s="18"/>
      <c r="B46" s="47">
        <v>2.0</v>
      </c>
      <c r="C46" s="48" t="s">
        <v>38</v>
      </c>
      <c r="D46" s="16"/>
      <c r="E46" s="19">
        <v>181.0</v>
      </c>
      <c r="F46" s="19">
        <v>140.0</v>
      </c>
      <c r="G46" s="19">
        <v>147.0</v>
      </c>
      <c r="H46" s="19">
        <v>143.0</v>
      </c>
      <c r="I46" s="19">
        <v>119.0</v>
      </c>
      <c r="J46" s="19">
        <v>140.0</v>
      </c>
      <c r="K46" s="19">
        <v>169.0</v>
      </c>
      <c r="L46" s="19">
        <v>184.0</v>
      </c>
      <c r="M46" s="19">
        <v>153.0</v>
      </c>
      <c r="N46" s="19">
        <v>142.0</v>
      </c>
      <c r="O46" s="19">
        <v>139.0</v>
      </c>
      <c r="P46" s="19">
        <v>183.0</v>
      </c>
      <c r="Q46" s="19">
        <v>153.0</v>
      </c>
      <c r="R46" s="19">
        <v>164.0</v>
      </c>
      <c r="S46" s="19">
        <v>189.0</v>
      </c>
      <c r="T46" s="19">
        <v>167.0</v>
      </c>
      <c r="U46" s="19">
        <v>186.0</v>
      </c>
      <c r="V46" s="19">
        <v>185.0</v>
      </c>
      <c r="W46" s="19">
        <v>162.0</v>
      </c>
      <c r="X46" s="19">
        <v>91.0</v>
      </c>
      <c r="Y46" s="19">
        <v>165.0</v>
      </c>
      <c r="Z46" s="19">
        <v>161.0</v>
      </c>
      <c r="AA46" s="19">
        <v>165.0</v>
      </c>
      <c r="AB46" s="19">
        <v>198.0</v>
      </c>
      <c r="AC46" s="19">
        <v>175.0</v>
      </c>
      <c r="AD46" s="13">
        <f t="shared" si="14"/>
        <v>4001</v>
      </c>
    </row>
    <row r="47" ht="12.75" customHeight="1">
      <c r="A47" s="18"/>
      <c r="B47" s="47">
        <v>3.0</v>
      </c>
      <c r="C47" s="48" t="s">
        <v>39</v>
      </c>
      <c r="D47" s="16"/>
      <c r="E47" s="19">
        <v>32.0</v>
      </c>
      <c r="F47" s="19">
        <v>25.0</v>
      </c>
      <c r="G47" s="19">
        <v>23.0</v>
      </c>
      <c r="H47" s="19">
        <v>63.0</v>
      </c>
      <c r="I47" s="19">
        <v>49.0</v>
      </c>
      <c r="J47" s="19">
        <v>55.0</v>
      </c>
      <c r="K47" s="19">
        <v>23.0</v>
      </c>
      <c r="L47" s="19">
        <v>27.0</v>
      </c>
      <c r="M47" s="19">
        <v>42.0</v>
      </c>
      <c r="N47" s="19">
        <v>54.0</v>
      </c>
      <c r="O47" s="19">
        <v>61.0</v>
      </c>
      <c r="P47" s="19">
        <v>18.0</v>
      </c>
      <c r="Q47" s="19">
        <v>43.0</v>
      </c>
      <c r="R47" s="19">
        <v>33.0</v>
      </c>
      <c r="S47" s="19">
        <v>22.0</v>
      </c>
      <c r="T47" s="19">
        <v>27.0</v>
      </c>
      <c r="U47" s="19">
        <v>36.0</v>
      </c>
      <c r="V47" s="19">
        <v>30.0</v>
      </c>
      <c r="W47" s="19">
        <v>16.0</v>
      </c>
      <c r="X47" s="19">
        <v>27.0</v>
      </c>
      <c r="Y47" s="19">
        <v>24.0</v>
      </c>
      <c r="Z47" s="19">
        <v>40.0</v>
      </c>
      <c r="AA47" s="19">
        <v>17.0</v>
      </c>
      <c r="AB47" s="19">
        <v>19.0</v>
      </c>
      <c r="AC47" s="19">
        <v>33.0</v>
      </c>
      <c r="AD47" s="13">
        <f t="shared" si="14"/>
        <v>839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AC50" si="15">SUM(E45:E47)</f>
        <v>236</v>
      </c>
      <c r="F50" s="19">
        <f t="shared" si="15"/>
        <v>196</v>
      </c>
      <c r="G50" s="19">
        <f t="shared" si="15"/>
        <v>209</v>
      </c>
      <c r="H50" s="19">
        <f t="shared" si="15"/>
        <v>223</v>
      </c>
      <c r="I50" s="19">
        <f t="shared" si="15"/>
        <v>174</v>
      </c>
      <c r="J50" s="19">
        <f t="shared" si="15"/>
        <v>202</v>
      </c>
      <c r="K50" s="19">
        <f t="shared" si="15"/>
        <v>203</v>
      </c>
      <c r="L50" s="19">
        <f t="shared" si="15"/>
        <v>238</v>
      </c>
      <c r="M50" s="19">
        <f t="shared" si="15"/>
        <v>208</v>
      </c>
      <c r="N50" s="19">
        <f t="shared" si="15"/>
        <v>204</v>
      </c>
      <c r="O50" s="19">
        <f t="shared" si="15"/>
        <v>208</v>
      </c>
      <c r="P50" s="19">
        <f t="shared" si="15"/>
        <v>211</v>
      </c>
      <c r="Q50" s="19">
        <f t="shared" si="15"/>
        <v>207</v>
      </c>
      <c r="R50" s="19">
        <f t="shared" si="15"/>
        <v>206</v>
      </c>
      <c r="S50" s="19">
        <f t="shared" si="15"/>
        <v>212</v>
      </c>
      <c r="T50" s="19">
        <f t="shared" si="15"/>
        <v>202</v>
      </c>
      <c r="U50" s="19">
        <f t="shared" si="15"/>
        <v>228</v>
      </c>
      <c r="V50" s="19">
        <f t="shared" si="15"/>
        <v>220</v>
      </c>
      <c r="W50" s="19">
        <f t="shared" si="15"/>
        <v>182</v>
      </c>
      <c r="X50" s="19">
        <f t="shared" si="15"/>
        <v>120</v>
      </c>
      <c r="Y50" s="19">
        <f t="shared" si="15"/>
        <v>203</v>
      </c>
      <c r="Z50" s="19">
        <f t="shared" si="15"/>
        <v>203</v>
      </c>
      <c r="AA50" s="19">
        <f t="shared" si="15"/>
        <v>189</v>
      </c>
      <c r="AB50" s="19">
        <f t="shared" si="15"/>
        <v>218</v>
      </c>
      <c r="AC50" s="19">
        <f t="shared" si="15"/>
        <v>219</v>
      </c>
      <c r="AD50" s="13">
        <f t="shared" ref="AD50:AD52" si="16">SUM(E50:AC50)</f>
        <v>5121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2.0</v>
      </c>
      <c r="F51" s="19">
        <v>2.0</v>
      </c>
      <c r="G51" s="19">
        <v>0.0</v>
      </c>
      <c r="H51" s="19">
        <v>2.0</v>
      </c>
      <c r="I51" s="19">
        <v>4.0</v>
      </c>
      <c r="J51" s="19">
        <v>2.0</v>
      </c>
      <c r="K51" s="19">
        <v>0.0</v>
      </c>
      <c r="L51" s="19">
        <v>4.0</v>
      </c>
      <c r="M51" s="19">
        <v>2.0</v>
      </c>
      <c r="N51" s="19">
        <v>0.0</v>
      </c>
      <c r="O51" s="19">
        <v>1.0</v>
      </c>
      <c r="P51" s="19">
        <v>3.0</v>
      </c>
      <c r="Q51" s="19">
        <v>0.0</v>
      </c>
      <c r="R51" s="19">
        <v>3.0</v>
      </c>
      <c r="S51" s="19">
        <v>1.0</v>
      </c>
      <c r="T51" s="19">
        <v>1.0</v>
      </c>
      <c r="U51" s="19">
        <v>0.0</v>
      </c>
      <c r="V51" s="19">
        <v>9.0</v>
      </c>
      <c r="W51" s="19">
        <v>1.0</v>
      </c>
      <c r="X51" s="19">
        <v>1.0</v>
      </c>
      <c r="Y51" s="19">
        <v>0.0</v>
      </c>
      <c r="Z51" s="19">
        <v>2.0</v>
      </c>
      <c r="AA51" s="19">
        <v>0.0</v>
      </c>
      <c r="AB51" s="19">
        <v>4.0</v>
      </c>
      <c r="AC51" s="19">
        <v>4.0</v>
      </c>
      <c r="AD51" s="13">
        <f t="shared" si="16"/>
        <v>48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AC52" si="17">SUM(E50:E51)</f>
        <v>238</v>
      </c>
      <c r="F52" s="13">
        <f t="shared" si="17"/>
        <v>198</v>
      </c>
      <c r="G52" s="13">
        <f t="shared" si="17"/>
        <v>209</v>
      </c>
      <c r="H52" s="13">
        <f t="shared" si="17"/>
        <v>225</v>
      </c>
      <c r="I52" s="13">
        <f t="shared" si="17"/>
        <v>178</v>
      </c>
      <c r="J52" s="13">
        <f t="shared" si="17"/>
        <v>204</v>
      </c>
      <c r="K52" s="13">
        <f t="shared" si="17"/>
        <v>203</v>
      </c>
      <c r="L52" s="13">
        <f t="shared" si="17"/>
        <v>242</v>
      </c>
      <c r="M52" s="13">
        <f t="shared" si="17"/>
        <v>210</v>
      </c>
      <c r="N52" s="13">
        <f t="shared" si="17"/>
        <v>204</v>
      </c>
      <c r="O52" s="13">
        <f t="shared" si="17"/>
        <v>209</v>
      </c>
      <c r="P52" s="13">
        <f t="shared" si="17"/>
        <v>214</v>
      </c>
      <c r="Q52" s="13">
        <f t="shared" si="17"/>
        <v>207</v>
      </c>
      <c r="R52" s="13">
        <f t="shared" si="17"/>
        <v>209</v>
      </c>
      <c r="S52" s="13">
        <f t="shared" si="17"/>
        <v>213</v>
      </c>
      <c r="T52" s="13">
        <f t="shared" si="17"/>
        <v>203</v>
      </c>
      <c r="U52" s="13">
        <f t="shared" si="17"/>
        <v>228</v>
      </c>
      <c r="V52" s="13">
        <f t="shared" si="17"/>
        <v>229</v>
      </c>
      <c r="W52" s="13">
        <f t="shared" si="17"/>
        <v>183</v>
      </c>
      <c r="X52" s="13">
        <f t="shared" si="17"/>
        <v>121</v>
      </c>
      <c r="Y52" s="13">
        <f t="shared" si="17"/>
        <v>203</v>
      </c>
      <c r="Z52" s="13">
        <f t="shared" si="17"/>
        <v>205</v>
      </c>
      <c r="AA52" s="13">
        <f t="shared" si="17"/>
        <v>189</v>
      </c>
      <c r="AB52" s="13">
        <f t="shared" si="17"/>
        <v>222</v>
      </c>
      <c r="AC52" s="13">
        <f t="shared" si="17"/>
        <v>223</v>
      </c>
      <c r="AD52" s="13">
        <f t="shared" si="16"/>
        <v>5169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C12"/>
    <mergeCell ref="AD12:AD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C37"/>
    <mergeCell ref="B38:D38"/>
    <mergeCell ref="B39:C41"/>
    <mergeCell ref="A42:D42"/>
    <mergeCell ref="E42:AC42"/>
    <mergeCell ref="C28:C30"/>
    <mergeCell ref="A31:D31"/>
    <mergeCell ref="B32:D32"/>
    <mergeCell ref="B33:D33"/>
    <mergeCell ref="B34:D34"/>
    <mergeCell ref="B35:D35"/>
    <mergeCell ref="B36:D36"/>
    <mergeCell ref="C51:D51"/>
    <mergeCell ref="C52:D52"/>
    <mergeCell ref="B43:D43"/>
    <mergeCell ref="A44:D44"/>
    <mergeCell ref="C45:D45"/>
    <mergeCell ref="C46:D46"/>
    <mergeCell ref="C47:D47"/>
    <mergeCell ref="B49:D49"/>
    <mergeCell ref="C50:D50"/>
  </mergeCells>
  <conditionalFormatting sqref="E14:AC15 E45:AC47">
    <cfRule type="containsBlanks" dxfId="1" priority="1">
      <formula>LEN(TRIM(E14))=0</formula>
    </cfRule>
  </conditionalFormatting>
  <conditionalFormatting sqref="E19:AC20">
    <cfRule type="containsBlanks" dxfId="1" priority="2">
      <formula>LEN(TRIM(E19))=0</formula>
    </cfRule>
  </conditionalFormatting>
  <conditionalFormatting sqref="E22:AC23 E25:AC26 E33:AC33 E35:AC35 E39:AC40">
    <cfRule type="containsBlanks" dxfId="1" priority="3">
      <formula>LEN(TRIM(E22))=0</formula>
    </cfRule>
  </conditionalFormatting>
  <conditionalFormatting sqref="E30:AC30">
    <cfRule type="expression" dxfId="0" priority="4">
      <formula>E30&lt;&gt;E46</formula>
    </cfRule>
  </conditionalFormatting>
  <conditionalFormatting sqref="E30:AC30">
    <cfRule type="expression" dxfId="0" priority="5">
      <formula>E30&lt;&gt;E34</formula>
    </cfRule>
  </conditionalFormatting>
  <conditionalFormatting sqref="E34:AC34">
    <cfRule type="expression" dxfId="2" priority="6">
      <formula>E30&lt;&gt;E34</formula>
    </cfRule>
  </conditionalFormatting>
  <conditionalFormatting sqref="E34:AC34">
    <cfRule type="expression" dxfId="3" priority="7">
      <formula>E30=E34</formula>
    </cfRule>
  </conditionalFormatting>
  <conditionalFormatting sqref="E34:AC34">
    <cfRule type="expression" dxfId="0" priority="8">
      <formula>E34&lt;&gt;E30</formula>
    </cfRule>
  </conditionalFormatting>
  <conditionalFormatting sqref="E34:AC34">
    <cfRule type="expression" dxfId="0" priority="9">
      <formula>E34&lt;&gt;#REF!</formula>
    </cfRule>
  </conditionalFormatting>
  <conditionalFormatting sqref="E50:AC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8" width="8.71"/>
    <col customWidth="1" min="39" max="39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76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V11" s="1"/>
      <c r="W11" s="1"/>
      <c r="X11" s="1"/>
      <c r="Y11" s="1"/>
      <c r="Z11" s="1"/>
      <c r="AA11" s="1"/>
      <c r="AB11" s="1"/>
      <c r="AC11" s="1"/>
      <c r="AD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70</v>
      </c>
      <c r="Y13" s="13" t="s">
        <v>71</v>
      </c>
      <c r="Z13" s="13" t="s">
        <v>72</v>
      </c>
      <c r="AA13" s="13" t="s">
        <v>73</v>
      </c>
      <c r="AB13" s="13" t="s">
        <v>74</v>
      </c>
      <c r="AC13" s="13" t="s">
        <v>75</v>
      </c>
      <c r="AD13" s="13" t="s">
        <v>77</v>
      </c>
      <c r="AE13" s="13" t="s">
        <v>78</v>
      </c>
      <c r="AF13" s="13" t="s">
        <v>79</v>
      </c>
      <c r="AG13" s="13" t="s">
        <v>80</v>
      </c>
      <c r="AH13" s="13" t="s">
        <v>81</v>
      </c>
      <c r="AI13" s="13" t="s">
        <v>82</v>
      </c>
      <c r="AJ13" s="13" t="s">
        <v>83</v>
      </c>
      <c r="AK13" s="13" t="s">
        <v>84</v>
      </c>
      <c r="AL13" s="13" t="s">
        <v>85</v>
      </c>
      <c r="AM13" s="36"/>
    </row>
    <row r="14" ht="12.75" customHeight="1">
      <c r="A14" s="18"/>
      <c r="B14" s="22" t="s">
        <v>11</v>
      </c>
      <c r="C14" s="23"/>
      <c r="D14" s="19" t="s">
        <v>12</v>
      </c>
      <c r="E14" s="19">
        <v>147.0</v>
      </c>
      <c r="F14" s="19">
        <v>147.0</v>
      </c>
      <c r="G14" s="19">
        <v>137.0</v>
      </c>
      <c r="H14" s="19">
        <v>153.0</v>
      </c>
      <c r="I14" s="19">
        <v>140.0</v>
      </c>
      <c r="J14" s="19">
        <v>139.0</v>
      </c>
      <c r="K14" s="19">
        <v>120.0</v>
      </c>
      <c r="L14" s="19">
        <v>148.0</v>
      </c>
      <c r="M14" s="19">
        <v>144.0</v>
      </c>
      <c r="N14" s="19">
        <v>94.0</v>
      </c>
      <c r="O14" s="19">
        <v>105.0</v>
      </c>
      <c r="P14" s="19">
        <v>134.0</v>
      </c>
      <c r="Q14" s="19">
        <v>118.0</v>
      </c>
      <c r="R14" s="19">
        <v>130.0</v>
      </c>
      <c r="S14" s="19">
        <v>131.0</v>
      </c>
      <c r="T14" s="19">
        <v>129.0</v>
      </c>
      <c r="U14" s="19">
        <v>129.0</v>
      </c>
      <c r="V14" s="19">
        <v>124.0</v>
      </c>
      <c r="W14" s="19">
        <v>133.0</v>
      </c>
      <c r="X14" s="19">
        <v>139.0</v>
      </c>
      <c r="Y14" s="19">
        <v>138.0</v>
      </c>
      <c r="Z14" s="19">
        <v>131.0</v>
      </c>
      <c r="AA14" s="19">
        <v>122.0</v>
      </c>
      <c r="AB14" s="19">
        <v>144.0</v>
      </c>
      <c r="AC14" s="19">
        <v>132.0</v>
      </c>
      <c r="AD14" s="19">
        <v>126.0</v>
      </c>
      <c r="AE14" s="19">
        <v>129.0</v>
      </c>
      <c r="AF14" s="19">
        <v>127.0</v>
      </c>
      <c r="AG14" s="19">
        <v>121.0</v>
      </c>
      <c r="AH14" s="19">
        <v>119.0</v>
      </c>
      <c r="AI14" s="19">
        <v>131.0</v>
      </c>
      <c r="AJ14" s="19">
        <v>131.0</v>
      </c>
      <c r="AK14" s="19">
        <v>116.0</v>
      </c>
      <c r="AL14" s="19">
        <v>123.0</v>
      </c>
      <c r="AM14" s="13">
        <f t="shared" ref="AM14:AM16" si="1">SUM(E14:AL14)</f>
        <v>4431</v>
      </c>
    </row>
    <row r="15" ht="12.75" customHeight="1">
      <c r="A15" s="18"/>
      <c r="B15" s="26"/>
      <c r="C15" s="27"/>
      <c r="D15" s="19" t="s">
        <v>13</v>
      </c>
      <c r="E15" s="19">
        <v>140.0</v>
      </c>
      <c r="F15" s="19">
        <v>146.0</v>
      </c>
      <c r="G15" s="19">
        <v>149.0</v>
      </c>
      <c r="H15" s="19">
        <v>141.0</v>
      </c>
      <c r="I15" s="19">
        <v>140.0</v>
      </c>
      <c r="J15" s="19">
        <v>138.0</v>
      </c>
      <c r="K15" s="19">
        <v>115.0</v>
      </c>
      <c r="L15" s="19">
        <v>143.0</v>
      </c>
      <c r="M15" s="19">
        <v>143.0</v>
      </c>
      <c r="N15" s="19">
        <v>91.0</v>
      </c>
      <c r="O15" s="19">
        <v>91.0</v>
      </c>
      <c r="P15" s="19">
        <v>126.0</v>
      </c>
      <c r="Q15" s="19">
        <v>133.0</v>
      </c>
      <c r="R15" s="19">
        <v>126.0</v>
      </c>
      <c r="S15" s="19">
        <v>124.0</v>
      </c>
      <c r="T15" s="19">
        <v>124.0</v>
      </c>
      <c r="U15" s="19">
        <v>122.0</v>
      </c>
      <c r="V15" s="19">
        <v>132.0</v>
      </c>
      <c r="W15" s="19">
        <v>118.0</v>
      </c>
      <c r="X15" s="19">
        <v>125.0</v>
      </c>
      <c r="Y15" s="19">
        <v>116.0</v>
      </c>
      <c r="Z15" s="19">
        <v>118.0</v>
      </c>
      <c r="AA15" s="19">
        <v>120.0</v>
      </c>
      <c r="AB15" s="19">
        <v>123.0</v>
      </c>
      <c r="AC15" s="19">
        <v>128.0</v>
      </c>
      <c r="AD15" s="19">
        <v>139.0</v>
      </c>
      <c r="AE15" s="19">
        <v>122.0</v>
      </c>
      <c r="AF15" s="19">
        <v>133.0</v>
      </c>
      <c r="AG15" s="19">
        <v>121.0</v>
      </c>
      <c r="AH15" s="19">
        <v>129.0</v>
      </c>
      <c r="AI15" s="19">
        <v>128.0</v>
      </c>
      <c r="AJ15" s="19">
        <v>128.0</v>
      </c>
      <c r="AK15" s="19">
        <v>126.0</v>
      </c>
      <c r="AL15" s="19">
        <v>123.0</v>
      </c>
      <c r="AM15" s="13">
        <f t="shared" si="1"/>
        <v>4321</v>
      </c>
    </row>
    <row r="16" ht="12.75" customHeight="1">
      <c r="A16" s="25"/>
      <c r="B16" s="21"/>
      <c r="C16" s="28"/>
      <c r="D16" s="13" t="s">
        <v>14</v>
      </c>
      <c r="E16" s="13">
        <f t="shared" ref="E16:AL16" si="2">SUM(E14:E15)</f>
        <v>287</v>
      </c>
      <c r="F16" s="13">
        <f t="shared" si="2"/>
        <v>293</v>
      </c>
      <c r="G16" s="13">
        <f t="shared" si="2"/>
        <v>286</v>
      </c>
      <c r="H16" s="13">
        <f t="shared" si="2"/>
        <v>294</v>
      </c>
      <c r="I16" s="13">
        <f t="shared" si="2"/>
        <v>280</v>
      </c>
      <c r="J16" s="13">
        <f t="shared" si="2"/>
        <v>277</v>
      </c>
      <c r="K16" s="13">
        <f t="shared" si="2"/>
        <v>235</v>
      </c>
      <c r="L16" s="13">
        <f t="shared" si="2"/>
        <v>291</v>
      </c>
      <c r="M16" s="13">
        <f t="shared" si="2"/>
        <v>287</v>
      </c>
      <c r="N16" s="13">
        <f t="shared" si="2"/>
        <v>185</v>
      </c>
      <c r="O16" s="13">
        <f t="shared" si="2"/>
        <v>196</v>
      </c>
      <c r="P16" s="13">
        <f t="shared" si="2"/>
        <v>260</v>
      </c>
      <c r="Q16" s="13">
        <f t="shared" si="2"/>
        <v>251</v>
      </c>
      <c r="R16" s="13">
        <f t="shared" si="2"/>
        <v>256</v>
      </c>
      <c r="S16" s="13">
        <f t="shared" si="2"/>
        <v>255</v>
      </c>
      <c r="T16" s="13">
        <f t="shared" si="2"/>
        <v>253</v>
      </c>
      <c r="U16" s="13">
        <f t="shared" si="2"/>
        <v>251</v>
      </c>
      <c r="V16" s="13">
        <f t="shared" si="2"/>
        <v>256</v>
      </c>
      <c r="W16" s="13">
        <f t="shared" si="2"/>
        <v>251</v>
      </c>
      <c r="X16" s="13">
        <f t="shared" si="2"/>
        <v>264</v>
      </c>
      <c r="Y16" s="13">
        <f t="shared" si="2"/>
        <v>254</v>
      </c>
      <c r="Z16" s="13">
        <f t="shared" si="2"/>
        <v>249</v>
      </c>
      <c r="AA16" s="13">
        <f t="shared" si="2"/>
        <v>242</v>
      </c>
      <c r="AB16" s="13">
        <f t="shared" si="2"/>
        <v>267</v>
      </c>
      <c r="AC16" s="13">
        <f t="shared" si="2"/>
        <v>260</v>
      </c>
      <c r="AD16" s="13">
        <f t="shared" si="2"/>
        <v>265</v>
      </c>
      <c r="AE16" s="13">
        <f t="shared" si="2"/>
        <v>251</v>
      </c>
      <c r="AF16" s="13">
        <f t="shared" si="2"/>
        <v>260</v>
      </c>
      <c r="AG16" s="13">
        <f t="shared" si="2"/>
        <v>242</v>
      </c>
      <c r="AH16" s="13">
        <f t="shared" si="2"/>
        <v>248</v>
      </c>
      <c r="AI16" s="13">
        <f t="shared" si="2"/>
        <v>259</v>
      </c>
      <c r="AJ16" s="13">
        <f t="shared" si="2"/>
        <v>259</v>
      </c>
      <c r="AK16" s="13">
        <f t="shared" si="2"/>
        <v>242</v>
      </c>
      <c r="AL16" s="13">
        <f t="shared" si="2"/>
        <v>246</v>
      </c>
      <c r="AM16" s="13">
        <f t="shared" si="1"/>
        <v>8752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58"/>
      <c r="U17" s="58"/>
      <c r="V17" s="19"/>
      <c r="W17" s="19"/>
      <c r="X17" s="19"/>
      <c r="Y17" s="19"/>
      <c r="Z17" s="19"/>
      <c r="AA17" s="19"/>
      <c r="AB17" s="19"/>
      <c r="AC17" s="19"/>
      <c r="AD17" s="58"/>
      <c r="AE17" s="58"/>
      <c r="AF17" s="58"/>
      <c r="AG17" s="58"/>
      <c r="AH17" s="58"/>
      <c r="AI17" s="58"/>
      <c r="AJ17" s="58"/>
      <c r="AK17" s="58"/>
      <c r="AL17" s="58"/>
      <c r="AM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58"/>
      <c r="U18" s="58"/>
      <c r="V18" s="19"/>
      <c r="W18" s="19"/>
      <c r="X18" s="19"/>
      <c r="Y18" s="19"/>
      <c r="Z18" s="19"/>
      <c r="AA18" s="19"/>
      <c r="AB18" s="19"/>
      <c r="AC18" s="19"/>
      <c r="AD18" s="58"/>
      <c r="AE18" s="58"/>
      <c r="AF18" s="58"/>
      <c r="AG18" s="58"/>
      <c r="AH18" s="58"/>
      <c r="AI18" s="58"/>
      <c r="AJ18" s="58"/>
      <c r="AK18" s="58"/>
      <c r="AL18" s="58"/>
      <c r="AM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106.0</v>
      </c>
      <c r="F19" s="19">
        <v>100.0</v>
      </c>
      <c r="G19" s="19">
        <v>99.0</v>
      </c>
      <c r="H19" s="19">
        <v>118.0</v>
      </c>
      <c r="I19" s="19">
        <v>107.0</v>
      </c>
      <c r="J19" s="19">
        <v>112.0</v>
      </c>
      <c r="K19" s="19">
        <v>112.0</v>
      </c>
      <c r="L19" s="19">
        <v>117.0</v>
      </c>
      <c r="M19" s="19">
        <v>104.0</v>
      </c>
      <c r="N19" s="19">
        <v>72.0</v>
      </c>
      <c r="O19" s="19">
        <v>71.0</v>
      </c>
      <c r="P19" s="19">
        <v>100.0</v>
      </c>
      <c r="Q19" s="19">
        <v>98.0</v>
      </c>
      <c r="R19" s="19">
        <v>110.0</v>
      </c>
      <c r="S19" s="19">
        <v>100.0</v>
      </c>
      <c r="T19" s="19">
        <v>101.0</v>
      </c>
      <c r="U19" s="19">
        <v>85.0</v>
      </c>
      <c r="V19" s="19">
        <v>112.0</v>
      </c>
      <c r="W19" s="19">
        <v>90.0</v>
      </c>
      <c r="X19" s="19">
        <v>112.0</v>
      </c>
      <c r="Y19" s="19">
        <v>111.0</v>
      </c>
      <c r="Z19" s="19">
        <v>96.0</v>
      </c>
      <c r="AA19" s="19">
        <v>92.0</v>
      </c>
      <c r="AB19" s="19">
        <v>112.0</v>
      </c>
      <c r="AC19" s="19">
        <v>102.0</v>
      </c>
      <c r="AD19" s="19">
        <v>89.0</v>
      </c>
      <c r="AE19" s="19">
        <v>101.0</v>
      </c>
      <c r="AF19" s="19">
        <v>96.0</v>
      </c>
      <c r="AG19" s="19">
        <v>90.0</v>
      </c>
      <c r="AH19" s="19">
        <v>97.0</v>
      </c>
      <c r="AI19" s="19">
        <v>93.0</v>
      </c>
      <c r="AJ19" s="19">
        <v>104.0</v>
      </c>
      <c r="AK19" s="19">
        <v>88.0</v>
      </c>
      <c r="AL19" s="19">
        <v>94.0</v>
      </c>
      <c r="AM19" s="13">
        <f t="shared" ref="AM19:AM30" si="3">SUM(E19:AL19)</f>
        <v>3391</v>
      </c>
    </row>
    <row r="20" ht="12.75" customHeight="1">
      <c r="A20" s="33"/>
      <c r="B20" s="27"/>
      <c r="C20" s="34"/>
      <c r="D20" s="19" t="s">
        <v>13</v>
      </c>
      <c r="E20" s="19">
        <v>118.0</v>
      </c>
      <c r="F20" s="19">
        <v>112.0</v>
      </c>
      <c r="G20" s="19">
        <v>110.0</v>
      </c>
      <c r="H20" s="19">
        <v>109.0</v>
      </c>
      <c r="I20" s="19">
        <v>124.0</v>
      </c>
      <c r="J20" s="19">
        <v>113.0</v>
      </c>
      <c r="K20" s="19">
        <v>108.0</v>
      </c>
      <c r="L20" s="19">
        <v>124.0</v>
      </c>
      <c r="M20" s="19">
        <v>110.0</v>
      </c>
      <c r="N20" s="19">
        <v>70.0</v>
      </c>
      <c r="O20" s="19">
        <v>64.0</v>
      </c>
      <c r="P20" s="19">
        <v>105.0</v>
      </c>
      <c r="Q20" s="19">
        <v>108.0</v>
      </c>
      <c r="R20" s="19">
        <v>102.0</v>
      </c>
      <c r="S20" s="19">
        <v>92.0</v>
      </c>
      <c r="T20" s="19">
        <v>108.0</v>
      </c>
      <c r="U20" s="19">
        <v>101.0</v>
      </c>
      <c r="V20" s="19">
        <v>103.0</v>
      </c>
      <c r="W20" s="19">
        <v>86.0</v>
      </c>
      <c r="X20" s="19">
        <v>110.0</v>
      </c>
      <c r="Y20" s="19">
        <v>94.0</v>
      </c>
      <c r="Z20" s="19">
        <v>95.0</v>
      </c>
      <c r="AA20" s="19">
        <v>99.0</v>
      </c>
      <c r="AB20" s="19">
        <v>102.0</v>
      </c>
      <c r="AC20" s="19">
        <v>109.0</v>
      </c>
      <c r="AD20" s="19">
        <v>113.0</v>
      </c>
      <c r="AE20" s="19">
        <v>101.0</v>
      </c>
      <c r="AF20" s="19">
        <v>115.0</v>
      </c>
      <c r="AG20" s="19">
        <v>104.0</v>
      </c>
      <c r="AH20" s="19">
        <v>106.0</v>
      </c>
      <c r="AI20" s="19">
        <v>102.0</v>
      </c>
      <c r="AJ20" s="19">
        <v>104.0</v>
      </c>
      <c r="AK20" s="19">
        <v>103.0</v>
      </c>
      <c r="AL20" s="19">
        <v>105.0</v>
      </c>
      <c r="AM20" s="13">
        <f t="shared" si="3"/>
        <v>3529</v>
      </c>
    </row>
    <row r="21" ht="12.75" customHeight="1">
      <c r="A21" s="35"/>
      <c r="B21" s="28"/>
      <c r="C21" s="36"/>
      <c r="D21" s="13" t="s">
        <v>14</v>
      </c>
      <c r="E21" s="13">
        <f t="shared" ref="E21:AL21" si="4">SUM(E19:E20)</f>
        <v>224</v>
      </c>
      <c r="F21" s="13">
        <f t="shared" si="4"/>
        <v>212</v>
      </c>
      <c r="G21" s="13">
        <f t="shared" si="4"/>
        <v>209</v>
      </c>
      <c r="H21" s="13">
        <f t="shared" si="4"/>
        <v>227</v>
      </c>
      <c r="I21" s="13">
        <f t="shared" si="4"/>
        <v>231</v>
      </c>
      <c r="J21" s="13">
        <f t="shared" si="4"/>
        <v>225</v>
      </c>
      <c r="K21" s="13">
        <f t="shared" si="4"/>
        <v>220</v>
      </c>
      <c r="L21" s="13">
        <f t="shared" si="4"/>
        <v>241</v>
      </c>
      <c r="M21" s="13">
        <f t="shared" si="4"/>
        <v>214</v>
      </c>
      <c r="N21" s="13">
        <f t="shared" si="4"/>
        <v>142</v>
      </c>
      <c r="O21" s="13">
        <f t="shared" si="4"/>
        <v>135</v>
      </c>
      <c r="P21" s="13">
        <f t="shared" si="4"/>
        <v>205</v>
      </c>
      <c r="Q21" s="13">
        <f t="shared" si="4"/>
        <v>206</v>
      </c>
      <c r="R21" s="13">
        <f t="shared" si="4"/>
        <v>212</v>
      </c>
      <c r="S21" s="13">
        <f t="shared" si="4"/>
        <v>192</v>
      </c>
      <c r="T21" s="13">
        <f t="shared" si="4"/>
        <v>209</v>
      </c>
      <c r="U21" s="13">
        <f t="shared" si="4"/>
        <v>186</v>
      </c>
      <c r="V21" s="13">
        <f t="shared" si="4"/>
        <v>215</v>
      </c>
      <c r="W21" s="13">
        <f t="shared" si="4"/>
        <v>176</v>
      </c>
      <c r="X21" s="13">
        <f t="shared" si="4"/>
        <v>222</v>
      </c>
      <c r="Y21" s="13">
        <f t="shared" si="4"/>
        <v>205</v>
      </c>
      <c r="Z21" s="13">
        <f t="shared" si="4"/>
        <v>191</v>
      </c>
      <c r="AA21" s="13">
        <f t="shared" si="4"/>
        <v>191</v>
      </c>
      <c r="AB21" s="13">
        <f t="shared" si="4"/>
        <v>214</v>
      </c>
      <c r="AC21" s="13">
        <f t="shared" si="4"/>
        <v>211</v>
      </c>
      <c r="AD21" s="13">
        <f t="shared" si="4"/>
        <v>202</v>
      </c>
      <c r="AE21" s="13">
        <f t="shared" si="4"/>
        <v>202</v>
      </c>
      <c r="AF21" s="13">
        <f t="shared" si="4"/>
        <v>211</v>
      </c>
      <c r="AG21" s="13">
        <f t="shared" si="4"/>
        <v>194</v>
      </c>
      <c r="AH21" s="13">
        <f t="shared" si="4"/>
        <v>203</v>
      </c>
      <c r="AI21" s="13">
        <f t="shared" si="4"/>
        <v>195</v>
      </c>
      <c r="AJ21" s="13">
        <f t="shared" si="4"/>
        <v>208</v>
      </c>
      <c r="AK21" s="13">
        <f t="shared" si="4"/>
        <v>191</v>
      </c>
      <c r="AL21" s="13">
        <f t="shared" si="4"/>
        <v>199</v>
      </c>
      <c r="AM21" s="13">
        <f t="shared" si="3"/>
        <v>6920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1.0</v>
      </c>
      <c r="F22" s="19">
        <v>0.0</v>
      </c>
      <c r="G22" s="19">
        <v>1.0</v>
      </c>
      <c r="H22" s="19">
        <v>1.0</v>
      </c>
      <c r="I22" s="19">
        <v>1.0</v>
      </c>
      <c r="J22" s="19">
        <v>0.0</v>
      </c>
      <c r="K22" s="19">
        <v>0.0</v>
      </c>
      <c r="L22" s="19">
        <v>0.0</v>
      </c>
      <c r="M22" s="19">
        <v>2.0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1.0</v>
      </c>
      <c r="AC22" s="19">
        <v>0.0</v>
      </c>
      <c r="AD22" s="19">
        <v>1.0</v>
      </c>
      <c r="AE22" s="19">
        <v>1.0</v>
      </c>
      <c r="AF22" s="19">
        <v>0.0</v>
      </c>
      <c r="AG22" s="19">
        <v>0.0</v>
      </c>
      <c r="AH22" s="19">
        <v>2.0</v>
      </c>
      <c r="AI22" s="19">
        <v>0.0</v>
      </c>
      <c r="AJ22" s="19">
        <v>0.0</v>
      </c>
      <c r="AK22" s="19">
        <v>0.0</v>
      </c>
      <c r="AL22" s="19">
        <v>0.0</v>
      </c>
      <c r="AM22" s="13">
        <f t="shared" si="3"/>
        <v>11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2.0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1.0</v>
      </c>
      <c r="N23" s="19">
        <v>0.0</v>
      </c>
      <c r="O23" s="19">
        <v>1.0</v>
      </c>
      <c r="P23" s="19">
        <v>0.0</v>
      </c>
      <c r="Q23" s="19">
        <v>0.0</v>
      </c>
      <c r="R23" s="19">
        <v>1.0</v>
      </c>
      <c r="S23" s="19">
        <v>0.0</v>
      </c>
      <c r="T23" s="19">
        <v>1.0</v>
      </c>
      <c r="U23" s="19">
        <v>1.0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1.0</v>
      </c>
      <c r="AC23" s="19">
        <v>0.0</v>
      </c>
      <c r="AD23" s="19">
        <v>1.0</v>
      </c>
      <c r="AE23" s="19">
        <v>0.0</v>
      </c>
      <c r="AF23" s="19">
        <v>0.0</v>
      </c>
      <c r="AG23" s="19">
        <v>0.0</v>
      </c>
      <c r="AH23" s="19">
        <v>1.0</v>
      </c>
      <c r="AI23" s="19">
        <v>0.0</v>
      </c>
      <c r="AJ23" s="19">
        <v>0.0</v>
      </c>
      <c r="AK23" s="19">
        <v>0.0</v>
      </c>
      <c r="AL23" s="19">
        <v>0.0</v>
      </c>
      <c r="AM23" s="13">
        <f t="shared" si="3"/>
        <v>10</v>
      </c>
    </row>
    <row r="24" ht="12.75" customHeight="1">
      <c r="A24" s="35"/>
      <c r="B24" s="28"/>
      <c r="C24" s="36"/>
      <c r="D24" s="13" t="s">
        <v>14</v>
      </c>
      <c r="E24" s="13">
        <f t="shared" ref="E24:AL24" si="5">SUM(E22:E23)</f>
        <v>1</v>
      </c>
      <c r="F24" s="13">
        <f t="shared" si="5"/>
        <v>0</v>
      </c>
      <c r="G24" s="13">
        <f t="shared" si="5"/>
        <v>3</v>
      </c>
      <c r="H24" s="13">
        <f t="shared" si="5"/>
        <v>1</v>
      </c>
      <c r="I24" s="13">
        <f t="shared" si="5"/>
        <v>1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3</v>
      </c>
      <c r="N24" s="13">
        <f t="shared" si="5"/>
        <v>0</v>
      </c>
      <c r="O24" s="13">
        <f t="shared" si="5"/>
        <v>1</v>
      </c>
      <c r="P24" s="13">
        <f t="shared" si="5"/>
        <v>0</v>
      </c>
      <c r="Q24" s="13">
        <f t="shared" si="5"/>
        <v>0</v>
      </c>
      <c r="R24" s="13">
        <f t="shared" si="5"/>
        <v>1</v>
      </c>
      <c r="S24" s="13">
        <f t="shared" si="5"/>
        <v>0</v>
      </c>
      <c r="T24" s="13">
        <f t="shared" si="5"/>
        <v>1</v>
      </c>
      <c r="U24" s="13">
        <f t="shared" si="5"/>
        <v>1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2</v>
      </c>
      <c r="AC24" s="13">
        <f t="shared" si="5"/>
        <v>0</v>
      </c>
      <c r="AD24" s="13">
        <f t="shared" si="5"/>
        <v>2</v>
      </c>
      <c r="AE24" s="13">
        <f t="shared" si="5"/>
        <v>1</v>
      </c>
      <c r="AF24" s="13">
        <f t="shared" si="5"/>
        <v>0</v>
      </c>
      <c r="AG24" s="13">
        <f t="shared" si="5"/>
        <v>0</v>
      </c>
      <c r="AH24" s="13">
        <f t="shared" si="5"/>
        <v>3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3"/>
        <v>21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1.0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4.0</v>
      </c>
      <c r="M25" s="19">
        <v>3.0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9">
        <v>1.0</v>
      </c>
      <c r="T25" s="19">
        <v>0.0</v>
      </c>
      <c r="U25" s="19">
        <v>1.0</v>
      </c>
      <c r="V25" s="19">
        <v>2.0</v>
      </c>
      <c r="W25" s="19">
        <v>0.0</v>
      </c>
      <c r="X25" s="19">
        <v>0.0</v>
      </c>
      <c r="Y25" s="19">
        <v>1.0</v>
      </c>
      <c r="Z25" s="19">
        <v>0.0</v>
      </c>
      <c r="AA25" s="19">
        <v>0.0</v>
      </c>
      <c r="AB25" s="19">
        <v>0.0</v>
      </c>
      <c r="AC25" s="19">
        <v>0.0</v>
      </c>
      <c r="AD25" s="19">
        <v>0.0</v>
      </c>
      <c r="AE25" s="19">
        <v>0.0</v>
      </c>
      <c r="AF25" s="19">
        <v>0.0</v>
      </c>
      <c r="AG25" s="19">
        <v>1.0</v>
      </c>
      <c r="AH25" s="19">
        <v>0.0</v>
      </c>
      <c r="AI25" s="19">
        <v>0.0</v>
      </c>
      <c r="AJ25" s="19">
        <v>0.0</v>
      </c>
      <c r="AK25" s="19">
        <v>0.0</v>
      </c>
      <c r="AL25" s="19">
        <v>0.0</v>
      </c>
      <c r="AM25" s="13">
        <f t="shared" si="3"/>
        <v>14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3.0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4.0</v>
      </c>
      <c r="M26" s="19">
        <v>2.0</v>
      </c>
      <c r="N26" s="19">
        <v>0.0</v>
      </c>
      <c r="O26" s="19">
        <v>0.0</v>
      </c>
      <c r="P26" s="19">
        <v>0.0</v>
      </c>
      <c r="Q26" s="19">
        <v>0.0</v>
      </c>
      <c r="R26" s="19">
        <v>0.0</v>
      </c>
      <c r="S26" s="19">
        <v>4.0</v>
      </c>
      <c r="T26" s="19">
        <v>0.0</v>
      </c>
      <c r="U26" s="19">
        <v>5.0</v>
      </c>
      <c r="V26" s="19">
        <v>4.0</v>
      </c>
      <c r="W26" s="19">
        <v>0.0</v>
      </c>
      <c r="X26" s="19">
        <v>0.0</v>
      </c>
      <c r="Y26" s="19">
        <v>1.0</v>
      </c>
      <c r="Z26" s="19">
        <v>0.0</v>
      </c>
      <c r="AA26" s="19">
        <v>0.0</v>
      </c>
      <c r="AB26" s="19">
        <v>0.0</v>
      </c>
      <c r="AC26" s="19">
        <v>0.0</v>
      </c>
      <c r="AD26" s="19">
        <v>0.0</v>
      </c>
      <c r="AE26" s="19">
        <v>0.0</v>
      </c>
      <c r="AF26" s="19">
        <v>0.0</v>
      </c>
      <c r="AG26" s="19">
        <v>2.0</v>
      </c>
      <c r="AH26" s="19">
        <v>0.0</v>
      </c>
      <c r="AI26" s="19">
        <v>0.0</v>
      </c>
      <c r="AJ26" s="19">
        <v>0.0</v>
      </c>
      <c r="AK26" s="19">
        <v>0.0</v>
      </c>
      <c r="AL26" s="19">
        <v>1.0</v>
      </c>
      <c r="AM26" s="13">
        <f t="shared" si="3"/>
        <v>26</v>
      </c>
    </row>
    <row r="27" ht="12.75" customHeight="1">
      <c r="A27" s="35"/>
      <c r="B27" s="28"/>
      <c r="C27" s="36"/>
      <c r="D27" s="13" t="s">
        <v>14</v>
      </c>
      <c r="E27" s="13">
        <f t="shared" ref="E27:AL27" si="6">SUM(E25:E26)</f>
        <v>0</v>
      </c>
      <c r="F27" s="13">
        <f t="shared" si="6"/>
        <v>4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8</v>
      </c>
      <c r="M27" s="13">
        <f t="shared" si="6"/>
        <v>5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5</v>
      </c>
      <c r="T27" s="13">
        <f t="shared" si="6"/>
        <v>0</v>
      </c>
      <c r="U27" s="13">
        <f t="shared" si="6"/>
        <v>6</v>
      </c>
      <c r="V27" s="13">
        <f t="shared" si="6"/>
        <v>6</v>
      </c>
      <c r="W27" s="13">
        <f t="shared" si="6"/>
        <v>0</v>
      </c>
      <c r="X27" s="13">
        <f t="shared" si="6"/>
        <v>0</v>
      </c>
      <c r="Y27" s="13">
        <f t="shared" si="6"/>
        <v>2</v>
      </c>
      <c r="Z27" s="13">
        <f t="shared" si="6"/>
        <v>0</v>
      </c>
      <c r="AA27" s="13">
        <f t="shared" si="6"/>
        <v>0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6"/>
        <v>0</v>
      </c>
      <c r="AF27" s="13">
        <f t="shared" si="6"/>
        <v>0</v>
      </c>
      <c r="AG27" s="13">
        <f t="shared" si="6"/>
        <v>3</v>
      </c>
      <c r="AH27" s="13">
        <f t="shared" si="6"/>
        <v>0</v>
      </c>
      <c r="AI27" s="13">
        <f t="shared" si="6"/>
        <v>0</v>
      </c>
      <c r="AJ27" s="13">
        <f t="shared" si="6"/>
        <v>0</v>
      </c>
      <c r="AK27" s="13">
        <f t="shared" si="6"/>
        <v>0</v>
      </c>
      <c r="AL27" s="13">
        <f t="shared" si="6"/>
        <v>1</v>
      </c>
      <c r="AM27" s="13">
        <f t="shared" si="3"/>
        <v>40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L28" si="7">SUM(E19,E22,E25)</f>
        <v>107</v>
      </c>
      <c r="F28" s="13">
        <f t="shared" si="7"/>
        <v>101</v>
      </c>
      <c r="G28" s="13">
        <f t="shared" si="7"/>
        <v>100</v>
      </c>
      <c r="H28" s="13">
        <f t="shared" si="7"/>
        <v>119</v>
      </c>
      <c r="I28" s="13">
        <f t="shared" si="7"/>
        <v>108</v>
      </c>
      <c r="J28" s="13">
        <f t="shared" si="7"/>
        <v>112</v>
      </c>
      <c r="K28" s="13">
        <f t="shared" si="7"/>
        <v>112</v>
      </c>
      <c r="L28" s="13">
        <f t="shared" si="7"/>
        <v>121</v>
      </c>
      <c r="M28" s="13">
        <f t="shared" si="7"/>
        <v>109</v>
      </c>
      <c r="N28" s="13">
        <f t="shared" si="7"/>
        <v>72</v>
      </c>
      <c r="O28" s="13">
        <f t="shared" si="7"/>
        <v>71</v>
      </c>
      <c r="P28" s="13">
        <f t="shared" si="7"/>
        <v>100</v>
      </c>
      <c r="Q28" s="13">
        <f t="shared" si="7"/>
        <v>98</v>
      </c>
      <c r="R28" s="13">
        <f t="shared" si="7"/>
        <v>110</v>
      </c>
      <c r="S28" s="13">
        <f t="shared" si="7"/>
        <v>101</v>
      </c>
      <c r="T28" s="13">
        <f t="shared" si="7"/>
        <v>101</v>
      </c>
      <c r="U28" s="13">
        <f t="shared" si="7"/>
        <v>86</v>
      </c>
      <c r="V28" s="13">
        <f t="shared" si="7"/>
        <v>114</v>
      </c>
      <c r="W28" s="13">
        <f t="shared" si="7"/>
        <v>90</v>
      </c>
      <c r="X28" s="13">
        <f t="shared" si="7"/>
        <v>112</v>
      </c>
      <c r="Y28" s="13">
        <f t="shared" si="7"/>
        <v>112</v>
      </c>
      <c r="Z28" s="13">
        <f t="shared" si="7"/>
        <v>96</v>
      </c>
      <c r="AA28" s="13">
        <f t="shared" si="7"/>
        <v>92</v>
      </c>
      <c r="AB28" s="13">
        <f t="shared" si="7"/>
        <v>113</v>
      </c>
      <c r="AC28" s="13">
        <f t="shared" si="7"/>
        <v>102</v>
      </c>
      <c r="AD28" s="13">
        <f t="shared" si="7"/>
        <v>90</v>
      </c>
      <c r="AE28" s="13">
        <f t="shared" si="7"/>
        <v>102</v>
      </c>
      <c r="AF28" s="13">
        <f t="shared" si="7"/>
        <v>96</v>
      </c>
      <c r="AG28" s="13">
        <f t="shared" si="7"/>
        <v>91</v>
      </c>
      <c r="AH28" s="13">
        <f t="shared" si="7"/>
        <v>99</v>
      </c>
      <c r="AI28" s="13">
        <f t="shared" si="7"/>
        <v>93</v>
      </c>
      <c r="AJ28" s="13">
        <f t="shared" si="7"/>
        <v>104</v>
      </c>
      <c r="AK28" s="13">
        <f t="shared" si="7"/>
        <v>88</v>
      </c>
      <c r="AL28" s="13">
        <f t="shared" si="7"/>
        <v>94</v>
      </c>
      <c r="AM28" s="13">
        <f t="shared" si="3"/>
        <v>3416</v>
      </c>
    </row>
    <row r="29" ht="12.75" customHeight="1">
      <c r="A29" s="35"/>
      <c r="B29" s="27"/>
      <c r="C29" s="34"/>
      <c r="D29" s="13" t="s">
        <v>13</v>
      </c>
      <c r="E29" s="13">
        <f t="shared" ref="E29:AL29" si="8">SUM(E20,E23,E26)</f>
        <v>118</v>
      </c>
      <c r="F29" s="13">
        <f t="shared" si="8"/>
        <v>115</v>
      </c>
      <c r="G29" s="13">
        <f t="shared" si="8"/>
        <v>112</v>
      </c>
      <c r="H29" s="13">
        <f t="shared" si="8"/>
        <v>109</v>
      </c>
      <c r="I29" s="13">
        <f t="shared" si="8"/>
        <v>124</v>
      </c>
      <c r="J29" s="13">
        <f t="shared" si="8"/>
        <v>113</v>
      </c>
      <c r="K29" s="13">
        <f t="shared" si="8"/>
        <v>108</v>
      </c>
      <c r="L29" s="13">
        <f t="shared" si="8"/>
        <v>128</v>
      </c>
      <c r="M29" s="13">
        <f t="shared" si="8"/>
        <v>113</v>
      </c>
      <c r="N29" s="13">
        <f t="shared" si="8"/>
        <v>70</v>
      </c>
      <c r="O29" s="13">
        <f t="shared" si="8"/>
        <v>65</v>
      </c>
      <c r="P29" s="13">
        <f t="shared" si="8"/>
        <v>105</v>
      </c>
      <c r="Q29" s="13">
        <f t="shared" si="8"/>
        <v>108</v>
      </c>
      <c r="R29" s="13">
        <f t="shared" si="8"/>
        <v>103</v>
      </c>
      <c r="S29" s="13">
        <f t="shared" si="8"/>
        <v>96</v>
      </c>
      <c r="T29" s="13">
        <f t="shared" si="8"/>
        <v>109</v>
      </c>
      <c r="U29" s="13">
        <f t="shared" si="8"/>
        <v>107</v>
      </c>
      <c r="V29" s="13">
        <f t="shared" si="8"/>
        <v>107</v>
      </c>
      <c r="W29" s="13">
        <f t="shared" si="8"/>
        <v>86</v>
      </c>
      <c r="X29" s="13">
        <f t="shared" si="8"/>
        <v>110</v>
      </c>
      <c r="Y29" s="13">
        <f t="shared" si="8"/>
        <v>95</v>
      </c>
      <c r="Z29" s="13">
        <f t="shared" si="8"/>
        <v>95</v>
      </c>
      <c r="AA29" s="13">
        <f t="shared" si="8"/>
        <v>99</v>
      </c>
      <c r="AB29" s="13">
        <f t="shared" si="8"/>
        <v>103</v>
      </c>
      <c r="AC29" s="13">
        <f t="shared" si="8"/>
        <v>109</v>
      </c>
      <c r="AD29" s="13">
        <f t="shared" si="8"/>
        <v>114</v>
      </c>
      <c r="AE29" s="13">
        <f t="shared" si="8"/>
        <v>101</v>
      </c>
      <c r="AF29" s="13">
        <f t="shared" si="8"/>
        <v>115</v>
      </c>
      <c r="AG29" s="13">
        <f t="shared" si="8"/>
        <v>106</v>
      </c>
      <c r="AH29" s="13">
        <f t="shared" si="8"/>
        <v>107</v>
      </c>
      <c r="AI29" s="13">
        <f t="shared" si="8"/>
        <v>102</v>
      </c>
      <c r="AJ29" s="13">
        <f t="shared" si="8"/>
        <v>104</v>
      </c>
      <c r="AK29" s="13">
        <f t="shared" si="8"/>
        <v>103</v>
      </c>
      <c r="AL29" s="13">
        <f t="shared" si="8"/>
        <v>106</v>
      </c>
      <c r="AM29" s="13">
        <f t="shared" si="3"/>
        <v>3565</v>
      </c>
    </row>
    <row r="30" ht="12.75" customHeight="1">
      <c r="A30" s="35"/>
      <c r="B30" s="28"/>
      <c r="C30" s="36"/>
      <c r="D30" s="13" t="s">
        <v>14</v>
      </c>
      <c r="E30" s="13">
        <f t="shared" ref="E30:AL30" si="9">SUM(E28:E29)</f>
        <v>225</v>
      </c>
      <c r="F30" s="13">
        <f t="shared" si="9"/>
        <v>216</v>
      </c>
      <c r="G30" s="13">
        <f t="shared" si="9"/>
        <v>212</v>
      </c>
      <c r="H30" s="13">
        <f t="shared" si="9"/>
        <v>228</v>
      </c>
      <c r="I30" s="13">
        <f t="shared" si="9"/>
        <v>232</v>
      </c>
      <c r="J30" s="13">
        <f t="shared" si="9"/>
        <v>225</v>
      </c>
      <c r="K30" s="13">
        <f t="shared" si="9"/>
        <v>220</v>
      </c>
      <c r="L30" s="13">
        <f t="shared" si="9"/>
        <v>249</v>
      </c>
      <c r="M30" s="13">
        <f t="shared" si="9"/>
        <v>222</v>
      </c>
      <c r="N30" s="13">
        <f t="shared" si="9"/>
        <v>142</v>
      </c>
      <c r="O30" s="13">
        <f t="shared" si="9"/>
        <v>136</v>
      </c>
      <c r="P30" s="13">
        <f t="shared" si="9"/>
        <v>205</v>
      </c>
      <c r="Q30" s="13">
        <f t="shared" si="9"/>
        <v>206</v>
      </c>
      <c r="R30" s="13">
        <f t="shared" si="9"/>
        <v>213</v>
      </c>
      <c r="S30" s="13">
        <f t="shared" si="9"/>
        <v>197</v>
      </c>
      <c r="T30" s="13">
        <f t="shared" si="9"/>
        <v>210</v>
      </c>
      <c r="U30" s="13">
        <f t="shared" si="9"/>
        <v>193</v>
      </c>
      <c r="V30" s="13">
        <f t="shared" si="9"/>
        <v>221</v>
      </c>
      <c r="W30" s="13">
        <f t="shared" si="9"/>
        <v>176</v>
      </c>
      <c r="X30" s="13">
        <f t="shared" si="9"/>
        <v>222</v>
      </c>
      <c r="Y30" s="13">
        <f t="shared" si="9"/>
        <v>207</v>
      </c>
      <c r="Z30" s="13">
        <f t="shared" si="9"/>
        <v>191</v>
      </c>
      <c r="AA30" s="13">
        <f t="shared" si="9"/>
        <v>191</v>
      </c>
      <c r="AB30" s="13">
        <f t="shared" si="9"/>
        <v>216</v>
      </c>
      <c r="AC30" s="13">
        <f t="shared" si="9"/>
        <v>211</v>
      </c>
      <c r="AD30" s="13">
        <f t="shared" si="9"/>
        <v>204</v>
      </c>
      <c r="AE30" s="13">
        <f t="shared" si="9"/>
        <v>203</v>
      </c>
      <c r="AF30" s="13">
        <f t="shared" si="9"/>
        <v>211</v>
      </c>
      <c r="AG30" s="13">
        <f t="shared" si="9"/>
        <v>197</v>
      </c>
      <c r="AH30" s="13">
        <f t="shared" si="9"/>
        <v>206</v>
      </c>
      <c r="AI30" s="13">
        <f t="shared" si="9"/>
        <v>195</v>
      </c>
      <c r="AJ30" s="13">
        <f t="shared" si="9"/>
        <v>208</v>
      </c>
      <c r="AK30" s="13">
        <f t="shared" si="9"/>
        <v>191</v>
      </c>
      <c r="AL30" s="13">
        <f t="shared" si="9"/>
        <v>200</v>
      </c>
      <c r="AM30" s="13">
        <f t="shared" si="3"/>
        <v>6981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8"/>
      <c r="U31" s="58"/>
      <c r="V31" s="19"/>
      <c r="W31" s="19"/>
      <c r="X31" s="19"/>
      <c r="Y31" s="19"/>
      <c r="Z31" s="19"/>
      <c r="AA31" s="19"/>
      <c r="AB31" s="19"/>
      <c r="AC31" s="19"/>
      <c r="AD31" s="58"/>
      <c r="AE31" s="58"/>
      <c r="AF31" s="58"/>
      <c r="AG31" s="58"/>
      <c r="AH31" s="58"/>
      <c r="AI31" s="58"/>
      <c r="AJ31" s="58"/>
      <c r="AK31" s="58"/>
      <c r="AL31" s="58"/>
      <c r="AM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60"/>
      <c r="U32" s="60"/>
      <c r="V32" s="13"/>
      <c r="W32" s="13"/>
      <c r="X32" s="13"/>
      <c r="Y32" s="13"/>
      <c r="Z32" s="13"/>
      <c r="AA32" s="13"/>
      <c r="AB32" s="13"/>
      <c r="AC32" s="13"/>
      <c r="AD32" s="60"/>
      <c r="AE32" s="60"/>
      <c r="AF32" s="60"/>
      <c r="AG32" s="60"/>
      <c r="AH32" s="60"/>
      <c r="AI32" s="60"/>
      <c r="AJ32" s="60"/>
      <c r="AK32" s="60"/>
      <c r="AL32" s="60"/>
      <c r="AM32" s="59"/>
    </row>
    <row r="33" ht="12.75" customHeight="1">
      <c r="A33" s="19">
        <v>1.0</v>
      </c>
      <c r="B33" s="20" t="s">
        <v>27</v>
      </c>
      <c r="C33" s="15"/>
      <c r="D33" s="16"/>
      <c r="E33" s="19">
        <v>289.0</v>
      </c>
      <c r="F33" s="19">
        <v>299.0</v>
      </c>
      <c r="G33" s="19">
        <v>293.0</v>
      </c>
      <c r="H33" s="19">
        <v>300.0</v>
      </c>
      <c r="I33" s="19">
        <v>286.0</v>
      </c>
      <c r="J33" s="19">
        <v>283.0</v>
      </c>
      <c r="K33" s="19">
        <v>240.0</v>
      </c>
      <c r="L33" s="19">
        <v>297.0</v>
      </c>
      <c r="M33" s="19">
        <v>298.0</v>
      </c>
      <c r="N33" s="19">
        <v>189.0</v>
      </c>
      <c r="O33" s="19">
        <v>225.0</v>
      </c>
      <c r="P33" s="19">
        <v>266.0</v>
      </c>
      <c r="Q33" s="19">
        <v>257.0</v>
      </c>
      <c r="R33" s="19">
        <v>262.0</v>
      </c>
      <c r="S33" s="19">
        <v>261.0</v>
      </c>
      <c r="T33" s="19">
        <v>257.0</v>
      </c>
      <c r="U33" s="19">
        <v>257.0</v>
      </c>
      <c r="V33" s="19">
        <v>262.0</v>
      </c>
      <c r="W33" s="19">
        <v>257.0</v>
      </c>
      <c r="X33" s="19">
        <v>270.0</v>
      </c>
      <c r="Y33" s="19">
        <v>260.0</v>
      </c>
      <c r="Z33" s="19">
        <v>254.0</v>
      </c>
      <c r="AA33" s="19">
        <v>247.0</v>
      </c>
      <c r="AB33" s="19">
        <v>270.0</v>
      </c>
      <c r="AC33" s="19">
        <v>266.0</v>
      </c>
      <c r="AD33" s="19">
        <v>271.0</v>
      </c>
      <c r="AE33" s="19">
        <v>257.0</v>
      </c>
      <c r="AF33" s="19">
        <v>266.0</v>
      </c>
      <c r="AG33" s="19">
        <v>247.0</v>
      </c>
      <c r="AH33" s="19">
        <v>253.0</v>
      </c>
      <c r="AI33" s="19">
        <v>265.0</v>
      </c>
      <c r="AJ33" s="19">
        <v>265.0</v>
      </c>
      <c r="AK33" s="19">
        <v>247.0</v>
      </c>
      <c r="AL33" s="19">
        <v>251.0</v>
      </c>
      <c r="AM33" s="13">
        <f t="shared" ref="AM33:AM36" si="10">SUM(E33:AL33)</f>
        <v>8967</v>
      </c>
    </row>
    <row r="34" ht="12.75" customHeight="1">
      <c r="A34" s="19">
        <v>2.0</v>
      </c>
      <c r="B34" s="20" t="s">
        <v>28</v>
      </c>
      <c r="C34" s="15"/>
      <c r="D34" s="16"/>
      <c r="E34" s="13">
        <v>225.0</v>
      </c>
      <c r="F34" s="13">
        <v>216.0</v>
      </c>
      <c r="G34" s="13">
        <v>212.0</v>
      </c>
      <c r="H34" s="13">
        <v>228.0</v>
      </c>
      <c r="I34" s="13">
        <v>232.0</v>
      </c>
      <c r="J34" s="13">
        <v>225.0</v>
      </c>
      <c r="K34" s="13">
        <v>220.0</v>
      </c>
      <c r="L34" s="13">
        <v>249.0</v>
      </c>
      <c r="M34" s="13">
        <v>222.0</v>
      </c>
      <c r="N34" s="13">
        <v>142.0</v>
      </c>
      <c r="O34" s="13">
        <v>136.0</v>
      </c>
      <c r="P34" s="13">
        <v>205.0</v>
      </c>
      <c r="Q34" s="13">
        <v>206.0</v>
      </c>
      <c r="R34" s="13">
        <v>213.0</v>
      </c>
      <c r="S34" s="13">
        <v>197.0</v>
      </c>
      <c r="T34" s="13">
        <v>210.0</v>
      </c>
      <c r="U34" s="13">
        <v>193.0</v>
      </c>
      <c r="V34" s="13">
        <v>221.0</v>
      </c>
      <c r="W34" s="13">
        <v>176.0</v>
      </c>
      <c r="X34" s="13">
        <v>222.0</v>
      </c>
      <c r="Y34" s="13">
        <v>207.0</v>
      </c>
      <c r="Z34" s="13">
        <v>191.0</v>
      </c>
      <c r="AA34" s="13">
        <v>191.0</v>
      </c>
      <c r="AB34" s="13">
        <v>216.0</v>
      </c>
      <c r="AC34" s="13">
        <v>211.0</v>
      </c>
      <c r="AD34" s="13">
        <v>204.0</v>
      </c>
      <c r="AE34" s="13">
        <v>203.0</v>
      </c>
      <c r="AF34" s="13">
        <v>211.0</v>
      </c>
      <c r="AG34" s="13">
        <v>197.0</v>
      </c>
      <c r="AH34" s="13">
        <v>206.0</v>
      </c>
      <c r="AI34" s="13">
        <v>195.0</v>
      </c>
      <c r="AJ34" s="13">
        <v>208.0</v>
      </c>
      <c r="AK34" s="13">
        <v>191.0</v>
      </c>
      <c r="AL34" s="13">
        <v>200.0</v>
      </c>
      <c r="AM34" s="13">
        <f t="shared" si="10"/>
        <v>6981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1.0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1.0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9">
        <v>0.0</v>
      </c>
      <c r="AF35" s="19">
        <v>0.0</v>
      </c>
      <c r="AG35" s="19">
        <v>3.0</v>
      </c>
      <c r="AH35" s="19">
        <v>0.0</v>
      </c>
      <c r="AI35" s="19">
        <v>0.0</v>
      </c>
      <c r="AJ35" s="19">
        <v>0.0</v>
      </c>
      <c r="AK35" s="19">
        <v>0.0</v>
      </c>
      <c r="AL35" s="19">
        <v>0.0</v>
      </c>
      <c r="AM35" s="13">
        <f t="shared" si="10"/>
        <v>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L36" si="11">E33-(E34+E35)</f>
        <v>64</v>
      </c>
      <c r="F36" s="13">
        <f t="shared" si="11"/>
        <v>83</v>
      </c>
      <c r="G36" s="13">
        <f t="shared" si="11"/>
        <v>80</v>
      </c>
      <c r="H36" s="13">
        <f t="shared" si="11"/>
        <v>72</v>
      </c>
      <c r="I36" s="13">
        <f t="shared" si="11"/>
        <v>54</v>
      </c>
      <c r="J36" s="13">
        <f t="shared" si="11"/>
        <v>58</v>
      </c>
      <c r="K36" s="13">
        <f t="shared" si="11"/>
        <v>20</v>
      </c>
      <c r="L36" s="13">
        <f t="shared" si="11"/>
        <v>48</v>
      </c>
      <c r="M36" s="13">
        <f t="shared" si="11"/>
        <v>76</v>
      </c>
      <c r="N36" s="13">
        <f t="shared" si="11"/>
        <v>47</v>
      </c>
      <c r="O36" s="13">
        <f t="shared" si="11"/>
        <v>89</v>
      </c>
      <c r="P36" s="13">
        <f t="shared" si="11"/>
        <v>61</v>
      </c>
      <c r="Q36" s="13">
        <f t="shared" si="11"/>
        <v>51</v>
      </c>
      <c r="R36" s="13">
        <f t="shared" si="11"/>
        <v>49</v>
      </c>
      <c r="S36" s="13">
        <f t="shared" si="11"/>
        <v>64</v>
      </c>
      <c r="T36" s="13">
        <f t="shared" si="11"/>
        <v>47</v>
      </c>
      <c r="U36" s="13">
        <f t="shared" si="11"/>
        <v>64</v>
      </c>
      <c r="V36" s="13">
        <f t="shared" si="11"/>
        <v>41</v>
      </c>
      <c r="W36" s="13">
        <f t="shared" si="11"/>
        <v>81</v>
      </c>
      <c r="X36" s="13">
        <f t="shared" si="11"/>
        <v>48</v>
      </c>
      <c r="Y36" s="13">
        <f t="shared" si="11"/>
        <v>52</v>
      </c>
      <c r="Z36" s="13">
        <f t="shared" si="11"/>
        <v>63</v>
      </c>
      <c r="AA36" s="13">
        <f t="shared" si="11"/>
        <v>56</v>
      </c>
      <c r="AB36" s="13">
        <f t="shared" si="11"/>
        <v>54</v>
      </c>
      <c r="AC36" s="13">
        <f t="shared" si="11"/>
        <v>55</v>
      </c>
      <c r="AD36" s="13">
        <f t="shared" si="11"/>
        <v>67</v>
      </c>
      <c r="AE36" s="13">
        <f t="shared" si="11"/>
        <v>54</v>
      </c>
      <c r="AF36" s="13">
        <f t="shared" si="11"/>
        <v>55</v>
      </c>
      <c r="AG36" s="13">
        <f t="shared" si="11"/>
        <v>47</v>
      </c>
      <c r="AH36" s="13">
        <f t="shared" si="11"/>
        <v>47</v>
      </c>
      <c r="AI36" s="13">
        <f t="shared" si="11"/>
        <v>70</v>
      </c>
      <c r="AJ36" s="13">
        <f t="shared" si="11"/>
        <v>57</v>
      </c>
      <c r="AK36" s="13">
        <f t="shared" si="11"/>
        <v>56</v>
      </c>
      <c r="AL36" s="13">
        <f t="shared" si="11"/>
        <v>51</v>
      </c>
      <c r="AM36" s="13">
        <f t="shared" si="10"/>
        <v>1981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6"/>
      <c r="Z37" s="19"/>
      <c r="AA37" s="19"/>
      <c r="AB37" s="19"/>
      <c r="AC37" s="19"/>
      <c r="AD37" s="58"/>
      <c r="AE37" s="61"/>
      <c r="AF37" s="61"/>
      <c r="AG37" s="61"/>
      <c r="AH37" s="61"/>
      <c r="AI37" s="61"/>
      <c r="AJ37" s="61"/>
      <c r="AK37" s="61"/>
      <c r="AL37" s="61"/>
      <c r="AM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60"/>
      <c r="U38" s="60"/>
      <c r="V38" s="13"/>
      <c r="W38" s="13"/>
      <c r="X38" s="13"/>
      <c r="Y38" s="13"/>
      <c r="Z38" s="13"/>
      <c r="AA38" s="13"/>
      <c r="AB38" s="13"/>
      <c r="AC38" s="13"/>
      <c r="AD38" s="60"/>
      <c r="AE38" s="60"/>
      <c r="AF38" s="60"/>
      <c r="AG38" s="60"/>
      <c r="AH38" s="60"/>
      <c r="AI38" s="60"/>
      <c r="AJ38" s="60"/>
      <c r="AK38" s="60"/>
      <c r="AL38" s="60"/>
      <c r="AM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0.0</v>
      </c>
      <c r="AH39" s="19">
        <v>0.0</v>
      </c>
      <c r="AI39" s="19">
        <v>0.0</v>
      </c>
      <c r="AJ39" s="19">
        <v>0.0</v>
      </c>
      <c r="AK39" s="19">
        <v>0.0</v>
      </c>
      <c r="AL39" s="19">
        <v>0.0</v>
      </c>
      <c r="AM39" s="13">
        <f t="shared" ref="AM39:AM41" si="12">SUM(E39:AL39)</f>
        <v>0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9">
        <v>0.0</v>
      </c>
      <c r="AI40" s="19">
        <v>0.0</v>
      </c>
      <c r="AJ40" s="19">
        <v>0.0</v>
      </c>
      <c r="AK40" s="19">
        <v>0.0</v>
      </c>
      <c r="AL40" s="19">
        <v>0.0</v>
      </c>
      <c r="AM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AL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2"/>
        <v>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6"/>
      <c r="Z42" s="19"/>
      <c r="AA42" s="19"/>
      <c r="AB42" s="19"/>
      <c r="AC42" s="19"/>
      <c r="AD42" s="58"/>
      <c r="AE42" s="19"/>
      <c r="AF42" s="58"/>
      <c r="AG42" s="19"/>
      <c r="AH42" s="58"/>
      <c r="AI42" s="19"/>
      <c r="AJ42" s="58"/>
      <c r="AK42" s="19"/>
      <c r="AL42" s="58"/>
      <c r="AM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60"/>
      <c r="U43" s="13"/>
      <c r="V43" s="13"/>
      <c r="W43" s="13"/>
      <c r="X43" s="13"/>
      <c r="Y43" s="13"/>
      <c r="Z43" s="13"/>
      <c r="AA43" s="13"/>
      <c r="AB43" s="13"/>
      <c r="AC43" s="13"/>
      <c r="AD43" s="60"/>
      <c r="AE43" s="13"/>
      <c r="AF43" s="60"/>
      <c r="AG43" s="13"/>
      <c r="AH43" s="60"/>
      <c r="AI43" s="13"/>
      <c r="AJ43" s="60"/>
      <c r="AK43" s="13"/>
      <c r="AL43" s="60"/>
      <c r="AM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58"/>
      <c r="U44" s="19"/>
      <c r="V44" s="19"/>
      <c r="W44" s="19"/>
      <c r="X44" s="19"/>
      <c r="Y44" s="19"/>
      <c r="Z44" s="19"/>
      <c r="AA44" s="19"/>
      <c r="AB44" s="19"/>
      <c r="AC44" s="19"/>
      <c r="AD44" s="58"/>
      <c r="AE44" s="19"/>
      <c r="AF44" s="58"/>
      <c r="AG44" s="19"/>
      <c r="AH44" s="58"/>
      <c r="AI44" s="19"/>
      <c r="AJ44" s="58"/>
      <c r="AK44" s="19"/>
      <c r="AL44" s="58"/>
      <c r="AM44" s="13"/>
    </row>
    <row r="45" ht="12.75" customHeight="1">
      <c r="A45" s="30"/>
      <c r="B45" s="47">
        <v>1.0</v>
      </c>
      <c r="C45" s="48" t="s">
        <v>37</v>
      </c>
      <c r="D45" s="16"/>
      <c r="E45" s="19">
        <v>8.0</v>
      </c>
      <c r="F45" s="19">
        <v>18.0</v>
      </c>
      <c r="G45" s="19">
        <v>6.0</v>
      </c>
      <c r="H45" s="19">
        <v>9.0</v>
      </c>
      <c r="I45" s="19">
        <v>22.0</v>
      </c>
      <c r="J45" s="19">
        <v>14.0</v>
      </c>
      <c r="K45" s="19">
        <v>16.0</v>
      </c>
      <c r="L45" s="19">
        <v>19.0</v>
      </c>
      <c r="M45" s="19">
        <v>6.0</v>
      </c>
      <c r="N45" s="19">
        <v>5.0</v>
      </c>
      <c r="O45" s="19">
        <v>4.0</v>
      </c>
      <c r="P45" s="19">
        <v>8.0</v>
      </c>
      <c r="Q45" s="19">
        <v>10.0</v>
      </c>
      <c r="R45" s="19">
        <v>18.0</v>
      </c>
      <c r="S45" s="19">
        <v>2.0</v>
      </c>
      <c r="T45" s="19">
        <v>4.0</v>
      </c>
      <c r="U45" s="19">
        <v>4.0</v>
      </c>
      <c r="V45" s="19">
        <v>11.0</v>
      </c>
      <c r="W45" s="19">
        <v>15.0</v>
      </c>
      <c r="X45" s="19">
        <v>22.0</v>
      </c>
      <c r="Y45" s="19">
        <v>19.0</v>
      </c>
      <c r="Z45" s="19">
        <v>34.0</v>
      </c>
      <c r="AA45" s="19">
        <v>15.0</v>
      </c>
      <c r="AB45" s="19">
        <v>25.0</v>
      </c>
      <c r="AC45" s="19">
        <v>14.0</v>
      </c>
      <c r="AD45" s="19">
        <v>28.0</v>
      </c>
      <c r="AE45" s="19">
        <v>14.0</v>
      </c>
      <c r="AF45" s="19">
        <v>22.0</v>
      </c>
      <c r="AG45" s="19">
        <v>23.0</v>
      </c>
      <c r="AH45" s="19">
        <v>22.0</v>
      </c>
      <c r="AI45" s="19">
        <v>16.0</v>
      </c>
      <c r="AJ45" s="19">
        <v>23.0</v>
      </c>
      <c r="AK45" s="19">
        <v>23.0</v>
      </c>
      <c r="AL45" s="19">
        <v>17.0</v>
      </c>
      <c r="AM45" s="13">
        <f t="shared" ref="AM45:AM47" si="14">SUM(E45:AL45)</f>
        <v>516</v>
      </c>
    </row>
    <row r="46" ht="12.75" customHeight="1">
      <c r="A46" s="18"/>
      <c r="B46" s="47">
        <v>2.0</v>
      </c>
      <c r="C46" s="48" t="s">
        <v>38</v>
      </c>
      <c r="D46" s="16"/>
      <c r="E46" s="19">
        <v>170.0</v>
      </c>
      <c r="F46" s="19">
        <v>160.0</v>
      </c>
      <c r="G46" s="19">
        <v>167.0</v>
      </c>
      <c r="H46" s="19">
        <v>169.0</v>
      </c>
      <c r="I46" s="19">
        <v>165.0</v>
      </c>
      <c r="J46" s="19">
        <v>165.0</v>
      </c>
      <c r="K46" s="19">
        <v>177.0</v>
      </c>
      <c r="L46" s="19">
        <v>177.0</v>
      </c>
      <c r="M46" s="19">
        <v>172.0</v>
      </c>
      <c r="N46" s="19">
        <v>104.0</v>
      </c>
      <c r="O46" s="19">
        <v>98.0</v>
      </c>
      <c r="P46" s="19">
        <v>149.0</v>
      </c>
      <c r="Q46" s="19">
        <v>153.0</v>
      </c>
      <c r="R46" s="19">
        <v>161.0</v>
      </c>
      <c r="S46" s="19">
        <v>149.0</v>
      </c>
      <c r="T46" s="19">
        <v>131.0</v>
      </c>
      <c r="U46" s="19">
        <v>144.0</v>
      </c>
      <c r="V46" s="19">
        <v>158.0</v>
      </c>
      <c r="W46" s="19">
        <v>124.0</v>
      </c>
      <c r="X46" s="19">
        <v>162.0</v>
      </c>
      <c r="Y46" s="19">
        <v>158.0</v>
      </c>
      <c r="Z46" s="19">
        <v>118.0</v>
      </c>
      <c r="AA46" s="19">
        <v>136.0</v>
      </c>
      <c r="AB46" s="19">
        <v>139.0</v>
      </c>
      <c r="AC46" s="19">
        <v>156.0</v>
      </c>
      <c r="AD46" s="19">
        <v>153.0</v>
      </c>
      <c r="AE46" s="19">
        <v>146.0</v>
      </c>
      <c r="AF46" s="19">
        <v>154.0</v>
      </c>
      <c r="AG46" s="19">
        <v>133.0</v>
      </c>
      <c r="AH46" s="19">
        <v>165.0</v>
      </c>
      <c r="AI46" s="19">
        <v>117.0</v>
      </c>
      <c r="AJ46" s="19">
        <v>145.0</v>
      </c>
      <c r="AK46" s="19">
        <v>126.0</v>
      </c>
      <c r="AL46" s="19">
        <v>142.0</v>
      </c>
      <c r="AM46" s="13">
        <f t="shared" si="14"/>
        <v>5043</v>
      </c>
    </row>
    <row r="47" ht="12.75" customHeight="1">
      <c r="A47" s="18"/>
      <c r="B47" s="47">
        <v>3.0</v>
      </c>
      <c r="C47" s="48" t="s">
        <v>39</v>
      </c>
      <c r="D47" s="16"/>
      <c r="E47" s="19">
        <v>47.0</v>
      </c>
      <c r="F47" s="19">
        <v>33.0</v>
      </c>
      <c r="G47" s="19">
        <v>36.0</v>
      </c>
      <c r="H47" s="19">
        <v>49.0</v>
      </c>
      <c r="I47" s="19">
        <v>43.0</v>
      </c>
      <c r="J47" s="19">
        <v>41.0</v>
      </c>
      <c r="K47" s="19">
        <v>25.0</v>
      </c>
      <c r="L47" s="19">
        <v>48.0</v>
      </c>
      <c r="M47" s="19">
        <v>42.0</v>
      </c>
      <c r="N47" s="19">
        <v>32.0</v>
      </c>
      <c r="O47" s="19">
        <v>34.0</v>
      </c>
      <c r="P47" s="19">
        <v>45.0</v>
      </c>
      <c r="Q47" s="19">
        <v>42.0</v>
      </c>
      <c r="R47" s="19">
        <v>32.0</v>
      </c>
      <c r="S47" s="19">
        <v>44.0</v>
      </c>
      <c r="T47" s="19">
        <v>74.0</v>
      </c>
      <c r="U47" s="19">
        <v>45.0</v>
      </c>
      <c r="V47" s="19">
        <v>46.0</v>
      </c>
      <c r="W47" s="19">
        <v>34.0</v>
      </c>
      <c r="X47" s="19">
        <v>37.0</v>
      </c>
      <c r="Y47" s="19">
        <v>24.0</v>
      </c>
      <c r="Z47" s="19">
        <v>35.0</v>
      </c>
      <c r="AA47" s="19">
        <v>37.0</v>
      </c>
      <c r="AB47" s="19">
        <v>51.0</v>
      </c>
      <c r="AC47" s="19">
        <v>40.0</v>
      </c>
      <c r="AD47" s="19">
        <v>21.0</v>
      </c>
      <c r="AE47" s="19">
        <v>42.0</v>
      </c>
      <c r="AF47" s="19">
        <v>34.0</v>
      </c>
      <c r="AG47" s="19">
        <v>38.0</v>
      </c>
      <c r="AH47" s="19">
        <v>18.0</v>
      </c>
      <c r="AI47" s="19">
        <v>59.0</v>
      </c>
      <c r="AJ47" s="19">
        <v>37.0</v>
      </c>
      <c r="AK47" s="19">
        <v>39.0</v>
      </c>
      <c r="AL47" s="19">
        <v>38.0</v>
      </c>
      <c r="AM47" s="13">
        <f t="shared" si="14"/>
        <v>1342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0"/>
      <c r="O49" s="60"/>
      <c r="P49" s="60"/>
      <c r="Q49" s="60"/>
      <c r="R49" s="60"/>
      <c r="S49" s="60"/>
      <c r="T49" s="60"/>
      <c r="U49" s="60"/>
      <c r="V49" s="13"/>
      <c r="W49" s="13"/>
      <c r="X49" s="13"/>
      <c r="Y49" s="13"/>
      <c r="Z49" s="13"/>
      <c r="AA49" s="13"/>
      <c r="AB49" s="13"/>
      <c r="AC49" s="13"/>
      <c r="AD49" s="60"/>
      <c r="AE49" s="60"/>
      <c r="AF49" s="60"/>
      <c r="AG49" s="60"/>
      <c r="AH49" s="60"/>
      <c r="AI49" s="60"/>
      <c r="AJ49" s="60"/>
      <c r="AK49" s="60"/>
      <c r="AL49" s="60"/>
      <c r="AM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AL50" si="15">SUM(E45:E47)</f>
        <v>225</v>
      </c>
      <c r="F50" s="19">
        <f t="shared" si="15"/>
        <v>211</v>
      </c>
      <c r="G50" s="19">
        <f t="shared" si="15"/>
        <v>209</v>
      </c>
      <c r="H50" s="19">
        <f t="shared" si="15"/>
        <v>227</v>
      </c>
      <c r="I50" s="19">
        <f t="shared" si="15"/>
        <v>230</v>
      </c>
      <c r="J50" s="19">
        <f t="shared" si="15"/>
        <v>220</v>
      </c>
      <c r="K50" s="19">
        <f t="shared" si="15"/>
        <v>218</v>
      </c>
      <c r="L50" s="19">
        <f t="shared" si="15"/>
        <v>244</v>
      </c>
      <c r="M50" s="19">
        <f t="shared" si="15"/>
        <v>220</v>
      </c>
      <c r="N50" s="19">
        <f t="shared" si="15"/>
        <v>141</v>
      </c>
      <c r="O50" s="19">
        <f t="shared" si="15"/>
        <v>136</v>
      </c>
      <c r="P50" s="19">
        <f t="shared" si="15"/>
        <v>202</v>
      </c>
      <c r="Q50" s="19">
        <f t="shared" si="15"/>
        <v>205</v>
      </c>
      <c r="R50" s="19">
        <f t="shared" si="15"/>
        <v>211</v>
      </c>
      <c r="S50" s="19">
        <f t="shared" si="15"/>
        <v>195</v>
      </c>
      <c r="T50" s="19">
        <f t="shared" si="15"/>
        <v>209</v>
      </c>
      <c r="U50" s="19">
        <f t="shared" si="15"/>
        <v>193</v>
      </c>
      <c r="V50" s="19">
        <f t="shared" si="15"/>
        <v>215</v>
      </c>
      <c r="W50" s="19">
        <f t="shared" si="15"/>
        <v>173</v>
      </c>
      <c r="X50" s="19">
        <f t="shared" si="15"/>
        <v>221</v>
      </c>
      <c r="Y50" s="19">
        <f t="shared" si="15"/>
        <v>201</v>
      </c>
      <c r="Z50" s="19">
        <f t="shared" si="15"/>
        <v>187</v>
      </c>
      <c r="AA50" s="19">
        <f t="shared" si="15"/>
        <v>188</v>
      </c>
      <c r="AB50" s="19">
        <f t="shared" si="15"/>
        <v>215</v>
      </c>
      <c r="AC50" s="19">
        <f t="shared" si="15"/>
        <v>210</v>
      </c>
      <c r="AD50" s="19">
        <f t="shared" si="15"/>
        <v>202</v>
      </c>
      <c r="AE50" s="19">
        <f t="shared" si="15"/>
        <v>202</v>
      </c>
      <c r="AF50" s="19">
        <f t="shared" si="15"/>
        <v>210</v>
      </c>
      <c r="AG50" s="19">
        <f t="shared" si="15"/>
        <v>194</v>
      </c>
      <c r="AH50" s="19">
        <f t="shared" si="15"/>
        <v>205</v>
      </c>
      <c r="AI50" s="19">
        <f t="shared" si="15"/>
        <v>192</v>
      </c>
      <c r="AJ50" s="19">
        <f t="shared" si="15"/>
        <v>205</v>
      </c>
      <c r="AK50" s="19">
        <f t="shared" si="15"/>
        <v>188</v>
      </c>
      <c r="AL50" s="19">
        <f t="shared" si="15"/>
        <v>197</v>
      </c>
      <c r="AM50" s="13">
        <f t="shared" ref="AM50:AM52" si="16">SUM(E50:AL50)</f>
        <v>6901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0.0</v>
      </c>
      <c r="F51" s="19">
        <v>5.0</v>
      </c>
      <c r="G51" s="19">
        <v>3.0</v>
      </c>
      <c r="H51" s="19">
        <v>1.0</v>
      </c>
      <c r="I51" s="19">
        <v>2.0</v>
      </c>
      <c r="J51" s="19">
        <v>5.0</v>
      </c>
      <c r="K51" s="19">
        <v>2.0</v>
      </c>
      <c r="L51" s="19">
        <v>5.0</v>
      </c>
      <c r="M51" s="19">
        <v>2.0</v>
      </c>
      <c r="N51" s="19">
        <v>1.0</v>
      </c>
      <c r="O51" s="19">
        <v>0.0</v>
      </c>
      <c r="P51" s="19">
        <v>3.0</v>
      </c>
      <c r="Q51" s="19">
        <v>1.0</v>
      </c>
      <c r="R51" s="19">
        <v>2.0</v>
      </c>
      <c r="S51" s="19">
        <v>2.0</v>
      </c>
      <c r="T51" s="19">
        <v>1.0</v>
      </c>
      <c r="U51" s="19">
        <v>0.0</v>
      </c>
      <c r="V51" s="19">
        <v>6.0</v>
      </c>
      <c r="W51" s="19">
        <v>3.0</v>
      </c>
      <c r="X51" s="19">
        <v>1.0</v>
      </c>
      <c r="Y51" s="19">
        <v>6.0</v>
      </c>
      <c r="Z51" s="19">
        <v>4.0</v>
      </c>
      <c r="AA51" s="19">
        <v>3.0</v>
      </c>
      <c r="AB51" s="19">
        <v>1.0</v>
      </c>
      <c r="AC51" s="19">
        <v>1.0</v>
      </c>
      <c r="AD51" s="19">
        <v>2.0</v>
      </c>
      <c r="AE51" s="19">
        <v>1.0</v>
      </c>
      <c r="AF51" s="19">
        <v>1.0</v>
      </c>
      <c r="AG51" s="19">
        <v>3.0</v>
      </c>
      <c r="AH51" s="19">
        <v>1.0</v>
      </c>
      <c r="AI51" s="19">
        <v>3.0</v>
      </c>
      <c r="AJ51" s="19">
        <v>3.0</v>
      </c>
      <c r="AK51" s="19">
        <v>3.0</v>
      </c>
      <c r="AL51" s="19">
        <v>3.0</v>
      </c>
      <c r="AM51" s="13">
        <f t="shared" si="16"/>
        <v>80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AL52" si="17">SUM(E50:E51)</f>
        <v>225</v>
      </c>
      <c r="F52" s="13">
        <f t="shared" si="17"/>
        <v>216</v>
      </c>
      <c r="G52" s="13">
        <f t="shared" si="17"/>
        <v>212</v>
      </c>
      <c r="H52" s="13">
        <f t="shared" si="17"/>
        <v>228</v>
      </c>
      <c r="I52" s="13">
        <f t="shared" si="17"/>
        <v>232</v>
      </c>
      <c r="J52" s="13">
        <f t="shared" si="17"/>
        <v>225</v>
      </c>
      <c r="K52" s="13">
        <f t="shared" si="17"/>
        <v>220</v>
      </c>
      <c r="L52" s="13">
        <f t="shared" si="17"/>
        <v>249</v>
      </c>
      <c r="M52" s="13">
        <f t="shared" si="17"/>
        <v>222</v>
      </c>
      <c r="N52" s="13">
        <f t="shared" si="17"/>
        <v>142</v>
      </c>
      <c r="O52" s="13">
        <f t="shared" si="17"/>
        <v>136</v>
      </c>
      <c r="P52" s="13">
        <f t="shared" si="17"/>
        <v>205</v>
      </c>
      <c r="Q52" s="13">
        <f t="shared" si="17"/>
        <v>206</v>
      </c>
      <c r="R52" s="13">
        <f t="shared" si="17"/>
        <v>213</v>
      </c>
      <c r="S52" s="13">
        <f t="shared" si="17"/>
        <v>197</v>
      </c>
      <c r="T52" s="13">
        <f t="shared" si="17"/>
        <v>210</v>
      </c>
      <c r="U52" s="13">
        <f t="shared" si="17"/>
        <v>193</v>
      </c>
      <c r="V52" s="13">
        <f t="shared" si="17"/>
        <v>221</v>
      </c>
      <c r="W52" s="13">
        <f t="shared" si="17"/>
        <v>176</v>
      </c>
      <c r="X52" s="13">
        <f t="shared" si="17"/>
        <v>222</v>
      </c>
      <c r="Y52" s="13">
        <f t="shared" si="17"/>
        <v>207</v>
      </c>
      <c r="Z52" s="13">
        <f t="shared" si="17"/>
        <v>191</v>
      </c>
      <c r="AA52" s="13">
        <f t="shared" si="17"/>
        <v>191</v>
      </c>
      <c r="AB52" s="13">
        <f t="shared" si="17"/>
        <v>216</v>
      </c>
      <c r="AC52" s="13">
        <f t="shared" si="17"/>
        <v>211</v>
      </c>
      <c r="AD52" s="13">
        <f t="shared" si="17"/>
        <v>204</v>
      </c>
      <c r="AE52" s="13">
        <f t="shared" si="17"/>
        <v>203</v>
      </c>
      <c r="AF52" s="13">
        <f t="shared" si="17"/>
        <v>211</v>
      </c>
      <c r="AG52" s="13">
        <f t="shared" si="17"/>
        <v>197</v>
      </c>
      <c r="AH52" s="13">
        <f t="shared" si="17"/>
        <v>206</v>
      </c>
      <c r="AI52" s="13">
        <f t="shared" si="17"/>
        <v>195</v>
      </c>
      <c r="AJ52" s="13">
        <f t="shared" si="17"/>
        <v>208</v>
      </c>
      <c r="AK52" s="13">
        <f t="shared" si="17"/>
        <v>191</v>
      </c>
      <c r="AL52" s="13">
        <f t="shared" si="17"/>
        <v>200</v>
      </c>
      <c r="AM52" s="13">
        <f t="shared" si="16"/>
        <v>6981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L12"/>
    <mergeCell ref="AM12:AM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Y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Y42"/>
    <mergeCell ref="B43:D43"/>
    <mergeCell ref="A44:D44"/>
    <mergeCell ref="C45:D45"/>
  </mergeCells>
  <conditionalFormatting sqref="E34:T34 V34:AJ34">
    <cfRule type="expression" dxfId="0" priority="1">
      <formula>E34&lt;&gt;#REF!</formula>
    </cfRule>
  </conditionalFormatting>
  <conditionalFormatting sqref="E14:AL15 E45:AL47">
    <cfRule type="containsBlanks" dxfId="1" priority="2">
      <formula>LEN(TRIM(E14))=0</formula>
    </cfRule>
  </conditionalFormatting>
  <conditionalFormatting sqref="E19:AL20">
    <cfRule type="containsBlanks" dxfId="1" priority="3">
      <formula>LEN(TRIM(E19))=0</formula>
    </cfRule>
  </conditionalFormatting>
  <conditionalFormatting sqref="E22:AL23 E25:AL26 E33:AL33 E35:AL35 E39:AL40">
    <cfRule type="containsBlanks" dxfId="1" priority="4">
      <formula>LEN(TRIM(E22))=0</formula>
    </cfRule>
  </conditionalFormatting>
  <conditionalFormatting sqref="E30:AL30">
    <cfRule type="expression" dxfId="0" priority="5">
      <formula>E30&lt;&gt;E46</formula>
    </cfRule>
  </conditionalFormatting>
  <conditionalFormatting sqref="E30:AL30">
    <cfRule type="expression" dxfId="0" priority="6">
      <formula>E30&lt;&gt;E34</formula>
    </cfRule>
  </conditionalFormatting>
  <conditionalFormatting sqref="E34:AL34">
    <cfRule type="expression" dxfId="2" priority="7">
      <formula>E30&lt;&gt;E34</formula>
    </cfRule>
  </conditionalFormatting>
  <conditionalFormatting sqref="E34:AL34">
    <cfRule type="expression" dxfId="3" priority="8">
      <formula>E30=E34</formula>
    </cfRule>
  </conditionalFormatting>
  <conditionalFormatting sqref="E34:AL34">
    <cfRule type="expression" dxfId="0" priority="9">
      <formula>E34&lt;&gt;E30</formula>
    </cfRule>
  </conditionalFormatting>
  <conditionalFormatting sqref="E50:AL51">
    <cfRule type="containsBlanks" dxfId="1" priority="10">
      <formula>LEN(TRIM(E50))=0</formula>
    </cfRule>
  </conditionalFormatting>
  <conditionalFormatting sqref="U34">
    <cfRule type="expression" dxfId="0" priority="11">
      <formula>U34&lt;&gt;U46</formula>
    </cfRule>
  </conditionalFormatting>
  <conditionalFormatting sqref="AK34:AL34">
    <cfRule type="expression" dxfId="0" priority="12">
      <formula>AK34&lt;&gt;AK46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1" width="8.71"/>
    <col customWidth="1" min="32" max="32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86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70</v>
      </c>
      <c r="Y13" s="13" t="s">
        <v>71</v>
      </c>
      <c r="Z13" s="13" t="s">
        <v>72</v>
      </c>
      <c r="AA13" s="13" t="s">
        <v>73</v>
      </c>
      <c r="AB13" s="13" t="s">
        <v>74</v>
      </c>
      <c r="AC13" s="13" t="s">
        <v>75</v>
      </c>
      <c r="AD13" s="13" t="s">
        <v>77</v>
      </c>
      <c r="AE13" s="13" t="s">
        <v>78</v>
      </c>
      <c r="AF13" s="36"/>
    </row>
    <row r="14" ht="12.75" customHeight="1">
      <c r="A14" s="18"/>
      <c r="B14" s="22" t="s">
        <v>11</v>
      </c>
      <c r="C14" s="23"/>
      <c r="D14" s="19" t="s">
        <v>12</v>
      </c>
      <c r="E14" s="19">
        <v>121.0</v>
      </c>
      <c r="F14" s="19">
        <v>121.0</v>
      </c>
      <c r="G14" s="19">
        <v>146.0</v>
      </c>
      <c r="H14" s="19">
        <v>129.0</v>
      </c>
      <c r="I14" s="19">
        <v>120.0</v>
      </c>
      <c r="J14" s="19">
        <v>134.0</v>
      </c>
      <c r="K14" s="19">
        <v>117.0</v>
      </c>
      <c r="L14" s="19">
        <v>139.0</v>
      </c>
      <c r="M14" s="19">
        <v>91.0</v>
      </c>
      <c r="N14" s="19">
        <v>126.0</v>
      </c>
      <c r="O14" s="19">
        <v>144.0</v>
      </c>
      <c r="P14" s="19">
        <v>132.0</v>
      </c>
      <c r="Q14" s="19">
        <v>104.0</v>
      </c>
      <c r="R14" s="19">
        <v>147.0</v>
      </c>
      <c r="S14" s="19">
        <v>143.0</v>
      </c>
      <c r="T14" s="19">
        <v>146.0</v>
      </c>
      <c r="U14" s="19">
        <v>136.0</v>
      </c>
      <c r="V14" s="19">
        <v>141.0</v>
      </c>
      <c r="W14" s="19">
        <v>118.0</v>
      </c>
      <c r="X14" s="19">
        <v>145.0</v>
      </c>
      <c r="Y14" s="19">
        <v>139.0</v>
      </c>
      <c r="Z14" s="19">
        <v>141.0</v>
      </c>
      <c r="AA14" s="19">
        <v>140.0</v>
      </c>
      <c r="AB14" s="19">
        <v>154.0</v>
      </c>
      <c r="AC14" s="19">
        <v>149.0</v>
      </c>
      <c r="AD14" s="19">
        <v>104.0</v>
      </c>
      <c r="AE14" s="19">
        <v>104.0</v>
      </c>
      <c r="AF14" s="13">
        <f t="shared" ref="AF14:AF16" si="1">SUM(E14:AE14)</f>
        <v>3531</v>
      </c>
    </row>
    <row r="15" ht="12.75" customHeight="1">
      <c r="A15" s="18"/>
      <c r="B15" s="26"/>
      <c r="C15" s="27"/>
      <c r="D15" s="19" t="s">
        <v>13</v>
      </c>
      <c r="E15" s="19">
        <v>121.0</v>
      </c>
      <c r="F15" s="19">
        <v>125.0</v>
      </c>
      <c r="G15" s="19">
        <v>131.0</v>
      </c>
      <c r="H15" s="19">
        <v>131.0</v>
      </c>
      <c r="I15" s="19">
        <v>128.0</v>
      </c>
      <c r="J15" s="19">
        <v>123.0</v>
      </c>
      <c r="K15" s="19">
        <v>130.0</v>
      </c>
      <c r="L15" s="19">
        <v>139.0</v>
      </c>
      <c r="M15" s="19">
        <v>97.0</v>
      </c>
      <c r="N15" s="19">
        <v>125.0</v>
      </c>
      <c r="O15" s="19">
        <v>137.0</v>
      </c>
      <c r="P15" s="19">
        <v>135.0</v>
      </c>
      <c r="Q15" s="19">
        <v>113.0</v>
      </c>
      <c r="R15" s="19">
        <v>119.0</v>
      </c>
      <c r="S15" s="19">
        <v>138.0</v>
      </c>
      <c r="T15" s="19">
        <v>141.0</v>
      </c>
      <c r="U15" s="19">
        <v>145.0</v>
      </c>
      <c r="V15" s="19">
        <v>144.0</v>
      </c>
      <c r="W15" s="19">
        <v>104.0</v>
      </c>
      <c r="X15" s="19">
        <v>133.0</v>
      </c>
      <c r="Y15" s="19">
        <v>143.0</v>
      </c>
      <c r="Z15" s="19">
        <v>145.0</v>
      </c>
      <c r="AA15" s="19">
        <v>140.0</v>
      </c>
      <c r="AB15" s="19">
        <v>139.0</v>
      </c>
      <c r="AC15" s="19">
        <v>144.0</v>
      </c>
      <c r="AD15" s="19">
        <v>104.0</v>
      </c>
      <c r="AE15" s="19">
        <v>119.0</v>
      </c>
      <c r="AF15" s="13">
        <f t="shared" si="1"/>
        <v>3493</v>
      </c>
    </row>
    <row r="16" ht="12.75" customHeight="1">
      <c r="A16" s="25"/>
      <c r="B16" s="21"/>
      <c r="C16" s="28"/>
      <c r="D16" s="13" t="s">
        <v>14</v>
      </c>
      <c r="E16" s="13">
        <f t="shared" ref="E16:AE16" si="2">SUM(E14:E15)</f>
        <v>242</v>
      </c>
      <c r="F16" s="13">
        <f t="shared" si="2"/>
        <v>246</v>
      </c>
      <c r="G16" s="13">
        <f t="shared" si="2"/>
        <v>277</v>
      </c>
      <c r="H16" s="13">
        <f t="shared" si="2"/>
        <v>260</v>
      </c>
      <c r="I16" s="13">
        <f t="shared" si="2"/>
        <v>248</v>
      </c>
      <c r="J16" s="13">
        <f t="shared" si="2"/>
        <v>257</v>
      </c>
      <c r="K16" s="13">
        <f t="shared" si="2"/>
        <v>247</v>
      </c>
      <c r="L16" s="13">
        <f t="shared" si="2"/>
        <v>278</v>
      </c>
      <c r="M16" s="13">
        <f t="shared" si="2"/>
        <v>188</v>
      </c>
      <c r="N16" s="13">
        <f t="shared" si="2"/>
        <v>251</v>
      </c>
      <c r="O16" s="13">
        <f t="shared" si="2"/>
        <v>281</v>
      </c>
      <c r="P16" s="13">
        <f t="shared" si="2"/>
        <v>267</v>
      </c>
      <c r="Q16" s="13">
        <f t="shared" si="2"/>
        <v>217</v>
      </c>
      <c r="R16" s="13">
        <f t="shared" si="2"/>
        <v>266</v>
      </c>
      <c r="S16" s="13">
        <f t="shared" si="2"/>
        <v>281</v>
      </c>
      <c r="T16" s="13">
        <f t="shared" si="2"/>
        <v>287</v>
      </c>
      <c r="U16" s="13">
        <f t="shared" si="2"/>
        <v>281</v>
      </c>
      <c r="V16" s="13">
        <f t="shared" si="2"/>
        <v>285</v>
      </c>
      <c r="W16" s="13">
        <f t="shared" si="2"/>
        <v>222</v>
      </c>
      <c r="X16" s="13">
        <f t="shared" si="2"/>
        <v>278</v>
      </c>
      <c r="Y16" s="13">
        <f t="shared" si="2"/>
        <v>282</v>
      </c>
      <c r="Z16" s="13">
        <f t="shared" si="2"/>
        <v>286</v>
      </c>
      <c r="AA16" s="13">
        <f t="shared" si="2"/>
        <v>280</v>
      </c>
      <c r="AB16" s="13">
        <f t="shared" si="2"/>
        <v>293</v>
      </c>
      <c r="AC16" s="13">
        <f t="shared" si="2"/>
        <v>293</v>
      </c>
      <c r="AD16" s="13">
        <f t="shared" si="2"/>
        <v>208</v>
      </c>
      <c r="AE16" s="13">
        <f t="shared" si="2"/>
        <v>223</v>
      </c>
      <c r="AF16" s="13">
        <f t="shared" si="1"/>
        <v>7024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83.0</v>
      </c>
      <c r="F19" s="19">
        <v>95.0</v>
      </c>
      <c r="G19" s="19">
        <v>107.0</v>
      </c>
      <c r="H19" s="19">
        <v>104.0</v>
      </c>
      <c r="I19" s="19">
        <v>95.0</v>
      </c>
      <c r="J19" s="19">
        <v>106.0</v>
      </c>
      <c r="K19" s="19">
        <v>100.0</v>
      </c>
      <c r="L19" s="19">
        <v>98.0</v>
      </c>
      <c r="M19" s="19">
        <v>78.0</v>
      </c>
      <c r="N19" s="19">
        <v>103.0</v>
      </c>
      <c r="O19" s="19">
        <v>102.0</v>
      </c>
      <c r="P19" s="19">
        <v>102.0</v>
      </c>
      <c r="Q19" s="19">
        <v>92.0</v>
      </c>
      <c r="R19" s="19">
        <v>128.0</v>
      </c>
      <c r="S19" s="19">
        <v>113.0</v>
      </c>
      <c r="T19" s="19">
        <v>108.0</v>
      </c>
      <c r="U19" s="19">
        <v>119.0</v>
      </c>
      <c r="V19" s="19">
        <v>104.0</v>
      </c>
      <c r="W19" s="19">
        <v>77.0</v>
      </c>
      <c r="X19" s="19">
        <v>106.0</v>
      </c>
      <c r="Y19" s="19">
        <v>102.0</v>
      </c>
      <c r="Z19" s="19">
        <v>107.0</v>
      </c>
      <c r="AA19" s="19">
        <v>106.0</v>
      </c>
      <c r="AB19" s="19">
        <v>123.0</v>
      </c>
      <c r="AC19" s="19">
        <v>115.0</v>
      </c>
      <c r="AD19" s="19">
        <v>69.0</v>
      </c>
      <c r="AE19" s="19">
        <v>79.0</v>
      </c>
      <c r="AF19" s="13">
        <f t="shared" ref="AF19:AF30" si="3">SUM(E19:AE19)</f>
        <v>2721</v>
      </c>
    </row>
    <row r="20" ht="12.75" customHeight="1">
      <c r="A20" s="33"/>
      <c r="B20" s="27"/>
      <c r="C20" s="34"/>
      <c r="D20" s="19" t="s">
        <v>13</v>
      </c>
      <c r="E20" s="19">
        <v>93.0</v>
      </c>
      <c r="F20" s="19">
        <v>97.0</v>
      </c>
      <c r="G20" s="19">
        <v>108.0</v>
      </c>
      <c r="H20" s="19">
        <v>113.0</v>
      </c>
      <c r="I20" s="19">
        <v>96.0</v>
      </c>
      <c r="J20" s="19">
        <v>99.0</v>
      </c>
      <c r="K20" s="19">
        <v>113.0</v>
      </c>
      <c r="L20" s="19">
        <v>108.0</v>
      </c>
      <c r="M20" s="19">
        <v>80.0</v>
      </c>
      <c r="N20" s="19">
        <v>97.0</v>
      </c>
      <c r="O20" s="19">
        <v>122.0</v>
      </c>
      <c r="P20" s="19">
        <v>111.0</v>
      </c>
      <c r="Q20" s="19">
        <v>99.0</v>
      </c>
      <c r="R20" s="19">
        <v>104.0</v>
      </c>
      <c r="S20" s="19">
        <v>112.0</v>
      </c>
      <c r="T20" s="19">
        <v>105.0</v>
      </c>
      <c r="U20" s="19">
        <v>124.0</v>
      </c>
      <c r="V20" s="19">
        <v>114.0</v>
      </c>
      <c r="W20" s="19">
        <v>73.0</v>
      </c>
      <c r="X20" s="19">
        <v>99.0</v>
      </c>
      <c r="Y20" s="19">
        <v>110.0</v>
      </c>
      <c r="Z20" s="19">
        <v>118.0</v>
      </c>
      <c r="AA20" s="19">
        <v>110.0</v>
      </c>
      <c r="AB20" s="19">
        <v>106.0</v>
      </c>
      <c r="AC20" s="19">
        <v>103.0</v>
      </c>
      <c r="AD20" s="19">
        <v>68.0</v>
      </c>
      <c r="AE20" s="19">
        <v>94.0</v>
      </c>
      <c r="AF20" s="13">
        <f t="shared" si="3"/>
        <v>2776</v>
      </c>
    </row>
    <row r="21" ht="12.75" customHeight="1">
      <c r="A21" s="35"/>
      <c r="B21" s="28"/>
      <c r="C21" s="36"/>
      <c r="D21" s="13" t="s">
        <v>14</v>
      </c>
      <c r="E21" s="13">
        <f t="shared" ref="E21:AE21" si="4">SUM(E19:E20)</f>
        <v>176</v>
      </c>
      <c r="F21" s="13">
        <f t="shared" si="4"/>
        <v>192</v>
      </c>
      <c r="G21" s="13">
        <f t="shared" si="4"/>
        <v>215</v>
      </c>
      <c r="H21" s="13">
        <f t="shared" si="4"/>
        <v>217</v>
      </c>
      <c r="I21" s="13">
        <f t="shared" si="4"/>
        <v>191</v>
      </c>
      <c r="J21" s="13">
        <f t="shared" si="4"/>
        <v>205</v>
      </c>
      <c r="K21" s="13">
        <f t="shared" si="4"/>
        <v>213</v>
      </c>
      <c r="L21" s="13">
        <f t="shared" si="4"/>
        <v>206</v>
      </c>
      <c r="M21" s="13">
        <f t="shared" si="4"/>
        <v>158</v>
      </c>
      <c r="N21" s="13">
        <f t="shared" si="4"/>
        <v>200</v>
      </c>
      <c r="O21" s="13">
        <f t="shared" si="4"/>
        <v>224</v>
      </c>
      <c r="P21" s="13">
        <f t="shared" si="4"/>
        <v>213</v>
      </c>
      <c r="Q21" s="13">
        <f t="shared" si="4"/>
        <v>191</v>
      </c>
      <c r="R21" s="13">
        <f t="shared" si="4"/>
        <v>232</v>
      </c>
      <c r="S21" s="13">
        <f t="shared" si="4"/>
        <v>225</v>
      </c>
      <c r="T21" s="13">
        <f t="shared" si="4"/>
        <v>213</v>
      </c>
      <c r="U21" s="13">
        <f t="shared" si="4"/>
        <v>243</v>
      </c>
      <c r="V21" s="13">
        <f t="shared" si="4"/>
        <v>218</v>
      </c>
      <c r="W21" s="13">
        <f t="shared" si="4"/>
        <v>150</v>
      </c>
      <c r="X21" s="13">
        <f t="shared" si="4"/>
        <v>205</v>
      </c>
      <c r="Y21" s="13">
        <f t="shared" si="4"/>
        <v>212</v>
      </c>
      <c r="Z21" s="13">
        <f t="shared" si="4"/>
        <v>225</v>
      </c>
      <c r="AA21" s="13">
        <f t="shared" si="4"/>
        <v>216</v>
      </c>
      <c r="AB21" s="13">
        <f t="shared" si="4"/>
        <v>229</v>
      </c>
      <c r="AC21" s="13">
        <f t="shared" si="4"/>
        <v>218</v>
      </c>
      <c r="AD21" s="13">
        <f t="shared" si="4"/>
        <v>137</v>
      </c>
      <c r="AE21" s="13">
        <f t="shared" si="4"/>
        <v>173</v>
      </c>
      <c r="AF21" s="13">
        <f t="shared" si="3"/>
        <v>5497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1.0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9.0</v>
      </c>
      <c r="AA22" s="19">
        <v>10.0</v>
      </c>
      <c r="AB22" s="19">
        <v>4.0</v>
      </c>
      <c r="AC22" s="19">
        <v>0.0</v>
      </c>
      <c r="AD22" s="19">
        <v>0.0</v>
      </c>
      <c r="AE22" s="19">
        <v>0.0</v>
      </c>
      <c r="AF22" s="13">
        <f t="shared" si="3"/>
        <v>24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1.0</v>
      </c>
      <c r="AA23" s="19">
        <v>0.0</v>
      </c>
      <c r="AB23" s="19">
        <v>2.0</v>
      </c>
      <c r="AC23" s="19">
        <v>0.0</v>
      </c>
      <c r="AD23" s="19">
        <v>0.0</v>
      </c>
      <c r="AE23" s="19">
        <v>0.0</v>
      </c>
      <c r="AF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13">
        <f t="shared" ref="E24:AE24" si="5">SUM(E22:E23)</f>
        <v>0</v>
      </c>
      <c r="F24" s="13">
        <f t="shared" si="5"/>
        <v>1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10</v>
      </c>
      <c r="AA24" s="13">
        <f t="shared" si="5"/>
        <v>10</v>
      </c>
      <c r="AB24" s="13">
        <f t="shared" si="5"/>
        <v>6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3"/>
        <v>27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19">
        <v>0.0</v>
      </c>
      <c r="U25" s="19">
        <v>0.0</v>
      </c>
      <c r="V25" s="19">
        <v>0.0</v>
      </c>
      <c r="W25" s="19">
        <v>0.0</v>
      </c>
      <c r="X25" s="19">
        <v>0.0</v>
      </c>
      <c r="Y25" s="19">
        <v>0.0</v>
      </c>
      <c r="Z25" s="19">
        <v>0.0</v>
      </c>
      <c r="AA25" s="19">
        <v>0.0</v>
      </c>
      <c r="AB25" s="19">
        <v>0.0</v>
      </c>
      <c r="AC25" s="19">
        <v>0.0</v>
      </c>
      <c r="AD25" s="19">
        <v>0.0</v>
      </c>
      <c r="AE25" s="19">
        <v>0.0</v>
      </c>
      <c r="AF25" s="13">
        <f t="shared" si="3"/>
        <v>0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0.0</v>
      </c>
      <c r="N26" s="19">
        <v>0.0</v>
      </c>
      <c r="O26" s="19">
        <v>0.0</v>
      </c>
      <c r="P26" s="19">
        <v>3.0</v>
      </c>
      <c r="Q26" s="19">
        <v>0.0</v>
      </c>
      <c r="R26" s="19">
        <v>0.0</v>
      </c>
      <c r="S26" s="19">
        <v>0.0</v>
      </c>
      <c r="T26" s="19">
        <v>0.0</v>
      </c>
      <c r="U26" s="19">
        <v>0.0</v>
      </c>
      <c r="V26" s="19">
        <v>0.0</v>
      </c>
      <c r="W26" s="19">
        <v>0.0</v>
      </c>
      <c r="X26" s="19">
        <v>0.0</v>
      </c>
      <c r="Y26" s="19">
        <v>0.0</v>
      </c>
      <c r="Z26" s="19">
        <v>0.0</v>
      </c>
      <c r="AA26" s="19">
        <v>0.0</v>
      </c>
      <c r="AB26" s="19">
        <v>0.0</v>
      </c>
      <c r="AC26" s="19">
        <v>0.0</v>
      </c>
      <c r="AD26" s="19">
        <v>0.0</v>
      </c>
      <c r="AE26" s="19">
        <v>0.0</v>
      </c>
      <c r="AF26" s="13">
        <f t="shared" si="3"/>
        <v>3</v>
      </c>
    </row>
    <row r="27" ht="12.75" customHeight="1">
      <c r="A27" s="35"/>
      <c r="B27" s="28"/>
      <c r="C27" s="36"/>
      <c r="D27" s="13" t="s">
        <v>14</v>
      </c>
      <c r="E27" s="13">
        <f t="shared" ref="E27:AE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3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6"/>
        <v>0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6"/>
        <v>0</v>
      </c>
      <c r="Z27" s="13">
        <f t="shared" si="6"/>
        <v>0</v>
      </c>
      <c r="AA27" s="13">
        <f t="shared" si="6"/>
        <v>0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6"/>
        <v>0</v>
      </c>
      <c r="AF27" s="13">
        <f t="shared" si="3"/>
        <v>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E28" si="7">SUM(E19,E22,E25)</f>
        <v>83</v>
      </c>
      <c r="F28" s="13">
        <f t="shared" si="7"/>
        <v>96</v>
      </c>
      <c r="G28" s="13">
        <f t="shared" si="7"/>
        <v>107</v>
      </c>
      <c r="H28" s="13">
        <f t="shared" si="7"/>
        <v>104</v>
      </c>
      <c r="I28" s="13">
        <f t="shared" si="7"/>
        <v>95</v>
      </c>
      <c r="J28" s="13">
        <f t="shared" si="7"/>
        <v>106</v>
      </c>
      <c r="K28" s="13">
        <f t="shared" si="7"/>
        <v>100</v>
      </c>
      <c r="L28" s="13">
        <f t="shared" si="7"/>
        <v>98</v>
      </c>
      <c r="M28" s="13">
        <f t="shared" si="7"/>
        <v>78</v>
      </c>
      <c r="N28" s="13">
        <f t="shared" si="7"/>
        <v>103</v>
      </c>
      <c r="O28" s="13">
        <f t="shared" si="7"/>
        <v>102</v>
      </c>
      <c r="P28" s="13">
        <f t="shared" si="7"/>
        <v>102</v>
      </c>
      <c r="Q28" s="13">
        <f t="shared" si="7"/>
        <v>92</v>
      </c>
      <c r="R28" s="13">
        <f t="shared" si="7"/>
        <v>128</v>
      </c>
      <c r="S28" s="13">
        <f t="shared" si="7"/>
        <v>113</v>
      </c>
      <c r="T28" s="13">
        <f t="shared" si="7"/>
        <v>108</v>
      </c>
      <c r="U28" s="13">
        <f t="shared" si="7"/>
        <v>119</v>
      </c>
      <c r="V28" s="13">
        <f t="shared" si="7"/>
        <v>104</v>
      </c>
      <c r="W28" s="13">
        <f t="shared" si="7"/>
        <v>77</v>
      </c>
      <c r="X28" s="13">
        <f t="shared" si="7"/>
        <v>106</v>
      </c>
      <c r="Y28" s="13">
        <f t="shared" si="7"/>
        <v>102</v>
      </c>
      <c r="Z28" s="13">
        <f t="shared" si="7"/>
        <v>116</v>
      </c>
      <c r="AA28" s="13">
        <f t="shared" si="7"/>
        <v>116</v>
      </c>
      <c r="AB28" s="13">
        <f t="shared" si="7"/>
        <v>127</v>
      </c>
      <c r="AC28" s="13">
        <f t="shared" si="7"/>
        <v>115</v>
      </c>
      <c r="AD28" s="13">
        <f t="shared" si="7"/>
        <v>69</v>
      </c>
      <c r="AE28" s="13">
        <f t="shared" si="7"/>
        <v>79</v>
      </c>
      <c r="AF28" s="13">
        <f t="shared" si="3"/>
        <v>2745</v>
      </c>
    </row>
    <row r="29" ht="12.75" customHeight="1">
      <c r="A29" s="35"/>
      <c r="B29" s="27"/>
      <c r="C29" s="34"/>
      <c r="D29" s="13" t="s">
        <v>13</v>
      </c>
      <c r="E29" s="13">
        <f t="shared" ref="E29:AE29" si="8">SUM(E20,E23,E26)</f>
        <v>93</v>
      </c>
      <c r="F29" s="13">
        <f t="shared" si="8"/>
        <v>97</v>
      </c>
      <c r="G29" s="13">
        <f t="shared" si="8"/>
        <v>108</v>
      </c>
      <c r="H29" s="13">
        <f t="shared" si="8"/>
        <v>113</v>
      </c>
      <c r="I29" s="13">
        <f t="shared" si="8"/>
        <v>96</v>
      </c>
      <c r="J29" s="13">
        <f t="shared" si="8"/>
        <v>99</v>
      </c>
      <c r="K29" s="13">
        <f t="shared" si="8"/>
        <v>113</v>
      </c>
      <c r="L29" s="13">
        <f t="shared" si="8"/>
        <v>108</v>
      </c>
      <c r="M29" s="13">
        <f t="shared" si="8"/>
        <v>80</v>
      </c>
      <c r="N29" s="13">
        <f t="shared" si="8"/>
        <v>97</v>
      </c>
      <c r="O29" s="13">
        <f t="shared" si="8"/>
        <v>122</v>
      </c>
      <c r="P29" s="13">
        <f t="shared" si="8"/>
        <v>114</v>
      </c>
      <c r="Q29" s="13">
        <f t="shared" si="8"/>
        <v>99</v>
      </c>
      <c r="R29" s="13">
        <f t="shared" si="8"/>
        <v>104</v>
      </c>
      <c r="S29" s="13">
        <f t="shared" si="8"/>
        <v>112</v>
      </c>
      <c r="T29" s="13">
        <f t="shared" si="8"/>
        <v>105</v>
      </c>
      <c r="U29" s="13">
        <f t="shared" si="8"/>
        <v>124</v>
      </c>
      <c r="V29" s="13">
        <f t="shared" si="8"/>
        <v>114</v>
      </c>
      <c r="W29" s="13">
        <f t="shared" si="8"/>
        <v>73</v>
      </c>
      <c r="X29" s="13">
        <f t="shared" si="8"/>
        <v>99</v>
      </c>
      <c r="Y29" s="13">
        <f t="shared" si="8"/>
        <v>110</v>
      </c>
      <c r="Z29" s="13">
        <f t="shared" si="8"/>
        <v>119</v>
      </c>
      <c r="AA29" s="13">
        <f t="shared" si="8"/>
        <v>110</v>
      </c>
      <c r="AB29" s="13">
        <f t="shared" si="8"/>
        <v>108</v>
      </c>
      <c r="AC29" s="13">
        <f t="shared" si="8"/>
        <v>103</v>
      </c>
      <c r="AD29" s="13">
        <f t="shared" si="8"/>
        <v>68</v>
      </c>
      <c r="AE29" s="13">
        <f t="shared" si="8"/>
        <v>94</v>
      </c>
      <c r="AF29" s="13">
        <f t="shared" si="3"/>
        <v>2782</v>
      </c>
    </row>
    <row r="30" ht="12.75" customHeight="1">
      <c r="A30" s="35"/>
      <c r="B30" s="28"/>
      <c r="C30" s="36"/>
      <c r="D30" s="13" t="s">
        <v>14</v>
      </c>
      <c r="E30" s="13">
        <f t="shared" ref="E30:AE30" si="9">SUM(E28:E29)</f>
        <v>176</v>
      </c>
      <c r="F30" s="13">
        <f t="shared" si="9"/>
        <v>193</v>
      </c>
      <c r="G30" s="13">
        <f t="shared" si="9"/>
        <v>215</v>
      </c>
      <c r="H30" s="13">
        <f t="shared" si="9"/>
        <v>217</v>
      </c>
      <c r="I30" s="13">
        <f t="shared" si="9"/>
        <v>191</v>
      </c>
      <c r="J30" s="13">
        <f t="shared" si="9"/>
        <v>205</v>
      </c>
      <c r="K30" s="13">
        <f t="shared" si="9"/>
        <v>213</v>
      </c>
      <c r="L30" s="13">
        <f t="shared" si="9"/>
        <v>206</v>
      </c>
      <c r="M30" s="13">
        <f t="shared" si="9"/>
        <v>158</v>
      </c>
      <c r="N30" s="13">
        <f t="shared" si="9"/>
        <v>200</v>
      </c>
      <c r="O30" s="13">
        <f t="shared" si="9"/>
        <v>224</v>
      </c>
      <c r="P30" s="13">
        <f t="shared" si="9"/>
        <v>216</v>
      </c>
      <c r="Q30" s="13">
        <f t="shared" si="9"/>
        <v>191</v>
      </c>
      <c r="R30" s="13">
        <f t="shared" si="9"/>
        <v>232</v>
      </c>
      <c r="S30" s="13">
        <f t="shared" si="9"/>
        <v>225</v>
      </c>
      <c r="T30" s="13">
        <f t="shared" si="9"/>
        <v>213</v>
      </c>
      <c r="U30" s="13">
        <f t="shared" si="9"/>
        <v>243</v>
      </c>
      <c r="V30" s="13">
        <f t="shared" si="9"/>
        <v>218</v>
      </c>
      <c r="W30" s="13">
        <f t="shared" si="9"/>
        <v>150</v>
      </c>
      <c r="X30" s="13">
        <f t="shared" si="9"/>
        <v>205</v>
      </c>
      <c r="Y30" s="13">
        <f t="shared" si="9"/>
        <v>212</v>
      </c>
      <c r="Z30" s="13">
        <f t="shared" si="9"/>
        <v>235</v>
      </c>
      <c r="AA30" s="13">
        <f t="shared" si="9"/>
        <v>226</v>
      </c>
      <c r="AB30" s="13">
        <f t="shared" si="9"/>
        <v>235</v>
      </c>
      <c r="AC30" s="13">
        <f t="shared" si="9"/>
        <v>218</v>
      </c>
      <c r="AD30" s="13">
        <f t="shared" si="9"/>
        <v>137</v>
      </c>
      <c r="AE30" s="13">
        <f t="shared" si="9"/>
        <v>173</v>
      </c>
      <c r="AF30" s="13">
        <f t="shared" si="3"/>
        <v>5527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59"/>
    </row>
    <row r="33" ht="12.75" customHeight="1">
      <c r="A33" s="19">
        <v>1.0</v>
      </c>
      <c r="B33" s="20" t="s">
        <v>27</v>
      </c>
      <c r="C33" s="15"/>
      <c r="D33" s="16"/>
      <c r="E33" s="19">
        <v>247.0</v>
      </c>
      <c r="F33" s="19">
        <v>251.0</v>
      </c>
      <c r="G33" s="19">
        <v>283.0</v>
      </c>
      <c r="H33" s="19">
        <v>266.0</v>
      </c>
      <c r="I33" s="19">
        <v>256.0</v>
      </c>
      <c r="J33" s="19">
        <v>263.0</v>
      </c>
      <c r="K33" s="19">
        <v>253.0</v>
      </c>
      <c r="L33" s="19">
        <v>284.0</v>
      </c>
      <c r="M33" s="19">
        <v>192.0</v>
      </c>
      <c r="N33" s="19">
        <v>256.0</v>
      </c>
      <c r="O33" s="19">
        <v>287.0</v>
      </c>
      <c r="P33" s="19">
        <v>277.0</v>
      </c>
      <c r="Q33" s="19">
        <v>222.0</v>
      </c>
      <c r="R33" s="19">
        <v>272.0</v>
      </c>
      <c r="S33" s="19">
        <v>287.0</v>
      </c>
      <c r="T33" s="19">
        <v>293.0</v>
      </c>
      <c r="U33" s="19">
        <v>287.0</v>
      </c>
      <c r="V33" s="19">
        <v>295.0</v>
      </c>
      <c r="W33" s="19">
        <v>227.0</v>
      </c>
      <c r="X33" s="19">
        <v>284.0</v>
      </c>
      <c r="Y33" s="19">
        <v>288.0</v>
      </c>
      <c r="Z33" s="19">
        <v>292.0</v>
      </c>
      <c r="AA33" s="19">
        <v>286.0</v>
      </c>
      <c r="AB33" s="19">
        <v>299.0</v>
      </c>
      <c r="AC33" s="19">
        <v>299.0</v>
      </c>
      <c r="AD33" s="19">
        <v>213.0</v>
      </c>
      <c r="AE33" s="19">
        <v>228.0</v>
      </c>
      <c r="AF33" s="13">
        <f t="shared" ref="AF33:AF36" si="10">SUM(E33:AE33)</f>
        <v>7187</v>
      </c>
    </row>
    <row r="34" ht="12.75" customHeight="1">
      <c r="A34" s="19">
        <v>2.0</v>
      </c>
      <c r="B34" s="20" t="s">
        <v>28</v>
      </c>
      <c r="C34" s="15"/>
      <c r="D34" s="16"/>
      <c r="E34" s="13">
        <v>176.0</v>
      </c>
      <c r="F34" s="13">
        <v>193.0</v>
      </c>
      <c r="G34" s="13">
        <v>215.0</v>
      </c>
      <c r="H34" s="13">
        <v>217.0</v>
      </c>
      <c r="I34" s="13">
        <v>191.0</v>
      </c>
      <c r="J34" s="13">
        <v>205.0</v>
      </c>
      <c r="K34" s="13">
        <v>213.0</v>
      </c>
      <c r="L34" s="13">
        <v>206.0</v>
      </c>
      <c r="M34" s="13">
        <v>158.0</v>
      </c>
      <c r="N34" s="13">
        <v>200.0</v>
      </c>
      <c r="O34" s="13">
        <v>224.0</v>
      </c>
      <c r="P34" s="13">
        <v>216.0</v>
      </c>
      <c r="Q34" s="13">
        <v>191.0</v>
      </c>
      <c r="R34" s="13">
        <v>232.0</v>
      </c>
      <c r="S34" s="13">
        <v>225.0</v>
      </c>
      <c r="T34" s="13">
        <v>213.0</v>
      </c>
      <c r="U34" s="13">
        <v>243.0</v>
      </c>
      <c r="V34" s="13">
        <v>218.0</v>
      </c>
      <c r="W34" s="13">
        <v>150.0</v>
      </c>
      <c r="X34" s="13">
        <v>205.0</v>
      </c>
      <c r="Y34" s="13">
        <v>212.0</v>
      </c>
      <c r="Z34" s="13">
        <v>235.0</v>
      </c>
      <c r="AA34" s="13">
        <v>226.0</v>
      </c>
      <c r="AB34" s="13">
        <v>235.0</v>
      </c>
      <c r="AC34" s="13">
        <v>218.0</v>
      </c>
      <c r="AD34" s="13">
        <v>137.0</v>
      </c>
      <c r="AE34" s="13">
        <v>173.0</v>
      </c>
      <c r="AF34" s="13">
        <f t="shared" si="10"/>
        <v>5527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1.0</v>
      </c>
      <c r="K35" s="19">
        <v>3.0</v>
      </c>
      <c r="L35" s="19">
        <v>0.0</v>
      </c>
      <c r="M35" s="19">
        <v>0.0</v>
      </c>
      <c r="N35" s="19">
        <v>5.0</v>
      </c>
      <c r="O35" s="19">
        <v>0.0</v>
      </c>
      <c r="P35" s="19">
        <v>0.0</v>
      </c>
      <c r="Q35" s="19">
        <v>0.0</v>
      </c>
      <c r="R35" s="19">
        <v>1.0</v>
      </c>
      <c r="S35" s="19">
        <v>0.0</v>
      </c>
      <c r="T35" s="19">
        <v>2.0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1.0</v>
      </c>
      <c r="AC35" s="19">
        <v>0.0</v>
      </c>
      <c r="AD35" s="19">
        <v>0.0</v>
      </c>
      <c r="AE35" s="19">
        <v>0.0</v>
      </c>
      <c r="AF35" s="13">
        <f t="shared" si="10"/>
        <v>13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E36" si="11">E33-(E34+E35)</f>
        <v>71</v>
      </c>
      <c r="F36" s="13">
        <f t="shared" si="11"/>
        <v>58</v>
      </c>
      <c r="G36" s="13">
        <f t="shared" si="11"/>
        <v>68</v>
      </c>
      <c r="H36" s="13">
        <f t="shared" si="11"/>
        <v>49</v>
      </c>
      <c r="I36" s="13">
        <f t="shared" si="11"/>
        <v>65</v>
      </c>
      <c r="J36" s="13">
        <f t="shared" si="11"/>
        <v>57</v>
      </c>
      <c r="K36" s="13">
        <f t="shared" si="11"/>
        <v>37</v>
      </c>
      <c r="L36" s="13">
        <f t="shared" si="11"/>
        <v>78</v>
      </c>
      <c r="M36" s="13">
        <f t="shared" si="11"/>
        <v>34</v>
      </c>
      <c r="N36" s="13">
        <f t="shared" si="11"/>
        <v>51</v>
      </c>
      <c r="O36" s="13">
        <f t="shared" si="11"/>
        <v>63</v>
      </c>
      <c r="P36" s="13">
        <f t="shared" si="11"/>
        <v>61</v>
      </c>
      <c r="Q36" s="13">
        <f t="shared" si="11"/>
        <v>31</v>
      </c>
      <c r="R36" s="13">
        <f t="shared" si="11"/>
        <v>39</v>
      </c>
      <c r="S36" s="13">
        <f t="shared" si="11"/>
        <v>62</v>
      </c>
      <c r="T36" s="13">
        <f t="shared" si="11"/>
        <v>78</v>
      </c>
      <c r="U36" s="13">
        <f t="shared" si="11"/>
        <v>44</v>
      </c>
      <c r="V36" s="13">
        <f t="shared" si="11"/>
        <v>77</v>
      </c>
      <c r="W36" s="13">
        <f t="shared" si="11"/>
        <v>77</v>
      </c>
      <c r="X36" s="13">
        <f t="shared" si="11"/>
        <v>79</v>
      </c>
      <c r="Y36" s="13">
        <f t="shared" si="11"/>
        <v>76</v>
      </c>
      <c r="Z36" s="13">
        <f t="shared" si="11"/>
        <v>57</v>
      </c>
      <c r="AA36" s="13">
        <f t="shared" si="11"/>
        <v>60</v>
      </c>
      <c r="AB36" s="13">
        <f t="shared" si="11"/>
        <v>63</v>
      </c>
      <c r="AC36" s="13">
        <f t="shared" si="11"/>
        <v>81</v>
      </c>
      <c r="AD36" s="13">
        <f t="shared" si="11"/>
        <v>76</v>
      </c>
      <c r="AE36" s="13">
        <f t="shared" si="11"/>
        <v>55</v>
      </c>
      <c r="AF36" s="13">
        <f t="shared" si="10"/>
        <v>1647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2.0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3">
        <f t="shared" ref="AF39:AF41" si="12">SUM(E39:AE39)</f>
        <v>2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2.0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AE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2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2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2"/>
        <v>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9"/>
      <c r="T42" s="58"/>
      <c r="U42" s="19"/>
      <c r="V42" s="58"/>
      <c r="W42" s="19"/>
      <c r="X42" s="19"/>
      <c r="Y42" s="58"/>
      <c r="Z42" s="19"/>
      <c r="AA42" s="58"/>
      <c r="AB42" s="19"/>
      <c r="AC42" s="58"/>
      <c r="AD42" s="19"/>
      <c r="AE42" s="58"/>
      <c r="AF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60"/>
      <c r="U43" s="13"/>
      <c r="V43" s="60"/>
      <c r="W43" s="13"/>
      <c r="X43" s="13"/>
      <c r="Y43" s="60"/>
      <c r="Z43" s="13"/>
      <c r="AA43" s="60"/>
      <c r="AB43" s="13"/>
      <c r="AC43" s="60"/>
      <c r="AD43" s="13"/>
      <c r="AE43" s="60"/>
      <c r="AF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58"/>
      <c r="U44" s="19"/>
      <c r="V44" s="58"/>
      <c r="W44" s="19"/>
      <c r="X44" s="19"/>
      <c r="Y44" s="58"/>
      <c r="Z44" s="19"/>
      <c r="AA44" s="58"/>
      <c r="AB44" s="19"/>
      <c r="AC44" s="58"/>
      <c r="AD44" s="19"/>
      <c r="AE44" s="58"/>
      <c r="AF44" s="13"/>
    </row>
    <row r="45" ht="12.75" customHeight="1">
      <c r="A45" s="30"/>
      <c r="B45" s="47">
        <v>1.0</v>
      </c>
      <c r="C45" s="48" t="s">
        <v>37</v>
      </c>
      <c r="D45" s="16"/>
      <c r="E45" s="19">
        <v>7.0</v>
      </c>
      <c r="F45" s="19">
        <v>10.0</v>
      </c>
      <c r="G45" s="19">
        <v>15.0</v>
      </c>
      <c r="H45" s="19">
        <v>11.0</v>
      </c>
      <c r="I45" s="19">
        <v>9.0</v>
      </c>
      <c r="J45" s="19">
        <v>11.0</v>
      </c>
      <c r="K45" s="19">
        <v>27.0</v>
      </c>
      <c r="L45" s="19">
        <v>18.0</v>
      </c>
      <c r="M45" s="19">
        <v>22.0</v>
      </c>
      <c r="N45" s="19">
        <v>12.0</v>
      </c>
      <c r="O45" s="19">
        <v>20.0</v>
      </c>
      <c r="P45" s="19">
        <v>17.0</v>
      </c>
      <c r="Q45" s="19">
        <v>11.0</v>
      </c>
      <c r="R45" s="19">
        <v>18.0</v>
      </c>
      <c r="S45" s="19">
        <v>10.0</v>
      </c>
      <c r="T45" s="19">
        <v>17.0</v>
      </c>
      <c r="U45" s="19">
        <v>6.0</v>
      </c>
      <c r="V45" s="19">
        <v>28.0</v>
      </c>
      <c r="W45" s="19">
        <v>9.0</v>
      </c>
      <c r="X45" s="19">
        <v>22.0</v>
      </c>
      <c r="Y45" s="19">
        <v>7.0</v>
      </c>
      <c r="Z45" s="19">
        <v>21.0</v>
      </c>
      <c r="AA45" s="19">
        <v>26.0</v>
      </c>
      <c r="AB45" s="19">
        <v>19.0</v>
      </c>
      <c r="AC45" s="19">
        <v>33.0</v>
      </c>
      <c r="AD45" s="19">
        <v>6.0</v>
      </c>
      <c r="AE45" s="19">
        <v>11.0</v>
      </c>
      <c r="AF45" s="13">
        <f t="shared" ref="AF45:AF47" si="14">SUM(E45:AE45)</f>
        <v>423</v>
      </c>
    </row>
    <row r="46" ht="12.75" customHeight="1">
      <c r="A46" s="18"/>
      <c r="B46" s="47">
        <v>2.0</v>
      </c>
      <c r="C46" s="48" t="s">
        <v>38</v>
      </c>
      <c r="D46" s="16"/>
      <c r="E46" s="19">
        <v>114.0</v>
      </c>
      <c r="F46" s="19">
        <v>147.0</v>
      </c>
      <c r="G46" s="19">
        <v>167.0</v>
      </c>
      <c r="H46" s="19">
        <v>163.0</v>
      </c>
      <c r="I46" s="19">
        <v>156.0</v>
      </c>
      <c r="J46" s="19">
        <v>164.0</v>
      </c>
      <c r="K46" s="19">
        <v>147.0</v>
      </c>
      <c r="L46" s="19">
        <v>162.0</v>
      </c>
      <c r="M46" s="19">
        <v>119.0</v>
      </c>
      <c r="N46" s="19">
        <v>155.0</v>
      </c>
      <c r="O46" s="19">
        <v>162.0</v>
      </c>
      <c r="P46" s="19">
        <v>169.0</v>
      </c>
      <c r="Q46" s="19">
        <v>166.0</v>
      </c>
      <c r="R46" s="19">
        <v>183.0</v>
      </c>
      <c r="S46" s="19">
        <v>184.0</v>
      </c>
      <c r="T46" s="19">
        <v>164.0</v>
      </c>
      <c r="U46" s="19">
        <v>192.0</v>
      </c>
      <c r="V46" s="19">
        <v>149.0</v>
      </c>
      <c r="W46" s="19">
        <v>108.0</v>
      </c>
      <c r="X46" s="19">
        <v>147.0</v>
      </c>
      <c r="Y46" s="19">
        <v>162.0</v>
      </c>
      <c r="Z46" s="19">
        <v>174.0</v>
      </c>
      <c r="AA46" s="19">
        <v>183.0</v>
      </c>
      <c r="AB46" s="19">
        <v>187.0</v>
      </c>
      <c r="AC46" s="19">
        <v>140.0</v>
      </c>
      <c r="AD46" s="19">
        <v>111.0</v>
      </c>
      <c r="AE46" s="19">
        <v>132.0</v>
      </c>
      <c r="AF46" s="13">
        <f t="shared" si="14"/>
        <v>4207</v>
      </c>
    </row>
    <row r="47" ht="12.75" customHeight="1">
      <c r="A47" s="18"/>
      <c r="B47" s="47">
        <v>3.0</v>
      </c>
      <c r="C47" s="48" t="s">
        <v>39</v>
      </c>
      <c r="D47" s="16"/>
      <c r="E47" s="19">
        <v>55.0</v>
      </c>
      <c r="F47" s="19">
        <v>36.0</v>
      </c>
      <c r="G47" s="19">
        <v>28.0</v>
      </c>
      <c r="H47" s="19">
        <v>40.0</v>
      </c>
      <c r="I47" s="19">
        <v>23.0</v>
      </c>
      <c r="J47" s="19">
        <v>29.0</v>
      </c>
      <c r="K47" s="19">
        <v>36.0</v>
      </c>
      <c r="L47" s="19">
        <v>20.0</v>
      </c>
      <c r="M47" s="19">
        <v>17.0</v>
      </c>
      <c r="N47" s="19">
        <v>28.0</v>
      </c>
      <c r="O47" s="19">
        <v>37.0</v>
      </c>
      <c r="P47" s="19">
        <v>28.0</v>
      </c>
      <c r="Q47" s="19">
        <v>13.0</v>
      </c>
      <c r="R47" s="19">
        <v>27.0</v>
      </c>
      <c r="S47" s="19">
        <v>29.0</v>
      </c>
      <c r="T47" s="19">
        <v>26.0</v>
      </c>
      <c r="U47" s="19">
        <v>38.0</v>
      </c>
      <c r="V47" s="19">
        <v>41.0</v>
      </c>
      <c r="W47" s="19">
        <v>32.0</v>
      </c>
      <c r="X47" s="19">
        <v>32.0</v>
      </c>
      <c r="Y47" s="19">
        <v>40.0</v>
      </c>
      <c r="Z47" s="19">
        <v>37.0</v>
      </c>
      <c r="AA47" s="19">
        <v>16.0</v>
      </c>
      <c r="AB47" s="19">
        <v>29.0</v>
      </c>
      <c r="AC47" s="19">
        <v>43.0</v>
      </c>
      <c r="AD47" s="19">
        <v>18.0</v>
      </c>
      <c r="AE47" s="19">
        <v>26.0</v>
      </c>
      <c r="AF47" s="13">
        <f t="shared" si="14"/>
        <v>824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AE50" si="15">SUM(E45:E47)</f>
        <v>176</v>
      </c>
      <c r="F50" s="19">
        <f t="shared" si="15"/>
        <v>193</v>
      </c>
      <c r="G50" s="19">
        <f t="shared" si="15"/>
        <v>210</v>
      </c>
      <c r="H50" s="19">
        <f t="shared" si="15"/>
        <v>214</v>
      </c>
      <c r="I50" s="19">
        <f t="shared" si="15"/>
        <v>188</v>
      </c>
      <c r="J50" s="19">
        <f t="shared" si="15"/>
        <v>204</v>
      </c>
      <c r="K50" s="19">
        <f t="shared" si="15"/>
        <v>210</v>
      </c>
      <c r="L50" s="19">
        <f t="shared" si="15"/>
        <v>200</v>
      </c>
      <c r="M50" s="19">
        <f t="shared" si="15"/>
        <v>158</v>
      </c>
      <c r="N50" s="19">
        <f t="shared" si="15"/>
        <v>195</v>
      </c>
      <c r="O50" s="19">
        <f t="shared" si="15"/>
        <v>219</v>
      </c>
      <c r="P50" s="19">
        <f t="shared" si="15"/>
        <v>214</v>
      </c>
      <c r="Q50" s="19">
        <f t="shared" si="15"/>
        <v>190</v>
      </c>
      <c r="R50" s="19">
        <f t="shared" si="15"/>
        <v>228</v>
      </c>
      <c r="S50" s="19">
        <f t="shared" si="15"/>
        <v>223</v>
      </c>
      <c r="T50" s="19">
        <f t="shared" si="15"/>
        <v>207</v>
      </c>
      <c r="U50" s="19">
        <f t="shared" si="15"/>
        <v>236</v>
      </c>
      <c r="V50" s="19">
        <f t="shared" si="15"/>
        <v>218</v>
      </c>
      <c r="W50" s="19">
        <f t="shared" si="15"/>
        <v>149</v>
      </c>
      <c r="X50" s="19">
        <f t="shared" si="15"/>
        <v>201</v>
      </c>
      <c r="Y50" s="19">
        <f t="shared" si="15"/>
        <v>209</v>
      </c>
      <c r="Z50" s="19">
        <f t="shared" si="15"/>
        <v>232</v>
      </c>
      <c r="AA50" s="19">
        <f t="shared" si="15"/>
        <v>225</v>
      </c>
      <c r="AB50" s="19">
        <f t="shared" si="15"/>
        <v>235</v>
      </c>
      <c r="AC50" s="19">
        <f t="shared" si="15"/>
        <v>216</v>
      </c>
      <c r="AD50" s="19">
        <f t="shared" si="15"/>
        <v>135</v>
      </c>
      <c r="AE50" s="19">
        <f t="shared" si="15"/>
        <v>169</v>
      </c>
      <c r="AF50" s="13">
        <f t="shared" ref="AF50:AF52" si="16">SUM(E50:AE50)</f>
        <v>5454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0.0</v>
      </c>
      <c r="F51" s="19">
        <v>0.0</v>
      </c>
      <c r="G51" s="19">
        <v>5.0</v>
      </c>
      <c r="H51" s="19">
        <v>3.0</v>
      </c>
      <c r="I51" s="19">
        <v>3.0</v>
      </c>
      <c r="J51" s="19">
        <v>1.0</v>
      </c>
      <c r="K51" s="19">
        <v>3.0</v>
      </c>
      <c r="L51" s="19">
        <v>6.0</v>
      </c>
      <c r="M51" s="19">
        <v>0.0</v>
      </c>
      <c r="N51" s="19">
        <v>5.0</v>
      </c>
      <c r="O51" s="19">
        <v>5.0</v>
      </c>
      <c r="P51" s="19">
        <v>2.0</v>
      </c>
      <c r="Q51" s="19">
        <v>1.0</v>
      </c>
      <c r="R51" s="19">
        <v>4.0</v>
      </c>
      <c r="S51" s="19">
        <v>2.0</v>
      </c>
      <c r="T51" s="19">
        <v>6.0</v>
      </c>
      <c r="U51" s="19">
        <v>7.0</v>
      </c>
      <c r="V51" s="19">
        <v>0.0</v>
      </c>
      <c r="W51" s="19">
        <v>1.0</v>
      </c>
      <c r="X51" s="19">
        <v>4.0</v>
      </c>
      <c r="Y51" s="19">
        <v>3.0</v>
      </c>
      <c r="Z51" s="19">
        <v>3.0</v>
      </c>
      <c r="AA51" s="19">
        <v>1.0</v>
      </c>
      <c r="AB51" s="19">
        <v>0.0</v>
      </c>
      <c r="AC51" s="19">
        <v>2.0</v>
      </c>
      <c r="AD51" s="19">
        <v>2.0</v>
      </c>
      <c r="AE51" s="19">
        <v>4.0</v>
      </c>
      <c r="AF51" s="13">
        <f t="shared" si="16"/>
        <v>73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AE52" si="17">SUM(E50:E51)</f>
        <v>176</v>
      </c>
      <c r="F52" s="13">
        <f t="shared" si="17"/>
        <v>193</v>
      </c>
      <c r="G52" s="13">
        <f t="shared" si="17"/>
        <v>215</v>
      </c>
      <c r="H52" s="13">
        <f t="shared" si="17"/>
        <v>217</v>
      </c>
      <c r="I52" s="13">
        <f t="shared" si="17"/>
        <v>191</v>
      </c>
      <c r="J52" s="13">
        <f t="shared" si="17"/>
        <v>205</v>
      </c>
      <c r="K52" s="13">
        <f t="shared" si="17"/>
        <v>213</v>
      </c>
      <c r="L52" s="13">
        <f t="shared" si="17"/>
        <v>206</v>
      </c>
      <c r="M52" s="13">
        <f t="shared" si="17"/>
        <v>158</v>
      </c>
      <c r="N52" s="13">
        <f t="shared" si="17"/>
        <v>200</v>
      </c>
      <c r="O52" s="13">
        <f t="shared" si="17"/>
        <v>224</v>
      </c>
      <c r="P52" s="13">
        <f t="shared" si="17"/>
        <v>216</v>
      </c>
      <c r="Q52" s="13">
        <f t="shared" si="17"/>
        <v>191</v>
      </c>
      <c r="R52" s="13">
        <f t="shared" si="17"/>
        <v>232</v>
      </c>
      <c r="S52" s="13">
        <f t="shared" si="17"/>
        <v>225</v>
      </c>
      <c r="T52" s="13">
        <f t="shared" si="17"/>
        <v>213</v>
      </c>
      <c r="U52" s="13">
        <f t="shared" si="17"/>
        <v>243</v>
      </c>
      <c r="V52" s="13">
        <f t="shared" si="17"/>
        <v>218</v>
      </c>
      <c r="W52" s="13">
        <f t="shared" si="17"/>
        <v>150</v>
      </c>
      <c r="X52" s="13">
        <f t="shared" si="17"/>
        <v>205</v>
      </c>
      <c r="Y52" s="13">
        <f t="shared" si="17"/>
        <v>212</v>
      </c>
      <c r="Z52" s="13">
        <f t="shared" si="17"/>
        <v>235</v>
      </c>
      <c r="AA52" s="13">
        <f t="shared" si="17"/>
        <v>226</v>
      </c>
      <c r="AB52" s="13">
        <f t="shared" si="17"/>
        <v>235</v>
      </c>
      <c r="AC52" s="13">
        <f t="shared" si="17"/>
        <v>218</v>
      </c>
      <c r="AD52" s="13">
        <f t="shared" si="17"/>
        <v>137</v>
      </c>
      <c r="AE52" s="13">
        <f t="shared" si="17"/>
        <v>173</v>
      </c>
      <c r="AF52" s="13">
        <f t="shared" si="16"/>
        <v>5527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E12"/>
    <mergeCell ref="AF12:AF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34:T34 V34 X34:AA34 AC34">
    <cfRule type="expression" dxfId="0" priority="1">
      <formula>E34&lt;&gt;#REF!</formula>
    </cfRule>
  </conditionalFormatting>
  <conditionalFormatting sqref="E14:AE15 E45:AE47">
    <cfRule type="containsBlanks" dxfId="1" priority="2">
      <formula>LEN(TRIM(E14))=0</formula>
    </cfRule>
  </conditionalFormatting>
  <conditionalFormatting sqref="E19:AE20">
    <cfRule type="containsBlanks" dxfId="1" priority="3">
      <formula>LEN(TRIM(E19))=0</formula>
    </cfRule>
  </conditionalFormatting>
  <conditionalFormatting sqref="E22:AE23 E25:AE26 E33:AE33 E35:AE35 E39:AE40">
    <cfRule type="containsBlanks" dxfId="1" priority="4">
      <formula>LEN(TRIM(E22))=0</formula>
    </cfRule>
  </conditionalFormatting>
  <conditionalFormatting sqref="E30:AE30">
    <cfRule type="expression" dxfId="0" priority="5">
      <formula>E30&lt;&gt;E46</formula>
    </cfRule>
  </conditionalFormatting>
  <conditionalFormatting sqref="E30:AE30">
    <cfRule type="expression" dxfId="0" priority="6">
      <formula>E30&lt;&gt;E34</formula>
    </cfRule>
  </conditionalFormatting>
  <conditionalFormatting sqref="E34:AE34">
    <cfRule type="expression" dxfId="2" priority="7">
      <formula>E30&lt;&gt;E34</formula>
    </cfRule>
  </conditionalFormatting>
  <conditionalFormatting sqref="E34:AE34">
    <cfRule type="expression" dxfId="3" priority="8">
      <formula>E30=E34</formula>
    </cfRule>
  </conditionalFormatting>
  <conditionalFormatting sqref="E34:AE34">
    <cfRule type="expression" dxfId="0" priority="9">
      <formula>E34&lt;&gt;E30</formula>
    </cfRule>
  </conditionalFormatting>
  <conditionalFormatting sqref="E50:AE51">
    <cfRule type="containsBlanks" dxfId="1" priority="10">
      <formula>LEN(TRIM(E50))=0</formula>
    </cfRule>
  </conditionalFormatting>
  <conditionalFormatting sqref="U34">
    <cfRule type="expression" dxfId="0" priority="11">
      <formula>U34&lt;&gt;U46</formula>
    </cfRule>
  </conditionalFormatting>
  <conditionalFormatting sqref="W34">
    <cfRule type="expression" dxfId="0" priority="12">
      <formula>W34&lt;&gt;W46</formula>
    </cfRule>
  </conditionalFormatting>
  <conditionalFormatting sqref="AB34">
    <cfRule type="expression" dxfId="0" priority="13">
      <formula>AB34&lt;&gt;AB46</formula>
    </cfRule>
  </conditionalFormatting>
  <conditionalFormatting sqref="AD34:AE34">
    <cfRule type="expression" dxfId="0" priority="14">
      <formula>AD34&lt;&gt;AD46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1" width="8.71"/>
    <col customWidth="1" min="22" max="22" width="13.29"/>
    <col customWidth="1" min="23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87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R11" s="1"/>
      <c r="S11" s="1"/>
      <c r="T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36"/>
    </row>
    <row r="14" ht="12.75" customHeight="1">
      <c r="A14" s="18"/>
      <c r="B14" s="22" t="s">
        <v>11</v>
      </c>
      <c r="C14" s="23"/>
      <c r="D14" s="19" t="s">
        <v>12</v>
      </c>
      <c r="E14" s="19">
        <v>108.0</v>
      </c>
      <c r="F14" s="19">
        <v>112.0</v>
      </c>
      <c r="G14" s="19">
        <v>113.0</v>
      </c>
      <c r="H14" s="19">
        <v>115.0</v>
      </c>
      <c r="I14" s="19">
        <v>136.0</v>
      </c>
      <c r="J14" s="19">
        <v>130.0</v>
      </c>
      <c r="K14" s="19">
        <v>128.0</v>
      </c>
      <c r="L14" s="19">
        <v>134.0</v>
      </c>
      <c r="M14" s="19">
        <v>130.0</v>
      </c>
      <c r="N14" s="19">
        <v>131.0</v>
      </c>
      <c r="O14" s="19">
        <v>136.0</v>
      </c>
      <c r="P14" s="19">
        <v>79.0</v>
      </c>
      <c r="Q14" s="19">
        <v>123.0</v>
      </c>
      <c r="R14" s="19">
        <v>111.0</v>
      </c>
      <c r="S14" s="19">
        <v>100.0</v>
      </c>
      <c r="T14" s="19">
        <v>114.0</v>
      </c>
      <c r="U14" s="19">
        <v>98.0</v>
      </c>
      <c r="V14" s="13">
        <f t="shared" ref="V14:V16" si="1">SUM(E14:U14)</f>
        <v>1998</v>
      </c>
    </row>
    <row r="15" ht="12.75" customHeight="1">
      <c r="A15" s="18"/>
      <c r="B15" s="26"/>
      <c r="C15" s="27"/>
      <c r="D15" s="19" t="s">
        <v>13</v>
      </c>
      <c r="E15" s="19">
        <v>113.0</v>
      </c>
      <c r="F15" s="19">
        <v>106.0</v>
      </c>
      <c r="G15" s="19">
        <v>112.0</v>
      </c>
      <c r="H15" s="19">
        <v>115.0</v>
      </c>
      <c r="I15" s="19">
        <v>120.0</v>
      </c>
      <c r="J15" s="19">
        <v>133.0</v>
      </c>
      <c r="K15" s="19">
        <v>127.0</v>
      </c>
      <c r="L15" s="19">
        <v>130.0</v>
      </c>
      <c r="M15" s="19">
        <v>127.0</v>
      </c>
      <c r="N15" s="19">
        <v>126.0</v>
      </c>
      <c r="O15" s="19">
        <v>122.0</v>
      </c>
      <c r="P15" s="19">
        <v>92.0</v>
      </c>
      <c r="Q15" s="19">
        <v>121.0</v>
      </c>
      <c r="R15" s="19">
        <v>107.0</v>
      </c>
      <c r="S15" s="19">
        <v>96.0</v>
      </c>
      <c r="T15" s="19">
        <v>105.0</v>
      </c>
      <c r="U15" s="19">
        <v>92.0</v>
      </c>
      <c r="V15" s="13">
        <f t="shared" si="1"/>
        <v>1944</v>
      </c>
    </row>
    <row r="16" ht="12.75" customHeight="1">
      <c r="A16" s="25"/>
      <c r="B16" s="21"/>
      <c r="C16" s="28"/>
      <c r="D16" s="13" t="s">
        <v>14</v>
      </c>
      <c r="E16" s="13">
        <f t="shared" ref="E16:U16" si="2">SUM(E14:E15)</f>
        <v>221</v>
      </c>
      <c r="F16" s="13">
        <f t="shared" si="2"/>
        <v>218</v>
      </c>
      <c r="G16" s="13">
        <f t="shared" si="2"/>
        <v>225</v>
      </c>
      <c r="H16" s="13">
        <f t="shared" si="2"/>
        <v>230</v>
      </c>
      <c r="I16" s="13">
        <f t="shared" si="2"/>
        <v>256</v>
      </c>
      <c r="J16" s="13">
        <f t="shared" si="2"/>
        <v>263</v>
      </c>
      <c r="K16" s="13">
        <f t="shared" si="2"/>
        <v>255</v>
      </c>
      <c r="L16" s="13">
        <f t="shared" si="2"/>
        <v>264</v>
      </c>
      <c r="M16" s="13">
        <f t="shared" si="2"/>
        <v>257</v>
      </c>
      <c r="N16" s="13">
        <f t="shared" si="2"/>
        <v>257</v>
      </c>
      <c r="O16" s="13">
        <f t="shared" si="2"/>
        <v>258</v>
      </c>
      <c r="P16" s="13">
        <f t="shared" si="2"/>
        <v>171</v>
      </c>
      <c r="Q16" s="13">
        <f t="shared" si="2"/>
        <v>244</v>
      </c>
      <c r="R16" s="13">
        <f t="shared" si="2"/>
        <v>218</v>
      </c>
      <c r="S16" s="13">
        <f t="shared" si="2"/>
        <v>196</v>
      </c>
      <c r="T16" s="13">
        <f t="shared" si="2"/>
        <v>219</v>
      </c>
      <c r="U16" s="13">
        <f t="shared" si="2"/>
        <v>190</v>
      </c>
      <c r="V16" s="13">
        <f t="shared" si="1"/>
        <v>3942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19"/>
      <c r="S17" s="19"/>
      <c r="T17" s="58"/>
      <c r="U17" s="58"/>
      <c r="V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19"/>
      <c r="S18" s="19"/>
      <c r="T18" s="58"/>
      <c r="U18" s="58"/>
      <c r="V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92.0</v>
      </c>
      <c r="F19" s="19">
        <v>95.0</v>
      </c>
      <c r="G19" s="19">
        <v>88.0</v>
      </c>
      <c r="H19" s="19">
        <v>91.0</v>
      </c>
      <c r="I19" s="19">
        <v>111.0</v>
      </c>
      <c r="J19" s="19">
        <v>115.0</v>
      </c>
      <c r="K19" s="19">
        <v>109.0</v>
      </c>
      <c r="L19" s="19">
        <v>118.0</v>
      </c>
      <c r="M19" s="19">
        <v>99.0</v>
      </c>
      <c r="N19" s="19">
        <v>92.0</v>
      </c>
      <c r="O19" s="19">
        <v>93.0</v>
      </c>
      <c r="P19" s="19">
        <v>67.0</v>
      </c>
      <c r="Q19" s="19">
        <v>102.0</v>
      </c>
      <c r="R19" s="19">
        <v>85.0</v>
      </c>
      <c r="S19" s="19">
        <v>76.0</v>
      </c>
      <c r="T19" s="19">
        <v>94.0</v>
      </c>
      <c r="U19" s="19">
        <v>82.0</v>
      </c>
      <c r="V19" s="13">
        <f t="shared" ref="V19:V30" si="3">SUM(E19:U19)</f>
        <v>1609</v>
      </c>
    </row>
    <row r="20" ht="12.75" customHeight="1">
      <c r="A20" s="33"/>
      <c r="B20" s="27"/>
      <c r="C20" s="34"/>
      <c r="D20" s="19" t="s">
        <v>13</v>
      </c>
      <c r="E20" s="19">
        <v>83.0</v>
      </c>
      <c r="F20" s="19">
        <v>86.0</v>
      </c>
      <c r="G20" s="19">
        <v>94.0</v>
      </c>
      <c r="H20" s="19">
        <v>97.0</v>
      </c>
      <c r="I20" s="19">
        <v>104.0</v>
      </c>
      <c r="J20" s="19">
        <v>107.0</v>
      </c>
      <c r="K20" s="19">
        <v>107.0</v>
      </c>
      <c r="L20" s="19">
        <v>117.0</v>
      </c>
      <c r="M20" s="19">
        <v>98.0</v>
      </c>
      <c r="N20" s="19">
        <v>94.0</v>
      </c>
      <c r="O20" s="19">
        <v>97.0</v>
      </c>
      <c r="P20" s="19">
        <v>77.0</v>
      </c>
      <c r="Q20" s="19">
        <v>103.0</v>
      </c>
      <c r="R20" s="19">
        <v>87.0</v>
      </c>
      <c r="S20" s="19">
        <v>76.0</v>
      </c>
      <c r="T20" s="19">
        <v>86.0</v>
      </c>
      <c r="U20" s="19">
        <v>77.0</v>
      </c>
      <c r="V20" s="13">
        <f t="shared" si="3"/>
        <v>1590</v>
      </c>
    </row>
    <row r="21" ht="12.75" customHeight="1">
      <c r="A21" s="35"/>
      <c r="B21" s="28"/>
      <c r="C21" s="36"/>
      <c r="D21" s="13" t="s">
        <v>14</v>
      </c>
      <c r="E21" s="13">
        <f t="shared" ref="E21:U21" si="4">SUM(E19:E20)</f>
        <v>175</v>
      </c>
      <c r="F21" s="13">
        <f t="shared" si="4"/>
        <v>181</v>
      </c>
      <c r="G21" s="13">
        <f t="shared" si="4"/>
        <v>182</v>
      </c>
      <c r="H21" s="13">
        <f t="shared" si="4"/>
        <v>188</v>
      </c>
      <c r="I21" s="13">
        <f t="shared" si="4"/>
        <v>215</v>
      </c>
      <c r="J21" s="13">
        <f t="shared" si="4"/>
        <v>222</v>
      </c>
      <c r="K21" s="13">
        <f t="shared" si="4"/>
        <v>216</v>
      </c>
      <c r="L21" s="13">
        <f t="shared" si="4"/>
        <v>235</v>
      </c>
      <c r="M21" s="13">
        <f t="shared" si="4"/>
        <v>197</v>
      </c>
      <c r="N21" s="13">
        <f t="shared" si="4"/>
        <v>186</v>
      </c>
      <c r="O21" s="13">
        <f t="shared" si="4"/>
        <v>190</v>
      </c>
      <c r="P21" s="13">
        <f t="shared" si="4"/>
        <v>144</v>
      </c>
      <c r="Q21" s="13">
        <f t="shared" si="4"/>
        <v>205</v>
      </c>
      <c r="R21" s="13">
        <f t="shared" si="4"/>
        <v>172</v>
      </c>
      <c r="S21" s="13">
        <f t="shared" si="4"/>
        <v>152</v>
      </c>
      <c r="T21" s="13">
        <f t="shared" si="4"/>
        <v>180</v>
      </c>
      <c r="U21" s="13">
        <f t="shared" si="4"/>
        <v>159</v>
      </c>
      <c r="V21" s="13">
        <f t="shared" si="3"/>
        <v>3199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1.0</v>
      </c>
      <c r="I22" s="19">
        <v>0.0</v>
      </c>
      <c r="J22" s="19">
        <v>0.0</v>
      </c>
      <c r="K22" s="19">
        <v>0.0</v>
      </c>
      <c r="L22" s="19">
        <v>0.0</v>
      </c>
      <c r="M22" s="19">
        <v>2.0</v>
      </c>
      <c r="N22" s="19">
        <v>0.0</v>
      </c>
      <c r="O22" s="19">
        <v>1.0</v>
      </c>
      <c r="P22" s="19">
        <v>0.0</v>
      </c>
      <c r="Q22" s="19">
        <v>1.0</v>
      </c>
      <c r="R22" s="19">
        <v>0.0</v>
      </c>
      <c r="S22" s="19">
        <v>0.0</v>
      </c>
      <c r="T22" s="19">
        <v>0.0</v>
      </c>
      <c r="U22" s="19">
        <v>0.0</v>
      </c>
      <c r="V22" s="13">
        <f t="shared" si="3"/>
        <v>5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1.0</v>
      </c>
      <c r="K23" s="19">
        <v>1.0</v>
      </c>
      <c r="L23" s="19">
        <v>0.0</v>
      </c>
      <c r="M23" s="19">
        <v>2.0</v>
      </c>
      <c r="N23" s="19">
        <v>1.0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3">
        <f t="shared" si="3"/>
        <v>5</v>
      </c>
    </row>
    <row r="24" ht="12.75" customHeight="1">
      <c r="A24" s="35"/>
      <c r="B24" s="28"/>
      <c r="C24" s="36"/>
      <c r="D24" s="13" t="s">
        <v>14</v>
      </c>
      <c r="E24" s="13">
        <f t="shared" ref="E24:U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1</v>
      </c>
      <c r="I24" s="13">
        <f t="shared" si="5"/>
        <v>0</v>
      </c>
      <c r="J24" s="13">
        <f t="shared" si="5"/>
        <v>1</v>
      </c>
      <c r="K24" s="13">
        <f t="shared" si="5"/>
        <v>1</v>
      </c>
      <c r="L24" s="13">
        <f t="shared" si="5"/>
        <v>0</v>
      </c>
      <c r="M24" s="13">
        <f t="shared" si="5"/>
        <v>4</v>
      </c>
      <c r="N24" s="13">
        <f t="shared" si="5"/>
        <v>1</v>
      </c>
      <c r="O24" s="13">
        <f t="shared" si="5"/>
        <v>1</v>
      </c>
      <c r="P24" s="13">
        <f t="shared" si="5"/>
        <v>0</v>
      </c>
      <c r="Q24" s="13">
        <f t="shared" si="5"/>
        <v>1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3"/>
        <v>10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0.0</v>
      </c>
      <c r="Q25" s="19">
        <v>1.0</v>
      </c>
      <c r="R25" s="19">
        <v>0.0</v>
      </c>
      <c r="S25" s="19">
        <v>0.0</v>
      </c>
      <c r="T25" s="19">
        <v>0.0</v>
      </c>
      <c r="U25" s="19">
        <v>0.0</v>
      </c>
      <c r="V25" s="13">
        <f t="shared" si="3"/>
        <v>1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0.0</v>
      </c>
      <c r="N26" s="19">
        <v>0.0</v>
      </c>
      <c r="O26" s="19">
        <v>0.0</v>
      </c>
      <c r="P26" s="19">
        <v>0.0</v>
      </c>
      <c r="Q26" s="19">
        <v>0.0</v>
      </c>
      <c r="R26" s="19">
        <v>0.0</v>
      </c>
      <c r="S26" s="19">
        <v>0.0</v>
      </c>
      <c r="T26" s="19">
        <v>0.0</v>
      </c>
      <c r="U26" s="19">
        <v>0.0</v>
      </c>
      <c r="V26" s="13">
        <f t="shared" si="3"/>
        <v>0</v>
      </c>
    </row>
    <row r="27" ht="12.75" customHeight="1">
      <c r="A27" s="35"/>
      <c r="B27" s="28"/>
      <c r="C27" s="36"/>
      <c r="D27" s="13" t="s">
        <v>14</v>
      </c>
      <c r="E27" s="13">
        <f t="shared" ref="E27:U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1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6"/>
        <v>0</v>
      </c>
      <c r="V27" s="13">
        <f t="shared" si="3"/>
        <v>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U28" si="7">SUM(E19,E22,E25)</f>
        <v>92</v>
      </c>
      <c r="F28" s="13">
        <f t="shared" si="7"/>
        <v>95</v>
      </c>
      <c r="G28" s="13">
        <f t="shared" si="7"/>
        <v>88</v>
      </c>
      <c r="H28" s="13">
        <f t="shared" si="7"/>
        <v>92</v>
      </c>
      <c r="I28" s="13">
        <f t="shared" si="7"/>
        <v>111</v>
      </c>
      <c r="J28" s="13">
        <f t="shared" si="7"/>
        <v>115</v>
      </c>
      <c r="K28" s="13">
        <f t="shared" si="7"/>
        <v>109</v>
      </c>
      <c r="L28" s="13">
        <f t="shared" si="7"/>
        <v>118</v>
      </c>
      <c r="M28" s="13">
        <f t="shared" si="7"/>
        <v>101</v>
      </c>
      <c r="N28" s="13">
        <f t="shared" si="7"/>
        <v>92</v>
      </c>
      <c r="O28" s="13">
        <f t="shared" si="7"/>
        <v>94</v>
      </c>
      <c r="P28" s="13">
        <f t="shared" si="7"/>
        <v>67</v>
      </c>
      <c r="Q28" s="13">
        <f t="shared" si="7"/>
        <v>104</v>
      </c>
      <c r="R28" s="13">
        <f t="shared" si="7"/>
        <v>85</v>
      </c>
      <c r="S28" s="13">
        <f t="shared" si="7"/>
        <v>76</v>
      </c>
      <c r="T28" s="13">
        <f t="shared" si="7"/>
        <v>94</v>
      </c>
      <c r="U28" s="13">
        <f t="shared" si="7"/>
        <v>82</v>
      </c>
      <c r="V28" s="13">
        <f t="shared" si="3"/>
        <v>1615</v>
      </c>
    </row>
    <row r="29" ht="12.75" customHeight="1">
      <c r="A29" s="35"/>
      <c r="B29" s="27"/>
      <c r="C29" s="34"/>
      <c r="D29" s="13" t="s">
        <v>13</v>
      </c>
      <c r="E29" s="13">
        <f t="shared" ref="E29:U29" si="8">SUM(E20,E23,E26)</f>
        <v>83</v>
      </c>
      <c r="F29" s="13">
        <f t="shared" si="8"/>
        <v>86</v>
      </c>
      <c r="G29" s="13">
        <f t="shared" si="8"/>
        <v>94</v>
      </c>
      <c r="H29" s="13">
        <f t="shared" si="8"/>
        <v>97</v>
      </c>
      <c r="I29" s="13">
        <f t="shared" si="8"/>
        <v>104</v>
      </c>
      <c r="J29" s="13">
        <f t="shared" si="8"/>
        <v>108</v>
      </c>
      <c r="K29" s="13">
        <f t="shared" si="8"/>
        <v>108</v>
      </c>
      <c r="L29" s="13">
        <f t="shared" si="8"/>
        <v>117</v>
      </c>
      <c r="M29" s="13">
        <f t="shared" si="8"/>
        <v>100</v>
      </c>
      <c r="N29" s="13">
        <f t="shared" si="8"/>
        <v>95</v>
      </c>
      <c r="O29" s="13">
        <f t="shared" si="8"/>
        <v>97</v>
      </c>
      <c r="P29" s="13">
        <f t="shared" si="8"/>
        <v>77</v>
      </c>
      <c r="Q29" s="13">
        <f t="shared" si="8"/>
        <v>103</v>
      </c>
      <c r="R29" s="13">
        <f t="shared" si="8"/>
        <v>87</v>
      </c>
      <c r="S29" s="13">
        <f t="shared" si="8"/>
        <v>76</v>
      </c>
      <c r="T29" s="13">
        <f t="shared" si="8"/>
        <v>86</v>
      </c>
      <c r="U29" s="13">
        <f t="shared" si="8"/>
        <v>77</v>
      </c>
      <c r="V29" s="13">
        <f t="shared" si="3"/>
        <v>1595</v>
      </c>
    </row>
    <row r="30" ht="12.75" customHeight="1">
      <c r="A30" s="35"/>
      <c r="B30" s="28"/>
      <c r="C30" s="36"/>
      <c r="D30" s="13" t="s">
        <v>14</v>
      </c>
      <c r="E30" s="13">
        <f t="shared" ref="E30:U30" si="9">SUM(E28:E29)</f>
        <v>175</v>
      </c>
      <c r="F30" s="13">
        <f t="shared" si="9"/>
        <v>181</v>
      </c>
      <c r="G30" s="13">
        <f t="shared" si="9"/>
        <v>182</v>
      </c>
      <c r="H30" s="13">
        <f t="shared" si="9"/>
        <v>189</v>
      </c>
      <c r="I30" s="13">
        <f t="shared" si="9"/>
        <v>215</v>
      </c>
      <c r="J30" s="13">
        <f t="shared" si="9"/>
        <v>223</v>
      </c>
      <c r="K30" s="13">
        <f t="shared" si="9"/>
        <v>217</v>
      </c>
      <c r="L30" s="13">
        <f t="shared" si="9"/>
        <v>235</v>
      </c>
      <c r="M30" s="13">
        <f t="shared" si="9"/>
        <v>201</v>
      </c>
      <c r="N30" s="13">
        <f t="shared" si="9"/>
        <v>187</v>
      </c>
      <c r="O30" s="13">
        <f t="shared" si="9"/>
        <v>191</v>
      </c>
      <c r="P30" s="13">
        <f t="shared" si="9"/>
        <v>144</v>
      </c>
      <c r="Q30" s="13">
        <f t="shared" si="9"/>
        <v>207</v>
      </c>
      <c r="R30" s="13">
        <f t="shared" si="9"/>
        <v>172</v>
      </c>
      <c r="S30" s="13">
        <f t="shared" si="9"/>
        <v>152</v>
      </c>
      <c r="T30" s="13">
        <f t="shared" si="9"/>
        <v>180</v>
      </c>
      <c r="U30" s="13">
        <f t="shared" si="9"/>
        <v>159</v>
      </c>
      <c r="V30" s="13">
        <f t="shared" si="3"/>
        <v>3210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19"/>
      <c r="S31" s="19"/>
      <c r="T31" s="58"/>
      <c r="U31" s="58"/>
      <c r="V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13"/>
      <c r="S32" s="13"/>
      <c r="T32" s="60"/>
      <c r="U32" s="60"/>
      <c r="V32" s="59"/>
    </row>
    <row r="33" ht="12.75" customHeight="1">
      <c r="A33" s="19">
        <v>1.0</v>
      </c>
      <c r="B33" s="20" t="s">
        <v>27</v>
      </c>
      <c r="C33" s="15"/>
      <c r="D33" s="16"/>
      <c r="E33" s="19">
        <v>222.0</v>
      </c>
      <c r="F33" s="19">
        <v>223.0</v>
      </c>
      <c r="G33" s="19">
        <v>230.0</v>
      </c>
      <c r="H33" s="19">
        <v>235.0</v>
      </c>
      <c r="I33" s="19">
        <v>262.0</v>
      </c>
      <c r="J33" s="19">
        <v>269.0</v>
      </c>
      <c r="K33" s="19">
        <v>261.0</v>
      </c>
      <c r="L33" s="19">
        <v>270.0</v>
      </c>
      <c r="M33" s="19">
        <v>263.0</v>
      </c>
      <c r="N33" s="19">
        <v>263.0</v>
      </c>
      <c r="O33" s="19">
        <v>264.0</v>
      </c>
      <c r="P33" s="19">
        <v>174.0</v>
      </c>
      <c r="Q33" s="19">
        <v>248.0</v>
      </c>
      <c r="R33" s="19">
        <v>223.0</v>
      </c>
      <c r="S33" s="19">
        <v>200.0</v>
      </c>
      <c r="T33" s="19">
        <v>222.0</v>
      </c>
      <c r="U33" s="19">
        <v>194.0</v>
      </c>
      <c r="V33" s="13">
        <f t="shared" ref="V33:V36" si="10">SUM(E33:U33)</f>
        <v>4023</v>
      </c>
    </row>
    <row r="34" ht="12.75" customHeight="1">
      <c r="A34" s="19">
        <v>2.0</v>
      </c>
      <c r="B34" s="20" t="s">
        <v>28</v>
      </c>
      <c r="C34" s="15"/>
      <c r="D34" s="16"/>
      <c r="E34" s="13">
        <v>175.0</v>
      </c>
      <c r="F34" s="13">
        <v>181.0</v>
      </c>
      <c r="G34" s="13">
        <v>182.0</v>
      </c>
      <c r="H34" s="13">
        <v>189.0</v>
      </c>
      <c r="I34" s="13">
        <v>215.0</v>
      </c>
      <c r="J34" s="13">
        <v>223.0</v>
      </c>
      <c r="K34" s="13">
        <v>217.0</v>
      </c>
      <c r="L34" s="13">
        <v>235.0</v>
      </c>
      <c r="M34" s="13">
        <v>201.0</v>
      </c>
      <c r="N34" s="13">
        <v>187.0</v>
      </c>
      <c r="O34" s="13">
        <v>191.0</v>
      </c>
      <c r="P34" s="13">
        <v>144.0</v>
      </c>
      <c r="Q34" s="13">
        <v>207.0</v>
      </c>
      <c r="R34" s="13">
        <v>172.0</v>
      </c>
      <c r="S34" s="13">
        <v>152.0</v>
      </c>
      <c r="T34" s="13">
        <v>180.0</v>
      </c>
      <c r="U34" s="13">
        <v>159.0</v>
      </c>
      <c r="V34" s="13">
        <f t="shared" si="10"/>
        <v>3210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1.0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U36" si="11">E33-(E34+E35)</f>
        <v>47</v>
      </c>
      <c r="F36" s="13">
        <f t="shared" si="11"/>
        <v>41</v>
      </c>
      <c r="G36" s="13">
        <f t="shared" si="11"/>
        <v>48</v>
      </c>
      <c r="H36" s="13">
        <f t="shared" si="11"/>
        <v>46</v>
      </c>
      <c r="I36" s="13">
        <f t="shared" si="11"/>
        <v>47</v>
      </c>
      <c r="J36" s="13">
        <f t="shared" si="11"/>
        <v>46</v>
      </c>
      <c r="K36" s="13">
        <f t="shared" si="11"/>
        <v>44</v>
      </c>
      <c r="L36" s="13">
        <f t="shared" si="11"/>
        <v>35</v>
      </c>
      <c r="M36" s="13">
        <f t="shared" si="11"/>
        <v>62</v>
      </c>
      <c r="N36" s="13">
        <f t="shared" si="11"/>
        <v>76</v>
      </c>
      <c r="O36" s="13">
        <f t="shared" si="11"/>
        <v>73</v>
      </c>
      <c r="P36" s="13">
        <f t="shared" si="11"/>
        <v>30</v>
      </c>
      <c r="Q36" s="13">
        <f t="shared" si="11"/>
        <v>41</v>
      </c>
      <c r="R36" s="13">
        <f t="shared" si="11"/>
        <v>51</v>
      </c>
      <c r="S36" s="13">
        <f t="shared" si="11"/>
        <v>48</v>
      </c>
      <c r="T36" s="13">
        <f t="shared" si="11"/>
        <v>42</v>
      </c>
      <c r="U36" s="13">
        <f t="shared" si="11"/>
        <v>35</v>
      </c>
      <c r="V36" s="13">
        <f t="shared" si="10"/>
        <v>812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19"/>
      <c r="S37" s="19"/>
      <c r="T37" s="58"/>
      <c r="U37" s="61"/>
      <c r="V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13"/>
      <c r="S38" s="13"/>
      <c r="T38" s="60"/>
      <c r="U38" s="60"/>
      <c r="V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2.0</v>
      </c>
      <c r="V39" s="13">
        <f t="shared" ref="V39:V41" si="12">SUM(E39:U39)</f>
        <v>2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U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2</v>
      </c>
      <c r="V41" s="13">
        <f t="shared" si="12"/>
        <v>2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19"/>
      <c r="S42" s="19"/>
      <c r="T42" s="58"/>
      <c r="U42" s="19"/>
      <c r="V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13"/>
      <c r="S43" s="13"/>
      <c r="T43" s="60"/>
      <c r="U43" s="13"/>
      <c r="V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19"/>
      <c r="S44" s="19"/>
      <c r="T44" s="58"/>
      <c r="U44" s="19"/>
      <c r="V44" s="13"/>
    </row>
    <row r="45" ht="12.75" customHeight="1">
      <c r="A45" s="30"/>
      <c r="B45" s="47">
        <v>1.0</v>
      </c>
      <c r="C45" s="48" t="s">
        <v>37</v>
      </c>
      <c r="D45" s="16"/>
      <c r="E45" s="19">
        <v>36.0</v>
      </c>
      <c r="F45" s="19">
        <v>27.0</v>
      </c>
      <c r="G45" s="19">
        <v>33.0</v>
      </c>
      <c r="H45" s="19">
        <v>30.0</v>
      </c>
      <c r="I45" s="19">
        <v>29.0</v>
      </c>
      <c r="J45" s="19">
        <v>3.0</v>
      </c>
      <c r="K45" s="19">
        <v>17.0</v>
      </c>
      <c r="L45" s="19">
        <v>16.0</v>
      </c>
      <c r="M45" s="19">
        <v>10.0</v>
      </c>
      <c r="N45" s="19">
        <v>12.0</v>
      </c>
      <c r="O45" s="19">
        <v>10.0</v>
      </c>
      <c r="P45" s="19">
        <v>1.0</v>
      </c>
      <c r="Q45" s="19">
        <v>43.0</v>
      </c>
      <c r="R45" s="19">
        <v>15.0</v>
      </c>
      <c r="S45" s="19">
        <v>4.0</v>
      </c>
      <c r="T45" s="19">
        <v>8.0</v>
      </c>
      <c r="U45" s="19">
        <v>2.0</v>
      </c>
      <c r="V45" s="13">
        <f t="shared" ref="V45:V47" si="14">SUM(E45:U45)</f>
        <v>296</v>
      </c>
    </row>
    <row r="46" ht="12.75" customHeight="1">
      <c r="A46" s="18"/>
      <c r="B46" s="47">
        <v>2.0</v>
      </c>
      <c r="C46" s="48" t="s">
        <v>38</v>
      </c>
      <c r="D46" s="16"/>
      <c r="E46" s="19">
        <v>115.0</v>
      </c>
      <c r="F46" s="19">
        <v>127.0</v>
      </c>
      <c r="G46" s="19">
        <v>123.0</v>
      </c>
      <c r="H46" s="19">
        <v>143.0</v>
      </c>
      <c r="I46" s="19">
        <v>156.0</v>
      </c>
      <c r="J46" s="19">
        <v>175.0</v>
      </c>
      <c r="K46" s="19">
        <v>158.0</v>
      </c>
      <c r="L46" s="19">
        <v>177.0</v>
      </c>
      <c r="M46" s="19">
        <v>148.0</v>
      </c>
      <c r="N46" s="19">
        <v>138.0</v>
      </c>
      <c r="O46" s="19">
        <v>153.0</v>
      </c>
      <c r="P46" s="19">
        <v>108.0</v>
      </c>
      <c r="Q46" s="19">
        <v>113.0</v>
      </c>
      <c r="R46" s="19">
        <v>115.0</v>
      </c>
      <c r="S46" s="19">
        <v>124.0</v>
      </c>
      <c r="T46" s="19">
        <v>106.0</v>
      </c>
      <c r="U46" s="19">
        <v>139.0</v>
      </c>
      <c r="V46" s="13">
        <f t="shared" si="14"/>
        <v>2318</v>
      </c>
    </row>
    <row r="47" ht="12.75" customHeight="1">
      <c r="A47" s="18"/>
      <c r="B47" s="47">
        <v>3.0</v>
      </c>
      <c r="C47" s="48" t="s">
        <v>39</v>
      </c>
      <c r="D47" s="16"/>
      <c r="E47" s="19">
        <v>23.0</v>
      </c>
      <c r="F47" s="19">
        <v>24.0</v>
      </c>
      <c r="G47" s="19">
        <v>23.0</v>
      </c>
      <c r="H47" s="19">
        <v>16.0</v>
      </c>
      <c r="I47" s="19">
        <v>29.0</v>
      </c>
      <c r="J47" s="19">
        <v>43.0</v>
      </c>
      <c r="K47" s="19">
        <v>40.0</v>
      </c>
      <c r="L47" s="19">
        <v>39.0</v>
      </c>
      <c r="M47" s="19">
        <v>42.0</v>
      </c>
      <c r="N47" s="19">
        <v>35.0</v>
      </c>
      <c r="O47" s="19">
        <v>25.0</v>
      </c>
      <c r="P47" s="19">
        <v>31.0</v>
      </c>
      <c r="Q47" s="19">
        <v>47.0</v>
      </c>
      <c r="R47" s="19">
        <v>36.0</v>
      </c>
      <c r="S47" s="19">
        <v>22.0</v>
      </c>
      <c r="T47" s="19">
        <v>65.0</v>
      </c>
      <c r="U47" s="19">
        <v>18.0</v>
      </c>
      <c r="V47" s="13">
        <f t="shared" si="14"/>
        <v>558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0"/>
      <c r="O49" s="60"/>
      <c r="P49" s="60"/>
      <c r="Q49" s="60"/>
      <c r="R49" s="13"/>
      <c r="S49" s="13"/>
      <c r="T49" s="60"/>
      <c r="U49" s="60"/>
      <c r="V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U50" si="15">SUM(E45:E47)</f>
        <v>174</v>
      </c>
      <c r="F50" s="19">
        <f t="shared" si="15"/>
        <v>178</v>
      </c>
      <c r="G50" s="19">
        <f t="shared" si="15"/>
        <v>179</v>
      </c>
      <c r="H50" s="19">
        <f t="shared" si="15"/>
        <v>189</v>
      </c>
      <c r="I50" s="19">
        <f t="shared" si="15"/>
        <v>214</v>
      </c>
      <c r="J50" s="19">
        <f t="shared" si="15"/>
        <v>221</v>
      </c>
      <c r="K50" s="19">
        <f t="shared" si="15"/>
        <v>215</v>
      </c>
      <c r="L50" s="19">
        <f t="shared" si="15"/>
        <v>232</v>
      </c>
      <c r="M50" s="19">
        <f t="shared" si="15"/>
        <v>200</v>
      </c>
      <c r="N50" s="19">
        <f t="shared" si="15"/>
        <v>185</v>
      </c>
      <c r="O50" s="19">
        <f t="shared" si="15"/>
        <v>188</v>
      </c>
      <c r="P50" s="19">
        <f t="shared" si="15"/>
        <v>140</v>
      </c>
      <c r="Q50" s="19">
        <f t="shared" si="15"/>
        <v>203</v>
      </c>
      <c r="R50" s="19">
        <f t="shared" si="15"/>
        <v>166</v>
      </c>
      <c r="S50" s="19">
        <f t="shared" si="15"/>
        <v>150</v>
      </c>
      <c r="T50" s="19">
        <f t="shared" si="15"/>
        <v>179</v>
      </c>
      <c r="U50" s="19">
        <f t="shared" si="15"/>
        <v>159</v>
      </c>
      <c r="V50" s="13">
        <f t="shared" ref="V50:V52" si="16">SUM(E50:U50)</f>
        <v>3172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1.0</v>
      </c>
      <c r="F51" s="19">
        <v>3.0</v>
      </c>
      <c r="G51" s="19">
        <v>3.0</v>
      </c>
      <c r="H51" s="19">
        <v>0.0</v>
      </c>
      <c r="I51" s="19">
        <v>1.0</v>
      </c>
      <c r="J51" s="19">
        <v>2.0</v>
      </c>
      <c r="K51" s="19">
        <v>2.0</v>
      </c>
      <c r="L51" s="19">
        <v>3.0</v>
      </c>
      <c r="M51" s="19">
        <v>1.0</v>
      </c>
      <c r="N51" s="19">
        <v>2.0</v>
      </c>
      <c r="O51" s="19">
        <v>3.0</v>
      </c>
      <c r="P51" s="19">
        <v>4.0</v>
      </c>
      <c r="Q51" s="19">
        <v>4.0</v>
      </c>
      <c r="R51" s="19">
        <v>6.0</v>
      </c>
      <c r="S51" s="19">
        <v>2.0</v>
      </c>
      <c r="T51" s="19">
        <v>1.0</v>
      </c>
      <c r="U51" s="19">
        <v>0.0</v>
      </c>
      <c r="V51" s="13">
        <f t="shared" si="16"/>
        <v>38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U52" si="17">SUM(E50:E51)</f>
        <v>175</v>
      </c>
      <c r="F52" s="13">
        <f t="shared" si="17"/>
        <v>181</v>
      </c>
      <c r="G52" s="13">
        <f t="shared" si="17"/>
        <v>182</v>
      </c>
      <c r="H52" s="13">
        <f t="shared" si="17"/>
        <v>189</v>
      </c>
      <c r="I52" s="13">
        <f t="shared" si="17"/>
        <v>215</v>
      </c>
      <c r="J52" s="13">
        <f t="shared" si="17"/>
        <v>223</v>
      </c>
      <c r="K52" s="13">
        <f t="shared" si="17"/>
        <v>217</v>
      </c>
      <c r="L52" s="13">
        <f t="shared" si="17"/>
        <v>235</v>
      </c>
      <c r="M52" s="13">
        <f t="shared" si="17"/>
        <v>201</v>
      </c>
      <c r="N52" s="13">
        <f t="shared" si="17"/>
        <v>187</v>
      </c>
      <c r="O52" s="13">
        <f t="shared" si="17"/>
        <v>191</v>
      </c>
      <c r="P52" s="13">
        <f t="shared" si="17"/>
        <v>144</v>
      </c>
      <c r="Q52" s="13">
        <f t="shared" si="17"/>
        <v>207</v>
      </c>
      <c r="R52" s="13">
        <f t="shared" si="17"/>
        <v>172</v>
      </c>
      <c r="S52" s="13">
        <f t="shared" si="17"/>
        <v>152</v>
      </c>
      <c r="T52" s="13">
        <f t="shared" si="17"/>
        <v>180</v>
      </c>
      <c r="U52" s="13">
        <f t="shared" si="17"/>
        <v>159</v>
      </c>
      <c r="V52" s="13">
        <f t="shared" si="16"/>
        <v>3210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U12"/>
    <mergeCell ref="V12:V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U15 E45:U47">
    <cfRule type="containsBlanks" dxfId="1" priority="1">
      <formula>LEN(TRIM(E14))=0</formula>
    </cfRule>
  </conditionalFormatting>
  <conditionalFormatting sqref="E19:U20">
    <cfRule type="containsBlanks" dxfId="1" priority="2">
      <formula>LEN(TRIM(E19))=0</formula>
    </cfRule>
  </conditionalFormatting>
  <conditionalFormatting sqref="E22:U23 E25:U26 E33:U33 E35:U35 E39:U40">
    <cfRule type="containsBlanks" dxfId="1" priority="3">
      <formula>LEN(TRIM(E22))=0</formula>
    </cfRule>
  </conditionalFormatting>
  <conditionalFormatting sqref="E30:U30">
    <cfRule type="expression" dxfId="0" priority="4">
      <formula>E30&lt;&gt;E46</formula>
    </cfRule>
  </conditionalFormatting>
  <conditionalFormatting sqref="E30:U30">
    <cfRule type="expression" dxfId="0" priority="5">
      <formula>E30&lt;&gt;E34</formula>
    </cfRule>
  </conditionalFormatting>
  <conditionalFormatting sqref="E34:U34">
    <cfRule type="expression" dxfId="2" priority="6">
      <formula>E30&lt;&gt;E34</formula>
    </cfRule>
  </conditionalFormatting>
  <conditionalFormatting sqref="E34:U34">
    <cfRule type="expression" dxfId="3" priority="7">
      <formula>E30=E34</formula>
    </cfRule>
  </conditionalFormatting>
  <conditionalFormatting sqref="E34:U34">
    <cfRule type="expression" dxfId="0" priority="8">
      <formula>E34&lt;&gt;E30</formula>
    </cfRule>
  </conditionalFormatting>
  <conditionalFormatting sqref="E34:U34">
    <cfRule type="expression" dxfId="0" priority="9">
      <formula>E34&lt;&gt;#REF!</formula>
    </cfRule>
  </conditionalFormatting>
  <conditionalFormatting sqref="E50:U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8" width="8.71"/>
    <col customWidth="1" min="19" max="19" width="13.29"/>
    <col customWidth="1" min="20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88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Q11" s="1"/>
      <c r="R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36"/>
    </row>
    <row r="14" ht="12.75" customHeight="1">
      <c r="A14" s="18"/>
      <c r="B14" s="22" t="s">
        <v>11</v>
      </c>
      <c r="C14" s="23"/>
      <c r="D14" s="19" t="s">
        <v>12</v>
      </c>
      <c r="E14" s="19">
        <v>140.0</v>
      </c>
      <c r="F14" s="19">
        <v>97.0</v>
      </c>
      <c r="G14" s="19">
        <v>117.0</v>
      </c>
      <c r="H14" s="19">
        <v>127.0</v>
      </c>
      <c r="I14" s="19">
        <v>131.0</v>
      </c>
      <c r="J14" s="19">
        <v>133.0</v>
      </c>
      <c r="K14" s="19">
        <v>116.0</v>
      </c>
      <c r="L14" s="19">
        <v>108.0</v>
      </c>
      <c r="M14" s="19">
        <v>131.0</v>
      </c>
      <c r="N14" s="19">
        <v>123.0</v>
      </c>
      <c r="O14" s="19">
        <v>118.0</v>
      </c>
      <c r="P14" s="19">
        <v>116.0</v>
      </c>
      <c r="Q14" s="19">
        <v>128.0</v>
      </c>
      <c r="R14" s="19">
        <v>129.0</v>
      </c>
      <c r="S14" s="13">
        <f t="shared" ref="S14:S16" si="1">SUM(E14:R14)</f>
        <v>1714</v>
      </c>
    </row>
    <row r="15" ht="12.75" customHeight="1">
      <c r="A15" s="18"/>
      <c r="B15" s="26"/>
      <c r="C15" s="27"/>
      <c r="D15" s="19" t="s">
        <v>13</v>
      </c>
      <c r="E15" s="19">
        <v>115.0</v>
      </c>
      <c r="F15" s="19">
        <v>100.0</v>
      </c>
      <c r="G15" s="19">
        <v>116.0</v>
      </c>
      <c r="H15" s="19">
        <v>135.0</v>
      </c>
      <c r="I15" s="19">
        <v>128.0</v>
      </c>
      <c r="J15" s="19">
        <v>135.0</v>
      </c>
      <c r="K15" s="19">
        <v>124.0</v>
      </c>
      <c r="L15" s="19">
        <v>94.0</v>
      </c>
      <c r="M15" s="19">
        <v>140.0</v>
      </c>
      <c r="N15" s="19">
        <v>128.0</v>
      </c>
      <c r="O15" s="19">
        <v>108.0</v>
      </c>
      <c r="P15" s="19">
        <v>111.0</v>
      </c>
      <c r="Q15" s="19">
        <v>121.0</v>
      </c>
      <c r="R15" s="19">
        <v>111.0</v>
      </c>
      <c r="S15" s="13">
        <f t="shared" si="1"/>
        <v>1666</v>
      </c>
    </row>
    <row r="16" ht="12.75" customHeight="1">
      <c r="A16" s="25"/>
      <c r="B16" s="21"/>
      <c r="C16" s="28"/>
      <c r="D16" s="13" t="s">
        <v>14</v>
      </c>
      <c r="E16" s="13">
        <f t="shared" ref="E16:R16" si="2">SUM(E14:E15)</f>
        <v>255</v>
      </c>
      <c r="F16" s="13">
        <f t="shared" si="2"/>
        <v>197</v>
      </c>
      <c r="G16" s="13">
        <f t="shared" si="2"/>
        <v>233</v>
      </c>
      <c r="H16" s="13">
        <f t="shared" si="2"/>
        <v>262</v>
      </c>
      <c r="I16" s="13">
        <f t="shared" si="2"/>
        <v>259</v>
      </c>
      <c r="J16" s="13">
        <f t="shared" si="2"/>
        <v>268</v>
      </c>
      <c r="K16" s="13">
        <f t="shared" si="2"/>
        <v>240</v>
      </c>
      <c r="L16" s="13">
        <f t="shared" si="2"/>
        <v>202</v>
      </c>
      <c r="M16" s="13">
        <f t="shared" si="2"/>
        <v>271</v>
      </c>
      <c r="N16" s="13">
        <f t="shared" si="2"/>
        <v>251</v>
      </c>
      <c r="O16" s="13">
        <f t="shared" si="2"/>
        <v>226</v>
      </c>
      <c r="P16" s="13">
        <f t="shared" si="2"/>
        <v>227</v>
      </c>
      <c r="Q16" s="13">
        <f t="shared" si="2"/>
        <v>249</v>
      </c>
      <c r="R16" s="13">
        <f t="shared" si="2"/>
        <v>240</v>
      </c>
      <c r="S16" s="13">
        <f t="shared" si="1"/>
        <v>3380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19"/>
      <c r="R17" s="19"/>
      <c r="S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19"/>
      <c r="R18" s="19"/>
      <c r="S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111.0</v>
      </c>
      <c r="F19" s="19">
        <v>71.0</v>
      </c>
      <c r="G19" s="19">
        <v>89.0</v>
      </c>
      <c r="H19" s="19">
        <v>98.0</v>
      </c>
      <c r="I19" s="19">
        <v>99.0</v>
      </c>
      <c r="J19" s="19">
        <v>110.0</v>
      </c>
      <c r="K19" s="19">
        <v>87.0</v>
      </c>
      <c r="L19" s="19">
        <v>87.0</v>
      </c>
      <c r="M19" s="19">
        <v>100.0</v>
      </c>
      <c r="N19" s="19">
        <v>93.0</v>
      </c>
      <c r="O19" s="19">
        <v>95.0</v>
      </c>
      <c r="P19" s="19">
        <v>101.0</v>
      </c>
      <c r="Q19" s="19">
        <v>107.0</v>
      </c>
      <c r="R19" s="19">
        <v>112.0</v>
      </c>
      <c r="S19" s="13">
        <f t="shared" ref="S19:S30" si="3">SUM(E19:R19)</f>
        <v>1360</v>
      </c>
    </row>
    <row r="20" ht="12.75" customHeight="1">
      <c r="A20" s="33"/>
      <c r="B20" s="27"/>
      <c r="C20" s="34"/>
      <c r="D20" s="19" t="s">
        <v>13</v>
      </c>
      <c r="E20" s="19">
        <v>89.0</v>
      </c>
      <c r="F20" s="19">
        <v>70.0</v>
      </c>
      <c r="G20" s="19">
        <v>91.0</v>
      </c>
      <c r="H20" s="19">
        <v>112.0</v>
      </c>
      <c r="I20" s="19">
        <v>101.0</v>
      </c>
      <c r="J20" s="19">
        <v>109.0</v>
      </c>
      <c r="K20" s="19">
        <v>99.0</v>
      </c>
      <c r="L20" s="19">
        <v>83.0</v>
      </c>
      <c r="M20" s="19">
        <v>109.0</v>
      </c>
      <c r="N20" s="19">
        <v>101.0</v>
      </c>
      <c r="O20" s="19">
        <v>91.0</v>
      </c>
      <c r="P20" s="19">
        <v>88.0</v>
      </c>
      <c r="Q20" s="19">
        <v>98.0</v>
      </c>
      <c r="R20" s="19">
        <v>98.0</v>
      </c>
      <c r="S20" s="13">
        <f t="shared" si="3"/>
        <v>1339</v>
      </c>
    </row>
    <row r="21" ht="12.75" customHeight="1">
      <c r="A21" s="35"/>
      <c r="B21" s="28"/>
      <c r="C21" s="36"/>
      <c r="D21" s="13" t="s">
        <v>14</v>
      </c>
      <c r="E21" s="13">
        <f t="shared" ref="E21:R21" si="4">SUM(E19:E20)</f>
        <v>200</v>
      </c>
      <c r="F21" s="13">
        <f t="shared" si="4"/>
        <v>141</v>
      </c>
      <c r="G21" s="13">
        <f t="shared" si="4"/>
        <v>180</v>
      </c>
      <c r="H21" s="13">
        <f t="shared" si="4"/>
        <v>210</v>
      </c>
      <c r="I21" s="13">
        <f t="shared" si="4"/>
        <v>200</v>
      </c>
      <c r="J21" s="13">
        <f t="shared" si="4"/>
        <v>219</v>
      </c>
      <c r="K21" s="13">
        <f t="shared" si="4"/>
        <v>186</v>
      </c>
      <c r="L21" s="13">
        <f t="shared" si="4"/>
        <v>170</v>
      </c>
      <c r="M21" s="13">
        <f t="shared" si="4"/>
        <v>209</v>
      </c>
      <c r="N21" s="13">
        <f t="shared" si="4"/>
        <v>194</v>
      </c>
      <c r="O21" s="13">
        <f t="shared" si="4"/>
        <v>186</v>
      </c>
      <c r="P21" s="13">
        <f t="shared" si="4"/>
        <v>189</v>
      </c>
      <c r="Q21" s="13">
        <f t="shared" si="4"/>
        <v>205</v>
      </c>
      <c r="R21" s="13">
        <f t="shared" si="4"/>
        <v>210</v>
      </c>
      <c r="S21" s="13">
        <f t="shared" si="3"/>
        <v>2699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R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3"/>
        <v>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3">
        <f t="shared" si="3"/>
        <v>0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0.0</v>
      </c>
      <c r="N26" s="19">
        <v>0.0</v>
      </c>
      <c r="O26" s="19">
        <v>0.0</v>
      </c>
      <c r="P26" s="19">
        <v>0.0</v>
      </c>
      <c r="Q26" s="19">
        <v>0.0</v>
      </c>
      <c r="R26" s="19">
        <v>0.0</v>
      </c>
      <c r="S26" s="13">
        <f t="shared" si="3"/>
        <v>0</v>
      </c>
    </row>
    <row r="27" ht="12.75" customHeight="1">
      <c r="A27" s="35"/>
      <c r="B27" s="28"/>
      <c r="C27" s="36"/>
      <c r="D27" s="13" t="s">
        <v>14</v>
      </c>
      <c r="E27" s="13">
        <f t="shared" ref="E27:R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3"/>
        <v>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R28" si="7">SUM(E19,E22,E25)</f>
        <v>111</v>
      </c>
      <c r="F28" s="13">
        <f t="shared" si="7"/>
        <v>71</v>
      </c>
      <c r="G28" s="13">
        <f t="shared" si="7"/>
        <v>89</v>
      </c>
      <c r="H28" s="13">
        <f t="shared" si="7"/>
        <v>98</v>
      </c>
      <c r="I28" s="13">
        <f t="shared" si="7"/>
        <v>99</v>
      </c>
      <c r="J28" s="13">
        <f t="shared" si="7"/>
        <v>110</v>
      </c>
      <c r="K28" s="13">
        <f t="shared" si="7"/>
        <v>87</v>
      </c>
      <c r="L28" s="13">
        <f t="shared" si="7"/>
        <v>87</v>
      </c>
      <c r="M28" s="13">
        <f t="shared" si="7"/>
        <v>100</v>
      </c>
      <c r="N28" s="13">
        <f t="shared" si="7"/>
        <v>93</v>
      </c>
      <c r="O28" s="13">
        <f t="shared" si="7"/>
        <v>95</v>
      </c>
      <c r="P28" s="13">
        <f t="shared" si="7"/>
        <v>101</v>
      </c>
      <c r="Q28" s="13">
        <f t="shared" si="7"/>
        <v>107</v>
      </c>
      <c r="R28" s="13">
        <f t="shared" si="7"/>
        <v>112</v>
      </c>
      <c r="S28" s="13">
        <f t="shared" si="3"/>
        <v>1360</v>
      </c>
    </row>
    <row r="29" ht="12.75" customHeight="1">
      <c r="A29" s="35"/>
      <c r="B29" s="27"/>
      <c r="C29" s="34"/>
      <c r="D29" s="13" t="s">
        <v>13</v>
      </c>
      <c r="E29" s="13">
        <f t="shared" ref="E29:R29" si="8">SUM(E20,E23,E26)</f>
        <v>89</v>
      </c>
      <c r="F29" s="13">
        <f t="shared" si="8"/>
        <v>70</v>
      </c>
      <c r="G29" s="13">
        <f t="shared" si="8"/>
        <v>91</v>
      </c>
      <c r="H29" s="13">
        <f t="shared" si="8"/>
        <v>112</v>
      </c>
      <c r="I29" s="13">
        <f t="shared" si="8"/>
        <v>101</v>
      </c>
      <c r="J29" s="13">
        <f t="shared" si="8"/>
        <v>109</v>
      </c>
      <c r="K29" s="13">
        <f t="shared" si="8"/>
        <v>99</v>
      </c>
      <c r="L29" s="13">
        <f t="shared" si="8"/>
        <v>83</v>
      </c>
      <c r="M29" s="13">
        <f t="shared" si="8"/>
        <v>109</v>
      </c>
      <c r="N29" s="13">
        <f t="shared" si="8"/>
        <v>101</v>
      </c>
      <c r="O29" s="13">
        <f t="shared" si="8"/>
        <v>91</v>
      </c>
      <c r="P29" s="13">
        <f t="shared" si="8"/>
        <v>88</v>
      </c>
      <c r="Q29" s="13">
        <f t="shared" si="8"/>
        <v>98</v>
      </c>
      <c r="R29" s="13">
        <f t="shared" si="8"/>
        <v>98</v>
      </c>
      <c r="S29" s="13">
        <f t="shared" si="3"/>
        <v>1339</v>
      </c>
    </row>
    <row r="30" ht="12.75" customHeight="1">
      <c r="A30" s="35"/>
      <c r="B30" s="28"/>
      <c r="C30" s="36"/>
      <c r="D30" s="13" t="s">
        <v>14</v>
      </c>
      <c r="E30" s="13">
        <f t="shared" ref="E30:R30" si="9">SUM(E28:E29)</f>
        <v>200</v>
      </c>
      <c r="F30" s="13">
        <f t="shared" si="9"/>
        <v>141</v>
      </c>
      <c r="G30" s="13">
        <f t="shared" si="9"/>
        <v>180</v>
      </c>
      <c r="H30" s="13">
        <f t="shared" si="9"/>
        <v>210</v>
      </c>
      <c r="I30" s="13">
        <f t="shared" si="9"/>
        <v>200</v>
      </c>
      <c r="J30" s="13">
        <f t="shared" si="9"/>
        <v>219</v>
      </c>
      <c r="K30" s="13">
        <f t="shared" si="9"/>
        <v>186</v>
      </c>
      <c r="L30" s="13">
        <f t="shared" si="9"/>
        <v>170</v>
      </c>
      <c r="M30" s="13">
        <f t="shared" si="9"/>
        <v>209</v>
      </c>
      <c r="N30" s="13">
        <f t="shared" si="9"/>
        <v>194</v>
      </c>
      <c r="O30" s="13">
        <f t="shared" si="9"/>
        <v>186</v>
      </c>
      <c r="P30" s="13">
        <f t="shared" si="9"/>
        <v>189</v>
      </c>
      <c r="Q30" s="13">
        <f t="shared" si="9"/>
        <v>205</v>
      </c>
      <c r="R30" s="13">
        <f t="shared" si="9"/>
        <v>210</v>
      </c>
      <c r="S30" s="13">
        <f t="shared" si="3"/>
        <v>2699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19"/>
      <c r="R31" s="19"/>
      <c r="S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13"/>
      <c r="R32" s="13"/>
      <c r="S32" s="59"/>
    </row>
    <row r="33" ht="12.75" customHeight="1">
      <c r="A33" s="19">
        <v>1.0</v>
      </c>
      <c r="B33" s="20" t="s">
        <v>27</v>
      </c>
      <c r="C33" s="15"/>
      <c r="D33" s="16"/>
      <c r="E33" s="19">
        <v>261.0</v>
      </c>
      <c r="F33" s="19">
        <v>201.0</v>
      </c>
      <c r="G33" s="19">
        <v>238.0</v>
      </c>
      <c r="H33" s="19">
        <v>268.0</v>
      </c>
      <c r="I33" s="19">
        <v>267.0</v>
      </c>
      <c r="J33" s="19">
        <v>285.0</v>
      </c>
      <c r="K33" s="19">
        <v>247.0</v>
      </c>
      <c r="L33" s="19">
        <v>207.0</v>
      </c>
      <c r="M33" s="19">
        <v>287.0</v>
      </c>
      <c r="N33" s="19">
        <v>256.0</v>
      </c>
      <c r="O33" s="19">
        <v>232.0</v>
      </c>
      <c r="P33" s="19">
        <v>233.0</v>
      </c>
      <c r="Q33" s="19">
        <v>254.0</v>
      </c>
      <c r="R33" s="19">
        <v>246.0</v>
      </c>
      <c r="S33" s="13">
        <f t="shared" ref="S33:S36" si="10">SUM(E33:R33)</f>
        <v>3482</v>
      </c>
    </row>
    <row r="34" ht="12.75" customHeight="1">
      <c r="A34" s="19">
        <v>2.0</v>
      </c>
      <c r="B34" s="20" t="s">
        <v>28</v>
      </c>
      <c r="C34" s="15"/>
      <c r="D34" s="16"/>
      <c r="E34" s="13">
        <v>200.0</v>
      </c>
      <c r="F34" s="13">
        <v>141.0</v>
      </c>
      <c r="G34" s="13">
        <v>180.0</v>
      </c>
      <c r="H34" s="13">
        <v>210.0</v>
      </c>
      <c r="I34" s="13">
        <v>200.0</v>
      </c>
      <c r="J34" s="13">
        <v>219.0</v>
      </c>
      <c r="K34" s="13">
        <v>186.0</v>
      </c>
      <c r="L34" s="13">
        <v>170.0</v>
      </c>
      <c r="M34" s="13">
        <v>209.0</v>
      </c>
      <c r="N34" s="13">
        <v>194.0</v>
      </c>
      <c r="O34" s="13">
        <v>186.0</v>
      </c>
      <c r="P34" s="13">
        <v>189.0</v>
      </c>
      <c r="Q34" s="13">
        <v>205.0</v>
      </c>
      <c r="R34" s="13">
        <v>210.0</v>
      </c>
      <c r="S34" s="13">
        <f t="shared" si="10"/>
        <v>2699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1.0</v>
      </c>
      <c r="O35" s="19">
        <v>0.0</v>
      </c>
      <c r="P35" s="19">
        <v>0.0</v>
      </c>
      <c r="Q35" s="19">
        <v>0.0</v>
      </c>
      <c r="R35" s="19">
        <v>0.0</v>
      </c>
      <c r="S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R36" si="11">E33-(E34+E35)</f>
        <v>61</v>
      </c>
      <c r="F36" s="13">
        <f t="shared" si="11"/>
        <v>60</v>
      </c>
      <c r="G36" s="13">
        <f t="shared" si="11"/>
        <v>58</v>
      </c>
      <c r="H36" s="13">
        <f t="shared" si="11"/>
        <v>58</v>
      </c>
      <c r="I36" s="13">
        <f t="shared" si="11"/>
        <v>67</v>
      </c>
      <c r="J36" s="13">
        <f t="shared" si="11"/>
        <v>66</v>
      </c>
      <c r="K36" s="13">
        <f t="shared" si="11"/>
        <v>61</v>
      </c>
      <c r="L36" s="13">
        <f t="shared" si="11"/>
        <v>37</v>
      </c>
      <c r="M36" s="13">
        <f t="shared" si="11"/>
        <v>78</v>
      </c>
      <c r="N36" s="13">
        <f t="shared" si="11"/>
        <v>61</v>
      </c>
      <c r="O36" s="13">
        <f t="shared" si="11"/>
        <v>46</v>
      </c>
      <c r="P36" s="13">
        <f t="shared" si="11"/>
        <v>44</v>
      </c>
      <c r="Q36" s="13">
        <f t="shared" si="11"/>
        <v>49</v>
      </c>
      <c r="R36" s="13">
        <f t="shared" si="11"/>
        <v>36</v>
      </c>
      <c r="S36" s="13">
        <f t="shared" si="10"/>
        <v>782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13"/>
      <c r="R38" s="13"/>
      <c r="S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1.0</v>
      </c>
      <c r="M39" s="19">
        <v>0.0</v>
      </c>
      <c r="N39" s="19">
        <v>4.0</v>
      </c>
      <c r="O39" s="19">
        <v>0.0</v>
      </c>
      <c r="P39" s="19">
        <v>0.0</v>
      </c>
      <c r="Q39" s="19">
        <v>0.0</v>
      </c>
      <c r="R39" s="19">
        <v>1.0</v>
      </c>
      <c r="S39" s="13">
        <f t="shared" ref="S39:S41" si="12">SUM(E39:R39)</f>
        <v>6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1.0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2.0</v>
      </c>
      <c r="S40" s="13">
        <f t="shared" si="12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R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1</v>
      </c>
      <c r="L41" s="13">
        <f t="shared" si="13"/>
        <v>1</v>
      </c>
      <c r="M41" s="13">
        <f t="shared" si="13"/>
        <v>0</v>
      </c>
      <c r="N41" s="13">
        <f t="shared" si="13"/>
        <v>4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3</v>
      </c>
      <c r="S41" s="13">
        <f t="shared" si="12"/>
        <v>9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13"/>
      <c r="S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19"/>
      <c r="S44" s="13"/>
    </row>
    <row r="45" ht="12.75" customHeight="1">
      <c r="A45" s="30"/>
      <c r="B45" s="47">
        <v>1.0</v>
      </c>
      <c r="C45" s="48" t="s">
        <v>37</v>
      </c>
      <c r="D45" s="16"/>
      <c r="E45" s="19">
        <v>23.0</v>
      </c>
      <c r="F45" s="19">
        <v>36.0</v>
      </c>
      <c r="G45" s="19">
        <v>24.0</v>
      </c>
      <c r="H45" s="19">
        <v>26.0</v>
      </c>
      <c r="I45" s="19">
        <v>11.0</v>
      </c>
      <c r="J45" s="19">
        <v>14.0</v>
      </c>
      <c r="K45" s="19">
        <v>21.0</v>
      </c>
      <c r="L45" s="19">
        <v>23.0</v>
      </c>
      <c r="M45" s="19">
        <v>18.0</v>
      </c>
      <c r="N45" s="19">
        <v>30.0</v>
      </c>
      <c r="O45" s="19">
        <v>7.0</v>
      </c>
      <c r="P45" s="19">
        <v>21.0</v>
      </c>
      <c r="Q45" s="19">
        <v>4.0</v>
      </c>
      <c r="R45" s="19">
        <v>6.0</v>
      </c>
      <c r="S45" s="13">
        <f t="shared" ref="S45:S47" si="14">SUM(E45:R45)</f>
        <v>264</v>
      </c>
    </row>
    <row r="46" ht="12.75" customHeight="1">
      <c r="A46" s="18"/>
      <c r="B46" s="47">
        <v>2.0</v>
      </c>
      <c r="C46" s="48" t="s">
        <v>38</v>
      </c>
      <c r="D46" s="16"/>
      <c r="E46" s="19">
        <v>157.0</v>
      </c>
      <c r="F46" s="19">
        <v>94.0</v>
      </c>
      <c r="G46" s="19">
        <v>118.0</v>
      </c>
      <c r="H46" s="19">
        <v>157.0</v>
      </c>
      <c r="I46" s="19">
        <v>167.0</v>
      </c>
      <c r="J46" s="19">
        <v>181.0</v>
      </c>
      <c r="K46" s="19">
        <v>124.0</v>
      </c>
      <c r="L46" s="19">
        <v>133.0</v>
      </c>
      <c r="M46" s="19">
        <v>158.0</v>
      </c>
      <c r="N46" s="19">
        <v>114.0</v>
      </c>
      <c r="O46" s="19">
        <v>133.0</v>
      </c>
      <c r="P46" s="19">
        <v>119.0</v>
      </c>
      <c r="Q46" s="19">
        <v>168.0</v>
      </c>
      <c r="R46" s="19">
        <v>171.0</v>
      </c>
      <c r="S46" s="13">
        <f t="shared" si="14"/>
        <v>1994</v>
      </c>
    </row>
    <row r="47" ht="12.75" customHeight="1">
      <c r="A47" s="18"/>
      <c r="B47" s="47">
        <v>3.0</v>
      </c>
      <c r="C47" s="48" t="s">
        <v>39</v>
      </c>
      <c r="D47" s="16"/>
      <c r="E47" s="19">
        <v>20.0</v>
      </c>
      <c r="F47" s="19">
        <v>10.0</v>
      </c>
      <c r="G47" s="19">
        <v>34.0</v>
      </c>
      <c r="H47" s="19">
        <v>21.0</v>
      </c>
      <c r="I47" s="19">
        <v>22.0</v>
      </c>
      <c r="J47" s="19">
        <v>22.0</v>
      </c>
      <c r="K47" s="19">
        <v>38.0</v>
      </c>
      <c r="L47" s="19">
        <v>12.0</v>
      </c>
      <c r="M47" s="19">
        <v>27.0</v>
      </c>
      <c r="N47" s="19">
        <v>49.0</v>
      </c>
      <c r="O47" s="19">
        <v>42.0</v>
      </c>
      <c r="P47" s="19">
        <v>47.0</v>
      </c>
      <c r="Q47" s="19">
        <v>29.0</v>
      </c>
      <c r="R47" s="19">
        <v>33.0</v>
      </c>
      <c r="S47" s="13">
        <f t="shared" si="14"/>
        <v>406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0"/>
      <c r="O49" s="60"/>
      <c r="P49" s="60"/>
      <c r="Q49" s="13"/>
      <c r="R49" s="13"/>
      <c r="S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R50" si="15">SUM(E45:E47)</f>
        <v>200</v>
      </c>
      <c r="F50" s="19">
        <f t="shared" si="15"/>
        <v>140</v>
      </c>
      <c r="G50" s="19">
        <f t="shared" si="15"/>
        <v>176</v>
      </c>
      <c r="H50" s="19">
        <f t="shared" si="15"/>
        <v>204</v>
      </c>
      <c r="I50" s="19">
        <f t="shared" si="15"/>
        <v>200</v>
      </c>
      <c r="J50" s="19">
        <f t="shared" si="15"/>
        <v>217</v>
      </c>
      <c r="K50" s="19">
        <f t="shared" si="15"/>
        <v>183</v>
      </c>
      <c r="L50" s="19">
        <f t="shared" si="15"/>
        <v>168</v>
      </c>
      <c r="M50" s="19">
        <f t="shared" si="15"/>
        <v>203</v>
      </c>
      <c r="N50" s="19">
        <f t="shared" si="15"/>
        <v>193</v>
      </c>
      <c r="O50" s="19">
        <f t="shared" si="15"/>
        <v>182</v>
      </c>
      <c r="P50" s="19">
        <f t="shared" si="15"/>
        <v>187</v>
      </c>
      <c r="Q50" s="19">
        <f t="shared" si="15"/>
        <v>201</v>
      </c>
      <c r="R50" s="19">
        <f t="shared" si="15"/>
        <v>210</v>
      </c>
      <c r="S50" s="13">
        <f t="shared" ref="S50:S52" si="16">SUM(E50:R50)</f>
        <v>2664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0.0</v>
      </c>
      <c r="F51" s="19">
        <v>1.0</v>
      </c>
      <c r="G51" s="19">
        <v>4.0</v>
      </c>
      <c r="H51" s="19">
        <v>6.0</v>
      </c>
      <c r="I51" s="19">
        <v>0.0</v>
      </c>
      <c r="J51" s="19">
        <v>2.0</v>
      </c>
      <c r="K51" s="19">
        <v>3.0</v>
      </c>
      <c r="L51" s="19">
        <v>2.0</v>
      </c>
      <c r="M51" s="19">
        <v>6.0</v>
      </c>
      <c r="N51" s="19">
        <v>1.0</v>
      </c>
      <c r="O51" s="19">
        <v>4.0</v>
      </c>
      <c r="P51" s="19">
        <v>2.0</v>
      </c>
      <c r="Q51" s="19">
        <v>4.0</v>
      </c>
      <c r="R51" s="19">
        <v>0.0</v>
      </c>
      <c r="S51" s="13">
        <f t="shared" si="16"/>
        <v>35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R52" si="17">SUM(E50:E51)</f>
        <v>200</v>
      </c>
      <c r="F52" s="13">
        <f t="shared" si="17"/>
        <v>141</v>
      </c>
      <c r="G52" s="13">
        <f t="shared" si="17"/>
        <v>180</v>
      </c>
      <c r="H52" s="13">
        <f t="shared" si="17"/>
        <v>210</v>
      </c>
      <c r="I52" s="13">
        <f t="shared" si="17"/>
        <v>200</v>
      </c>
      <c r="J52" s="13">
        <f t="shared" si="17"/>
        <v>219</v>
      </c>
      <c r="K52" s="13">
        <f t="shared" si="17"/>
        <v>186</v>
      </c>
      <c r="L52" s="13">
        <f t="shared" si="17"/>
        <v>170</v>
      </c>
      <c r="M52" s="13">
        <f t="shared" si="17"/>
        <v>209</v>
      </c>
      <c r="N52" s="13">
        <f t="shared" si="17"/>
        <v>194</v>
      </c>
      <c r="O52" s="13">
        <f t="shared" si="17"/>
        <v>186</v>
      </c>
      <c r="P52" s="13">
        <f t="shared" si="17"/>
        <v>189</v>
      </c>
      <c r="Q52" s="13">
        <f t="shared" si="17"/>
        <v>205</v>
      </c>
      <c r="R52" s="13">
        <f t="shared" si="17"/>
        <v>210</v>
      </c>
      <c r="S52" s="13">
        <f t="shared" si="16"/>
        <v>2699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R12"/>
    <mergeCell ref="S12:S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R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R42"/>
    <mergeCell ref="B43:D43"/>
    <mergeCell ref="A44:D44"/>
    <mergeCell ref="C45:D45"/>
  </mergeCells>
  <conditionalFormatting sqref="E14:R15 E45:R47">
    <cfRule type="containsBlanks" dxfId="1" priority="1">
      <formula>LEN(TRIM(E14))=0</formula>
    </cfRule>
  </conditionalFormatting>
  <conditionalFormatting sqref="E19:R20">
    <cfRule type="containsBlanks" dxfId="1" priority="2">
      <formula>LEN(TRIM(E19))=0</formula>
    </cfRule>
  </conditionalFormatting>
  <conditionalFormatting sqref="E22:R23 E25:R26 E33:R33 E35:R35 E39:R40">
    <cfRule type="containsBlanks" dxfId="1" priority="3">
      <formula>LEN(TRIM(E22))=0</formula>
    </cfRule>
  </conditionalFormatting>
  <conditionalFormatting sqref="E30:R30">
    <cfRule type="expression" dxfId="0" priority="4">
      <formula>E30&lt;&gt;E46</formula>
    </cfRule>
  </conditionalFormatting>
  <conditionalFormatting sqref="E30:R30">
    <cfRule type="expression" dxfId="0" priority="5">
      <formula>E30&lt;&gt;E34</formula>
    </cfRule>
  </conditionalFormatting>
  <conditionalFormatting sqref="E34:R34">
    <cfRule type="expression" dxfId="2" priority="6">
      <formula>E30&lt;&gt;E34</formula>
    </cfRule>
  </conditionalFormatting>
  <conditionalFormatting sqref="E34:R34">
    <cfRule type="expression" dxfId="3" priority="7">
      <formula>E30=E34</formula>
    </cfRule>
  </conditionalFormatting>
  <conditionalFormatting sqref="E34:R34">
    <cfRule type="expression" dxfId="0" priority="8">
      <formula>E34&lt;&gt;E30</formula>
    </cfRule>
  </conditionalFormatting>
  <conditionalFormatting sqref="E34:R34">
    <cfRule type="expression" dxfId="0" priority="9">
      <formula>E34&lt;&gt;#REF!</formula>
    </cfRule>
  </conditionalFormatting>
  <conditionalFormatting sqref="E50:R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8" width="8.71"/>
    <col customWidth="1" min="19" max="19" width="13.29"/>
    <col customWidth="1" min="20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89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36"/>
    </row>
    <row r="14" ht="12.75" customHeight="1">
      <c r="A14" s="18"/>
      <c r="B14" s="22" t="s">
        <v>11</v>
      </c>
      <c r="C14" s="23"/>
      <c r="D14" s="19" t="s">
        <v>12</v>
      </c>
      <c r="E14" s="19">
        <v>139.0</v>
      </c>
      <c r="F14" s="19">
        <v>143.0</v>
      </c>
      <c r="G14" s="19">
        <v>158.0</v>
      </c>
      <c r="H14" s="19">
        <v>131.0</v>
      </c>
      <c r="I14" s="19">
        <v>140.0</v>
      </c>
      <c r="J14" s="19">
        <v>115.0</v>
      </c>
      <c r="K14" s="19">
        <v>152.0</v>
      </c>
      <c r="L14" s="19">
        <v>144.0</v>
      </c>
      <c r="M14" s="19">
        <v>155.0</v>
      </c>
      <c r="N14" s="19">
        <v>138.0</v>
      </c>
      <c r="O14" s="19">
        <v>136.0</v>
      </c>
      <c r="P14" s="19">
        <v>141.0</v>
      </c>
      <c r="Q14" s="19">
        <v>129.0</v>
      </c>
      <c r="R14" s="19">
        <v>142.0</v>
      </c>
      <c r="S14" s="13">
        <f t="shared" ref="S14:S16" si="1">SUM(E14:R14)</f>
        <v>1963</v>
      </c>
    </row>
    <row r="15" ht="12.75" customHeight="1">
      <c r="A15" s="18"/>
      <c r="B15" s="26"/>
      <c r="C15" s="27"/>
      <c r="D15" s="19" t="s">
        <v>13</v>
      </c>
      <c r="E15" s="19">
        <v>145.0</v>
      </c>
      <c r="F15" s="19">
        <v>152.0</v>
      </c>
      <c r="G15" s="19">
        <v>137.0</v>
      </c>
      <c r="H15" s="19">
        <v>142.0</v>
      </c>
      <c r="I15" s="19">
        <v>139.0</v>
      </c>
      <c r="J15" s="19">
        <v>126.0</v>
      </c>
      <c r="K15" s="19">
        <v>129.0</v>
      </c>
      <c r="L15" s="19">
        <v>143.0</v>
      </c>
      <c r="M15" s="19">
        <v>135.0</v>
      </c>
      <c r="N15" s="19">
        <v>146.0</v>
      </c>
      <c r="O15" s="19">
        <v>138.0</v>
      </c>
      <c r="P15" s="19">
        <v>129.0</v>
      </c>
      <c r="Q15" s="19">
        <v>141.0</v>
      </c>
      <c r="R15" s="19">
        <v>131.0</v>
      </c>
      <c r="S15" s="13">
        <f t="shared" si="1"/>
        <v>1933</v>
      </c>
    </row>
    <row r="16" ht="12.75" customHeight="1">
      <c r="A16" s="25"/>
      <c r="B16" s="21"/>
      <c r="C16" s="28"/>
      <c r="D16" s="13" t="s">
        <v>14</v>
      </c>
      <c r="E16" s="13">
        <f t="shared" ref="E16:R16" si="2">SUM(E14:E15)</f>
        <v>284</v>
      </c>
      <c r="F16" s="13">
        <f t="shared" si="2"/>
        <v>295</v>
      </c>
      <c r="G16" s="13">
        <f t="shared" si="2"/>
        <v>295</v>
      </c>
      <c r="H16" s="13">
        <f t="shared" si="2"/>
        <v>273</v>
      </c>
      <c r="I16" s="13">
        <f t="shared" si="2"/>
        <v>279</v>
      </c>
      <c r="J16" s="13">
        <f t="shared" si="2"/>
        <v>241</v>
      </c>
      <c r="K16" s="13">
        <f t="shared" si="2"/>
        <v>281</v>
      </c>
      <c r="L16" s="13">
        <f t="shared" si="2"/>
        <v>287</v>
      </c>
      <c r="M16" s="13">
        <f t="shared" si="2"/>
        <v>290</v>
      </c>
      <c r="N16" s="13">
        <f t="shared" si="2"/>
        <v>284</v>
      </c>
      <c r="O16" s="13">
        <f t="shared" si="2"/>
        <v>274</v>
      </c>
      <c r="P16" s="13">
        <f t="shared" si="2"/>
        <v>270</v>
      </c>
      <c r="Q16" s="13">
        <f t="shared" si="2"/>
        <v>270</v>
      </c>
      <c r="R16" s="13">
        <f t="shared" si="2"/>
        <v>273</v>
      </c>
      <c r="S16" s="13">
        <f t="shared" si="1"/>
        <v>3896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113.0</v>
      </c>
      <c r="F19" s="19">
        <v>123.0</v>
      </c>
      <c r="G19" s="19">
        <v>139.0</v>
      </c>
      <c r="H19" s="19">
        <v>101.0</v>
      </c>
      <c r="I19" s="19">
        <v>98.0</v>
      </c>
      <c r="J19" s="19">
        <v>98.0</v>
      </c>
      <c r="K19" s="19">
        <v>130.0</v>
      </c>
      <c r="L19" s="19">
        <v>125.0</v>
      </c>
      <c r="M19" s="19">
        <v>107.0</v>
      </c>
      <c r="N19" s="19">
        <v>110.0</v>
      </c>
      <c r="O19" s="19">
        <v>100.0</v>
      </c>
      <c r="P19" s="19">
        <v>105.0</v>
      </c>
      <c r="Q19" s="19">
        <v>100.0</v>
      </c>
      <c r="R19" s="19">
        <v>106.0</v>
      </c>
      <c r="S19" s="13">
        <f t="shared" ref="S19:S30" si="3">SUM(E19:R19)</f>
        <v>1555</v>
      </c>
    </row>
    <row r="20" ht="12.75" customHeight="1">
      <c r="A20" s="33"/>
      <c r="B20" s="27"/>
      <c r="C20" s="34"/>
      <c r="D20" s="19" t="s">
        <v>13</v>
      </c>
      <c r="E20" s="19">
        <v>120.0</v>
      </c>
      <c r="F20" s="19">
        <v>127.0</v>
      </c>
      <c r="G20" s="19">
        <v>122.0</v>
      </c>
      <c r="H20" s="19">
        <v>114.0</v>
      </c>
      <c r="I20" s="19">
        <v>111.0</v>
      </c>
      <c r="J20" s="19">
        <v>103.0</v>
      </c>
      <c r="K20" s="19">
        <v>109.0</v>
      </c>
      <c r="L20" s="19">
        <v>131.0</v>
      </c>
      <c r="M20" s="19">
        <v>94.0</v>
      </c>
      <c r="N20" s="19">
        <v>120.0</v>
      </c>
      <c r="O20" s="19">
        <v>108.0</v>
      </c>
      <c r="P20" s="19">
        <v>100.0</v>
      </c>
      <c r="Q20" s="19">
        <v>115.0</v>
      </c>
      <c r="R20" s="19">
        <v>110.0</v>
      </c>
      <c r="S20" s="13">
        <f t="shared" si="3"/>
        <v>1584</v>
      </c>
    </row>
    <row r="21" ht="12.75" customHeight="1">
      <c r="A21" s="35"/>
      <c r="B21" s="28"/>
      <c r="C21" s="36"/>
      <c r="D21" s="13" t="s">
        <v>14</v>
      </c>
      <c r="E21" s="13">
        <f t="shared" ref="E21:R21" si="4">SUM(E19:E20)</f>
        <v>233</v>
      </c>
      <c r="F21" s="13">
        <f t="shared" si="4"/>
        <v>250</v>
      </c>
      <c r="G21" s="13">
        <f t="shared" si="4"/>
        <v>261</v>
      </c>
      <c r="H21" s="13">
        <f t="shared" si="4"/>
        <v>215</v>
      </c>
      <c r="I21" s="13">
        <f t="shared" si="4"/>
        <v>209</v>
      </c>
      <c r="J21" s="13">
        <f t="shared" si="4"/>
        <v>201</v>
      </c>
      <c r="K21" s="13">
        <f t="shared" si="4"/>
        <v>239</v>
      </c>
      <c r="L21" s="13">
        <f t="shared" si="4"/>
        <v>256</v>
      </c>
      <c r="M21" s="13">
        <f t="shared" si="4"/>
        <v>201</v>
      </c>
      <c r="N21" s="13">
        <f t="shared" si="4"/>
        <v>230</v>
      </c>
      <c r="O21" s="13">
        <f t="shared" si="4"/>
        <v>208</v>
      </c>
      <c r="P21" s="13">
        <f t="shared" si="4"/>
        <v>205</v>
      </c>
      <c r="Q21" s="13">
        <f t="shared" si="4"/>
        <v>215</v>
      </c>
      <c r="R21" s="13">
        <f t="shared" si="4"/>
        <v>216</v>
      </c>
      <c r="S21" s="13">
        <f t="shared" si="3"/>
        <v>3139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1.0</v>
      </c>
      <c r="F22" s="19">
        <v>1.0</v>
      </c>
      <c r="G22" s="19">
        <v>1.0</v>
      </c>
      <c r="H22" s="19">
        <v>1.0</v>
      </c>
      <c r="I22" s="19">
        <v>0.0</v>
      </c>
      <c r="J22" s="19">
        <v>1.0</v>
      </c>
      <c r="K22" s="19">
        <v>1.0</v>
      </c>
      <c r="L22" s="19">
        <v>0.0</v>
      </c>
      <c r="M22" s="19">
        <v>0.0</v>
      </c>
      <c r="N22" s="19">
        <v>1.0</v>
      </c>
      <c r="O22" s="19">
        <v>0.0</v>
      </c>
      <c r="P22" s="19">
        <v>0.0</v>
      </c>
      <c r="Q22" s="19">
        <v>0.0</v>
      </c>
      <c r="R22" s="19">
        <v>4.0</v>
      </c>
      <c r="S22" s="13">
        <f t="shared" si="3"/>
        <v>11</v>
      </c>
    </row>
    <row r="23" ht="12.75" customHeight="1">
      <c r="A23" s="33"/>
      <c r="B23" s="27"/>
      <c r="C23" s="34"/>
      <c r="D23" s="19" t="s">
        <v>13</v>
      </c>
      <c r="E23" s="19">
        <v>1.0</v>
      </c>
      <c r="F23" s="19">
        <v>2.0</v>
      </c>
      <c r="G23" s="19">
        <v>0.0</v>
      </c>
      <c r="H23" s="19">
        <v>0.0</v>
      </c>
      <c r="I23" s="19">
        <v>0.0</v>
      </c>
      <c r="J23" s="19">
        <v>1.0</v>
      </c>
      <c r="K23" s="19">
        <v>0.0</v>
      </c>
      <c r="L23" s="19">
        <v>1.0</v>
      </c>
      <c r="M23" s="19">
        <v>0.0</v>
      </c>
      <c r="N23" s="19">
        <v>1.0</v>
      </c>
      <c r="O23" s="19">
        <v>0.0</v>
      </c>
      <c r="P23" s="19">
        <v>0.0</v>
      </c>
      <c r="Q23" s="19">
        <v>0.0</v>
      </c>
      <c r="R23" s="19">
        <v>2.0</v>
      </c>
      <c r="S23" s="13">
        <f t="shared" si="3"/>
        <v>8</v>
      </c>
    </row>
    <row r="24" ht="12.75" customHeight="1">
      <c r="A24" s="35"/>
      <c r="B24" s="28"/>
      <c r="C24" s="36"/>
      <c r="D24" s="13" t="s">
        <v>14</v>
      </c>
      <c r="E24" s="13">
        <f t="shared" ref="E24:R24" si="5">SUM(E22:E23)</f>
        <v>2</v>
      </c>
      <c r="F24" s="13">
        <f t="shared" si="5"/>
        <v>3</v>
      </c>
      <c r="G24" s="13">
        <f t="shared" si="5"/>
        <v>1</v>
      </c>
      <c r="H24" s="13">
        <f t="shared" si="5"/>
        <v>1</v>
      </c>
      <c r="I24" s="13">
        <f t="shared" si="5"/>
        <v>0</v>
      </c>
      <c r="J24" s="13">
        <f t="shared" si="5"/>
        <v>2</v>
      </c>
      <c r="K24" s="13">
        <f t="shared" si="5"/>
        <v>1</v>
      </c>
      <c r="L24" s="13">
        <f t="shared" si="5"/>
        <v>1</v>
      </c>
      <c r="M24" s="13">
        <f t="shared" si="5"/>
        <v>0</v>
      </c>
      <c r="N24" s="13">
        <f t="shared" si="5"/>
        <v>2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6</v>
      </c>
      <c r="S24" s="13">
        <f t="shared" si="3"/>
        <v>19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2.0</v>
      </c>
      <c r="F25" s="19">
        <v>0.0</v>
      </c>
      <c r="G25" s="19">
        <v>0.0</v>
      </c>
      <c r="H25" s="19">
        <v>1.0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2.0</v>
      </c>
      <c r="O25" s="19">
        <v>0.0</v>
      </c>
      <c r="P25" s="19">
        <v>1.0</v>
      </c>
      <c r="Q25" s="19">
        <v>0.0</v>
      </c>
      <c r="R25" s="19">
        <v>0.0</v>
      </c>
      <c r="S25" s="13">
        <f t="shared" si="3"/>
        <v>6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5.0</v>
      </c>
      <c r="I26" s="19">
        <v>0.0</v>
      </c>
      <c r="J26" s="19">
        <v>0.0</v>
      </c>
      <c r="K26" s="19">
        <v>1.0</v>
      </c>
      <c r="L26" s="19">
        <v>0.0</v>
      </c>
      <c r="M26" s="19">
        <v>0.0</v>
      </c>
      <c r="N26" s="19">
        <v>1.0</v>
      </c>
      <c r="O26" s="19">
        <v>2.0</v>
      </c>
      <c r="P26" s="19">
        <v>1.0</v>
      </c>
      <c r="Q26" s="19">
        <v>0.0</v>
      </c>
      <c r="R26" s="19">
        <v>1.0</v>
      </c>
      <c r="S26" s="13">
        <f t="shared" si="3"/>
        <v>11</v>
      </c>
    </row>
    <row r="27" ht="12.75" customHeight="1">
      <c r="A27" s="35"/>
      <c r="B27" s="28"/>
      <c r="C27" s="36"/>
      <c r="D27" s="13" t="s">
        <v>14</v>
      </c>
      <c r="E27" s="13">
        <f t="shared" ref="E27:R27" si="6">SUM(E25:E26)</f>
        <v>2</v>
      </c>
      <c r="F27" s="13">
        <f t="shared" si="6"/>
        <v>0</v>
      </c>
      <c r="G27" s="13">
        <f t="shared" si="6"/>
        <v>0</v>
      </c>
      <c r="H27" s="13">
        <f t="shared" si="6"/>
        <v>6</v>
      </c>
      <c r="I27" s="13">
        <f t="shared" si="6"/>
        <v>0</v>
      </c>
      <c r="J27" s="13">
        <f t="shared" si="6"/>
        <v>0</v>
      </c>
      <c r="K27" s="13">
        <f t="shared" si="6"/>
        <v>1</v>
      </c>
      <c r="L27" s="13">
        <f t="shared" si="6"/>
        <v>0</v>
      </c>
      <c r="M27" s="13">
        <f t="shared" si="6"/>
        <v>0</v>
      </c>
      <c r="N27" s="13">
        <f t="shared" si="6"/>
        <v>3</v>
      </c>
      <c r="O27" s="13">
        <f t="shared" si="6"/>
        <v>2</v>
      </c>
      <c r="P27" s="13">
        <f t="shared" si="6"/>
        <v>2</v>
      </c>
      <c r="Q27" s="13">
        <f t="shared" si="6"/>
        <v>0</v>
      </c>
      <c r="R27" s="13">
        <f t="shared" si="6"/>
        <v>1</v>
      </c>
      <c r="S27" s="13">
        <f t="shared" si="3"/>
        <v>17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R28" si="7">SUM(E19,E22,E25)</f>
        <v>116</v>
      </c>
      <c r="F28" s="13">
        <f t="shared" si="7"/>
        <v>124</v>
      </c>
      <c r="G28" s="13">
        <f t="shared" si="7"/>
        <v>140</v>
      </c>
      <c r="H28" s="13">
        <f t="shared" si="7"/>
        <v>103</v>
      </c>
      <c r="I28" s="13">
        <f t="shared" si="7"/>
        <v>98</v>
      </c>
      <c r="J28" s="13">
        <f t="shared" si="7"/>
        <v>99</v>
      </c>
      <c r="K28" s="13">
        <f t="shared" si="7"/>
        <v>131</v>
      </c>
      <c r="L28" s="13">
        <f t="shared" si="7"/>
        <v>125</v>
      </c>
      <c r="M28" s="13">
        <f t="shared" si="7"/>
        <v>107</v>
      </c>
      <c r="N28" s="13">
        <f t="shared" si="7"/>
        <v>113</v>
      </c>
      <c r="O28" s="13">
        <f t="shared" si="7"/>
        <v>100</v>
      </c>
      <c r="P28" s="13">
        <f t="shared" si="7"/>
        <v>106</v>
      </c>
      <c r="Q28" s="13">
        <f t="shared" si="7"/>
        <v>100</v>
      </c>
      <c r="R28" s="13">
        <f t="shared" si="7"/>
        <v>110</v>
      </c>
      <c r="S28" s="13">
        <f t="shared" si="3"/>
        <v>1572</v>
      </c>
    </row>
    <row r="29" ht="12.75" customHeight="1">
      <c r="A29" s="35"/>
      <c r="B29" s="27"/>
      <c r="C29" s="34"/>
      <c r="D29" s="13" t="s">
        <v>13</v>
      </c>
      <c r="E29" s="13">
        <f t="shared" ref="E29:R29" si="8">SUM(E20,E23,E26)</f>
        <v>121</v>
      </c>
      <c r="F29" s="13">
        <f t="shared" si="8"/>
        <v>129</v>
      </c>
      <c r="G29" s="13">
        <f t="shared" si="8"/>
        <v>122</v>
      </c>
      <c r="H29" s="13">
        <f t="shared" si="8"/>
        <v>119</v>
      </c>
      <c r="I29" s="13">
        <f t="shared" si="8"/>
        <v>111</v>
      </c>
      <c r="J29" s="13">
        <f t="shared" si="8"/>
        <v>104</v>
      </c>
      <c r="K29" s="13">
        <f t="shared" si="8"/>
        <v>110</v>
      </c>
      <c r="L29" s="13">
        <f t="shared" si="8"/>
        <v>132</v>
      </c>
      <c r="M29" s="13">
        <f t="shared" si="8"/>
        <v>94</v>
      </c>
      <c r="N29" s="13">
        <f t="shared" si="8"/>
        <v>122</v>
      </c>
      <c r="O29" s="13">
        <f t="shared" si="8"/>
        <v>110</v>
      </c>
      <c r="P29" s="13">
        <f t="shared" si="8"/>
        <v>101</v>
      </c>
      <c r="Q29" s="13">
        <f t="shared" si="8"/>
        <v>115</v>
      </c>
      <c r="R29" s="13">
        <f t="shared" si="8"/>
        <v>113</v>
      </c>
      <c r="S29" s="13">
        <f t="shared" si="3"/>
        <v>1603</v>
      </c>
    </row>
    <row r="30" ht="12.75" customHeight="1">
      <c r="A30" s="35"/>
      <c r="B30" s="28"/>
      <c r="C30" s="36"/>
      <c r="D30" s="13" t="s">
        <v>14</v>
      </c>
      <c r="E30" s="13">
        <f t="shared" ref="E30:R30" si="9">SUM(E28:E29)</f>
        <v>237</v>
      </c>
      <c r="F30" s="13">
        <f t="shared" si="9"/>
        <v>253</v>
      </c>
      <c r="G30" s="13">
        <f t="shared" si="9"/>
        <v>262</v>
      </c>
      <c r="H30" s="13">
        <f t="shared" si="9"/>
        <v>222</v>
      </c>
      <c r="I30" s="13">
        <f t="shared" si="9"/>
        <v>209</v>
      </c>
      <c r="J30" s="13">
        <f t="shared" si="9"/>
        <v>203</v>
      </c>
      <c r="K30" s="13">
        <f t="shared" si="9"/>
        <v>241</v>
      </c>
      <c r="L30" s="13">
        <f t="shared" si="9"/>
        <v>257</v>
      </c>
      <c r="M30" s="13">
        <f t="shared" si="9"/>
        <v>201</v>
      </c>
      <c r="N30" s="13">
        <f t="shared" si="9"/>
        <v>235</v>
      </c>
      <c r="O30" s="13">
        <f t="shared" si="9"/>
        <v>210</v>
      </c>
      <c r="P30" s="13">
        <f t="shared" si="9"/>
        <v>207</v>
      </c>
      <c r="Q30" s="13">
        <f t="shared" si="9"/>
        <v>215</v>
      </c>
      <c r="R30" s="13">
        <f t="shared" si="9"/>
        <v>223</v>
      </c>
      <c r="S30" s="13">
        <f t="shared" si="3"/>
        <v>3175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59"/>
    </row>
    <row r="33" ht="12.75" customHeight="1">
      <c r="A33" s="19">
        <v>1.0</v>
      </c>
      <c r="B33" s="20" t="s">
        <v>27</v>
      </c>
      <c r="C33" s="15"/>
      <c r="D33" s="16"/>
      <c r="E33" s="19">
        <v>286.0</v>
      </c>
      <c r="F33" s="19">
        <v>301.0</v>
      </c>
      <c r="G33" s="19">
        <v>301.0</v>
      </c>
      <c r="H33" s="19">
        <v>279.0</v>
      </c>
      <c r="I33" s="19">
        <v>285.0</v>
      </c>
      <c r="J33" s="19">
        <v>246.0</v>
      </c>
      <c r="K33" s="19">
        <v>287.0</v>
      </c>
      <c r="L33" s="19">
        <v>293.0</v>
      </c>
      <c r="M33" s="19">
        <v>296.0</v>
      </c>
      <c r="N33" s="19">
        <v>290.0</v>
      </c>
      <c r="O33" s="19">
        <v>287.0</v>
      </c>
      <c r="P33" s="19">
        <v>276.0</v>
      </c>
      <c r="Q33" s="19">
        <v>276.0</v>
      </c>
      <c r="R33" s="19">
        <v>273.0</v>
      </c>
      <c r="S33" s="13">
        <f t="shared" ref="S33:S36" si="10">SUM(E33:R33)</f>
        <v>3976</v>
      </c>
    </row>
    <row r="34" ht="12.75" customHeight="1">
      <c r="A34" s="19">
        <v>2.0</v>
      </c>
      <c r="B34" s="20" t="s">
        <v>28</v>
      </c>
      <c r="C34" s="15"/>
      <c r="D34" s="16"/>
      <c r="E34" s="13">
        <v>237.0</v>
      </c>
      <c r="F34" s="13">
        <v>253.0</v>
      </c>
      <c r="G34" s="13">
        <v>262.0</v>
      </c>
      <c r="H34" s="13">
        <v>222.0</v>
      </c>
      <c r="I34" s="13">
        <v>209.0</v>
      </c>
      <c r="J34" s="13">
        <v>203.0</v>
      </c>
      <c r="K34" s="13">
        <v>241.0</v>
      </c>
      <c r="L34" s="13">
        <v>257.0</v>
      </c>
      <c r="M34" s="13">
        <v>201.0</v>
      </c>
      <c r="N34" s="13">
        <v>235.0</v>
      </c>
      <c r="O34" s="13">
        <v>210.0</v>
      </c>
      <c r="P34" s="13">
        <v>207.0</v>
      </c>
      <c r="Q34" s="13">
        <v>215.0</v>
      </c>
      <c r="R34" s="13">
        <v>223.0</v>
      </c>
      <c r="S34" s="13">
        <f t="shared" si="10"/>
        <v>3175</v>
      </c>
    </row>
    <row r="35" ht="12.75" customHeight="1">
      <c r="A35" s="19">
        <v>3.0</v>
      </c>
      <c r="B35" s="20" t="s">
        <v>29</v>
      </c>
      <c r="C35" s="15"/>
      <c r="D35" s="16"/>
      <c r="E35" s="19">
        <v>3.0</v>
      </c>
      <c r="F35" s="19">
        <v>0.0</v>
      </c>
      <c r="G35" s="19">
        <v>0.0</v>
      </c>
      <c r="H35" s="19">
        <v>0.0</v>
      </c>
      <c r="I35" s="19">
        <v>1.0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2.0</v>
      </c>
      <c r="P35" s="19">
        <v>1.0</v>
      </c>
      <c r="Q35" s="19">
        <v>0.0</v>
      </c>
      <c r="R35" s="19">
        <v>0.0</v>
      </c>
      <c r="S35" s="13">
        <f t="shared" si="10"/>
        <v>7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R36" si="11">E33-(E34+E35)</f>
        <v>46</v>
      </c>
      <c r="F36" s="13">
        <f t="shared" si="11"/>
        <v>48</v>
      </c>
      <c r="G36" s="13">
        <f t="shared" si="11"/>
        <v>39</v>
      </c>
      <c r="H36" s="13">
        <f t="shared" si="11"/>
        <v>57</v>
      </c>
      <c r="I36" s="13">
        <f t="shared" si="11"/>
        <v>75</v>
      </c>
      <c r="J36" s="13">
        <f t="shared" si="11"/>
        <v>43</v>
      </c>
      <c r="K36" s="13">
        <f t="shared" si="11"/>
        <v>46</v>
      </c>
      <c r="L36" s="13">
        <f t="shared" si="11"/>
        <v>36</v>
      </c>
      <c r="M36" s="13">
        <f t="shared" si="11"/>
        <v>95</v>
      </c>
      <c r="N36" s="13">
        <f t="shared" si="11"/>
        <v>55</v>
      </c>
      <c r="O36" s="13">
        <f t="shared" si="11"/>
        <v>75</v>
      </c>
      <c r="P36" s="13">
        <f t="shared" si="11"/>
        <v>68</v>
      </c>
      <c r="Q36" s="13">
        <f t="shared" si="11"/>
        <v>61</v>
      </c>
      <c r="R36" s="13">
        <f t="shared" si="11"/>
        <v>50</v>
      </c>
      <c r="S36" s="13">
        <f t="shared" si="10"/>
        <v>794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61"/>
      <c r="S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59"/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1.0</v>
      </c>
      <c r="O39" s="19">
        <v>0.0</v>
      </c>
      <c r="P39" s="19">
        <v>0.0</v>
      </c>
      <c r="Q39" s="19">
        <v>1.0</v>
      </c>
      <c r="R39" s="19">
        <v>0.0</v>
      </c>
      <c r="S39" s="13">
        <f t="shared" ref="S39:S41" si="12">SUM(E39:R39)</f>
        <v>3</v>
      </c>
    </row>
    <row r="40" ht="12.75" customHeight="1">
      <c r="A40" s="33"/>
      <c r="C40" s="27"/>
      <c r="D40" s="19" t="s">
        <v>13</v>
      </c>
      <c r="E40" s="19">
        <v>1.0</v>
      </c>
      <c r="F40" s="19">
        <v>0.0</v>
      </c>
      <c r="G40" s="19">
        <v>0.0</v>
      </c>
      <c r="H40" s="19">
        <v>0.0</v>
      </c>
      <c r="I40" s="19">
        <v>1.0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1.0</v>
      </c>
      <c r="Q40" s="19">
        <v>3.0</v>
      </c>
      <c r="R40" s="19">
        <v>0.0</v>
      </c>
      <c r="S40" s="13">
        <f t="shared" si="12"/>
        <v>6</v>
      </c>
    </row>
    <row r="41" ht="12.75" customHeight="1">
      <c r="A41" s="41"/>
      <c r="B41" s="44"/>
      <c r="C41" s="28"/>
      <c r="D41" s="13" t="s">
        <v>14</v>
      </c>
      <c r="E41" s="13">
        <f t="shared" ref="E41:R41" si="13">SUM(E39:E40)</f>
        <v>2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1</v>
      </c>
      <c r="O41" s="13">
        <f t="shared" si="13"/>
        <v>0</v>
      </c>
      <c r="P41" s="13">
        <f t="shared" si="13"/>
        <v>1</v>
      </c>
      <c r="Q41" s="13">
        <f t="shared" si="13"/>
        <v>4</v>
      </c>
      <c r="R41" s="13">
        <f t="shared" si="13"/>
        <v>0</v>
      </c>
      <c r="S41" s="13">
        <f t="shared" si="12"/>
        <v>9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3"/>
    </row>
    <row r="45" ht="12.75" customHeight="1">
      <c r="A45" s="30"/>
      <c r="B45" s="47">
        <v>1.0</v>
      </c>
      <c r="C45" s="48" t="s">
        <v>37</v>
      </c>
      <c r="D45" s="16"/>
      <c r="E45" s="19">
        <v>28.0</v>
      </c>
      <c r="F45" s="19">
        <v>20.0</v>
      </c>
      <c r="G45" s="19">
        <v>33.0</v>
      </c>
      <c r="H45" s="19">
        <v>10.0</v>
      </c>
      <c r="I45" s="19">
        <v>33.0</v>
      </c>
      <c r="J45" s="19">
        <v>25.0</v>
      </c>
      <c r="K45" s="19">
        <v>12.0</v>
      </c>
      <c r="L45" s="19">
        <v>28.0</v>
      </c>
      <c r="M45" s="19">
        <v>33.0</v>
      </c>
      <c r="N45" s="19">
        <v>25.0</v>
      </c>
      <c r="O45" s="19">
        <v>26.0</v>
      </c>
      <c r="P45" s="19">
        <v>25.0</v>
      </c>
      <c r="Q45" s="19">
        <v>35.0</v>
      </c>
      <c r="R45" s="19">
        <v>39.0</v>
      </c>
      <c r="S45" s="13">
        <f t="shared" ref="S45:S47" si="14">SUM(E45:R45)</f>
        <v>372</v>
      </c>
    </row>
    <row r="46" ht="12.75" customHeight="1">
      <c r="A46" s="18"/>
      <c r="B46" s="47">
        <v>2.0</v>
      </c>
      <c r="C46" s="48" t="s">
        <v>38</v>
      </c>
      <c r="D46" s="16"/>
      <c r="E46" s="19">
        <v>166.0</v>
      </c>
      <c r="F46" s="19">
        <v>128.0</v>
      </c>
      <c r="G46" s="19">
        <v>183.0</v>
      </c>
      <c r="H46" s="19">
        <v>166.0</v>
      </c>
      <c r="I46" s="19">
        <v>138.0</v>
      </c>
      <c r="J46" s="19">
        <v>126.0</v>
      </c>
      <c r="K46" s="19">
        <v>203.0</v>
      </c>
      <c r="L46" s="19">
        <v>196.0</v>
      </c>
      <c r="M46" s="19">
        <v>117.0</v>
      </c>
      <c r="N46" s="19">
        <v>151.0</v>
      </c>
      <c r="O46" s="19">
        <v>167.0</v>
      </c>
      <c r="P46" s="19">
        <v>156.0</v>
      </c>
      <c r="Q46" s="19">
        <v>157.0</v>
      </c>
      <c r="R46" s="19">
        <v>151.0</v>
      </c>
      <c r="S46" s="13">
        <f t="shared" si="14"/>
        <v>2205</v>
      </c>
    </row>
    <row r="47" ht="12.75" customHeight="1">
      <c r="A47" s="18"/>
      <c r="B47" s="47">
        <v>3.0</v>
      </c>
      <c r="C47" s="48" t="s">
        <v>39</v>
      </c>
      <c r="D47" s="16"/>
      <c r="E47" s="19">
        <v>41.0</v>
      </c>
      <c r="F47" s="19">
        <v>100.0</v>
      </c>
      <c r="G47" s="19">
        <v>46.0</v>
      </c>
      <c r="H47" s="19">
        <v>42.0</v>
      </c>
      <c r="I47" s="19">
        <v>33.0</v>
      </c>
      <c r="J47" s="19">
        <v>52.0</v>
      </c>
      <c r="K47" s="19">
        <v>26.0</v>
      </c>
      <c r="L47" s="19">
        <v>24.0</v>
      </c>
      <c r="M47" s="19">
        <v>47.0</v>
      </c>
      <c r="N47" s="19">
        <v>43.0</v>
      </c>
      <c r="O47" s="19">
        <v>14.0</v>
      </c>
      <c r="P47" s="19">
        <v>20.0</v>
      </c>
      <c r="Q47" s="19">
        <v>23.0</v>
      </c>
      <c r="R47" s="19">
        <v>31.0</v>
      </c>
      <c r="S47" s="13">
        <f t="shared" si="14"/>
        <v>542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0"/>
      <c r="O49" s="60"/>
      <c r="P49" s="60"/>
      <c r="Q49" s="60"/>
      <c r="R49" s="60"/>
      <c r="S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R50" si="15">SUM(E45:E47)</f>
        <v>235</v>
      </c>
      <c r="F50" s="19">
        <f t="shared" si="15"/>
        <v>248</v>
      </c>
      <c r="G50" s="19">
        <f t="shared" si="15"/>
        <v>262</v>
      </c>
      <c r="H50" s="19">
        <f t="shared" si="15"/>
        <v>218</v>
      </c>
      <c r="I50" s="19">
        <f t="shared" si="15"/>
        <v>204</v>
      </c>
      <c r="J50" s="19">
        <f t="shared" si="15"/>
        <v>203</v>
      </c>
      <c r="K50" s="19">
        <f t="shared" si="15"/>
        <v>241</v>
      </c>
      <c r="L50" s="19">
        <f t="shared" si="15"/>
        <v>248</v>
      </c>
      <c r="M50" s="19">
        <f t="shared" si="15"/>
        <v>197</v>
      </c>
      <c r="N50" s="19">
        <f t="shared" si="15"/>
        <v>219</v>
      </c>
      <c r="O50" s="19">
        <f t="shared" si="15"/>
        <v>207</v>
      </c>
      <c r="P50" s="19">
        <f t="shared" si="15"/>
        <v>201</v>
      </c>
      <c r="Q50" s="19">
        <f t="shared" si="15"/>
        <v>215</v>
      </c>
      <c r="R50" s="19">
        <f t="shared" si="15"/>
        <v>221</v>
      </c>
      <c r="S50" s="13">
        <f t="shared" ref="S50:S52" si="16">SUM(E50:R50)</f>
        <v>3119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2.0</v>
      </c>
      <c r="F51" s="19">
        <v>5.0</v>
      </c>
      <c r="G51" s="19">
        <v>0.0</v>
      </c>
      <c r="H51" s="19">
        <v>4.0</v>
      </c>
      <c r="I51" s="19">
        <v>5.0</v>
      </c>
      <c r="J51" s="19">
        <v>0.0</v>
      </c>
      <c r="K51" s="19">
        <v>0.0</v>
      </c>
      <c r="L51" s="19">
        <v>9.0</v>
      </c>
      <c r="M51" s="19">
        <v>4.0</v>
      </c>
      <c r="N51" s="19">
        <v>16.0</v>
      </c>
      <c r="O51" s="19">
        <v>3.0</v>
      </c>
      <c r="P51" s="19">
        <v>6.0</v>
      </c>
      <c r="Q51" s="19">
        <v>0.0</v>
      </c>
      <c r="R51" s="19">
        <v>2.0</v>
      </c>
      <c r="S51" s="13">
        <f t="shared" si="16"/>
        <v>56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R52" si="17">SUM(E50:E51)</f>
        <v>237</v>
      </c>
      <c r="F52" s="13">
        <f t="shared" si="17"/>
        <v>253</v>
      </c>
      <c r="G52" s="13">
        <f t="shared" si="17"/>
        <v>262</v>
      </c>
      <c r="H52" s="13">
        <f t="shared" si="17"/>
        <v>222</v>
      </c>
      <c r="I52" s="13">
        <f t="shared" si="17"/>
        <v>209</v>
      </c>
      <c r="J52" s="13">
        <f t="shared" si="17"/>
        <v>203</v>
      </c>
      <c r="K52" s="13">
        <f t="shared" si="17"/>
        <v>241</v>
      </c>
      <c r="L52" s="13">
        <f t="shared" si="17"/>
        <v>257</v>
      </c>
      <c r="M52" s="13">
        <f t="shared" si="17"/>
        <v>201</v>
      </c>
      <c r="N52" s="13">
        <f t="shared" si="17"/>
        <v>235</v>
      </c>
      <c r="O52" s="13">
        <f t="shared" si="17"/>
        <v>210</v>
      </c>
      <c r="P52" s="13">
        <f t="shared" si="17"/>
        <v>207</v>
      </c>
      <c r="Q52" s="13">
        <f t="shared" si="17"/>
        <v>215</v>
      </c>
      <c r="R52" s="13">
        <f t="shared" si="17"/>
        <v>223</v>
      </c>
      <c r="S52" s="13">
        <f t="shared" si="16"/>
        <v>3175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R12"/>
    <mergeCell ref="S12:S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R15 E45:R47">
    <cfRule type="containsBlanks" dxfId="1" priority="1">
      <formula>LEN(TRIM(E14))=0</formula>
    </cfRule>
  </conditionalFormatting>
  <conditionalFormatting sqref="E19:R20">
    <cfRule type="containsBlanks" dxfId="1" priority="2">
      <formula>LEN(TRIM(E19))=0</formula>
    </cfRule>
  </conditionalFormatting>
  <conditionalFormatting sqref="E22:R23 E25:R26 E33:R33 E35:R35 E39:R40">
    <cfRule type="containsBlanks" dxfId="1" priority="3">
      <formula>LEN(TRIM(E22))=0</formula>
    </cfRule>
  </conditionalFormatting>
  <conditionalFormatting sqref="E30:R30">
    <cfRule type="expression" dxfId="0" priority="4">
      <formula>E30&lt;&gt;E46</formula>
    </cfRule>
  </conditionalFormatting>
  <conditionalFormatting sqref="E30:R30">
    <cfRule type="expression" dxfId="0" priority="5">
      <formula>E30&lt;&gt;E34</formula>
    </cfRule>
  </conditionalFormatting>
  <conditionalFormatting sqref="E34:R34">
    <cfRule type="expression" dxfId="2" priority="6">
      <formula>E30&lt;&gt;E34</formula>
    </cfRule>
  </conditionalFormatting>
  <conditionalFormatting sqref="E34:R34">
    <cfRule type="expression" dxfId="3" priority="7">
      <formula>E30=E34</formula>
    </cfRule>
  </conditionalFormatting>
  <conditionalFormatting sqref="E34:R34">
    <cfRule type="expression" dxfId="0" priority="8">
      <formula>E34&lt;&gt;E30</formula>
    </cfRule>
  </conditionalFormatting>
  <conditionalFormatting sqref="E34:R34">
    <cfRule type="expression" dxfId="0" priority="9">
      <formula>E34&lt;&gt;#REF!</formula>
    </cfRule>
  </conditionalFormatting>
  <conditionalFormatting sqref="E50:R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1" width="8.71"/>
    <col customWidth="1" min="32" max="32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2"/>
      <c r="S11" s="1"/>
      <c r="T11" s="1"/>
      <c r="U11" s="1"/>
      <c r="V11" s="1"/>
      <c r="W11" s="1"/>
      <c r="X11" s="1"/>
      <c r="Y11" s="1"/>
      <c r="Z11" s="1"/>
      <c r="AA11" s="2"/>
      <c r="AB11" s="1"/>
      <c r="AC11" s="1"/>
      <c r="AD11" s="1"/>
      <c r="AE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70</v>
      </c>
      <c r="Y13" s="13" t="s">
        <v>71</v>
      </c>
      <c r="Z13" s="13" t="s">
        <v>72</v>
      </c>
      <c r="AA13" s="13" t="s">
        <v>73</v>
      </c>
      <c r="AB13" s="13" t="s">
        <v>74</v>
      </c>
      <c r="AC13" s="13" t="s">
        <v>75</v>
      </c>
      <c r="AD13" s="13" t="s">
        <v>77</v>
      </c>
      <c r="AE13" s="13" t="s">
        <v>78</v>
      </c>
      <c r="AF13" s="36"/>
    </row>
    <row r="14" ht="12.75" customHeight="1">
      <c r="A14" s="18"/>
      <c r="B14" s="22" t="s">
        <v>11</v>
      </c>
      <c r="C14" s="23"/>
      <c r="D14" s="19" t="s">
        <v>12</v>
      </c>
      <c r="E14" s="19">
        <v>135.0</v>
      </c>
      <c r="F14" s="19">
        <v>140.0</v>
      </c>
      <c r="G14" s="19">
        <v>141.0</v>
      </c>
      <c r="H14" s="19">
        <v>131.0</v>
      </c>
      <c r="I14" s="19">
        <v>144.0</v>
      </c>
      <c r="J14" s="19">
        <v>125.0</v>
      </c>
      <c r="K14" s="19">
        <v>150.0</v>
      </c>
      <c r="L14" s="19">
        <v>148.0</v>
      </c>
      <c r="M14" s="19">
        <v>126.0</v>
      </c>
      <c r="N14" s="19">
        <v>142.0</v>
      </c>
      <c r="O14" s="19">
        <v>146.0</v>
      </c>
      <c r="P14" s="19">
        <v>147.0</v>
      </c>
      <c r="Q14" s="19">
        <v>136.0</v>
      </c>
      <c r="R14" s="19">
        <v>129.0</v>
      </c>
      <c r="S14" s="19">
        <v>146.0</v>
      </c>
      <c r="T14" s="19">
        <v>150.0</v>
      </c>
      <c r="U14" s="19">
        <v>144.0</v>
      </c>
      <c r="V14" s="19">
        <v>139.0</v>
      </c>
      <c r="W14" s="19">
        <v>151.0</v>
      </c>
      <c r="X14" s="19">
        <v>140.0</v>
      </c>
      <c r="Y14" s="19">
        <v>125.0</v>
      </c>
      <c r="Z14" s="19">
        <v>115.0</v>
      </c>
      <c r="AA14" s="19">
        <v>121.0</v>
      </c>
      <c r="AB14" s="19">
        <v>118.0</v>
      </c>
      <c r="AC14" s="19">
        <v>120.0</v>
      </c>
      <c r="AD14" s="19">
        <v>116.0</v>
      </c>
      <c r="AE14" s="19">
        <v>117.0</v>
      </c>
      <c r="AF14" s="13">
        <f t="shared" ref="AF14:AF16" si="1">SUM(E14:AE14)</f>
        <v>3642</v>
      </c>
    </row>
    <row r="15" ht="12.75" customHeight="1">
      <c r="A15" s="18"/>
      <c r="B15" s="26"/>
      <c r="C15" s="27"/>
      <c r="D15" s="19" t="s">
        <v>13</v>
      </c>
      <c r="E15" s="19">
        <v>133.0</v>
      </c>
      <c r="F15" s="19">
        <v>150.0</v>
      </c>
      <c r="G15" s="19">
        <v>148.0</v>
      </c>
      <c r="H15" s="19">
        <v>141.0</v>
      </c>
      <c r="I15" s="19">
        <v>124.0</v>
      </c>
      <c r="J15" s="19">
        <v>139.0</v>
      </c>
      <c r="K15" s="19">
        <v>138.0</v>
      </c>
      <c r="L15" s="19">
        <v>144.0</v>
      </c>
      <c r="M15" s="19">
        <v>152.0</v>
      </c>
      <c r="N15" s="19">
        <v>144.0</v>
      </c>
      <c r="O15" s="19">
        <v>137.0</v>
      </c>
      <c r="P15" s="19">
        <v>127.0</v>
      </c>
      <c r="Q15" s="19">
        <v>147.0</v>
      </c>
      <c r="R15" s="19">
        <v>124.0</v>
      </c>
      <c r="S15" s="19">
        <v>133.0</v>
      </c>
      <c r="T15" s="19">
        <v>141.0</v>
      </c>
      <c r="U15" s="19">
        <v>138.0</v>
      </c>
      <c r="V15" s="19">
        <v>147.0</v>
      </c>
      <c r="W15" s="19">
        <v>135.0</v>
      </c>
      <c r="X15" s="19">
        <v>138.0</v>
      </c>
      <c r="Y15" s="19">
        <v>132.0</v>
      </c>
      <c r="Z15" s="19">
        <v>116.0</v>
      </c>
      <c r="AA15" s="19">
        <v>117.0</v>
      </c>
      <c r="AB15" s="19">
        <v>118.0</v>
      </c>
      <c r="AC15" s="19">
        <v>125.0</v>
      </c>
      <c r="AD15" s="19">
        <v>118.0</v>
      </c>
      <c r="AE15" s="19">
        <v>122.0</v>
      </c>
      <c r="AF15" s="13">
        <f t="shared" si="1"/>
        <v>3628</v>
      </c>
    </row>
    <row r="16" ht="12.75" customHeight="1">
      <c r="A16" s="25"/>
      <c r="B16" s="21"/>
      <c r="C16" s="28"/>
      <c r="D16" s="13" t="s">
        <v>14</v>
      </c>
      <c r="E16" s="13">
        <f t="shared" ref="E16:AE16" si="2">SUM(E14:E15)</f>
        <v>268</v>
      </c>
      <c r="F16" s="13">
        <f t="shared" si="2"/>
        <v>290</v>
      </c>
      <c r="G16" s="13">
        <f t="shared" si="2"/>
        <v>289</v>
      </c>
      <c r="H16" s="13">
        <f t="shared" si="2"/>
        <v>272</v>
      </c>
      <c r="I16" s="13">
        <f t="shared" si="2"/>
        <v>268</v>
      </c>
      <c r="J16" s="13">
        <f t="shared" si="2"/>
        <v>264</v>
      </c>
      <c r="K16" s="13">
        <f t="shared" si="2"/>
        <v>288</v>
      </c>
      <c r="L16" s="13">
        <f t="shared" si="2"/>
        <v>292</v>
      </c>
      <c r="M16" s="13">
        <f t="shared" si="2"/>
        <v>278</v>
      </c>
      <c r="N16" s="13">
        <f t="shared" si="2"/>
        <v>286</v>
      </c>
      <c r="O16" s="13">
        <f t="shared" si="2"/>
        <v>283</v>
      </c>
      <c r="P16" s="13">
        <f t="shared" si="2"/>
        <v>274</v>
      </c>
      <c r="Q16" s="13">
        <f t="shared" si="2"/>
        <v>283</v>
      </c>
      <c r="R16" s="13">
        <f t="shared" si="2"/>
        <v>253</v>
      </c>
      <c r="S16" s="13">
        <f t="shared" si="2"/>
        <v>279</v>
      </c>
      <c r="T16" s="13">
        <f t="shared" si="2"/>
        <v>291</v>
      </c>
      <c r="U16" s="13">
        <f t="shared" si="2"/>
        <v>282</v>
      </c>
      <c r="V16" s="13">
        <f t="shared" si="2"/>
        <v>286</v>
      </c>
      <c r="W16" s="13">
        <f t="shared" si="2"/>
        <v>286</v>
      </c>
      <c r="X16" s="13">
        <f t="shared" si="2"/>
        <v>278</v>
      </c>
      <c r="Y16" s="13">
        <f t="shared" si="2"/>
        <v>257</v>
      </c>
      <c r="Z16" s="13">
        <f t="shared" si="2"/>
        <v>231</v>
      </c>
      <c r="AA16" s="13">
        <f t="shared" si="2"/>
        <v>238</v>
      </c>
      <c r="AB16" s="13">
        <f t="shared" si="2"/>
        <v>236</v>
      </c>
      <c r="AC16" s="13">
        <f t="shared" si="2"/>
        <v>245</v>
      </c>
      <c r="AD16" s="13">
        <f t="shared" si="2"/>
        <v>234</v>
      </c>
      <c r="AE16" s="13">
        <f t="shared" si="2"/>
        <v>239</v>
      </c>
      <c r="AF16" s="13">
        <f t="shared" si="1"/>
        <v>7270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19"/>
      <c r="P17" s="19"/>
      <c r="Q17" s="19"/>
      <c r="R17" s="58"/>
      <c r="S17" s="19"/>
      <c r="T17" s="19"/>
      <c r="U17" s="19"/>
      <c r="V17" s="19"/>
      <c r="W17" s="19"/>
      <c r="X17" s="19"/>
      <c r="Y17" s="19"/>
      <c r="Z17" s="19"/>
      <c r="AA17" s="58"/>
      <c r="AB17" s="19"/>
      <c r="AC17" s="19"/>
      <c r="AD17" s="19"/>
      <c r="AE17" s="58"/>
      <c r="AF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19"/>
      <c r="P18" s="19"/>
      <c r="Q18" s="19"/>
      <c r="R18" s="58"/>
      <c r="S18" s="19"/>
      <c r="T18" s="19"/>
      <c r="U18" s="19"/>
      <c r="V18" s="19"/>
      <c r="W18" s="19"/>
      <c r="X18" s="19"/>
      <c r="Y18" s="19"/>
      <c r="Z18" s="19"/>
      <c r="AA18" s="58"/>
      <c r="AB18" s="19"/>
      <c r="AC18" s="19"/>
      <c r="AD18" s="19"/>
      <c r="AE18" s="58"/>
      <c r="AF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108.0</v>
      </c>
      <c r="F19" s="19">
        <v>104.0</v>
      </c>
      <c r="G19" s="19">
        <v>113.0</v>
      </c>
      <c r="H19" s="19">
        <v>99.0</v>
      </c>
      <c r="I19" s="19">
        <v>108.0</v>
      </c>
      <c r="J19" s="19">
        <v>87.0</v>
      </c>
      <c r="K19" s="19">
        <v>108.0</v>
      </c>
      <c r="L19" s="19">
        <v>106.0</v>
      </c>
      <c r="M19" s="19">
        <v>100.0</v>
      </c>
      <c r="N19" s="19">
        <v>111.0</v>
      </c>
      <c r="O19" s="19">
        <v>104.0</v>
      </c>
      <c r="P19" s="19">
        <v>117.0</v>
      </c>
      <c r="Q19" s="19">
        <v>105.0</v>
      </c>
      <c r="R19" s="19">
        <v>82.0</v>
      </c>
      <c r="S19" s="19">
        <v>120.0</v>
      </c>
      <c r="T19" s="19">
        <v>115.0</v>
      </c>
      <c r="U19" s="19">
        <v>104.0</v>
      </c>
      <c r="V19" s="19">
        <v>107.0</v>
      </c>
      <c r="W19" s="19">
        <v>112.0</v>
      </c>
      <c r="X19" s="19">
        <v>115.0</v>
      </c>
      <c r="Y19" s="19">
        <v>90.0</v>
      </c>
      <c r="Z19" s="19">
        <v>95.0</v>
      </c>
      <c r="AA19" s="19">
        <v>96.0</v>
      </c>
      <c r="AB19" s="19">
        <v>93.0</v>
      </c>
      <c r="AC19" s="19">
        <v>97.0</v>
      </c>
      <c r="AD19" s="19">
        <v>93.0</v>
      </c>
      <c r="AE19" s="19">
        <v>93.0</v>
      </c>
      <c r="AF19" s="13">
        <f t="shared" ref="AF19:AF30" si="3">SUM(E19:AE19)</f>
        <v>2782</v>
      </c>
    </row>
    <row r="20" ht="12.75" customHeight="1">
      <c r="A20" s="33"/>
      <c r="B20" s="27"/>
      <c r="C20" s="34"/>
      <c r="D20" s="19" t="s">
        <v>13</v>
      </c>
      <c r="E20" s="19">
        <v>111.0</v>
      </c>
      <c r="F20" s="19">
        <v>108.0</v>
      </c>
      <c r="G20" s="19">
        <v>111.0</v>
      </c>
      <c r="H20" s="19">
        <v>111.0</v>
      </c>
      <c r="I20" s="19">
        <v>98.0</v>
      </c>
      <c r="J20" s="19">
        <v>100.0</v>
      </c>
      <c r="K20" s="19">
        <v>103.0</v>
      </c>
      <c r="L20" s="19">
        <v>110.0</v>
      </c>
      <c r="M20" s="19">
        <v>119.0</v>
      </c>
      <c r="N20" s="19">
        <v>114.0</v>
      </c>
      <c r="O20" s="19">
        <v>108.0</v>
      </c>
      <c r="P20" s="19">
        <v>102.0</v>
      </c>
      <c r="Q20" s="19">
        <v>108.0</v>
      </c>
      <c r="R20" s="19">
        <v>98.0</v>
      </c>
      <c r="S20" s="19">
        <v>113.0</v>
      </c>
      <c r="T20" s="19">
        <v>113.0</v>
      </c>
      <c r="U20" s="19">
        <v>108.0</v>
      </c>
      <c r="V20" s="19">
        <v>108.0</v>
      </c>
      <c r="W20" s="19">
        <v>98.0</v>
      </c>
      <c r="X20" s="19">
        <v>114.0</v>
      </c>
      <c r="Y20" s="19">
        <v>104.0</v>
      </c>
      <c r="Z20" s="19">
        <v>97.0</v>
      </c>
      <c r="AA20" s="19">
        <v>95.0</v>
      </c>
      <c r="AB20" s="19">
        <v>95.0</v>
      </c>
      <c r="AC20" s="19">
        <v>96.0</v>
      </c>
      <c r="AD20" s="19">
        <v>92.0</v>
      </c>
      <c r="AE20" s="19">
        <v>97.0</v>
      </c>
      <c r="AF20" s="13">
        <f t="shared" si="3"/>
        <v>2831</v>
      </c>
    </row>
    <row r="21" ht="12.75" customHeight="1">
      <c r="A21" s="35"/>
      <c r="B21" s="28"/>
      <c r="C21" s="36"/>
      <c r="D21" s="13" t="s">
        <v>14</v>
      </c>
      <c r="E21" s="13">
        <f t="shared" ref="E21:AE21" si="4">SUM(E19:E20)</f>
        <v>219</v>
      </c>
      <c r="F21" s="13">
        <f t="shared" si="4"/>
        <v>212</v>
      </c>
      <c r="G21" s="13">
        <f t="shared" si="4"/>
        <v>224</v>
      </c>
      <c r="H21" s="13">
        <f t="shared" si="4"/>
        <v>210</v>
      </c>
      <c r="I21" s="13">
        <f t="shared" si="4"/>
        <v>206</v>
      </c>
      <c r="J21" s="13">
        <f t="shared" si="4"/>
        <v>187</v>
      </c>
      <c r="K21" s="13">
        <f t="shared" si="4"/>
        <v>211</v>
      </c>
      <c r="L21" s="13">
        <f t="shared" si="4"/>
        <v>216</v>
      </c>
      <c r="M21" s="13">
        <f t="shared" si="4"/>
        <v>219</v>
      </c>
      <c r="N21" s="13">
        <f t="shared" si="4"/>
        <v>225</v>
      </c>
      <c r="O21" s="13">
        <f t="shared" si="4"/>
        <v>212</v>
      </c>
      <c r="P21" s="13">
        <f t="shared" si="4"/>
        <v>219</v>
      </c>
      <c r="Q21" s="13">
        <f t="shared" si="4"/>
        <v>213</v>
      </c>
      <c r="R21" s="13">
        <f t="shared" si="4"/>
        <v>180</v>
      </c>
      <c r="S21" s="13">
        <f t="shared" si="4"/>
        <v>233</v>
      </c>
      <c r="T21" s="13">
        <f t="shared" si="4"/>
        <v>228</v>
      </c>
      <c r="U21" s="13">
        <f t="shared" si="4"/>
        <v>212</v>
      </c>
      <c r="V21" s="13">
        <f t="shared" si="4"/>
        <v>215</v>
      </c>
      <c r="W21" s="13">
        <f t="shared" si="4"/>
        <v>210</v>
      </c>
      <c r="X21" s="13">
        <f t="shared" si="4"/>
        <v>229</v>
      </c>
      <c r="Y21" s="13">
        <f t="shared" si="4"/>
        <v>194</v>
      </c>
      <c r="Z21" s="13">
        <f t="shared" si="4"/>
        <v>192</v>
      </c>
      <c r="AA21" s="13">
        <f t="shared" si="4"/>
        <v>191</v>
      </c>
      <c r="AB21" s="13">
        <f t="shared" si="4"/>
        <v>188</v>
      </c>
      <c r="AC21" s="13">
        <f t="shared" si="4"/>
        <v>193</v>
      </c>
      <c r="AD21" s="13">
        <f t="shared" si="4"/>
        <v>185</v>
      </c>
      <c r="AE21" s="13">
        <f t="shared" si="4"/>
        <v>190</v>
      </c>
      <c r="AF21" s="13">
        <f t="shared" si="3"/>
        <v>5613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1.0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1.0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AE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1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1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3"/>
        <v>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1.0</v>
      </c>
      <c r="G25" s="19">
        <v>0.0</v>
      </c>
      <c r="H25" s="19">
        <v>4.0</v>
      </c>
      <c r="I25" s="19">
        <v>1.0</v>
      </c>
      <c r="J25" s="19">
        <v>0.0</v>
      </c>
      <c r="K25" s="19">
        <v>0.0</v>
      </c>
      <c r="L25" s="19">
        <v>0.0</v>
      </c>
      <c r="M25" s="19">
        <v>1.0</v>
      </c>
      <c r="N25" s="19">
        <v>0.0</v>
      </c>
      <c r="O25" s="19">
        <v>1.0</v>
      </c>
      <c r="P25" s="19">
        <v>0.0</v>
      </c>
      <c r="Q25" s="19">
        <v>2.0</v>
      </c>
      <c r="R25" s="19">
        <v>0.0</v>
      </c>
      <c r="S25" s="19">
        <v>1.0</v>
      </c>
      <c r="T25" s="19">
        <v>1.0</v>
      </c>
      <c r="U25" s="19">
        <v>0.0</v>
      </c>
      <c r="V25" s="19">
        <v>0.0</v>
      </c>
      <c r="W25" s="19">
        <v>4.0</v>
      </c>
      <c r="X25" s="19">
        <v>0.0</v>
      </c>
      <c r="Y25" s="19">
        <v>0.0</v>
      </c>
      <c r="Z25" s="19">
        <v>0.0</v>
      </c>
      <c r="AA25" s="19">
        <v>1.0</v>
      </c>
      <c r="AB25" s="19">
        <v>2.0</v>
      </c>
      <c r="AC25" s="19">
        <v>2.0</v>
      </c>
      <c r="AD25" s="19">
        <v>1.0</v>
      </c>
      <c r="AE25" s="19">
        <v>0.0</v>
      </c>
      <c r="AF25" s="13">
        <f t="shared" si="3"/>
        <v>22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1.0</v>
      </c>
      <c r="G26" s="19">
        <v>0.0</v>
      </c>
      <c r="H26" s="19">
        <v>6.0</v>
      </c>
      <c r="I26" s="19">
        <v>6.0</v>
      </c>
      <c r="J26" s="19">
        <v>0.0</v>
      </c>
      <c r="K26" s="19">
        <v>0.0</v>
      </c>
      <c r="L26" s="19">
        <v>1.0</v>
      </c>
      <c r="M26" s="19">
        <v>0.0</v>
      </c>
      <c r="N26" s="19">
        <v>0.0</v>
      </c>
      <c r="O26" s="19">
        <v>1.0</v>
      </c>
      <c r="P26" s="19">
        <v>0.0</v>
      </c>
      <c r="Q26" s="19">
        <v>3.0</v>
      </c>
      <c r="R26" s="19">
        <v>1.0</v>
      </c>
      <c r="S26" s="19">
        <v>3.0</v>
      </c>
      <c r="T26" s="19">
        <v>2.0</v>
      </c>
      <c r="U26" s="19">
        <v>0.0</v>
      </c>
      <c r="V26" s="19">
        <v>0.0</v>
      </c>
      <c r="W26" s="19">
        <v>2.0</v>
      </c>
      <c r="X26" s="19">
        <v>2.0</v>
      </c>
      <c r="Y26" s="19">
        <v>0.0</v>
      </c>
      <c r="Z26" s="19">
        <v>0.0</v>
      </c>
      <c r="AA26" s="19">
        <v>1.0</v>
      </c>
      <c r="AB26" s="19">
        <v>2.0</v>
      </c>
      <c r="AC26" s="19">
        <v>1.0</v>
      </c>
      <c r="AD26" s="19">
        <v>0.0</v>
      </c>
      <c r="AE26" s="19">
        <v>1.0</v>
      </c>
      <c r="AF26" s="13">
        <f t="shared" si="3"/>
        <v>33</v>
      </c>
    </row>
    <row r="27" ht="12.75" customHeight="1">
      <c r="A27" s="35"/>
      <c r="B27" s="28"/>
      <c r="C27" s="36"/>
      <c r="D27" s="13" t="s">
        <v>14</v>
      </c>
      <c r="E27" s="13">
        <f t="shared" ref="E27:AE27" si="6">SUM(E25:E26)</f>
        <v>0</v>
      </c>
      <c r="F27" s="13">
        <f t="shared" si="6"/>
        <v>2</v>
      </c>
      <c r="G27" s="13">
        <f t="shared" si="6"/>
        <v>0</v>
      </c>
      <c r="H27" s="13">
        <f t="shared" si="6"/>
        <v>10</v>
      </c>
      <c r="I27" s="13">
        <f t="shared" si="6"/>
        <v>7</v>
      </c>
      <c r="J27" s="13">
        <f t="shared" si="6"/>
        <v>0</v>
      </c>
      <c r="K27" s="13">
        <f t="shared" si="6"/>
        <v>0</v>
      </c>
      <c r="L27" s="13">
        <f t="shared" si="6"/>
        <v>1</v>
      </c>
      <c r="M27" s="13">
        <f t="shared" si="6"/>
        <v>1</v>
      </c>
      <c r="N27" s="13">
        <f t="shared" si="6"/>
        <v>0</v>
      </c>
      <c r="O27" s="13">
        <f t="shared" si="6"/>
        <v>2</v>
      </c>
      <c r="P27" s="13">
        <f t="shared" si="6"/>
        <v>0</v>
      </c>
      <c r="Q27" s="13">
        <f t="shared" si="6"/>
        <v>5</v>
      </c>
      <c r="R27" s="13">
        <f t="shared" si="6"/>
        <v>1</v>
      </c>
      <c r="S27" s="13">
        <f t="shared" si="6"/>
        <v>4</v>
      </c>
      <c r="T27" s="13">
        <f t="shared" si="6"/>
        <v>3</v>
      </c>
      <c r="U27" s="13">
        <f t="shared" si="6"/>
        <v>0</v>
      </c>
      <c r="V27" s="13">
        <f t="shared" si="6"/>
        <v>0</v>
      </c>
      <c r="W27" s="13">
        <f t="shared" si="6"/>
        <v>6</v>
      </c>
      <c r="X27" s="13">
        <f t="shared" si="6"/>
        <v>2</v>
      </c>
      <c r="Y27" s="13">
        <f t="shared" si="6"/>
        <v>0</v>
      </c>
      <c r="Z27" s="13">
        <f t="shared" si="6"/>
        <v>0</v>
      </c>
      <c r="AA27" s="13">
        <f t="shared" si="6"/>
        <v>2</v>
      </c>
      <c r="AB27" s="13">
        <f t="shared" si="6"/>
        <v>4</v>
      </c>
      <c r="AC27" s="13">
        <f t="shared" si="6"/>
        <v>3</v>
      </c>
      <c r="AD27" s="13">
        <f t="shared" si="6"/>
        <v>1</v>
      </c>
      <c r="AE27" s="13">
        <f t="shared" si="6"/>
        <v>1</v>
      </c>
      <c r="AF27" s="13">
        <f t="shared" si="3"/>
        <v>55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E28" si="7">SUM(E19,E22,E25)</f>
        <v>108</v>
      </c>
      <c r="F28" s="13">
        <f t="shared" si="7"/>
        <v>105</v>
      </c>
      <c r="G28" s="13">
        <f t="shared" si="7"/>
        <v>113</v>
      </c>
      <c r="H28" s="13">
        <f t="shared" si="7"/>
        <v>103</v>
      </c>
      <c r="I28" s="13">
        <f t="shared" si="7"/>
        <v>109</v>
      </c>
      <c r="J28" s="13">
        <f t="shared" si="7"/>
        <v>87</v>
      </c>
      <c r="K28" s="13">
        <f t="shared" si="7"/>
        <v>108</v>
      </c>
      <c r="L28" s="13">
        <f t="shared" si="7"/>
        <v>106</v>
      </c>
      <c r="M28" s="13">
        <f t="shared" si="7"/>
        <v>101</v>
      </c>
      <c r="N28" s="13">
        <f t="shared" si="7"/>
        <v>111</v>
      </c>
      <c r="O28" s="13">
        <f t="shared" si="7"/>
        <v>105</v>
      </c>
      <c r="P28" s="13">
        <f t="shared" si="7"/>
        <v>117</v>
      </c>
      <c r="Q28" s="13">
        <f t="shared" si="7"/>
        <v>107</v>
      </c>
      <c r="R28" s="13">
        <f t="shared" si="7"/>
        <v>83</v>
      </c>
      <c r="S28" s="13">
        <f t="shared" si="7"/>
        <v>121</v>
      </c>
      <c r="T28" s="13">
        <f t="shared" si="7"/>
        <v>116</v>
      </c>
      <c r="U28" s="13">
        <f t="shared" si="7"/>
        <v>104</v>
      </c>
      <c r="V28" s="13">
        <f t="shared" si="7"/>
        <v>107</v>
      </c>
      <c r="W28" s="13">
        <f t="shared" si="7"/>
        <v>116</v>
      </c>
      <c r="X28" s="13">
        <f t="shared" si="7"/>
        <v>115</v>
      </c>
      <c r="Y28" s="13">
        <f t="shared" si="7"/>
        <v>90</v>
      </c>
      <c r="Z28" s="13">
        <f t="shared" si="7"/>
        <v>95</v>
      </c>
      <c r="AA28" s="13">
        <f t="shared" si="7"/>
        <v>97</v>
      </c>
      <c r="AB28" s="13">
        <f t="shared" si="7"/>
        <v>95</v>
      </c>
      <c r="AC28" s="13">
        <f t="shared" si="7"/>
        <v>99</v>
      </c>
      <c r="AD28" s="13">
        <f t="shared" si="7"/>
        <v>94</v>
      </c>
      <c r="AE28" s="13">
        <f t="shared" si="7"/>
        <v>93</v>
      </c>
      <c r="AF28" s="13">
        <f t="shared" si="3"/>
        <v>2805</v>
      </c>
    </row>
    <row r="29" ht="12.75" customHeight="1">
      <c r="A29" s="35"/>
      <c r="B29" s="27"/>
      <c r="C29" s="34"/>
      <c r="D29" s="13" t="s">
        <v>13</v>
      </c>
      <c r="E29" s="13">
        <f t="shared" ref="E29:AE29" si="8">SUM(E20,E23,E26)</f>
        <v>111</v>
      </c>
      <c r="F29" s="13">
        <f t="shared" si="8"/>
        <v>109</v>
      </c>
      <c r="G29" s="13">
        <f t="shared" si="8"/>
        <v>111</v>
      </c>
      <c r="H29" s="13">
        <f t="shared" si="8"/>
        <v>117</v>
      </c>
      <c r="I29" s="13">
        <f t="shared" si="8"/>
        <v>104</v>
      </c>
      <c r="J29" s="13">
        <f t="shared" si="8"/>
        <v>100</v>
      </c>
      <c r="K29" s="13">
        <f t="shared" si="8"/>
        <v>104</v>
      </c>
      <c r="L29" s="13">
        <f t="shared" si="8"/>
        <v>111</v>
      </c>
      <c r="M29" s="13">
        <f t="shared" si="8"/>
        <v>119</v>
      </c>
      <c r="N29" s="13">
        <f t="shared" si="8"/>
        <v>114</v>
      </c>
      <c r="O29" s="13">
        <f t="shared" si="8"/>
        <v>109</v>
      </c>
      <c r="P29" s="13">
        <f t="shared" si="8"/>
        <v>102</v>
      </c>
      <c r="Q29" s="13">
        <f t="shared" si="8"/>
        <v>111</v>
      </c>
      <c r="R29" s="13">
        <f t="shared" si="8"/>
        <v>99</v>
      </c>
      <c r="S29" s="13">
        <f t="shared" si="8"/>
        <v>116</v>
      </c>
      <c r="T29" s="13">
        <f t="shared" si="8"/>
        <v>115</v>
      </c>
      <c r="U29" s="13">
        <f t="shared" si="8"/>
        <v>108</v>
      </c>
      <c r="V29" s="13">
        <f t="shared" si="8"/>
        <v>108</v>
      </c>
      <c r="W29" s="13">
        <f t="shared" si="8"/>
        <v>100</v>
      </c>
      <c r="X29" s="13">
        <f t="shared" si="8"/>
        <v>116</v>
      </c>
      <c r="Y29" s="13">
        <f t="shared" si="8"/>
        <v>104</v>
      </c>
      <c r="Z29" s="13">
        <f t="shared" si="8"/>
        <v>97</v>
      </c>
      <c r="AA29" s="13">
        <f t="shared" si="8"/>
        <v>96</v>
      </c>
      <c r="AB29" s="13">
        <f t="shared" si="8"/>
        <v>97</v>
      </c>
      <c r="AC29" s="13">
        <f t="shared" si="8"/>
        <v>97</v>
      </c>
      <c r="AD29" s="13">
        <f t="shared" si="8"/>
        <v>92</v>
      </c>
      <c r="AE29" s="13">
        <f t="shared" si="8"/>
        <v>98</v>
      </c>
      <c r="AF29" s="13">
        <f t="shared" si="3"/>
        <v>2865</v>
      </c>
    </row>
    <row r="30" ht="12.75" customHeight="1">
      <c r="A30" s="35"/>
      <c r="B30" s="28"/>
      <c r="C30" s="36"/>
      <c r="D30" s="13" t="s">
        <v>14</v>
      </c>
      <c r="E30" s="13">
        <f t="shared" ref="E30:AE30" si="9">SUM(E28:E29)</f>
        <v>219</v>
      </c>
      <c r="F30" s="13">
        <f t="shared" si="9"/>
        <v>214</v>
      </c>
      <c r="G30" s="13">
        <f t="shared" si="9"/>
        <v>224</v>
      </c>
      <c r="H30" s="13">
        <f t="shared" si="9"/>
        <v>220</v>
      </c>
      <c r="I30" s="13">
        <f t="shared" si="9"/>
        <v>213</v>
      </c>
      <c r="J30" s="13">
        <f t="shared" si="9"/>
        <v>187</v>
      </c>
      <c r="K30" s="13">
        <f t="shared" si="9"/>
        <v>212</v>
      </c>
      <c r="L30" s="13">
        <f t="shared" si="9"/>
        <v>217</v>
      </c>
      <c r="M30" s="13">
        <f t="shared" si="9"/>
        <v>220</v>
      </c>
      <c r="N30" s="13">
        <f t="shared" si="9"/>
        <v>225</v>
      </c>
      <c r="O30" s="13">
        <f t="shared" si="9"/>
        <v>214</v>
      </c>
      <c r="P30" s="13">
        <f t="shared" si="9"/>
        <v>219</v>
      </c>
      <c r="Q30" s="13">
        <f t="shared" si="9"/>
        <v>218</v>
      </c>
      <c r="R30" s="13">
        <f t="shared" si="9"/>
        <v>182</v>
      </c>
      <c r="S30" s="13">
        <f t="shared" si="9"/>
        <v>237</v>
      </c>
      <c r="T30" s="13">
        <f t="shared" si="9"/>
        <v>231</v>
      </c>
      <c r="U30" s="13">
        <f t="shared" si="9"/>
        <v>212</v>
      </c>
      <c r="V30" s="13">
        <f t="shared" si="9"/>
        <v>215</v>
      </c>
      <c r="W30" s="13">
        <f t="shared" si="9"/>
        <v>216</v>
      </c>
      <c r="X30" s="13">
        <f t="shared" si="9"/>
        <v>231</v>
      </c>
      <c r="Y30" s="13">
        <f t="shared" si="9"/>
        <v>194</v>
      </c>
      <c r="Z30" s="13">
        <f t="shared" si="9"/>
        <v>192</v>
      </c>
      <c r="AA30" s="13">
        <f t="shared" si="9"/>
        <v>193</v>
      </c>
      <c r="AB30" s="13">
        <f t="shared" si="9"/>
        <v>192</v>
      </c>
      <c r="AC30" s="13">
        <f t="shared" si="9"/>
        <v>196</v>
      </c>
      <c r="AD30" s="13">
        <f t="shared" si="9"/>
        <v>186</v>
      </c>
      <c r="AE30" s="13">
        <f t="shared" si="9"/>
        <v>191</v>
      </c>
      <c r="AF30" s="13">
        <f t="shared" si="3"/>
        <v>5670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19"/>
      <c r="P31" s="19"/>
      <c r="Q31" s="19"/>
      <c r="R31" s="58"/>
      <c r="S31" s="19"/>
      <c r="T31" s="19"/>
      <c r="U31" s="19"/>
      <c r="V31" s="19"/>
      <c r="W31" s="19"/>
      <c r="X31" s="19"/>
      <c r="Y31" s="19"/>
      <c r="Z31" s="19"/>
      <c r="AA31" s="58"/>
      <c r="AB31" s="19"/>
      <c r="AC31" s="19"/>
      <c r="AD31" s="19"/>
      <c r="AE31" s="58"/>
      <c r="AF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13"/>
      <c r="P32" s="13"/>
      <c r="Q32" s="13"/>
      <c r="R32" s="60"/>
      <c r="S32" s="13"/>
      <c r="T32" s="13"/>
      <c r="U32" s="13"/>
      <c r="V32" s="13"/>
      <c r="W32" s="13"/>
      <c r="X32" s="13"/>
      <c r="Y32" s="13"/>
      <c r="Z32" s="13"/>
      <c r="AA32" s="60"/>
      <c r="AB32" s="13"/>
      <c r="AC32" s="13"/>
      <c r="AD32" s="13"/>
      <c r="AE32" s="60"/>
      <c r="AF32" s="59"/>
    </row>
    <row r="33" ht="12.75" customHeight="1">
      <c r="A33" s="19">
        <v>1.0</v>
      </c>
      <c r="B33" s="20" t="s">
        <v>27</v>
      </c>
      <c r="C33" s="15"/>
      <c r="D33" s="16"/>
      <c r="E33" s="19">
        <v>274.0</v>
      </c>
      <c r="F33" s="19">
        <v>296.0</v>
      </c>
      <c r="G33" s="19">
        <v>296.0</v>
      </c>
      <c r="H33" s="19">
        <v>282.0</v>
      </c>
      <c r="I33" s="19">
        <v>274.0</v>
      </c>
      <c r="J33" s="19">
        <v>270.0</v>
      </c>
      <c r="K33" s="19">
        <v>297.0</v>
      </c>
      <c r="L33" s="19">
        <v>298.0</v>
      </c>
      <c r="M33" s="19">
        <v>284.0</v>
      </c>
      <c r="N33" s="19">
        <v>292.0</v>
      </c>
      <c r="O33" s="19">
        <v>289.0</v>
      </c>
      <c r="P33" s="19">
        <v>280.0</v>
      </c>
      <c r="Q33" s="19">
        <v>289.0</v>
      </c>
      <c r="R33" s="19">
        <v>295.0</v>
      </c>
      <c r="S33" s="19">
        <v>285.0</v>
      </c>
      <c r="T33" s="19">
        <v>297.0</v>
      </c>
      <c r="U33" s="19">
        <v>288.0</v>
      </c>
      <c r="V33" s="19">
        <v>242.0</v>
      </c>
      <c r="W33" s="19">
        <v>294.0</v>
      </c>
      <c r="X33" s="19">
        <v>282.0</v>
      </c>
      <c r="Y33" s="19">
        <v>263.0</v>
      </c>
      <c r="Z33" s="19">
        <v>236.0</v>
      </c>
      <c r="AA33" s="19">
        <v>243.0</v>
      </c>
      <c r="AB33" s="19">
        <v>239.0</v>
      </c>
      <c r="AC33" s="19">
        <v>252.0</v>
      </c>
      <c r="AD33" s="19">
        <v>239.0</v>
      </c>
      <c r="AE33" s="19">
        <v>244.0</v>
      </c>
      <c r="AF33" s="13">
        <f t="shared" ref="AF33:AF36" si="10">SUM(E33:AE33)</f>
        <v>7420</v>
      </c>
    </row>
    <row r="34" ht="12.75" customHeight="1">
      <c r="A34" s="19">
        <v>2.0</v>
      </c>
      <c r="B34" s="20" t="s">
        <v>28</v>
      </c>
      <c r="C34" s="15"/>
      <c r="D34" s="16"/>
      <c r="E34" s="13">
        <v>219.0</v>
      </c>
      <c r="F34" s="13">
        <v>214.0</v>
      </c>
      <c r="G34" s="13">
        <v>224.0</v>
      </c>
      <c r="H34" s="13">
        <v>220.0</v>
      </c>
      <c r="I34" s="13">
        <v>213.0</v>
      </c>
      <c r="J34" s="13">
        <v>187.0</v>
      </c>
      <c r="K34" s="13">
        <v>212.0</v>
      </c>
      <c r="L34" s="13">
        <v>217.0</v>
      </c>
      <c r="M34" s="13">
        <v>220.0</v>
      </c>
      <c r="N34" s="13">
        <v>225.0</v>
      </c>
      <c r="O34" s="13">
        <v>214.0</v>
      </c>
      <c r="P34" s="13">
        <v>219.0</v>
      </c>
      <c r="Q34" s="13">
        <v>218.0</v>
      </c>
      <c r="R34" s="13">
        <v>182.0</v>
      </c>
      <c r="S34" s="13">
        <v>237.0</v>
      </c>
      <c r="T34" s="13">
        <v>231.0</v>
      </c>
      <c r="U34" s="13">
        <v>212.0</v>
      </c>
      <c r="V34" s="13">
        <v>215.0</v>
      </c>
      <c r="W34" s="13">
        <v>216.0</v>
      </c>
      <c r="X34" s="13">
        <v>231.0</v>
      </c>
      <c r="Y34" s="13">
        <v>194.0</v>
      </c>
      <c r="Z34" s="13">
        <v>192.0</v>
      </c>
      <c r="AA34" s="13">
        <v>193.0</v>
      </c>
      <c r="AB34" s="13">
        <v>192.0</v>
      </c>
      <c r="AC34" s="13">
        <v>196.0</v>
      </c>
      <c r="AD34" s="13">
        <v>186.0</v>
      </c>
      <c r="AE34" s="13">
        <v>191.0</v>
      </c>
      <c r="AF34" s="13">
        <f t="shared" si="10"/>
        <v>5670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1.0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1.0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1.0</v>
      </c>
      <c r="U35" s="19">
        <v>0.0</v>
      </c>
      <c r="V35" s="19">
        <v>0.0</v>
      </c>
      <c r="W35" s="19">
        <v>0.0</v>
      </c>
      <c r="X35" s="19">
        <v>2.0</v>
      </c>
      <c r="Y35" s="19">
        <v>0.0</v>
      </c>
      <c r="Z35" s="19">
        <v>0.0</v>
      </c>
      <c r="AA35" s="19">
        <v>0.0</v>
      </c>
      <c r="AB35" s="19">
        <v>1.0</v>
      </c>
      <c r="AC35" s="19">
        <v>0.0</v>
      </c>
      <c r="AD35" s="19">
        <v>1.0</v>
      </c>
      <c r="AE35" s="19">
        <v>0.0</v>
      </c>
      <c r="AF35" s="13">
        <f t="shared" si="10"/>
        <v>7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E36" si="11">E33-(E34+E35)</f>
        <v>55</v>
      </c>
      <c r="F36" s="13">
        <f t="shared" si="11"/>
        <v>82</v>
      </c>
      <c r="G36" s="13">
        <f t="shared" si="11"/>
        <v>71</v>
      </c>
      <c r="H36" s="13">
        <f t="shared" si="11"/>
        <v>62</v>
      </c>
      <c r="I36" s="13">
        <f t="shared" si="11"/>
        <v>61</v>
      </c>
      <c r="J36" s="13">
        <f t="shared" si="11"/>
        <v>83</v>
      </c>
      <c r="K36" s="13">
        <f t="shared" si="11"/>
        <v>85</v>
      </c>
      <c r="L36" s="13">
        <f t="shared" si="11"/>
        <v>81</v>
      </c>
      <c r="M36" s="13">
        <f t="shared" si="11"/>
        <v>63</v>
      </c>
      <c r="N36" s="13">
        <f t="shared" si="11"/>
        <v>67</v>
      </c>
      <c r="O36" s="13">
        <f t="shared" si="11"/>
        <v>75</v>
      </c>
      <c r="P36" s="13">
        <f t="shared" si="11"/>
        <v>61</v>
      </c>
      <c r="Q36" s="13">
        <f t="shared" si="11"/>
        <v>71</v>
      </c>
      <c r="R36" s="13">
        <f t="shared" si="11"/>
        <v>113</v>
      </c>
      <c r="S36" s="13">
        <f t="shared" si="11"/>
        <v>48</v>
      </c>
      <c r="T36" s="13">
        <f t="shared" si="11"/>
        <v>65</v>
      </c>
      <c r="U36" s="13">
        <f t="shared" si="11"/>
        <v>76</v>
      </c>
      <c r="V36" s="13">
        <f t="shared" si="11"/>
        <v>27</v>
      </c>
      <c r="W36" s="13">
        <f t="shared" si="11"/>
        <v>78</v>
      </c>
      <c r="X36" s="13">
        <f t="shared" si="11"/>
        <v>49</v>
      </c>
      <c r="Y36" s="13">
        <f t="shared" si="11"/>
        <v>69</v>
      </c>
      <c r="Z36" s="13">
        <f t="shared" si="11"/>
        <v>44</v>
      </c>
      <c r="AA36" s="13">
        <f t="shared" si="11"/>
        <v>50</v>
      </c>
      <c r="AB36" s="13">
        <f t="shared" si="11"/>
        <v>46</v>
      </c>
      <c r="AC36" s="13">
        <f t="shared" si="11"/>
        <v>56</v>
      </c>
      <c r="AD36" s="13">
        <f t="shared" si="11"/>
        <v>52</v>
      </c>
      <c r="AE36" s="13">
        <f t="shared" si="11"/>
        <v>53</v>
      </c>
      <c r="AF36" s="13">
        <f t="shared" si="10"/>
        <v>1743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6"/>
      <c r="W37" s="19"/>
      <c r="X37" s="19"/>
      <c r="Y37" s="19"/>
      <c r="Z37" s="19"/>
      <c r="AA37" s="58"/>
      <c r="AB37" s="19"/>
      <c r="AC37" s="19"/>
      <c r="AD37" s="19"/>
      <c r="AE37" s="58"/>
      <c r="AF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13"/>
      <c r="P38" s="13"/>
      <c r="Q38" s="13"/>
      <c r="R38" s="60"/>
      <c r="S38" s="13"/>
      <c r="T38" s="13"/>
      <c r="U38" s="13"/>
      <c r="V38" s="13"/>
      <c r="W38" s="13"/>
      <c r="X38" s="13"/>
      <c r="Y38" s="13"/>
      <c r="Z38" s="13"/>
      <c r="AA38" s="60"/>
      <c r="AB38" s="13"/>
      <c r="AC38" s="13"/>
      <c r="AD38" s="13"/>
      <c r="AE38" s="60"/>
      <c r="AF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3">
        <f t="shared" ref="AF39:AF41" si="12">SUM(E39:AE39)</f>
        <v>0</v>
      </c>
    </row>
    <row r="40" ht="12.75" customHeight="1">
      <c r="A40" s="33"/>
      <c r="C40" s="27"/>
      <c r="D40" s="19" t="s">
        <v>13</v>
      </c>
      <c r="E40" s="19">
        <v>0.0</v>
      </c>
      <c r="F40" s="19">
        <v>1.0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1.0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AE41" si="13">SUM(E39:E40)</f>
        <v>0</v>
      </c>
      <c r="F41" s="13">
        <f t="shared" si="13"/>
        <v>1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1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2"/>
        <v>2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6"/>
      <c r="W42" s="19"/>
      <c r="X42" s="19"/>
      <c r="Y42" s="19"/>
      <c r="Z42" s="19"/>
      <c r="AA42" s="58"/>
      <c r="AB42" s="19"/>
      <c r="AC42" s="19"/>
      <c r="AD42" s="19"/>
      <c r="AE42" s="58"/>
      <c r="AF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  <c r="Q43" s="13"/>
      <c r="R43" s="60"/>
      <c r="S43" s="13"/>
      <c r="T43" s="13"/>
      <c r="U43" s="13"/>
      <c r="V43" s="13"/>
      <c r="W43" s="13"/>
      <c r="X43" s="13"/>
      <c r="Y43" s="13"/>
      <c r="Z43" s="13"/>
      <c r="AA43" s="60"/>
      <c r="AB43" s="13"/>
      <c r="AC43" s="13"/>
      <c r="AD43" s="13"/>
      <c r="AE43" s="60"/>
      <c r="AF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9"/>
      <c r="Q44" s="19"/>
      <c r="R44" s="58"/>
      <c r="S44" s="19"/>
      <c r="T44" s="19"/>
      <c r="U44" s="19"/>
      <c r="V44" s="19"/>
      <c r="W44" s="19"/>
      <c r="X44" s="19"/>
      <c r="Y44" s="19"/>
      <c r="Z44" s="19"/>
      <c r="AA44" s="58"/>
      <c r="AB44" s="19"/>
      <c r="AC44" s="19"/>
      <c r="AD44" s="19"/>
      <c r="AE44" s="58"/>
      <c r="AF44" s="13"/>
    </row>
    <row r="45" ht="12.75" customHeight="1">
      <c r="A45" s="30"/>
      <c r="B45" s="47">
        <v>1.0</v>
      </c>
      <c r="C45" s="48" t="s">
        <v>37</v>
      </c>
      <c r="D45" s="16"/>
      <c r="E45" s="19">
        <v>11.0</v>
      </c>
      <c r="F45" s="19">
        <v>24.0</v>
      </c>
      <c r="G45" s="19">
        <v>34.0</v>
      </c>
      <c r="H45" s="19">
        <v>12.0</v>
      </c>
      <c r="I45" s="19">
        <v>18.0</v>
      </c>
      <c r="J45" s="19">
        <v>16.0</v>
      </c>
      <c r="K45" s="19">
        <v>25.0</v>
      </c>
      <c r="L45" s="19">
        <v>14.0</v>
      </c>
      <c r="M45" s="19">
        <v>17.0</v>
      </c>
      <c r="N45" s="19">
        <v>17.0</v>
      </c>
      <c r="O45" s="19">
        <v>12.0</v>
      </c>
      <c r="P45" s="19">
        <v>13.0</v>
      </c>
      <c r="Q45" s="19">
        <v>11.0</v>
      </c>
      <c r="R45" s="19">
        <v>10.0</v>
      </c>
      <c r="S45" s="19">
        <v>18.0</v>
      </c>
      <c r="T45" s="19">
        <v>3.0</v>
      </c>
      <c r="U45" s="19">
        <v>9.0</v>
      </c>
      <c r="V45" s="19">
        <v>16.0</v>
      </c>
      <c r="W45" s="19">
        <v>23.0</v>
      </c>
      <c r="X45" s="19">
        <v>24.0</v>
      </c>
      <c r="Y45" s="19">
        <v>32.0</v>
      </c>
      <c r="Z45" s="19">
        <v>16.0</v>
      </c>
      <c r="AA45" s="19">
        <v>17.0</v>
      </c>
      <c r="AB45" s="19">
        <v>35.0</v>
      </c>
      <c r="AC45" s="19">
        <v>24.0</v>
      </c>
      <c r="AD45" s="19">
        <v>23.0</v>
      </c>
      <c r="AE45" s="19">
        <v>18.0</v>
      </c>
      <c r="AF45" s="13">
        <f t="shared" ref="AF45:AF47" si="14">SUM(E45:AE45)</f>
        <v>492</v>
      </c>
    </row>
    <row r="46" ht="12.75" customHeight="1">
      <c r="A46" s="18"/>
      <c r="B46" s="47">
        <v>2.0</v>
      </c>
      <c r="C46" s="48" t="s">
        <v>38</v>
      </c>
      <c r="D46" s="16"/>
      <c r="E46" s="19">
        <v>173.0</v>
      </c>
      <c r="F46" s="19">
        <v>152.0</v>
      </c>
      <c r="G46" s="19">
        <v>141.0</v>
      </c>
      <c r="H46" s="19">
        <v>135.0</v>
      </c>
      <c r="I46" s="19">
        <v>130.0</v>
      </c>
      <c r="J46" s="19">
        <v>128.0</v>
      </c>
      <c r="K46" s="19">
        <v>150.0</v>
      </c>
      <c r="L46" s="19">
        <v>156.0</v>
      </c>
      <c r="M46" s="19">
        <v>141.0</v>
      </c>
      <c r="N46" s="19">
        <v>145.0</v>
      </c>
      <c r="O46" s="19">
        <v>153.0</v>
      </c>
      <c r="P46" s="19">
        <v>147.0</v>
      </c>
      <c r="Q46" s="19">
        <v>156.0</v>
      </c>
      <c r="R46" s="19">
        <v>132.0</v>
      </c>
      <c r="S46" s="19">
        <v>171.0</v>
      </c>
      <c r="T46" s="19">
        <v>174.0</v>
      </c>
      <c r="U46" s="19">
        <v>111.0</v>
      </c>
      <c r="V46" s="19">
        <v>160.0</v>
      </c>
      <c r="W46" s="19">
        <v>135.0</v>
      </c>
      <c r="X46" s="19">
        <v>174.0</v>
      </c>
      <c r="Y46" s="19">
        <v>135.0</v>
      </c>
      <c r="Z46" s="19">
        <v>147.0</v>
      </c>
      <c r="AA46" s="19">
        <v>122.0</v>
      </c>
      <c r="AB46" s="19">
        <v>132.0</v>
      </c>
      <c r="AC46" s="19">
        <v>141.0</v>
      </c>
      <c r="AD46" s="19">
        <v>139.0</v>
      </c>
      <c r="AE46" s="19">
        <v>137.0</v>
      </c>
      <c r="AF46" s="13">
        <f t="shared" si="14"/>
        <v>3917</v>
      </c>
    </row>
    <row r="47" ht="12.75" customHeight="1">
      <c r="A47" s="18"/>
      <c r="B47" s="47">
        <v>3.0</v>
      </c>
      <c r="C47" s="48" t="s">
        <v>39</v>
      </c>
      <c r="D47" s="16"/>
      <c r="E47" s="19">
        <v>29.0</v>
      </c>
      <c r="F47" s="19">
        <v>36.0</v>
      </c>
      <c r="G47" s="19">
        <v>45.0</v>
      </c>
      <c r="H47" s="19">
        <v>71.0</v>
      </c>
      <c r="I47" s="19">
        <v>63.0</v>
      </c>
      <c r="J47" s="19">
        <v>43.0</v>
      </c>
      <c r="K47" s="19">
        <v>35.0</v>
      </c>
      <c r="L47" s="19">
        <v>44.0</v>
      </c>
      <c r="M47" s="19">
        <v>51.0</v>
      </c>
      <c r="N47" s="19">
        <v>57.0</v>
      </c>
      <c r="O47" s="19">
        <v>44.0</v>
      </c>
      <c r="P47" s="19">
        <v>54.0</v>
      </c>
      <c r="Q47" s="19">
        <v>48.0</v>
      </c>
      <c r="R47" s="19">
        <v>37.0</v>
      </c>
      <c r="S47" s="19">
        <v>48.0</v>
      </c>
      <c r="T47" s="19">
        <v>54.0</v>
      </c>
      <c r="U47" s="19">
        <v>87.0</v>
      </c>
      <c r="V47" s="19">
        <v>37.0</v>
      </c>
      <c r="W47" s="19">
        <v>53.0</v>
      </c>
      <c r="X47" s="19">
        <v>31.0</v>
      </c>
      <c r="Y47" s="19">
        <v>27.0</v>
      </c>
      <c r="Z47" s="19">
        <v>28.0</v>
      </c>
      <c r="AA47" s="19">
        <v>48.0</v>
      </c>
      <c r="AB47" s="19">
        <v>21.0</v>
      </c>
      <c r="AC47" s="19">
        <v>31.0</v>
      </c>
      <c r="AD47" s="19">
        <v>21.0</v>
      </c>
      <c r="AE47" s="19">
        <v>33.0</v>
      </c>
      <c r="AF47" s="13">
        <f t="shared" si="14"/>
        <v>1176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0"/>
      <c r="O49" s="13"/>
      <c r="P49" s="13"/>
      <c r="Q49" s="13"/>
      <c r="R49" s="60"/>
      <c r="S49" s="13"/>
      <c r="T49" s="13"/>
      <c r="U49" s="13"/>
      <c r="V49" s="13"/>
      <c r="W49" s="13"/>
      <c r="X49" s="13"/>
      <c r="Y49" s="13"/>
      <c r="Z49" s="13"/>
      <c r="AA49" s="60"/>
      <c r="AB49" s="13"/>
      <c r="AC49" s="13"/>
      <c r="AD49" s="13"/>
      <c r="AE49" s="60"/>
      <c r="AF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AE50" si="15">SUM(E45:E47)</f>
        <v>213</v>
      </c>
      <c r="F50" s="19">
        <f t="shared" si="15"/>
        <v>212</v>
      </c>
      <c r="G50" s="19">
        <f t="shared" si="15"/>
        <v>220</v>
      </c>
      <c r="H50" s="19">
        <f t="shared" si="15"/>
        <v>218</v>
      </c>
      <c r="I50" s="19">
        <f t="shared" si="15"/>
        <v>211</v>
      </c>
      <c r="J50" s="19">
        <f t="shared" si="15"/>
        <v>187</v>
      </c>
      <c r="K50" s="19">
        <f t="shared" si="15"/>
        <v>210</v>
      </c>
      <c r="L50" s="19">
        <f t="shared" si="15"/>
        <v>214</v>
      </c>
      <c r="M50" s="19">
        <f t="shared" si="15"/>
        <v>209</v>
      </c>
      <c r="N50" s="19">
        <f t="shared" si="15"/>
        <v>219</v>
      </c>
      <c r="O50" s="19">
        <f t="shared" si="15"/>
        <v>209</v>
      </c>
      <c r="P50" s="19">
        <f t="shared" si="15"/>
        <v>214</v>
      </c>
      <c r="Q50" s="19">
        <f t="shared" si="15"/>
        <v>215</v>
      </c>
      <c r="R50" s="19">
        <f t="shared" si="15"/>
        <v>179</v>
      </c>
      <c r="S50" s="19">
        <f t="shared" si="15"/>
        <v>237</v>
      </c>
      <c r="T50" s="19">
        <f t="shared" si="15"/>
        <v>231</v>
      </c>
      <c r="U50" s="19">
        <f t="shared" si="15"/>
        <v>207</v>
      </c>
      <c r="V50" s="19">
        <f t="shared" si="15"/>
        <v>213</v>
      </c>
      <c r="W50" s="19">
        <f t="shared" si="15"/>
        <v>211</v>
      </c>
      <c r="X50" s="19">
        <f t="shared" si="15"/>
        <v>229</v>
      </c>
      <c r="Y50" s="19">
        <f t="shared" si="15"/>
        <v>194</v>
      </c>
      <c r="Z50" s="19">
        <f t="shared" si="15"/>
        <v>191</v>
      </c>
      <c r="AA50" s="19">
        <f t="shared" si="15"/>
        <v>187</v>
      </c>
      <c r="AB50" s="19">
        <f t="shared" si="15"/>
        <v>188</v>
      </c>
      <c r="AC50" s="19">
        <f t="shared" si="15"/>
        <v>196</v>
      </c>
      <c r="AD50" s="19">
        <f t="shared" si="15"/>
        <v>183</v>
      </c>
      <c r="AE50" s="19">
        <f t="shared" si="15"/>
        <v>188</v>
      </c>
      <c r="AF50" s="13">
        <f t="shared" ref="AF50:AF52" si="16">SUM(E50:AE50)</f>
        <v>5585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6.0</v>
      </c>
      <c r="F51" s="19">
        <v>2.0</v>
      </c>
      <c r="G51" s="19">
        <v>4.0</v>
      </c>
      <c r="H51" s="19">
        <v>2.0</v>
      </c>
      <c r="I51" s="19">
        <v>2.0</v>
      </c>
      <c r="J51" s="19">
        <v>0.0</v>
      </c>
      <c r="K51" s="19">
        <v>2.0</v>
      </c>
      <c r="L51" s="19">
        <v>3.0</v>
      </c>
      <c r="M51" s="19">
        <v>11.0</v>
      </c>
      <c r="N51" s="19">
        <v>6.0</v>
      </c>
      <c r="O51" s="19">
        <v>5.0</v>
      </c>
      <c r="P51" s="19">
        <v>5.0</v>
      </c>
      <c r="Q51" s="19">
        <v>3.0</v>
      </c>
      <c r="R51" s="19">
        <v>3.0</v>
      </c>
      <c r="S51" s="19">
        <v>0.0</v>
      </c>
      <c r="T51" s="19">
        <v>0.0</v>
      </c>
      <c r="U51" s="19">
        <v>5.0</v>
      </c>
      <c r="V51" s="19">
        <v>2.0</v>
      </c>
      <c r="W51" s="19">
        <v>5.0</v>
      </c>
      <c r="X51" s="19">
        <v>2.0</v>
      </c>
      <c r="Y51" s="19">
        <v>0.0</v>
      </c>
      <c r="Z51" s="19">
        <v>1.0</v>
      </c>
      <c r="AA51" s="19">
        <v>6.0</v>
      </c>
      <c r="AB51" s="19">
        <v>4.0</v>
      </c>
      <c r="AC51" s="19">
        <v>0.0</v>
      </c>
      <c r="AD51" s="19">
        <v>3.0</v>
      </c>
      <c r="AE51" s="19">
        <v>3.0</v>
      </c>
      <c r="AF51" s="13">
        <f t="shared" si="16"/>
        <v>85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AE52" si="17">SUM(E50:E51)</f>
        <v>219</v>
      </c>
      <c r="F52" s="13">
        <f t="shared" si="17"/>
        <v>214</v>
      </c>
      <c r="G52" s="13">
        <f t="shared" si="17"/>
        <v>224</v>
      </c>
      <c r="H52" s="13">
        <f t="shared" si="17"/>
        <v>220</v>
      </c>
      <c r="I52" s="13">
        <f t="shared" si="17"/>
        <v>213</v>
      </c>
      <c r="J52" s="13">
        <f t="shared" si="17"/>
        <v>187</v>
      </c>
      <c r="K52" s="13">
        <f t="shared" si="17"/>
        <v>212</v>
      </c>
      <c r="L52" s="13">
        <f t="shared" si="17"/>
        <v>217</v>
      </c>
      <c r="M52" s="13">
        <f t="shared" si="17"/>
        <v>220</v>
      </c>
      <c r="N52" s="13">
        <f t="shared" si="17"/>
        <v>225</v>
      </c>
      <c r="O52" s="13">
        <f t="shared" si="17"/>
        <v>214</v>
      </c>
      <c r="P52" s="13">
        <f t="shared" si="17"/>
        <v>219</v>
      </c>
      <c r="Q52" s="13">
        <f t="shared" si="17"/>
        <v>218</v>
      </c>
      <c r="R52" s="13">
        <f t="shared" si="17"/>
        <v>182</v>
      </c>
      <c r="S52" s="13">
        <f t="shared" si="17"/>
        <v>237</v>
      </c>
      <c r="T52" s="13">
        <f t="shared" si="17"/>
        <v>231</v>
      </c>
      <c r="U52" s="13">
        <f t="shared" si="17"/>
        <v>212</v>
      </c>
      <c r="V52" s="13">
        <f t="shared" si="17"/>
        <v>215</v>
      </c>
      <c r="W52" s="13">
        <f t="shared" si="17"/>
        <v>216</v>
      </c>
      <c r="X52" s="13">
        <f t="shared" si="17"/>
        <v>231</v>
      </c>
      <c r="Y52" s="13">
        <f t="shared" si="17"/>
        <v>194</v>
      </c>
      <c r="Z52" s="13">
        <f t="shared" si="17"/>
        <v>192</v>
      </c>
      <c r="AA52" s="13">
        <f t="shared" si="17"/>
        <v>193</v>
      </c>
      <c r="AB52" s="13">
        <f t="shared" si="17"/>
        <v>192</v>
      </c>
      <c r="AC52" s="13">
        <f t="shared" si="17"/>
        <v>196</v>
      </c>
      <c r="AD52" s="13">
        <f t="shared" si="17"/>
        <v>186</v>
      </c>
      <c r="AE52" s="13">
        <f t="shared" si="17"/>
        <v>191</v>
      </c>
      <c r="AF52" s="13">
        <f t="shared" si="16"/>
        <v>5670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E12"/>
    <mergeCell ref="AF12:AF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V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V42"/>
    <mergeCell ref="B43:D43"/>
    <mergeCell ref="A44:D44"/>
    <mergeCell ref="C45:D45"/>
  </mergeCells>
  <conditionalFormatting sqref="E14:AE15 E45:AE47">
    <cfRule type="containsBlanks" dxfId="1" priority="1">
      <formula>LEN(TRIM(E14))=0</formula>
    </cfRule>
  </conditionalFormatting>
  <conditionalFormatting sqref="E19:AE20">
    <cfRule type="containsBlanks" dxfId="1" priority="2">
      <formula>LEN(TRIM(E19))=0</formula>
    </cfRule>
  </conditionalFormatting>
  <conditionalFormatting sqref="E22:AE23 E25:AE26 E33:AE33 E35:AE35 E39:AE40">
    <cfRule type="containsBlanks" dxfId="1" priority="3">
      <formula>LEN(TRIM(E22))=0</formula>
    </cfRule>
  </conditionalFormatting>
  <conditionalFormatting sqref="E30:AE30">
    <cfRule type="expression" dxfId="0" priority="4">
      <formula>E30&lt;&gt;E46</formula>
    </cfRule>
  </conditionalFormatting>
  <conditionalFormatting sqref="E30:AE30">
    <cfRule type="expression" dxfId="0" priority="5">
      <formula>E30&lt;&gt;E34</formula>
    </cfRule>
  </conditionalFormatting>
  <conditionalFormatting sqref="E34:AE34">
    <cfRule type="expression" dxfId="2" priority="6">
      <formula>E30&lt;&gt;E34</formula>
    </cfRule>
  </conditionalFormatting>
  <conditionalFormatting sqref="E34:AE34">
    <cfRule type="expression" dxfId="3" priority="7">
      <formula>E30=E34</formula>
    </cfRule>
  </conditionalFormatting>
  <conditionalFormatting sqref="E34:AE34">
    <cfRule type="expression" dxfId="0" priority="8">
      <formula>E34&lt;&gt;E30</formula>
    </cfRule>
  </conditionalFormatting>
  <conditionalFormatting sqref="E34:AE34">
    <cfRule type="expression" dxfId="0" priority="9">
      <formula>E34&lt;&gt;#REF!</formula>
    </cfRule>
  </conditionalFormatting>
  <conditionalFormatting sqref="E50:AE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1" width="8.71"/>
    <col customWidth="1" min="32" max="32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90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70</v>
      </c>
      <c r="Y13" s="13" t="s">
        <v>71</v>
      </c>
      <c r="Z13" s="13" t="s">
        <v>72</v>
      </c>
      <c r="AA13" s="13" t="s">
        <v>73</v>
      </c>
      <c r="AB13" s="13" t="s">
        <v>74</v>
      </c>
      <c r="AC13" s="13" t="s">
        <v>75</v>
      </c>
      <c r="AD13" s="13" t="s">
        <v>77</v>
      </c>
      <c r="AE13" s="13" t="s">
        <v>78</v>
      </c>
      <c r="AF13" s="36"/>
    </row>
    <row r="14" ht="12.75" customHeight="1">
      <c r="A14" s="18"/>
      <c r="B14" s="22" t="s">
        <v>11</v>
      </c>
      <c r="C14" s="23"/>
      <c r="D14" s="19" t="s">
        <v>12</v>
      </c>
      <c r="E14" s="19">
        <v>128.0</v>
      </c>
      <c r="F14" s="19">
        <v>127.0</v>
      </c>
      <c r="G14" s="19">
        <v>137.0</v>
      </c>
      <c r="H14" s="19">
        <v>138.0</v>
      </c>
      <c r="I14" s="19">
        <v>149.0</v>
      </c>
      <c r="J14" s="19">
        <v>135.0</v>
      </c>
      <c r="K14" s="19">
        <v>140.0</v>
      </c>
      <c r="L14" s="19">
        <v>139.0</v>
      </c>
      <c r="M14" s="19">
        <v>144.0</v>
      </c>
      <c r="N14" s="19">
        <v>154.0</v>
      </c>
      <c r="O14" s="19">
        <v>131.0</v>
      </c>
      <c r="P14" s="19">
        <v>149.0</v>
      </c>
      <c r="Q14" s="19">
        <v>145.0</v>
      </c>
      <c r="R14" s="19">
        <v>131.0</v>
      </c>
      <c r="S14" s="19">
        <v>130.0</v>
      </c>
      <c r="T14" s="19">
        <v>130.0</v>
      </c>
      <c r="U14" s="19">
        <v>132.0</v>
      </c>
      <c r="V14" s="19">
        <v>140.0</v>
      </c>
      <c r="W14" s="19">
        <v>143.0</v>
      </c>
      <c r="X14" s="19">
        <v>130.0</v>
      </c>
      <c r="Y14" s="19">
        <v>136.0</v>
      </c>
      <c r="Z14" s="19">
        <v>131.0</v>
      </c>
      <c r="AA14" s="19">
        <v>128.0</v>
      </c>
      <c r="AB14" s="19">
        <v>128.0</v>
      </c>
      <c r="AC14" s="19">
        <v>129.0</v>
      </c>
      <c r="AD14" s="19">
        <v>131.0</v>
      </c>
      <c r="AE14" s="19">
        <v>135.0</v>
      </c>
      <c r="AF14" s="13">
        <f t="shared" ref="AF14:AF16" si="1">SUM(E14:AE14)</f>
        <v>3670</v>
      </c>
    </row>
    <row r="15" ht="12.75" customHeight="1">
      <c r="A15" s="18"/>
      <c r="B15" s="26"/>
      <c r="C15" s="27"/>
      <c r="D15" s="19" t="s">
        <v>13</v>
      </c>
      <c r="E15" s="19">
        <v>133.0</v>
      </c>
      <c r="F15" s="19">
        <v>133.0</v>
      </c>
      <c r="G15" s="19">
        <v>132.0</v>
      </c>
      <c r="H15" s="19">
        <v>150.0</v>
      </c>
      <c r="I15" s="19">
        <v>126.0</v>
      </c>
      <c r="J15" s="19">
        <v>137.0</v>
      </c>
      <c r="K15" s="19">
        <v>151.0</v>
      </c>
      <c r="L15" s="19">
        <v>147.0</v>
      </c>
      <c r="M15" s="19">
        <v>129.0</v>
      </c>
      <c r="N15" s="19">
        <v>138.0</v>
      </c>
      <c r="O15" s="19">
        <v>119.0</v>
      </c>
      <c r="P15" s="19">
        <v>144.0</v>
      </c>
      <c r="Q15" s="19">
        <v>146.0</v>
      </c>
      <c r="R15" s="19">
        <v>142.0</v>
      </c>
      <c r="S15" s="19">
        <v>134.0</v>
      </c>
      <c r="T15" s="19">
        <v>144.0</v>
      </c>
      <c r="U15" s="19">
        <v>128.0</v>
      </c>
      <c r="V15" s="19">
        <v>130.0</v>
      </c>
      <c r="W15" s="19">
        <v>119.0</v>
      </c>
      <c r="X15" s="19">
        <v>132.0</v>
      </c>
      <c r="Y15" s="19">
        <v>127.0</v>
      </c>
      <c r="Z15" s="19">
        <v>119.0</v>
      </c>
      <c r="AA15" s="19">
        <v>127.0</v>
      </c>
      <c r="AB15" s="19">
        <v>128.0</v>
      </c>
      <c r="AC15" s="19">
        <v>122.0</v>
      </c>
      <c r="AD15" s="19">
        <v>126.0</v>
      </c>
      <c r="AE15" s="19">
        <v>141.0</v>
      </c>
      <c r="AF15" s="13">
        <f t="shared" si="1"/>
        <v>3604</v>
      </c>
    </row>
    <row r="16" ht="12.75" customHeight="1">
      <c r="A16" s="25"/>
      <c r="B16" s="21"/>
      <c r="C16" s="28"/>
      <c r="D16" s="13" t="s">
        <v>14</v>
      </c>
      <c r="E16" s="13">
        <f t="shared" ref="E16:AE16" si="2">SUM(E14:E15)</f>
        <v>261</v>
      </c>
      <c r="F16" s="13">
        <f t="shared" si="2"/>
        <v>260</v>
      </c>
      <c r="G16" s="13">
        <f t="shared" si="2"/>
        <v>269</v>
      </c>
      <c r="H16" s="13">
        <f t="shared" si="2"/>
        <v>288</v>
      </c>
      <c r="I16" s="13">
        <f t="shared" si="2"/>
        <v>275</v>
      </c>
      <c r="J16" s="13">
        <f t="shared" si="2"/>
        <v>272</v>
      </c>
      <c r="K16" s="13">
        <f t="shared" si="2"/>
        <v>291</v>
      </c>
      <c r="L16" s="13">
        <f t="shared" si="2"/>
        <v>286</v>
      </c>
      <c r="M16" s="13">
        <f t="shared" si="2"/>
        <v>273</v>
      </c>
      <c r="N16" s="13">
        <f t="shared" si="2"/>
        <v>292</v>
      </c>
      <c r="O16" s="13">
        <f t="shared" si="2"/>
        <v>250</v>
      </c>
      <c r="P16" s="13">
        <f t="shared" si="2"/>
        <v>293</v>
      </c>
      <c r="Q16" s="13">
        <f t="shared" si="2"/>
        <v>291</v>
      </c>
      <c r="R16" s="13">
        <f t="shared" si="2"/>
        <v>273</v>
      </c>
      <c r="S16" s="13">
        <f t="shared" si="2"/>
        <v>264</v>
      </c>
      <c r="T16" s="13">
        <f t="shared" si="2"/>
        <v>274</v>
      </c>
      <c r="U16" s="13">
        <f t="shared" si="2"/>
        <v>260</v>
      </c>
      <c r="V16" s="13">
        <f t="shared" si="2"/>
        <v>270</v>
      </c>
      <c r="W16" s="13">
        <f t="shared" si="2"/>
        <v>262</v>
      </c>
      <c r="X16" s="13">
        <f t="shared" si="2"/>
        <v>262</v>
      </c>
      <c r="Y16" s="13">
        <f t="shared" si="2"/>
        <v>263</v>
      </c>
      <c r="Z16" s="13">
        <f t="shared" si="2"/>
        <v>250</v>
      </c>
      <c r="AA16" s="13">
        <f t="shared" si="2"/>
        <v>255</v>
      </c>
      <c r="AB16" s="13">
        <f t="shared" si="2"/>
        <v>256</v>
      </c>
      <c r="AC16" s="13">
        <f t="shared" si="2"/>
        <v>251</v>
      </c>
      <c r="AD16" s="13">
        <f t="shared" si="2"/>
        <v>257</v>
      </c>
      <c r="AE16" s="13">
        <f t="shared" si="2"/>
        <v>276</v>
      </c>
      <c r="AF16" s="13">
        <f t="shared" si="1"/>
        <v>7274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101.0</v>
      </c>
      <c r="F19" s="19">
        <v>94.0</v>
      </c>
      <c r="G19" s="19">
        <v>109.0</v>
      </c>
      <c r="H19" s="19">
        <v>113.0</v>
      </c>
      <c r="I19" s="19">
        <v>112.0</v>
      </c>
      <c r="J19" s="19">
        <v>100.0</v>
      </c>
      <c r="K19" s="19">
        <v>116.0</v>
      </c>
      <c r="L19" s="19">
        <v>108.0</v>
      </c>
      <c r="M19" s="19">
        <v>109.0</v>
      </c>
      <c r="N19" s="19">
        <v>108.0</v>
      </c>
      <c r="O19" s="19">
        <v>109.0</v>
      </c>
      <c r="P19" s="19">
        <v>109.0</v>
      </c>
      <c r="Q19" s="19">
        <v>108.0</v>
      </c>
      <c r="R19" s="19">
        <v>96.0</v>
      </c>
      <c r="S19" s="19">
        <v>99.0</v>
      </c>
      <c r="T19" s="19">
        <v>102.0</v>
      </c>
      <c r="U19" s="19">
        <v>92.0</v>
      </c>
      <c r="V19" s="19">
        <v>113.0</v>
      </c>
      <c r="W19" s="19">
        <v>103.0</v>
      </c>
      <c r="X19" s="19">
        <v>105.0</v>
      </c>
      <c r="Y19" s="19">
        <v>107.0</v>
      </c>
      <c r="Z19" s="19">
        <v>98.0</v>
      </c>
      <c r="AA19" s="19">
        <v>96.0</v>
      </c>
      <c r="AB19" s="19">
        <v>109.0</v>
      </c>
      <c r="AC19" s="19">
        <v>88.0</v>
      </c>
      <c r="AD19" s="19">
        <v>105.0</v>
      </c>
      <c r="AE19" s="19">
        <v>105.0</v>
      </c>
      <c r="AF19" s="13">
        <f t="shared" ref="AF19:AF30" si="3">SUM(E19:AE19)</f>
        <v>2814</v>
      </c>
    </row>
    <row r="20" ht="12.75" customHeight="1">
      <c r="A20" s="33"/>
      <c r="B20" s="27"/>
      <c r="C20" s="34"/>
      <c r="D20" s="19" t="s">
        <v>13</v>
      </c>
      <c r="E20" s="19">
        <v>96.0</v>
      </c>
      <c r="F20" s="19">
        <v>99.0</v>
      </c>
      <c r="G20" s="19">
        <v>108.0</v>
      </c>
      <c r="H20" s="19">
        <v>113.0</v>
      </c>
      <c r="I20" s="19">
        <v>104.0</v>
      </c>
      <c r="J20" s="19">
        <v>114.0</v>
      </c>
      <c r="K20" s="19">
        <v>122.0</v>
      </c>
      <c r="L20" s="19">
        <v>130.0</v>
      </c>
      <c r="M20" s="19">
        <v>108.0</v>
      </c>
      <c r="N20" s="19">
        <v>102.0</v>
      </c>
      <c r="O20" s="19">
        <v>97.0</v>
      </c>
      <c r="P20" s="19">
        <v>116.0</v>
      </c>
      <c r="Q20" s="19">
        <v>108.0</v>
      </c>
      <c r="R20" s="19">
        <v>122.0</v>
      </c>
      <c r="S20" s="19">
        <v>113.0</v>
      </c>
      <c r="T20" s="19">
        <v>109.0</v>
      </c>
      <c r="U20" s="19">
        <v>99.0</v>
      </c>
      <c r="V20" s="19">
        <v>110.0</v>
      </c>
      <c r="W20" s="19">
        <v>91.0</v>
      </c>
      <c r="X20" s="19">
        <v>106.0</v>
      </c>
      <c r="Y20" s="19">
        <v>105.0</v>
      </c>
      <c r="Z20" s="19">
        <v>92.0</v>
      </c>
      <c r="AA20" s="19">
        <v>105.0</v>
      </c>
      <c r="AB20" s="19">
        <v>102.0</v>
      </c>
      <c r="AC20" s="19">
        <v>92.0</v>
      </c>
      <c r="AD20" s="19">
        <v>97.0</v>
      </c>
      <c r="AE20" s="19">
        <v>119.0</v>
      </c>
      <c r="AF20" s="13">
        <f t="shared" si="3"/>
        <v>2879</v>
      </c>
    </row>
    <row r="21" ht="12.75" customHeight="1">
      <c r="A21" s="35"/>
      <c r="B21" s="28"/>
      <c r="C21" s="36"/>
      <c r="D21" s="13" t="s">
        <v>14</v>
      </c>
      <c r="E21" s="13">
        <f t="shared" ref="E21:AE21" si="4">SUM(E19:E20)</f>
        <v>197</v>
      </c>
      <c r="F21" s="13">
        <f t="shared" si="4"/>
        <v>193</v>
      </c>
      <c r="G21" s="13">
        <f t="shared" si="4"/>
        <v>217</v>
      </c>
      <c r="H21" s="13">
        <f t="shared" si="4"/>
        <v>226</v>
      </c>
      <c r="I21" s="13">
        <f t="shared" si="4"/>
        <v>216</v>
      </c>
      <c r="J21" s="13">
        <f t="shared" si="4"/>
        <v>214</v>
      </c>
      <c r="K21" s="13">
        <f t="shared" si="4"/>
        <v>238</v>
      </c>
      <c r="L21" s="13">
        <f t="shared" si="4"/>
        <v>238</v>
      </c>
      <c r="M21" s="13">
        <f t="shared" si="4"/>
        <v>217</v>
      </c>
      <c r="N21" s="13">
        <f t="shared" si="4"/>
        <v>210</v>
      </c>
      <c r="O21" s="13">
        <f t="shared" si="4"/>
        <v>206</v>
      </c>
      <c r="P21" s="13">
        <f t="shared" si="4"/>
        <v>225</v>
      </c>
      <c r="Q21" s="13">
        <f t="shared" si="4"/>
        <v>216</v>
      </c>
      <c r="R21" s="13">
        <f t="shared" si="4"/>
        <v>218</v>
      </c>
      <c r="S21" s="13">
        <f t="shared" si="4"/>
        <v>212</v>
      </c>
      <c r="T21" s="13">
        <f t="shared" si="4"/>
        <v>211</v>
      </c>
      <c r="U21" s="13">
        <f t="shared" si="4"/>
        <v>191</v>
      </c>
      <c r="V21" s="13">
        <f t="shared" si="4"/>
        <v>223</v>
      </c>
      <c r="W21" s="13">
        <f t="shared" si="4"/>
        <v>194</v>
      </c>
      <c r="X21" s="13">
        <f t="shared" si="4"/>
        <v>211</v>
      </c>
      <c r="Y21" s="13">
        <f t="shared" si="4"/>
        <v>212</v>
      </c>
      <c r="Z21" s="13">
        <f t="shared" si="4"/>
        <v>190</v>
      </c>
      <c r="AA21" s="13">
        <f t="shared" si="4"/>
        <v>201</v>
      </c>
      <c r="AB21" s="13">
        <f t="shared" si="4"/>
        <v>211</v>
      </c>
      <c r="AC21" s="13">
        <f t="shared" si="4"/>
        <v>180</v>
      </c>
      <c r="AD21" s="13">
        <f t="shared" si="4"/>
        <v>202</v>
      </c>
      <c r="AE21" s="13">
        <f t="shared" si="4"/>
        <v>224</v>
      </c>
      <c r="AF21" s="13">
        <f t="shared" si="3"/>
        <v>5693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1.0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2.0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1.0</v>
      </c>
      <c r="Z22" s="19">
        <v>0.0</v>
      </c>
      <c r="AA22" s="19">
        <v>0.0</v>
      </c>
      <c r="AB22" s="19">
        <v>0.0</v>
      </c>
      <c r="AC22" s="19">
        <v>1.0</v>
      </c>
      <c r="AD22" s="19">
        <v>0.0</v>
      </c>
      <c r="AE22" s="19">
        <v>0.0</v>
      </c>
      <c r="AF22" s="13">
        <f t="shared" si="3"/>
        <v>5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1.0</v>
      </c>
      <c r="O23" s="19">
        <v>0.0</v>
      </c>
      <c r="P23" s="19">
        <v>1.0</v>
      </c>
      <c r="Q23" s="19">
        <v>0.0</v>
      </c>
      <c r="R23" s="19">
        <v>0.0</v>
      </c>
      <c r="S23" s="19">
        <v>0.0</v>
      </c>
      <c r="T23" s="19">
        <v>1.0</v>
      </c>
      <c r="U23" s="19">
        <v>0.0</v>
      </c>
      <c r="V23" s="19">
        <v>0.0</v>
      </c>
      <c r="W23" s="19">
        <v>0.0</v>
      </c>
      <c r="X23" s="19">
        <v>0.0</v>
      </c>
      <c r="Y23" s="19">
        <v>2.0</v>
      </c>
      <c r="Z23" s="19">
        <v>0.0</v>
      </c>
      <c r="AA23" s="19">
        <v>0.0</v>
      </c>
      <c r="AB23" s="19">
        <v>0.0</v>
      </c>
      <c r="AC23" s="19">
        <v>1.0</v>
      </c>
      <c r="AD23" s="19">
        <v>0.0</v>
      </c>
      <c r="AE23" s="19">
        <v>1.0</v>
      </c>
      <c r="AF23" s="13">
        <f t="shared" si="3"/>
        <v>7</v>
      </c>
    </row>
    <row r="24" ht="12.75" customHeight="1">
      <c r="A24" s="35"/>
      <c r="B24" s="28"/>
      <c r="C24" s="36"/>
      <c r="D24" s="13" t="s">
        <v>14</v>
      </c>
      <c r="E24" s="13">
        <f t="shared" ref="E24:AE24" si="5">SUM(E22:E23)</f>
        <v>1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3</v>
      </c>
      <c r="O24" s="13">
        <f t="shared" si="5"/>
        <v>0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1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3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2</v>
      </c>
      <c r="AD24" s="13">
        <f t="shared" si="5"/>
        <v>0</v>
      </c>
      <c r="AE24" s="13">
        <f t="shared" si="5"/>
        <v>1</v>
      </c>
      <c r="AF24" s="13">
        <f t="shared" si="3"/>
        <v>12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2.0</v>
      </c>
      <c r="L25" s="19">
        <v>0.0</v>
      </c>
      <c r="M25" s="19">
        <v>0.0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19">
        <v>0.0</v>
      </c>
      <c r="U25" s="19">
        <v>0.0</v>
      </c>
      <c r="V25" s="19">
        <v>0.0</v>
      </c>
      <c r="W25" s="19">
        <v>0.0</v>
      </c>
      <c r="X25" s="19">
        <v>0.0</v>
      </c>
      <c r="Y25" s="19">
        <v>1.0</v>
      </c>
      <c r="Z25" s="19">
        <v>0.0</v>
      </c>
      <c r="AA25" s="19">
        <v>1.0</v>
      </c>
      <c r="AB25" s="19">
        <v>0.0</v>
      </c>
      <c r="AC25" s="19">
        <v>0.0</v>
      </c>
      <c r="AD25" s="19">
        <v>0.0</v>
      </c>
      <c r="AE25" s="19">
        <v>0.0</v>
      </c>
      <c r="AF25" s="13">
        <f t="shared" si="3"/>
        <v>4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2.0</v>
      </c>
      <c r="L26" s="19">
        <v>0.0</v>
      </c>
      <c r="M26" s="19">
        <v>0.0</v>
      </c>
      <c r="N26" s="19">
        <v>0.0</v>
      </c>
      <c r="O26" s="19">
        <v>0.0</v>
      </c>
      <c r="P26" s="19">
        <v>0.0</v>
      </c>
      <c r="Q26" s="19">
        <v>0.0</v>
      </c>
      <c r="R26" s="19">
        <v>0.0</v>
      </c>
      <c r="S26" s="19">
        <v>1.0</v>
      </c>
      <c r="T26" s="19">
        <v>0.0</v>
      </c>
      <c r="U26" s="19">
        <v>0.0</v>
      </c>
      <c r="V26" s="19">
        <v>0.0</v>
      </c>
      <c r="W26" s="19">
        <v>0.0</v>
      </c>
      <c r="X26" s="19">
        <v>0.0</v>
      </c>
      <c r="Y26" s="19">
        <v>1.0</v>
      </c>
      <c r="Z26" s="19">
        <v>0.0</v>
      </c>
      <c r="AA26" s="19">
        <v>0.0</v>
      </c>
      <c r="AB26" s="19">
        <v>0.0</v>
      </c>
      <c r="AC26" s="19">
        <v>0.0</v>
      </c>
      <c r="AD26" s="19">
        <v>0.0</v>
      </c>
      <c r="AE26" s="19">
        <v>0.0</v>
      </c>
      <c r="AF26" s="13">
        <f t="shared" si="3"/>
        <v>4</v>
      </c>
    </row>
    <row r="27" ht="12.75" customHeight="1">
      <c r="A27" s="35"/>
      <c r="B27" s="28"/>
      <c r="C27" s="36"/>
      <c r="D27" s="13" t="s">
        <v>14</v>
      </c>
      <c r="E27" s="13">
        <f t="shared" ref="E27:AE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4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1</v>
      </c>
      <c r="T27" s="13">
        <f t="shared" si="6"/>
        <v>0</v>
      </c>
      <c r="U27" s="13">
        <f t="shared" si="6"/>
        <v>0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6"/>
        <v>2</v>
      </c>
      <c r="Z27" s="13">
        <f t="shared" si="6"/>
        <v>0</v>
      </c>
      <c r="AA27" s="13">
        <f t="shared" si="6"/>
        <v>1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6"/>
        <v>0</v>
      </c>
      <c r="AF27" s="13">
        <f t="shared" si="3"/>
        <v>8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E28" si="7">SUM(E19,E22,E25)</f>
        <v>102</v>
      </c>
      <c r="F28" s="13">
        <f t="shared" si="7"/>
        <v>94</v>
      </c>
      <c r="G28" s="13">
        <f t="shared" si="7"/>
        <v>109</v>
      </c>
      <c r="H28" s="13">
        <f t="shared" si="7"/>
        <v>113</v>
      </c>
      <c r="I28" s="13">
        <f t="shared" si="7"/>
        <v>112</v>
      </c>
      <c r="J28" s="13">
        <f t="shared" si="7"/>
        <v>100</v>
      </c>
      <c r="K28" s="13">
        <f t="shared" si="7"/>
        <v>118</v>
      </c>
      <c r="L28" s="13">
        <f t="shared" si="7"/>
        <v>108</v>
      </c>
      <c r="M28" s="13">
        <f t="shared" si="7"/>
        <v>109</v>
      </c>
      <c r="N28" s="13">
        <f t="shared" si="7"/>
        <v>110</v>
      </c>
      <c r="O28" s="13">
        <f t="shared" si="7"/>
        <v>109</v>
      </c>
      <c r="P28" s="13">
        <f t="shared" si="7"/>
        <v>109</v>
      </c>
      <c r="Q28" s="13">
        <f t="shared" si="7"/>
        <v>108</v>
      </c>
      <c r="R28" s="13">
        <f t="shared" si="7"/>
        <v>96</v>
      </c>
      <c r="S28" s="13">
        <f t="shared" si="7"/>
        <v>99</v>
      </c>
      <c r="T28" s="13">
        <f t="shared" si="7"/>
        <v>102</v>
      </c>
      <c r="U28" s="13">
        <f t="shared" si="7"/>
        <v>92</v>
      </c>
      <c r="V28" s="13">
        <f t="shared" si="7"/>
        <v>113</v>
      </c>
      <c r="W28" s="13">
        <f t="shared" si="7"/>
        <v>103</v>
      </c>
      <c r="X28" s="13">
        <f t="shared" si="7"/>
        <v>105</v>
      </c>
      <c r="Y28" s="13">
        <f t="shared" si="7"/>
        <v>109</v>
      </c>
      <c r="Z28" s="13">
        <f t="shared" si="7"/>
        <v>98</v>
      </c>
      <c r="AA28" s="13">
        <f t="shared" si="7"/>
        <v>97</v>
      </c>
      <c r="AB28" s="13">
        <f t="shared" si="7"/>
        <v>109</v>
      </c>
      <c r="AC28" s="13">
        <f t="shared" si="7"/>
        <v>89</v>
      </c>
      <c r="AD28" s="13">
        <f t="shared" si="7"/>
        <v>105</v>
      </c>
      <c r="AE28" s="13">
        <f t="shared" si="7"/>
        <v>105</v>
      </c>
      <c r="AF28" s="13">
        <f t="shared" si="3"/>
        <v>2823</v>
      </c>
    </row>
    <row r="29" ht="12.75" customHeight="1">
      <c r="A29" s="35"/>
      <c r="B29" s="27"/>
      <c r="C29" s="34"/>
      <c r="D29" s="13" t="s">
        <v>13</v>
      </c>
      <c r="E29" s="13">
        <f t="shared" ref="E29:AE29" si="8">SUM(E20,E23,E26)</f>
        <v>96</v>
      </c>
      <c r="F29" s="13">
        <f t="shared" si="8"/>
        <v>99</v>
      </c>
      <c r="G29" s="13">
        <f t="shared" si="8"/>
        <v>108</v>
      </c>
      <c r="H29" s="13">
        <f t="shared" si="8"/>
        <v>113</v>
      </c>
      <c r="I29" s="13">
        <f t="shared" si="8"/>
        <v>104</v>
      </c>
      <c r="J29" s="13">
        <f t="shared" si="8"/>
        <v>114</v>
      </c>
      <c r="K29" s="13">
        <f t="shared" si="8"/>
        <v>124</v>
      </c>
      <c r="L29" s="13">
        <f t="shared" si="8"/>
        <v>130</v>
      </c>
      <c r="M29" s="13">
        <f t="shared" si="8"/>
        <v>108</v>
      </c>
      <c r="N29" s="13">
        <f t="shared" si="8"/>
        <v>103</v>
      </c>
      <c r="O29" s="13">
        <f t="shared" si="8"/>
        <v>97</v>
      </c>
      <c r="P29" s="13">
        <f t="shared" si="8"/>
        <v>117</v>
      </c>
      <c r="Q29" s="13">
        <f t="shared" si="8"/>
        <v>108</v>
      </c>
      <c r="R29" s="13">
        <f t="shared" si="8"/>
        <v>122</v>
      </c>
      <c r="S29" s="13">
        <f t="shared" si="8"/>
        <v>114</v>
      </c>
      <c r="T29" s="13">
        <f t="shared" si="8"/>
        <v>110</v>
      </c>
      <c r="U29" s="13">
        <f t="shared" si="8"/>
        <v>99</v>
      </c>
      <c r="V29" s="13">
        <f t="shared" si="8"/>
        <v>110</v>
      </c>
      <c r="W29" s="13">
        <f t="shared" si="8"/>
        <v>91</v>
      </c>
      <c r="X29" s="13">
        <f t="shared" si="8"/>
        <v>106</v>
      </c>
      <c r="Y29" s="13">
        <f t="shared" si="8"/>
        <v>108</v>
      </c>
      <c r="Z29" s="13">
        <f t="shared" si="8"/>
        <v>92</v>
      </c>
      <c r="AA29" s="13">
        <f t="shared" si="8"/>
        <v>105</v>
      </c>
      <c r="AB29" s="13">
        <f t="shared" si="8"/>
        <v>102</v>
      </c>
      <c r="AC29" s="13">
        <f t="shared" si="8"/>
        <v>93</v>
      </c>
      <c r="AD29" s="13">
        <f t="shared" si="8"/>
        <v>97</v>
      </c>
      <c r="AE29" s="13">
        <f t="shared" si="8"/>
        <v>120</v>
      </c>
      <c r="AF29" s="13">
        <f t="shared" si="3"/>
        <v>2890</v>
      </c>
    </row>
    <row r="30" ht="12.75" customHeight="1">
      <c r="A30" s="35"/>
      <c r="B30" s="28"/>
      <c r="C30" s="36"/>
      <c r="D30" s="13" t="s">
        <v>14</v>
      </c>
      <c r="E30" s="13">
        <f t="shared" ref="E30:AE30" si="9">SUM(E28:E29)</f>
        <v>198</v>
      </c>
      <c r="F30" s="13">
        <f t="shared" si="9"/>
        <v>193</v>
      </c>
      <c r="G30" s="13">
        <f t="shared" si="9"/>
        <v>217</v>
      </c>
      <c r="H30" s="13">
        <f t="shared" si="9"/>
        <v>226</v>
      </c>
      <c r="I30" s="13">
        <f t="shared" si="9"/>
        <v>216</v>
      </c>
      <c r="J30" s="13">
        <f t="shared" si="9"/>
        <v>214</v>
      </c>
      <c r="K30" s="13">
        <f t="shared" si="9"/>
        <v>242</v>
      </c>
      <c r="L30" s="13">
        <f t="shared" si="9"/>
        <v>238</v>
      </c>
      <c r="M30" s="13">
        <f t="shared" si="9"/>
        <v>217</v>
      </c>
      <c r="N30" s="13">
        <f t="shared" si="9"/>
        <v>213</v>
      </c>
      <c r="O30" s="13">
        <f t="shared" si="9"/>
        <v>206</v>
      </c>
      <c r="P30" s="13">
        <f t="shared" si="9"/>
        <v>226</v>
      </c>
      <c r="Q30" s="13">
        <f t="shared" si="9"/>
        <v>216</v>
      </c>
      <c r="R30" s="13">
        <f t="shared" si="9"/>
        <v>218</v>
      </c>
      <c r="S30" s="13">
        <f t="shared" si="9"/>
        <v>213</v>
      </c>
      <c r="T30" s="13">
        <f t="shared" si="9"/>
        <v>212</v>
      </c>
      <c r="U30" s="13">
        <f t="shared" si="9"/>
        <v>191</v>
      </c>
      <c r="V30" s="13">
        <f t="shared" si="9"/>
        <v>223</v>
      </c>
      <c r="W30" s="13">
        <f t="shared" si="9"/>
        <v>194</v>
      </c>
      <c r="X30" s="13">
        <f t="shared" si="9"/>
        <v>211</v>
      </c>
      <c r="Y30" s="13">
        <f t="shared" si="9"/>
        <v>217</v>
      </c>
      <c r="Z30" s="13">
        <f t="shared" si="9"/>
        <v>190</v>
      </c>
      <c r="AA30" s="13">
        <f t="shared" si="9"/>
        <v>202</v>
      </c>
      <c r="AB30" s="13">
        <f t="shared" si="9"/>
        <v>211</v>
      </c>
      <c r="AC30" s="13">
        <f t="shared" si="9"/>
        <v>182</v>
      </c>
      <c r="AD30" s="13">
        <f t="shared" si="9"/>
        <v>202</v>
      </c>
      <c r="AE30" s="13">
        <f t="shared" si="9"/>
        <v>225</v>
      </c>
      <c r="AF30" s="13">
        <f t="shared" si="3"/>
        <v>5713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59"/>
    </row>
    <row r="33" ht="12.75" customHeight="1">
      <c r="A33" s="19">
        <v>1.0</v>
      </c>
      <c r="B33" s="20" t="s">
        <v>27</v>
      </c>
      <c r="C33" s="15"/>
      <c r="D33" s="16"/>
      <c r="E33" s="19">
        <v>267.0</v>
      </c>
      <c r="F33" s="19">
        <v>266.0</v>
      </c>
      <c r="G33" s="19">
        <v>275.0</v>
      </c>
      <c r="H33" s="19">
        <v>294.0</v>
      </c>
      <c r="I33" s="19">
        <v>281.0</v>
      </c>
      <c r="J33" s="19">
        <v>278.0</v>
      </c>
      <c r="K33" s="19">
        <v>297.0</v>
      </c>
      <c r="L33" s="19">
        <v>292.0</v>
      </c>
      <c r="M33" s="19">
        <v>279.0</v>
      </c>
      <c r="N33" s="19">
        <v>298.0</v>
      </c>
      <c r="O33" s="19">
        <v>255.0</v>
      </c>
      <c r="P33" s="19">
        <v>302.0</v>
      </c>
      <c r="Q33" s="19">
        <v>297.0</v>
      </c>
      <c r="R33" s="19">
        <v>279.0</v>
      </c>
      <c r="S33" s="19">
        <v>270.0</v>
      </c>
      <c r="T33" s="19">
        <v>281.0</v>
      </c>
      <c r="U33" s="19">
        <v>271.0</v>
      </c>
      <c r="V33" s="19">
        <v>276.0</v>
      </c>
      <c r="W33" s="19">
        <v>268.0</v>
      </c>
      <c r="X33" s="19">
        <v>268.0</v>
      </c>
      <c r="Y33" s="19">
        <v>269.0</v>
      </c>
      <c r="Z33" s="19">
        <v>254.0</v>
      </c>
      <c r="AA33" s="19">
        <v>261.0</v>
      </c>
      <c r="AB33" s="19">
        <v>269.0</v>
      </c>
      <c r="AC33" s="19">
        <v>259.0</v>
      </c>
      <c r="AD33" s="19">
        <v>263.0</v>
      </c>
      <c r="AE33" s="19">
        <v>282.0</v>
      </c>
      <c r="AF33" s="13">
        <f t="shared" ref="AF33:AF36" si="10">SUM(E33:AE33)</f>
        <v>7451</v>
      </c>
    </row>
    <row r="34" ht="12.75" customHeight="1">
      <c r="A34" s="19">
        <v>2.0</v>
      </c>
      <c r="B34" s="20" t="s">
        <v>28</v>
      </c>
      <c r="C34" s="15"/>
      <c r="D34" s="16"/>
      <c r="E34" s="13">
        <v>198.0</v>
      </c>
      <c r="F34" s="13">
        <v>193.0</v>
      </c>
      <c r="G34" s="13">
        <v>217.0</v>
      </c>
      <c r="H34" s="13">
        <v>226.0</v>
      </c>
      <c r="I34" s="13">
        <v>216.0</v>
      </c>
      <c r="J34" s="13">
        <v>214.0</v>
      </c>
      <c r="K34" s="13">
        <v>242.0</v>
      </c>
      <c r="L34" s="13">
        <v>238.0</v>
      </c>
      <c r="M34" s="13">
        <v>217.0</v>
      </c>
      <c r="N34" s="13">
        <v>213.0</v>
      </c>
      <c r="O34" s="13">
        <v>206.0</v>
      </c>
      <c r="P34" s="13">
        <v>226.0</v>
      </c>
      <c r="Q34" s="13">
        <v>216.0</v>
      </c>
      <c r="R34" s="13">
        <v>218.0</v>
      </c>
      <c r="S34" s="13">
        <v>213.0</v>
      </c>
      <c r="T34" s="13">
        <v>212.0</v>
      </c>
      <c r="U34" s="13">
        <v>191.0</v>
      </c>
      <c r="V34" s="13">
        <v>223.0</v>
      </c>
      <c r="W34" s="13">
        <v>194.0</v>
      </c>
      <c r="X34" s="13">
        <v>211.0</v>
      </c>
      <c r="Y34" s="13">
        <v>217.0</v>
      </c>
      <c r="Z34" s="13">
        <v>190.0</v>
      </c>
      <c r="AA34" s="13">
        <v>202.0</v>
      </c>
      <c r="AB34" s="13">
        <v>211.0</v>
      </c>
      <c r="AC34" s="13">
        <v>182.0</v>
      </c>
      <c r="AD34" s="13">
        <v>202.0</v>
      </c>
      <c r="AE34" s="13">
        <v>225.0</v>
      </c>
      <c r="AF34" s="13">
        <f t="shared" si="10"/>
        <v>5713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1.0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1.0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1.0</v>
      </c>
      <c r="AC35" s="19">
        <v>0.0</v>
      </c>
      <c r="AD35" s="19">
        <v>0.0</v>
      </c>
      <c r="AE35" s="19">
        <v>0.0</v>
      </c>
      <c r="AF35" s="13">
        <f t="shared" si="10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E36" si="11">E33-(E34+E35)</f>
        <v>69</v>
      </c>
      <c r="F36" s="13">
        <f t="shared" si="11"/>
        <v>73</v>
      </c>
      <c r="G36" s="13">
        <f t="shared" si="11"/>
        <v>58</v>
      </c>
      <c r="H36" s="13">
        <f t="shared" si="11"/>
        <v>68</v>
      </c>
      <c r="I36" s="13">
        <f t="shared" si="11"/>
        <v>65</v>
      </c>
      <c r="J36" s="13">
        <f t="shared" si="11"/>
        <v>64</v>
      </c>
      <c r="K36" s="13">
        <f t="shared" si="11"/>
        <v>54</v>
      </c>
      <c r="L36" s="13">
        <f t="shared" si="11"/>
        <v>54</v>
      </c>
      <c r="M36" s="13">
        <f t="shared" si="11"/>
        <v>62</v>
      </c>
      <c r="N36" s="13">
        <f t="shared" si="11"/>
        <v>85</v>
      </c>
      <c r="O36" s="13">
        <f t="shared" si="11"/>
        <v>49</v>
      </c>
      <c r="P36" s="13">
        <f t="shared" si="11"/>
        <v>76</v>
      </c>
      <c r="Q36" s="13">
        <f t="shared" si="11"/>
        <v>81</v>
      </c>
      <c r="R36" s="13">
        <f t="shared" si="11"/>
        <v>61</v>
      </c>
      <c r="S36" s="13">
        <f t="shared" si="11"/>
        <v>56</v>
      </c>
      <c r="T36" s="13">
        <f t="shared" si="11"/>
        <v>69</v>
      </c>
      <c r="U36" s="13">
        <f t="shared" si="11"/>
        <v>80</v>
      </c>
      <c r="V36" s="13">
        <f t="shared" si="11"/>
        <v>53</v>
      </c>
      <c r="W36" s="13">
        <f t="shared" si="11"/>
        <v>74</v>
      </c>
      <c r="X36" s="13">
        <f t="shared" si="11"/>
        <v>57</v>
      </c>
      <c r="Y36" s="13">
        <f t="shared" si="11"/>
        <v>52</v>
      </c>
      <c r="Z36" s="13">
        <f t="shared" si="11"/>
        <v>64</v>
      </c>
      <c r="AA36" s="13">
        <f t="shared" si="11"/>
        <v>59</v>
      </c>
      <c r="AB36" s="13">
        <f t="shared" si="11"/>
        <v>57</v>
      </c>
      <c r="AC36" s="13">
        <f t="shared" si="11"/>
        <v>77</v>
      </c>
      <c r="AD36" s="13">
        <f t="shared" si="11"/>
        <v>61</v>
      </c>
      <c r="AE36" s="13">
        <f t="shared" si="11"/>
        <v>57</v>
      </c>
      <c r="AF36" s="13">
        <f t="shared" si="10"/>
        <v>1735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6"/>
      <c r="AE37" s="19"/>
      <c r="AF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1.0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1.0</v>
      </c>
      <c r="AB39" s="19">
        <v>0.0</v>
      </c>
      <c r="AC39" s="19">
        <v>0.0</v>
      </c>
      <c r="AD39" s="19">
        <v>0.0</v>
      </c>
      <c r="AE39" s="19">
        <v>0.0</v>
      </c>
      <c r="AF39" s="13">
        <f t="shared" ref="AF39:AF41" si="12">SUM(E39:AE39)</f>
        <v>2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5.0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2.0</v>
      </c>
      <c r="AD40" s="19">
        <v>0.0</v>
      </c>
      <c r="AE40" s="19">
        <v>0.0</v>
      </c>
      <c r="AF40" s="13">
        <f t="shared" si="12"/>
        <v>7</v>
      </c>
    </row>
    <row r="41" ht="12.75" customHeight="1">
      <c r="A41" s="41"/>
      <c r="B41" s="44"/>
      <c r="C41" s="28"/>
      <c r="D41" s="13" t="s">
        <v>14</v>
      </c>
      <c r="E41" s="13">
        <f t="shared" ref="E41:AE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6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1</v>
      </c>
      <c r="AB41" s="13">
        <f t="shared" si="13"/>
        <v>0</v>
      </c>
      <c r="AC41" s="13">
        <f t="shared" si="13"/>
        <v>2</v>
      </c>
      <c r="AD41" s="13">
        <f t="shared" si="13"/>
        <v>0</v>
      </c>
      <c r="AE41" s="13">
        <f t="shared" si="13"/>
        <v>0</v>
      </c>
      <c r="AF41" s="13">
        <f t="shared" si="12"/>
        <v>9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6"/>
      <c r="AE42" s="19"/>
      <c r="AF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3"/>
    </row>
    <row r="45" ht="12.75" customHeight="1">
      <c r="A45" s="30"/>
      <c r="B45" s="47">
        <v>1.0</v>
      </c>
      <c r="C45" s="48" t="s">
        <v>37</v>
      </c>
      <c r="D45" s="16"/>
      <c r="E45" s="19">
        <v>6.0</v>
      </c>
      <c r="F45" s="19">
        <v>8.0</v>
      </c>
      <c r="G45" s="19">
        <v>14.0</v>
      </c>
      <c r="H45" s="19">
        <v>9.0</v>
      </c>
      <c r="I45" s="19">
        <v>4.0</v>
      </c>
      <c r="J45" s="19">
        <v>19.0</v>
      </c>
      <c r="K45" s="19">
        <v>14.0</v>
      </c>
      <c r="L45" s="19">
        <v>7.0</v>
      </c>
      <c r="M45" s="19">
        <v>14.0</v>
      </c>
      <c r="N45" s="19">
        <v>9.0</v>
      </c>
      <c r="O45" s="19">
        <v>20.0</v>
      </c>
      <c r="P45" s="19">
        <v>25.0</v>
      </c>
      <c r="Q45" s="19">
        <v>9.0</v>
      </c>
      <c r="R45" s="19">
        <v>24.0</v>
      </c>
      <c r="S45" s="19">
        <v>20.0</v>
      </c>
      <c r="T45" s="19">
        <v>19.0</v>
      </c>
      <c r="U45" s="19">
        <v>16.0</v>
      </c>
      <c r="V45" s="19">
        <v>11.0</v>
      </c>
      <c r="W45" s="19">
        <v>7.0</v>
      </c>
      <c r="X45" s="19">
        <v>10.0</v>
      </c>
      <c r="Y45" s="19">
        <v>18.0</v>
      </c>
      <c r="Z45" s="19">
        <v>16.0</v>
      </c>
      <c r="AA45" s="19">
        <v>9.0</v>
      </c>
      <c r="AB45" s="19">
        <v>2.0</v>
      </c>
      <c r="AC45" s="19">
        <v>3.0</v>
      </c>
      <c r="AD45" s="19">
        <v>22.0</v>
      </c>
      <c r="AE45" s="19">
        <v>5.0</v>
      </c>
      <c r="AF45" s="13">
        <f t="shared" ref="AF45:AF47" si="14">SUM(E45:AE45)</f>
        <v>340</v>
      </c>
    </row>
    <row r="46" ht="12.75" customHeight="1">
      <c r="A46" s="18"/>
      <c r="B46" s="47">
        <v>2.0</v>
      </c>
      <c r="C46" s="48" t="s">
        <v>38</v>
      </c>
      <c r="D46" s="16"/>
      <c r="E46" s="19">
        <v>133.0</v>
      </c>
      <c r="F46" s="19">
        <v>144.0</v>
      </c>
      <c r="G46" s="19">
        <v>158.0</v>
      </c>
      <c r="H46" s="19">
        <v>141.0</v>
      </c>
      <c r="I46" s="19">
        <v>140.0</v>
      </c>
      <c r="J46" s="19">
        <v>140.0</v>
      </c>
      <c r="K46" s="19">
        <v>186.0</v>
      </c>
      <c r="L46" s="19">
        <v>173.0</v>
      </c>
      <c r="M46" s="19">
        <v>134.0</v>
      </c>
      <c r="N46" s="19">
        <v>132.0</v>
      </c>
      <c r="O46" s="19">
        <v>139.0</v>
      </c>
      <c r="P46" s="19">
        <v>146.0</v>
      </c>
      <c r="Q46" s="19">
        <v>148.0</v>
      </c>
      <c r="R46" s="19">
        <v>139.0</v>
      </c>
      <c r="S46" s="19">
        <v>133.0</v>
      </c>
      <c r="T46" s="19">
        <v>126.0</v>
      </c>
      <c r="U46" s="19">
        <v>120.0</v>
      </c>
      <c r="V46" s="19">
        <v>150.0</v>
      </c>
      <c r="W46" s="19">
        <v>140.0</v>
      </c>
      <c r="X46" s="19">
        <v>154.0</v>
      </c>
      <c r="Y46" s="19">
        <v>155.0</v>
      </c>
      <c r="Z46" s="19">
        <v>143.0</v>
      </c>
      <c r="AA46" s="19">
        <v>153.0</v>
      </c>
      <c r="AB46" s="19">
        <v>151.0</v>
      </c>
      <c r="AC46" s="19">
        <v>131.0</v>
      </c>
      <c r="AD46" s="19">
        <v>130.0</v>
      </c>
      <c r="AE46" s="19">
        <v>171.0</v>
      </c>
      <c r="AF46" s="13">
        <f t="shared" si="14"/>
        <v>3910</v>
      </c>
    </row>
    <row r="47" ht="12.75" customHeight="1">
      <c r="A47" s="18"/>
      <c r="B47" s="47">
        <v>3.0</v>
      </c>
      <c r="C47" s="48" t="s">
        <v>39</v>
      </c>
      <c r="D47" s="16"/>
      <c r="E47" s="19">
        <v>54.0</v>
      </c>
      <c r="F47" s="19">
        <v>40.0</v>
      </c>
      <c r="G47" s="19">
        <v>42.0</v>
      </c>
      <c r="H47" s="19">
        <v>72.0</v>
      </c>
      <c r="I47" s="19">
        <v>67.0</v>
      </c>
      <c r="J47" s="19">
        <v>53.0</v>
      </c>
      <c r="K47" s="19">
        <v>40.0</v>
      </c>
      <c r="L47" s="19">
        <v>57.0</v>
      </c>
      <c r="M47" s="19">
        <v>65.0</v>
      </c>
      <c r="N47" s="19">
        <v>70.0</v>
      </c>
      <c r="O47" s="19">
        <v>45.0</v>
      </c>
      <c r="P47" s="19">
        <v>52.0</v>
      </c>
      <c r="Q47" s="19">
        <v>56.0</v>
      </c>
      <c r="R47" s="19">
        <v>53.0</v>
      </c>
      <c r="S47" s="19">
        <v>57.0</v>
      </c>
      <c r="T47" s="19">
        <v>67.0</v>
      </c>
      <c r="U47" s="19">
        <v>52.0</v>
      </c>
      <c r="V47" s="19">
        <v>60.0</v>
      </c>
      <c r="W47" s="19">
        <v>42.0</v>
      </c>
      <c r="X47" s="19">
        <v>44.0</v>
      </c>
      <c r="Y47" s="19">
        <v>42.0</v>
      </c>
      <c r="Z47" s="19">
        <v>31.0</v>
      </c>
      <c r="AA47" s="19">
        <v>39.0</v>
      </c>
      <c r="AB47" s="19">
        <v>52.0</v>
      </c>
      <c r="AC47" s="19">
        <v>46.0</v>
      </c>
      <c r="AD47" s="19">
        <v>49.0</v>
      </c>
      <c r="AE47" s="19">
        <v>45.0</v>
      </c>
      <c r="AF47" s="13">
        <f t="shared" si="14"/>
        <v>1392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AE50" si="15">SUM(E45:E47)</f>
        <v>193</v>
      </c>
      <c r="F50" s="19">
        <f t="shared" si="15"/>
        <v>192</v>
      </c>
      <c r="G50" s="19">
        <f t="shared" si="15"/>
        <v>214</v>
      </c>
      <c r="H50" s="19">
        <f t="shared" si="15"/>
        <v>222</v>
      </c>
      <c r="I50" s="19">
        <f t="shared" si="15"/>
        <v>211</v>
      </c>
      <c r="J50" s="19">
        <f t="shared" si="15"/>
        <v>212</v>
      </c>
      <c r="K50" s="19">
        <f t="shared" si="15"/>
        <v>240</v>
      </c>
      <c r="L50" s="19">
        <f t="shared" si="15"/>
        <v>237</v>
      </c>
      <c r="M50" s="19">
        <f t="shared" si="15"/>
        <v>213</v>
      </c>
      <c r="N50" s="19">
        <f t="shared" si="15"/>
        <v>211</v>
      </c>
      <c r="O50" s="19">
        <f t="shared" si="15"/>
        <v>204</v>
      </c>
      <c r="P50" s="19">
        <f t="shared" si="15"/>
        <v>223</v>
      </c>
      <c r="Q50" s="19">
        <f t="shared" si="15"/>
        <v>213</v>
      </c>
      <c r="R50" s="19">
        <f t="shared" si="15"/>
        <v>216</v>
      </c>
      <c r="S50" s="19">
        <f t="shared" si="15"/>
        <v>210</v>
      </c>
      <c r="T50" s="19">
        <f t="shared" si="15"/>
        <v>212</v>
      </c>
      <c r="U50" s="19">
        <f t="shared" si="15"/>
        <v>188</v>
      </c>
      <c r="V50" s="19">
        <f t="shared" si="15"/>
        <v>221</v>
      </c>
      <c r="W50" s="19">
        <f t="shared" si="15"/>
        <v>189</v>
      </c>
      <c r="X50" s="19">
        <f t="shared" si="15"/>
        <v>208</v>
      </c>
      <c r="Y50" s="19">
        <f t="shared" si="15"/>
        <v>215</v>
      </c>
      <c r="Z50" s="19">
        <f t="shared" si="15"/>
        <v>190</v>
      </c>
      <c r="AA50" s="19">
        <f t="shared" si="15"/>
        <v>201</v>
      </c>
      <c r="AB50" s="19">
        <f t="shared" si="15"/>
        <v>205</v>
      </c>
      <c r="AC50" s="19">
        <f t="shared" si="15"/>
        <v>180</v>
      </c>
      <c r="AD50" s="19">
        <f t="shared" si="15"/>
        <v>201</v>
      </c>
      <c r="AE50" s="19">
        <f t="shared" si="15"/>
        <v>221</v>
      </c>
      <c r="AF50" s="13">
        <f t="shared" ref="AF50:AF52" si="16">SUM(E50:AE50)</f>
        <v>5642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5.0</v>
      </c>
      <c r="F51" s="19">
        <v>1.0</v>
      </c>
      <c r="G51" s="19">
        <v>3.0</v>
      </c>
      <c r="H51" s="19">
        <v>4.0</v>
      </c>
      <c r="I51" s="19">
        <v>5.0</v>
      </c>
      <c r="J51" s="19">
        <v>2.0</v>
      </c>
      <c r="K51" s="19">
        <v>2.0</v>
      </c>
      <c r="L51" s="19">
        <v>1.0</v>
      </c>
      <c r="M51" s="19">
        <v>4.0</v>
      </c>
      <c r="N51" s="19">
        <v>2.0</v>
      </c>
      <c r="O51" s="19">
        <v>2.0</v>
      </c>
      <c r="P51" s="19">
        <v>3.0</v>
      </c>
      <c r="Q51" s="19">
        <v>3.0</v>
      </c>
      <c r="R51" s="19">
        <v>2.0</v>
      </c>
      <c r="S51" s="19">
        <v>3.0</v>
      </c>
      <c r="T51" s="19">
        <v>0.0</v>
      </c>
      <c r="U51" s="19">
        <v>3.0</v>
      </c>
      <c r="V51" s="19">
        <v>2.0</v>
      </c>
      <c r="W51" s="19">
        <v>5.0</v>
      </c>
      <c r="X51" s="19">
        <v>3.0</v>
      </c>
      <c r="Y51" s="19">
        <v>2.0</v>
      </c>
      <c r="Z51" s="19">
        <v>0.0</v>
      </c>
      <c r="AA51" s="19">
        <v>1.0</v>
      </c>
      <c r="AB51" s="19">
        <v>6.0</v>
      </c>
      <c r="AC51" s="19">
        <v>2.0</v>
      </c>
      <c r="AD51" s="19">
        <v>1.0</v>
      </c>
      <c r="AE51" s="19">
        <v>4.0</v>
      </c>
      <c r="AF51" s="13">
        <f t="shared" si="16"/>
        <v>71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AE52" si="17">SUM(E50:E51)</f>
        <v>198</v>
      </c>
      <c r="F52" s="13">
        <f t="shared" si="17"/>
        <v>193</v>
      </c>
      <c r="G52" s="13">
        <f t="shared" si="17"/>
        <v>217</v>
      </c>
      <c r="H52" s="13">
        <f t="shared" si="17"/>
        <v>226</v>
      </c>
      <c r="I52" s="13">
        <f t="shared" si="17"/>
        <v>216</v>
      </c>
      <c r="J52" s="13">
        <f t="shared" si="17"/>
        <v>214</v>
      </c>
      <c r="K52" s="13">
        <f t="shared" si="17"/>
        <v>242</v>
      </c>
      <c r="L52" s="13">
        <f t="shared" si="17"/>
        <v>238</v>
      </c>
      <c r="M52" s="13">
        <f t="shared" si="17"/>
        <v>217</v>
      </c>
      <c r="N52" s="13">
        <f t="shared" si="17"/>
        <v>213</v>
      </c>
      <c r="O52" s="13">
        <f t="shared" si="17"/>
        <v>206</v>
      </c>
      <c r="P52" s="13">
        <f t="shared" si="17"/>
        <v>226</v>
      </c>
      <c r="Q52" s="13">
        <f t="shared" si="17"/>
        <v>216</v>
      </c>
      <c r="R52" s="13">
        <f t="shared" si="17"/>
        <v>218</v>
      </c>
      <c r="S52" s="13">
        <f t="shared" si="17"/>
        <v>213</v>
      </c>
      <c r="T52" s="13">
        <f t="shared" si="17"/>
        <v>212</v>
      </c>
      <c r="U52" s="13">
        <f t="shared" si="17"/>
        <v>191</v>
      </c>
      <c r="V52" s="13">
        <f t="shared" si="17"/>
        <v>223</v>
      </c>
      <c r="W52" s="13">
        <f t="shared" si="17"/>
        <v>194</v>
      </c>
      <c r="X52" s="13">
        <f t="shared" si="17"/>
        <v>211</v>
      </c>
      <c r="Y52" s="13">
        <f t="shared" si="17"/>
        <v>217</v>
      </c>
      <c r="Z52" s="13">
        <f t="shared" si="17"/>
        <v>190</v>
      </c>
      <c r="AA52" s="13">
        <f t="shared" si="17"/>
        <v>202</v>
      </c>
      <c r="AB52" s="13">
        <f t="shared" si="17"/>
        <v>211</v>
      </c>
      <c r="AC52" s="13">
        <f t="shared" si="17"/>
        <v>182</v>
      </c>
      <c r="AD52" s="13">
        <f t="shared" si="17"/>
        <v>202</v>
      </c>
      <c r="AE52" s="13">
        <f t="shared" si="17"/>
        <v>225</v>
      </c>
      <c r="AF52" s="13">
        <f t="shared" si="16"/>
        <v>5713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E12"/>
    <mergeCell ref="AF12:AF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D37"/>
    <mergeCell ref="B38:D38"/>
    <mergeCell ref="B39:C41"/>
    <mergeCell ref="A42:D42"/>
    <mergeCell ref="E42:AD42"/>
    <mergeCell ref="C28:C30"/>
    <mergeCell ref="A31:D31"/>
    <mergeCell ref="B32:D32"/>
    <mergeCell ref="B33:D33"/>
    <mergeCell ref="B34:D34"/>
    <mergeCell ref="B35:D35"/>
    <mergeCell ref="B36:D36"/>
    <mergeCell ref="C51:D51"/>
    <mergeCell ref="C52:D52"/>
    <mergeCell ref="B43:D43"/>
    <mergeCell ref="A44:D44"/>
    <mergeCell ref="C45:D45"/>
    <mergeCell ref="C46:D46"/>
    <mergeCell ref="C47:D47"/>
    <mergeCell ref="B49:D49"/>
    <mergeCell ref="C50:D50"/>
  </mergeCells>
  <conditionalFormatting sqref="E14:AE15 E45:AE47">
    <cfRule type="containsBlanks" dxfId="1" priority="1">
      <formula>LEN(TRIM(E14))=0</formula>
    </cfRule>
  </conditionalFormatting>
  <conditionalFormatting sqref="E19:AE20">
    <cfRule type="containsBlanks" dxfId="1" priority="2">
      <formula>LEN(TRIM(E19))=0</formula>
    </cfRule>
  </conditionalFormatting>
  <conditionalFormatting sqref="E22:AE23 E25:AE26 E33:AE33 E35:AE35 E39:AE40">
    <cfRule type="containsBlanks" dxfId="1" priority="3">
      <formula>LEN(TRIM(E22))=0</formula>
    </cfRule>
  </conditionalFormatting>
  <conditionalFormatting sqref="E30:AE30">
    <cfRule type="expression" dxfId="0" priority="4">
      <formula>E30&lt;&gt;E46</formula>
    </cfRule>
  </conditionalFormatting>
  <conditionalFormatting sqref="E30:AE30">
    <cfRule type="expression" dxfId="0" priority="5">
      <formula>E30&lt;&gt;E34</formula>
    </cfRule>
  </conditionalFormatting>
  <conditionalFormatting sqref="E34:AE34">
    <cfRule type="expression" dxfId="2" priority="6">
      <formula>E30&lt;&gt;E34</formula>
    </cfRule>
  </conditionalFormatting>
  <conditionalFormatting sqref="E34:AE34">
    <cfRule type="expression" dxfId="3" priority="7">
      <formula>E30=E34</formula>
    </cfRule>
  </conditionalFormatting>
  <conditionalFormatting sqref="E34:AE34">
    <cfRule type="expression" dxfId="0" priority="8">
      <formula>E34&lt;&gt;E30</formula>
    </cfRule>
  </conditionalFormatting>
  <conditionalFormatting sqref="E34:AE34">
    <cfRule type="expression" dxfId="0" priority="9">
      <formula>E34&lt;&gt;#REF!</formula>
    </cfRule>
  </conditionalFormatting>
  <conditionalFormatting sqref="E50:AE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