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GAMBIRAN" sheetId="2" r:id="rId5"/>
    <sheet state="visible" name="JAJAG" sheetId="3" r:id="rId6"/>
    <sheet state="visible" name="PURWODADI" sheetId="4" r:id="rId7"/>
    <sheet state="visible" name="WRINGINAGUNG" sheetId="5" r:id="rId8"/>
    <sheet state="visible" name="WRINGINREJO" sheetId="6" r:id="rId9"/>
    <sheet state="visible" name="YOSOMULYO" sheetId="7" r:id="rId10"/>
  </sheets>
  <definedNames/>
  <calcPr/>
  <extLst>
    <ext uri="GoogleSheetsCustomDataVersion2">
      <go:sheetsCustomData xmlns:go="http://customooxmlschemas.google.com/" r:id="rId11" roundtripDataChecksum="uj1Zefdlehe8XhLZOMqij5IIaa7yC/ShKwxrSuxJ3Vw="/>
    </ext>
  </extLst>
</workbook>
</file>

<file path=xl/sharedStrings.xml><?xml version="1.0" encoding="utf-8"?>
<sst xmlns="http://schemas.openxmlformats.org/spreadsheetml/2006/main" count="650" uniqueCount="102">
  <si>
    <t>Kecamatan</t>
  </si>
  <si>
    <t>GAMBIRAN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</si>
  <si>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</si>
  <si>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</si>
  <si>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</si>
  <si>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</si>
  <si>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</si>
  <si>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</si>
  <si>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</si>
  <si>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</si>
  <si>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</si>
  <si>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</si>
  <si>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</si>
  <si>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</si>
  <si>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</si>
  <si>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</si>
  <si>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</si>
  <si>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</si>
  <si>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</si>
  <si>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</si>
  <si>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</si>
  <si>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</si>
  <si>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</si>
  <si>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</si>
  <si>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</si>
  <si>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</si>
  <si>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</si>
  <si>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</si>
  <si>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</si>
  <si>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</si>
  <si>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</si>
  <si>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</si>
  <si>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</si>
  <si>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</si>
  <si>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</si>
  <si>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</si>
  <si>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</si>
  <si>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</si>
  <si>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</si>
  <si>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</si>
  <si>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</si>
  <si>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</si>
  <si>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</si>
  <si>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</si>
  <si>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</si>
  <si>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</si>
  <si>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</si>
  <si>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</si>
  <si>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</si>
  <si>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</si>
  <si>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</si>
  <si>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</si>
  <si>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</si>
  <si>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</si>
  <si>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</si>
  <si>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</si>
  <si>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</si>
  <si>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</si>
  <si>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</si>
  <si>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</si>
  <si>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</si>
  <si>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</si>
  <si>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</si>
  <si>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</si>
  <si>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</si>
  <si>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</si>
  <si>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</si>
  <si>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</si>
  <si>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</si>
  <si>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</si>
  <si>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</si>
  <si>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</si>
  <si>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</si>
  <si>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</si>
  <si>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</si>
  <si>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</si>
  <si>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</si>
  <si>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</si>
  <si>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</si>
  <si>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</si>
  <si>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</si>
  <si>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</si>
  <si>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</si>
  <si>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</si>
  <si>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</si>
  <si>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</si>
  <si>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</si>
  <si>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</si>
  <si>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</si>
  <si>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</si>
  <si>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</si>
  <si>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</si>
  <si>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</si>
  <si>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</si>
  <si>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</si>
  <si>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JAJAG</t>
  </si>
  <si>
    <t>TPS 047</t>
  </si>
  <si>
    <t>TPS 048</t>
  </si>
  <si>
    <t>PURWODADI</t>
  </si>
  <si>
    <t>WRINGINAGUNG</t>
  </si>
  <si>
    <t>KALIGUNG</t>
  </si>
  <si>
    <t>YOSOMULYO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</si>
</sst>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" fillId="0" fontId="2" numFmtId="0" xfId="0" applyBorder="1" applyFont="1"/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GAMBIRAN!AY14+JAJAG!BA14+PURWODADI!AC14+WRINGINAGUNG!AB14+WRINGINREJO!X14+YOSOMULYO!AP14</f>
        <v>25244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GAMBIRAN!AY15+JAJAG!BA15+PURWODADI!AC15+WRINGINAGUNG!AB15+WRINGINREJO!X15+YOSOMULYO!AP15</f>
        <v>25841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51085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GAMBIRAN!AY19+JAJAG!BA19+PURWODADI!AC19+WRINGINAGUNG!AB19+WRINGINREJO!X19+YOSOMULYO!AP19</f>
        <v>18625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GAMBIRAN!AY20+JAJAG!BA20+PURWODADI!AC20+WRINGINAGUNG!AB20+WRINGINREJO!X20+YOSOMULYO!AP20</f>
        <v>20398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39023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GAMBIRAN!AY22+JAJAG!BA22+PURWODADI!AC22+WRINGINAGUNG!AB22+WRINGINREJO!X22+YOSOMULYO!AP22</f>
        <v>47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GAMBIRAN!AY23+JAJAG!BA23+PURWODADI!AC23+WRINGINAGUNG!AB23+WRINGINREJO!X23+YOSOMULYO!AP23</f>
        <v>41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88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GAMBIRAN!AY25+JAJAG!BA25+PURWODADI!AC25+WRINGINAGUNG!AB25+WRINGINREJO!X25+YOSOMULYO!AP25</f>
        <v>186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GAMBIRAN!AY26+JAJAG!BA26+PURWODADI!AC26+WRINGINAGUNG!AB26+WRINGINREJO!X26+YOSOMULYO!AP26</f>
        <v>212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18858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20651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39509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GAMBIRAN!AY33+JAJAG!BA33+PURWODADI!AC33+WRINGINAGUNG!AB33+WRINGINREJO!X33+YOSOMULYO!AP33</f>
        <v>52234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GAMBIRAN!AY34+JAJAG!BA34+PURWODADI!AC34+WRINGINAGUNG!AB34+WRINGINREJO!X34+YOSOMULYO!AP34</f>
        <v>39509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GAMBIRAN!AY35+JAJAG!BA35+PURWODADI!AC35+WRINGINAGUNG!AB35+WRINGINREJO!X35+YOSOMULYO!AP35</f>
        <v>63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12662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GAMBIRAN!AY39+JAJAG!BA39+PURWODADI!AC39+WRINGINAGUNG!AB39+WRINGINREJO!X39+YOSOMULYO!AP39</f>
        <v>26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GAMBIRAN!AY40+JAJAG!BA40+PURWODADI!AC40+WRINGINAGUNG!AB40+WRINGINREJO!X40+YOSOMULYO!AP40</f>
        <v>36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62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GAMBIRAN!AY45+JAJAG!BA45+PURWODADI!AC45+WRINGINAGUNG!AB45+WRINGINREJO!X45+YOSOMULYO!AP45</f>
        <v>3628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GAMBIRAN!AY46+JAJAG!BA46+PURWODADI!AC46+WRINGINAGUNG!AB46+WRINGINREJO!X46+YOSOMULYO!AP46</f>
        <v>26931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GAMBIRAN!AY47+JAJAG!BA47+PURWODADI!AC47+WRINGINAGUNG!AB47+WRINGINREJO!X47+YOSOMULYO!AP47</f>
        <v>9127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GAMBIRAN!AY50+JAJAG!BA50+PURWODADI!AC50+WRINGINAGUNG!AB50+WRINGINREJO!X50+YOSOMULYO!AP50</f>
        <v>39686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GAMBIRAN!AY51+JAJAG!BA51+PURWODADI!AC51+WRINGINAGUNG!AB51+WRINGINREJO!X51+YOSOMULYO!AP51</f>
        <v>595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40281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69</v>
      </c>
      <c r="Z13" s="13" t="s">
        <v>70</v>
      </c>
      <c r="AA13" s="13" t="s">
        <v>71</v>
      </c>
      <c r="AB13" s="13" t="s">
        <v>72</v>
      </c>
      <c r="AC13" s="13" t="s">
        <v>73</v>
      </c>
      <c r="AD13" s="13" t="s">
        <v>74</v>
      </c>
      <c r="AE13" s="13" t="s">
        <v>75</v>
      </c>
      <c r="AF13" s="13" t="s">
        <v>76</v>
      </c>
      <c r="AG13" s="13" t="s">
        <v>77</v>
      </c>
      <c r="AH13" s="13" t="s">
        <v>78</v>
      </c>
      <c r="AI13" s="13" t="s">
        <v>79</v>
      </c>
      <c r="AJ13" s="13" t="s">
        <v>80</v>
      </c>
      <c r="AK13" s="13" t="s">
        <v>81</v>
      </c>
      <c r="AL13" s="13" t="s">
        <v>82</v>
      </c>
      <c r="AM13" s="13" t="s">
        <v>83</v>
      </c>
      <c r="AN13" s="13" t="s">
        <v>84</v>
      </c>
      <c r="AO13" s="13" t="s">
        <v>85</v>
      </c>
      <c r="AP13" s="13" t="s">
        <v>86</v>
      </c>
      <c r="AQ13" s="13" t="s">
        <v>87</v>
      </c>
      <c r="AR13" s="13" t="s">
        <v>88</v>
      </c>
      <c r="AS13" s="13" t="s">
        <v>89</v>
      </c>
      <c r="AT13" s="13" t="s">
        <v>90</v>
      </c>
      <c r="AU13" s="13" t="s">
        <v>91</v>
      </c>
      <c r="AV13" s="13" t="s">
        <v>92</v>
      </c>
      <c r="AW13" s="13" t="s">
        <v>93</v>
      </c>
      <c r="AX13" s="13" t="s">
        <v>94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140.0</v>
      </c>
      <c r="G14" s="19">
        <v>122.0</v>
      </c>
      <c r="H14" s="19">
        <v>121.0</v>
      </c>
      <c r="I14" s="19">
        <v>142.0</v>
      </c>
      <c r="J14" s="19">
        <v>124.0</v>
      </c>
      <c r="K14" s="19">
        <v>123.0</v>
      </c>
      <c r="L14" s="19">
        <v>132.0</v>
      </c>
      <c r="M14" s="19">
        <v>104.0</v>
      </c>
      <c r="N14" s="19">
        <v>142.0</v>
      </c>
      <c r="O14" s="19">
        <v>149.0</v>
      </c>
      <c r="P14" s="19">
        <v>134.0</v>
      </c>
      <c r="Q14" s="19">
        <v>113.0</v>
      </c>
      <c r="R14" s="19">
        <v>101.0</v>
      </c>
      <c r="S14" s="19">
        <v>103.0</v>
      </c>
      <c r="T14" s="19">
        <v>128.0</v>
      </c>
      <c r="U14" s="19">
        <v>135.0</v>
      </c>
      <c r="V14" s="19">
        <v>137.0</v>
      </c>
      <c r="W14" s="19">
        <v>145.0</v>
      </c>
      <c r="X14" s="19">
        <v>137.0</v>
      </c>
      <c r="Y14" s="19">
        <v>131.0</v>
      </c>
      <c r="Z14" s="19">
        <v>133.0</v>
      </c>
      <c r="AA14" s="19">
        <v>122.0</v>
      </c>
      <c r="AB14" s="19">
        <v>121.0</v>
      </c>
      <c r="AC14" s="19">
        <v>132.0</v>
      </c>
      <c r="AD14" s="19">
        <v>131.0</v>
      </c>
      <c r="AE14" s="19">
        <v>113.0</v>
      </c>
      <c r="AF14" s="19">
        <v>95.0</v>
      </c>
      <c r="AG14" s="19">
        <v>141.0</v>
      </c>
      <c r="AH14" s="19">
        <v>80.0</v>
      </c>
      <c r="AI14" s="19">
        <v>134.0</v>
      </c>
      <c r="AJ14" s="19">
        <v>134.0</v>
      </c>
      <c r="AK14" s="19">
        <v>148.0</v>
      </c>
      <c r="AL14" s="19">
        <v>149.0</v>
      </c>
      <c r="AM14" s="19">
        <v>137.0</v>
      </c>
      <c r="AN14" s="19">
        <v>139.0</v>
      </c>
      <c r="AO14" s="19">
        <v>144.0</v>
      </c>
      <c r="AP14" s="19">
        <v>130.0</v>
      </c>
      <c r="AQ14" s="19">
        <v>148.0</v>
      </c>
      <c r="AR14" s="19">
        <v>132.0</v>
      </c>
      <c r="AS14" s="19">
        <v>145.0</v>
      </c>
      <c r="AT14" s="19">
        <v>134.0</v>
      </c>
      <c r="AU14" s="19">
        <v>145.0</v>
      </c>
      <c r="AV14" s="19">
        <v>136.0</v>
      </c>
      <c r="AW14" s="19">
        <v>131.0</v>
      </c>
      <c r="AX14" s="19">
        <v>154.0</v>
      </c>
      <c r="AY14" s="13">
        <f t="shared" ref="AY14:AY16" si="1">SUM(E14:AX14)</f>
        <v>5994</v>
      </c>
    </row>
    <row r="15" ht="12.75" customHeight="1">
      <c r="A15" s="18"/>
      <c r="B15" s="26"/>
      <c r="C15" s="27"/>
      <c r="D15" s="19" t="s">
        <v>13</v>
      </c>
      <c r="E15" s="19">
        <v>112.0</v>
      </c>
      <c r="F15" s="19">
        <v>126.0</v>
      </c>
      <c r="G15" s="19">
        <v>132.0</v>
      </c>
      <c r="H15" s="19">
        <v>134.0</v>
      </c>
      <c r="I15" s="19">
        <v>139.0</v>
      </c>
      <c r="J15" s="19">
        <v>142.0</v>
      </c>
      <c r="K15" s="19">
        <v>109.0</v>
      </c>
      <c r="L15" s="19">
        <v>126.0</v>
      </c>
      <c r="M15" s="19">
        <v>130.0</v>
      </c>
      <c r="N15" s="19">
        <v>153.0</v>
      </c>
      <c r="O15" s="19">
        <v>140.0</v>
      </c>
      <c r="P15" s="19">
        <v>127.0</v>
      </c>
      <c r="Q15" s="19">
        <v>109.0</v>
      </c>
      <c r="R15" s="19">
        <v>121.0</v>
      </c>
      <c r="S15" s="19">
        <v>117.0</v>
      </c>
      <c r="T15" s="19">
        <v>151.0</v>
      </c>
      <c r="U15" s="19">
        <v>149.0</v>
      </c>
      <c r="V15" s="19">
        <v>137.0</v>
      </c>
      <c r="W15" s="19">
        <v>143.0</v>
      </c>
      <c r="X15" s="19">
        <v>140.0</v>
      </c>
      <c r="Y15" s="19">
        <v>145.0</v>
      </c>
      <c r="Z15" s="19">
        <v>135.0</v>
      </c>
      <c r="AA15" s="19">
        <v>120.0</v>
      </c>
      <c r="AB15" s="19">
        <v>102.0</v>
      </c>
      <c r="AC15" s="19">
        <v>145.0</v>
      </c>
      <c r="AD15" s="19">
        <v>133.0</v>
      </c>
      <c r="AE15" s="19">
        <v>116.0</v>
      </c>
      <c r="AF15" s="19">
        <v>109.0</v>
      </c>
      <c r="AG15" s="19">
        <v>130.0</v>
      </c>
      <c r="AH15" s="19">
        <v>71.0</v>
      </c>
      <c r="AI15" s="19">
        <v>134.0</v>
      </c>
      <c r="AJ15" s="19">
        <v>143.0</v>
      </c>
      <c r="AK15" s="19">
        <v>142.0</v>
      </c>
      <c r="AL15" s="19">
        <v>144.0</v>
      </c>
      <c r="AM15" s="19">
        <v>148.0</v>
      </c>
      <c r="AN15" s="19">
        <v>136.0</v>
      </c>
      <c r="AO15" s="19">
        <v>146.0</v>
      </c>
      <c r="AP15" s="19">
        <v>143.0</v>
      </c>
      <c r="AQ15" s="19">
        <v>136.0</v>
      </c>
      <c r="AR15" s="19">
        <v>127.0</v>
      </c>
      <c r="AS15" s="19">
        <v>140.0</v>
      </c>
      <c r="AT15" s="19">
        <v>126.0</v>
      </c>
      <c r="AU15" s="19">
        <v>135.0</v>
      </c>
      <c r="AV15" s="19">
        <v>136.0</v>
      </c>
      <c r="AW15" s="19">
        <v>139.0</v>
      </c>
      <c r="AX15" s="19">
        <v>124.0</v>
      </c>
      <c r="AY15" s="13">
        <f t="shared" si="1"/>
        <v>6042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235</v>
      </c>
      <c r="F16" s="13">
        <f t="shared" si="2"/>
        <v>266</v>
      </c>
      <c r="G16" s="13">
        <f t="shared" si="2"/>
        <v>254</v>
      </c>
      <c r="H16" s="13">
        <f t="shared" si="2"/>
        <v>255</v>
      </c>
      <c r="I16" s="13">
        <f t="shared" si="2"/>
        <v>281</v>
      </c>
      <c r="J16" s="13">
        <f t="shared" si="2"/>
        <v>266</v>
      </c>
      <c r="K16" s="13">
        <f t="shared" si="2"/>
        <v>232</v>
      </c>
      <c r="L16" s="13">
        <f t="shared" si="2"/>
        <v>258</v>
      </c>
      <c r="M16" s="13">
        <f t="shared" si="2"/>
        <v>234</v>
      </c>
      <c r="N16" s="13">
        <f t="shared" si="2"/>
        <v>295</v>
      </c>
      <c r="O16" s="13">
        <f t="shared" si="2"/>
        <v>289</v>
      </c>
      <c r="P16" s="13">
        <f t="shared" si="2"/>
        <v>261</v>
      </c>
      <c r="Q16" s="13">
        <f t="shared" si="2"/>
        <v>222</v>
      </c>
      <c r="R16" s="13">
        <f t="shared" si="2"/>
        <v>222</v>
      </c>
      <c r="S16" s="13">
        <f t="shared" si="2"/>
        <v>220</v>
      </c>
      <c r="T16" s="13">
        <f t="shared" si="2"/>
        <v>279</v>
      </c>
      <c r="U16" s="13">
        <f t="shared" si="2"/>
        <v>284</v>
      </c>
      <c r="V16" s="13">
        <f t="shared" si="2"/>
        <v>274</v>
      </c>
      <c r="W16" s="13">
        <f t="shared" si="2"/>
        <v>288</v>
      </c>
      <c r="X16" s="13">
        <f t="shared" si="2"/>
        <v>277</v>
      </c>
      <c r="Y16" s="13">
        <f t="shared" si="2"/>
        <v>276</v>
      </c>
      <c r="Z16" s="13">
        <f t="shared" si="2"/>
        <v>268</v>
      </c>
      <c r="AA16" s="13">
        <f t="shared" si="2"/>
        <v>242</v>
      </c>
      <c r="AB16" s="13">
        <f t="shared" si="2"/>
        <v>223</v>
      </c>
      <c r="AC16" s="13">
        <f t="shared" si="2"/>
        <v>277</v>
      </c>
      <c r="AD16" s="13">
        <f t="shared" si="2"/>
        <v>264</v>
      </c>
      <c r="AE16" s="13">
        <f t="shared" si="2"/>
        <v>229</v>
      </c>
      <c r="AF16" s="13">
        <f t="shared" si="2"/>
        <v>204</v>
      </c>
      <c r="AG16" s="13">
        <f t="shared" si="2"/>
        <v>271</v>
      </c>
      <c r="AH16" s="13">
        <f t="shared" si="2"/>
        <v>151</v>
      </c>
      <c r="AI16" s="13">
        <f t="shared" si="2"/>
        <v>268</v>
      </c>
      <c r="AJ16" s="13">
        <f t="shared" si="2"/>
        <v>277</v>
      </c>
      <c r="AK16" s="13">
        <f t="shared" si="2"/>
        <v>290</v>
      </c>
      <c r="AL16" s="13">
        <f t="shared" si="2"/>
        <v>293</v>
      </c>
      <c r="AM16" s="13">
        <f t="shared" si="2"/>
        <v>285</v>
      </c>
      <c r="AN16" s="13">
        <f t="shared" si="2"/>
        <v>275</v>
      </c>
      <c r="AO16" s="13">
        <f t="shared" si="2"/>
        <v>290</v>
      </c>
      <c r="AP16" s="13">
        <f t="shared" si="2"/>
        <v>273</v>
      </c>
      <c r="AQ16" s="13">
        <f t="shared" si="2"/>
        <v>284</v>
      </c>
      <c r="AR16" s="13">
        <f t="shared" si="2"/>
        <v>259</v>
      </c>
      <c r="AS16" s="13">
        <f t="shared" si="2"/>
        <v>285</v>
      </c>
      <c r="AT16" s="13">
        <f t="shared" si="2"/>
        <v>260</v>
      </c>
      <c r="AU16" s="13">
        <f t="shared" si="2"/>
        <v>280</v>
      </c>
      <c r="AV16" s="13">
        <f t="shared" si="2"/>
        <v>272</v>
      </c>
      <c r="AW16" s="13">
        <f t="shared" si="2"/>
        <v>270</v>
      </c>
      <c r="AX16" s="13">
        <f t="shared" si="2"/>
        <v>278</v>
      </c>
      <c r="AY16" s="13">
        <f t="shared" si="1"/>
        <v>12036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60"/>
      <c r="P17" s="60"/>
      <c r="Q17" s="60"/>
      <c r="R17" s="60"/>
      <c r="S17" s="60"/>
      <c r="T17" s="60"/>
      <c r="U17" s="60"/>
      <c r="V17" s="60"/>
      <c r="W17" s="19"/>
      <c r="X17" s="19"/>
      <c r="Y17" s="19"/>
      <c r="Z17" s="19"/>
      <c r="AA17" s="19"/>
      <c r="AB17" s="19"/>
      <c r="AC17" s="19"/>
      <c r="AD17" s="19"/>
      <c r="AE17" s="19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60"/>
      <c r="P18" s="60"/>
      <c r="Q18" s="60"/>
      <c r="R18" s="60"/>
      <c r="S18" s="60"/>
      <c r="T18" s="60"/>
      <c r="U18" s="60"/>
      <c r="V18" s="60"/>
      <c r="W18" s="19"/>
      <c r="X18" s="19"/>
      <c r="Y18" s="19"/>
      <c r="Z18" s="19"/>
      <c r="AA18" s="19"/>
      <c r="AB18" s="19"/>
      <c r="AC18" s="19"/>
      <c r="AD18" s="19"/>
      <c r="AE18" s="19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106.0</v>
      </c>
      <c r="G19" s="19">
        <v>76.0</v>
      </c>
      <c r="H19" s="19">
        <v>77.0</v>
      </c>
      <c r="I19" s="19">
        <v>96.0</v>
      </c>
      <c r="J19" s="19">
        <v>88.0</v>
      </c>
      <c r="K19" s="19">
        <v>88.0</v>
      </c>
      <c r="L19" s="19">
        <v>94.0</v>
      </c>
      <c r="M19" s="19">
        <v>65.0</v>
      </c>
      <c r="N19" s="19">
        <v>103.0</v>
      </c>
      <c r="O19" s="19">
        <v>94.0</v>
      </c>
      <c r="P19" s="19">
        <v>99.0</v>
      </c>
      <c r="Q19" s="19">
        <v>82.0</v>
      </c>
      <c r="R19" s="19">
        <v>71.0</v>
      </c>
      <c r="S19" s="19">
        <v>83.0</v>
      </c>
      <c r="T19" s="19">
        <v>91.0</v>
      </c>
      <c r="U19" s="19">
        <v>102.0</v>
      </c>
      <c r="V19" s="19">
        <v>102.0</v>
      </c>
      <c r="W19" s="19">
        <v>96.0</v>
      </c>
      <c r="X19" s="19">
        <v>116.0</v>
      </c>
      <c r="Y19" s="19">
        <v>95.0</v>
      </c>
      <c r="Z19" s="19">
        <v>100.0</v>
      </c>
      <c r="AA19" s="19">
        <v>90.0</v>
      </c>
      <c r="AB19" s="19">
        <v>90.0</v>
      </c>
      <c r="AC19" s="19">
        <v>85.0</v>
      </c>
      <c r="AD19" s="19">
        <v>94.0</v>
      </c>
      <c r="AE19" s="19">
        <v>89.0</v>
      </c>
      <c r="AF19" s="19">
        <v>68.0</v>
      </c>
      <c r="AG19" s="19">
        <v>114.0</v>
      </c>
      <c r="AH19" s="19">
        <v>63.0</v>
      </c>
      <c r="AI19" s="19">
        <v>98.0</v>
      </c>
      <c r="AJ19" s="19">
        <v>101.0</v>
      </c>
      <c r="AK19" s="19">
        <v>106.0</v>
      </c>
      <c r="AL19" s="19">
        <v>111.0</v>
      </c>
      <c r="AM19" s="19">
        <v>117.0</v>
      </c>
      <c r="AN19" s="19">
        <v>99.0</v>
      </c>
      <c r="AO19" s="19">
        <v>107.0</v>
      </c>
      <c r="AP19" s="19">
        <v>94.0</v>
      </c>
      <c r="AQ19" s="19">
        <v>103.0</v>
      </c>
      <c r="AR19" s="19">
        <v>91.0</v>
      </c>
      <c r="AS19" s="19">
        <v>103.0</v>
      </c>
      <c r="AT19" s="19">
        <v>106.0</v>
      </c>
      <c r="AU19" s="19">
        <v>118.0</v>
      </c>
      <c r="AV19" s="19">
        <v>97.0</v>
      </c>
      <c r="AW19" s="19">
        <v>85.0</v>
      </c>
      <c r="AX19" s="19">
        <v>98.0</v>
      </c>
      <c r="AY19" s="13">
        <f t="shared" ref="AY19:AY30" si="3">SUM(E19:AX19)</f>
        <v>4336</v>
      </c>
    </row>
    <row r="20" ht="12.75" customHeight="1">
      <c r="A20" s="33"/>
      <c r="B20" s="27"/>
      <c r="C20" s="34"/>
      <c r="D20" s="19" t="s">
        <v>13</v>
      </c>
      <c r="E20" s="19">
        <v>95.0</v>
      </c>
      <c r="F20" s="19">
        <v>98.0</v>
      </c>
      <c r="G20" s="19">
        <v>95.0</v>
      </c>
      <c r="H20" s="19">
        <v>91.0</v>
      </c>
      <c r="I20" s="19">
        <v>110.0</v>
      </c>
      <c r="J20" s="19">
        <v>108.0</v>
      </c>
      <c r="K20" s="19">
        <v>79.0</v>
      </c>
      <c r="L20" s="19">
        <v>100.0</v>
      </c>
      <c r="M20" s="19">
        <v>101.0</v>
      </c>
      <c r="N20" s="19">
        <v>112.0</v>
      </c>
      <c r="O20" s="19">
        <v>90.0</v>
      </c>
      <c r="P20" s="19">
        <v>108.0</v>
      </c>
      <c r="Q20" s="19">
        <v>93.0</v>
      </c>
      <c r="R20" s="19">
        <v>82.0</v>
      </c>
      <c r="S20" s="19">
        <v>96.0</v>
      </c>
      <c r="T20" s="19">
        <v>107.0</v>
      </c>
      <c r="U20" s="19">
        <v>122.0</v>
      </c>
      <c r="V20" s="19">
        <v>118.0</v>
      </c>
      <c r="W20" s="19">
        <v>104.0</v>
      </c>
      <c r="X20" s="19">
        <v>115.0</v>
      </c>
      <c r="Y20" s="19">
        <v>120.0</v>
      </c>
      <c r="Z20" s="19">
        <v>104.0</v>
      </c>
      <c r="AA20" s="19">
        <v>103.0</v>
      </c>
      <c r="AB20" s="19">
        <v>89.0</v>
      </c>
      <c r="AC20" s="19">
        <v>110.0</v>
      </c>
      <c r="AD20" s="19">
        <v>109.0</v>
      </c>
      <c r="AE20" s="19">
        <v>99.0</v>
      </c>
      <c r="AF20" s="19">
        <v>92.0</v>
      </c>
      <c r="AG20" s="19">
        <v>109.0</v>
      </c>
      <c r="AH20" s="19">
        <v>59.0</v>
      </c>
      <c r="AI20" s="19">
        <v>104.0</v>
      </c>
      <c r="AJ20" s="19">
        <v>105.0</v>
      </c>
      <c r="AK20" s="19">
        <v>118.0</v>
      </c>
      <c r="AL20" s="19">
        <v>126.0</v>
      </c>
      <c r="AM20" s="19">
        <v>129.0</v>
      </c>
      <c r="AN20" s="19">
        <v>103.0</v>
      </c>
      <c r="AO20" s="19">
        <v>122.0</v>
      </c>
      <c r="AP20" s="19">
        <v>110.0</v>
      </c>
      <c r="AQ20" s="19">
        <v>93.0</v>
      </c>
      <c r="AR20" s="19">
        <v>103.0</v>
      </c>
      <c r="AS20" s="19">
        <v>107.0</v>
      </c>
      <c r="AT20" s="19">
        <v>103.0</v>
      </c>
      <c r="AU20" s="19">
        <v>112.0</v>
      </c>
      <c r="AV20" s="19">
        <v>105.0</v>
      </c>
      <c r="AW20" s="19">
        <v>98.0</v>
      </c>
      <c r="AX20" s="19">
        <v>102.0</v>
      </c>
      <c r="AY20" s="13">
        <f t="shared" si="3"/>
        <v>4758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180</v>
      </c>
      <c r="F21" s="13">
        <f t="shared" si="4"/>
        <v>204</v>
      </c>
      <c r="G21" s="13">
        <f t="shared" si="4"/>
        <v>171</v>
      </c>
      <c r="H21" s="13">
        <f t="shared" si="4"/>
        <v>168</v>
      </c>
      <c r="I21" s="13">
        <f t="shared" si="4"/>
        <v>206</v>
      </c>
      <c r="J21" s="13">
        <f t="shared" si="4"/>
        <v>196</v>
      </c>
      <c r="K21" s="13">
        <f t="shared" si="4"/>
        <v>167</v>
      </c>
      <c r="L21" s="13">
        <f t="shared" si="4"/>
        <v>194</v>
      </c>
      <c r="M21" s="13">
        <f t="shared" si="4"/>
        <v>166</v>
      </c>
      <c r="N21" s="13">
        <f t="shared" si="4"/>
        <v>215</v>
      </c>
      <c r="O21" s="13">
        <f t="shared" si="4"/>
        <v>184</v>
      </c>
      <c r="P21" s="13">
        <f t="shared" si="4"/>
        <v>207</v>
      </c>
      <c r="Q21" s="13">
        <f t="shared" si="4"/>
        <v>175</v>
      </c>
      <c r="R21" s="13">
        <f t="shared" si="4"/>
        <v>153</v>
      </c>
      <c r="S21" s="13">
        <f t="shared" si="4"/>
        <v>179</v>
      </c>
      <c r="T21" s="13">
        <f t="shared" si="4"/>
        <v>198</v>
      </c>
      <c r="U21" s="13">
        <f t="shared" si="4"/>
        <v>224</v>
      </c>
      <c r="V21" s="13">
        <f t="shared" si="4"/>
        <v>220</v>
      </c>
      <c r="W21" s="13">
        <f t="shared" si="4"/>
        <v>200</v>
      </c>
      <c r="X21" s="13">
        <f t="shared" si="4"/>
        <v>231</v>
      </c>
      <c r="Y21" s="13">
        <f t="shared" si="4"/>
        <v>215</v>
      </c>
      <c r="Z21" s="13">
        <f t="shared" si="4"/>
        <v>204</v>
      </c>
      <c r="AA21" s="13">
        <f t="shared" si="4"/>
        <v>193</v>
      </c>
      <c r="AB21" s="13">
        <f t="shared" si="4"/>
        <v>179</v>
      </c>
      <c r="AC21" s="13">
        <f t="shared" si="4"/>
        <v>195</v>
      </c>
      <c r="AD21" s="13">
        <f t="shared" si="4"/>
        <v>203</v>
      </c>
      <c r="AE21" s="13">
        <f t="shared" si="4"/>
        <v>188</v>
      </c>
      <c r="AF21" s="13">
        <f t="shared" si="4"/>
        <v>160</v>
      </c>
      <c r="AG21" s="13">
        <f t="shared" si="4"/>
        <v>223</v>
      </c>
      <c r="AH21" s="13">
        <f t="shared" si="4"/>
        <v>122</v>
      </c>
      <c r="AI21" s="13">
        <f t="shared" si="4"/>
        <v>202</v>
      </c>
      <c r="AJ21" s="13">
        <f t="shared" si="4"/>
        <v>206</v>
      </c>
      <c r="AK21" s="13">
        <f t="shared" si="4"/>
        <v>224</v>
      </c>
      <c r="AL21" s="13">
        <f t="shared" si="4"/>
        <v>237</v>
      </c>
      <c r="AM21" s="13">
        <f t="shared" si="4"/>
        <v>246</v>
      </c>
      <c r="AN21" s="13">
        <f t="shared" si="4"/>
        <v>202</v>
      </c>
      <c r="AO21" s="13">
        <f t="shared" si="4"/>
        <v>229</v>
      </c>
      <c r="AP21" s="13">
        <f t="shared" si="4"/>
        <v>204</v>
      </c>
      <c r="AQ21" s="13">
        <f t="shared" si="4"/>
        <v>196</v>
      </c>
      <c r="AR21" s="13">
        <f t="shared" si="4"/>
        <v>194</v>
      </c>
      <c r="AS21" s="13">
        <f t="shared" si="4"/>
        <v>210</v>
      </c>
      <c r="AT21" s="13">
        <f t="shared" si="4"/>
        <v>209</v>
      </c>
      <c r="AU21" s="13">
        <f t="shared" si="4"/>
        <v>230</v>
      </c>
      <c r="AV21" s="13">
        <f t="shared" si="4"/>
        <v>202</v>
      </c>
      <c r="AW21" s="13">
        <f t="shared" si="4"/>
        <v>183</v>
      </c>
      <c r="AX21" s="13">
        <f t="shared" si="4"/>
        <v>200</v>
      </c>
      <c r="AY21" s="13">
        <f t="shared" si="3"/>
        <v>9094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3.0</v>
      </c>
      <c r="P22" s="19">
        <v>1.0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3.0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5.0</v>
      </c>
      <c r="P23" s="19">
        <v>2.0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4.0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1.0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8</v>
      </c>
      <c r="P24" s="13">
        <f t="shared" si="5"/>
        <v>3</v>
      </c>
      <c r="Q24" s="13">
        <f t="shared" si="5"/>
        <v>2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7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3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v>0.0</v>
      </c>
      <c r="AY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2.0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9">
        <v>1.0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4.0</v>
      </c>
      <c r="AN25" s="19">
        <v>4.0</v>
      </c>
      <c r="AO25" s="19">
        <v>0.0</v>
      </c>
      <c r="AP25" s="19">
        <v>0.0</v>
      </c>
      <c r="AQ25" s="19">
        <v>0.0</v>
      </c>
      <c r="AR25" s="19">
        <v>1.0</v>
      </c>
      <c r="AS25" s="19">
        <v>0.0</v>
      </c>
      <c r="AT25" s="19">
        <v>1.0</v>
      </c>
      <c r="AU25" s="19">
        <v>0.0</v>
      </c>
      <c r="AV25" s="19">
        <v>1.0</v>
      </c>
      <c r="AW25" s="19">
        <v>4.0</v>
      </c>
      <c r="AX25" s="19">
        <v>0.0</v>
      </c>
      <c r="AY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1.0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5.0</v>
      </c>
      <c r="X26" s="19">
        <v>0.0</v>
      </c>
      <c r="Y26" s="19">
        <v>0.0</v>
      </c>
      <c r="Z26" s="19">
        <v>0.0</v>
      </c>
      <c r="AA26" s="19">
        <v>0.0</v>
      </c>
      <c r="AB26" s="19">
        <v>2.0</v>
      </c>
      <c r="AC26" s="19">
        <v>3.0</v>
      </c>
      <c r="AD26" s="19">
        <v>0.0</v>
      </c>
      <c r="AE26" s="19">
        <v>2.0</v>
      </c>
      <c r="AF26" s="19">
        <v>1.0</v>
      </c>
      <c r="AG26" s="19">
        <v>0.0</v>
      </c>
      <c r="AH26" s="19">
        <v>0.0</v>
      </c>
      <c r="AI26" s="19">
        <v>0.0</v>
      </c>
      <c r="AJ26" s="19">
        <v>0.0</v>
      </c>
      <c r="AK26" s="19">
        <v>0.0</v>
      </c>
      <c r="AL26" s="19">
        <v>0.0</v>
      </c>
      <c r="AM26" s="19">
        <v>5.0</v>
      </c>
      <c r="AN26" s="19">
        <v>4.0</v>
      </c>
      <c r="AO26" s="19">
        <v>0.0</v>
      </c>
      <c r="AP26" s="19">
        <v>0.0</v>
      </c>
      <c r="AQ26" s="19">
        <v>0.0</v>
      </c>
      <c r="AR26" s="19">
        <v>2.0</v>
      </c>
      <c r="AS26" s="19">
        <v>0.0</v>
      </c>
      <c r="AT26" s="19">
        <v>0.0</v>
      </c>
      <c r="AU26" s="19">
        <v>0.0</v>
      </c>
      <c r="AV26" s="19">
        <v>2.0</v>
      </c>
      <c r="AW26" s="19">
        <v>4.0</v>
      </c>
      <c r="AX26" s="19">
        <v>0.0</v>
      </c>
      <c r="AY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2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7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3</v>
      </c>
      <c r="AC27" s="13">
        <f t="shared" si="6"/>
        <v>4</v>
      </c>
      <c r="AD27" s="13">
        <f t="shared" si="6"/>
        <v>0</v>
      </c>
      <c r="AE27" s="13">
        <f t="shared" si="6"/>
        <v>3</v>
      </c>
      <c r="AF27" s="13">
        <f t="shared" si="6"/>
        <v>1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9</v>
      </c>
      <c r="AN27" s="13">
        <f t="shared" si="6"/>
        <v>8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3</v>
      </c>
      <c r="AS27" s="13">
        <f t="shared" si="6"/>
        <v>0</v>
      </c>
      <c r="AT27" s="13">
        <f t="shared" si="6"/>
        <v>1</v>
      </c>
      <c r="AU27" s="13">
        <f t="shared" si="6"/>
        <v>0</v>
      </c>
      <c r="AV27" s="13">
        <f t="shared" si="6"/>
        <v>3</v>
      </c>
      <c r="AW27" s="13">
        <f t="shared" si="6"/>
        <v>8</v>
      </c>
      <c r="AX27" s="13">
        <f t="shared" si="6"/>
        <v>0</v>
      </c>
      <c r="AY27" s="13">
        <f t="shared" si="3"/>
        <v>68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86</v>
      </c>
      <c r="F28" s="13">
        <f t="shared" si="7"/>
        <v>107</v>
      </c>
      <c r="G28" s="13">
        <f t="shared" si="7"/>
        <v>76</v>
      </c>
      <c r="H28" s="13">
        <f t="shared" si="7"/>
        <v>78</v>
      </c>
      <c r="I28" s="13">
        <f t="shared" si="7"/>
        <v>97</v>
      </c>
      <c r="J28" s="13">
        <f t="shared" si="7"/>
        <v>89</v>
      </c>
      <c r="K28" s="13">
        <f t="shared" si="7"/>
        <v>88</v>
      </c>
      <c r="L28" s="13">
        <f t="shared" si="7"/>
        <v>94</v>
      </c>
      <c r="M28" s="13">
        <f t="shared" si="7"/>
        <v>65</v>
      </c>
      <c r="N28" s="13">
        <f t="shared" si="7"/>
        <v>105</v>
      </c>
      <c r="O28" s="13">
        <f t="shared" si="7"/>
        <v>97</v>
      </c>
      <c r="P28" s="13">
        <f t="shared" si="7"/>
        <v>100</v>
      </c>
      <c r="Q28" s="13">
        <f t="shared" si="7"/>
        <v>85</v>
      </c>
      <c r="R28" s="13">
        <f t="shared" si="7"/>
        <v>71</v>
      </c>
      <c r="S28" s="13">
        <f t="shared" si="7"/>
        <v>84</v>
      </c>
      <c r="T28" s="13">
        <f t="shared" si="7"/>
        <v>92</v>
      </c>
      <c r="U28" s="13">
        <f t="shared" si="7"/>
        <v>102</v>
      </c>
      <c r="V28" s="13">
        <f t="shared" si="7"/>
        <v>102</v>
      </c>
      <c r="W28" s="13">
        <f t="shared" si="7"/>
        <v>98</v>
      </c>
      <c r="X28" s="13">
        <f t="shared" si="7"/>
        <v>116</v>
      </c>
      <c r="Y28" s="13">
        <f t="shared" si="7"/>
        <v>95</v>
      </c>
      <c r="Z28" s="13">
        <f t="shared" si="7"/>
        <v>100</v>
      </c>
      <c r="AA28" s="13">
        <f t="shared" si="7"/>
        <v>90</v>
      </c>
      <c r="AB28" s="13">
        <f t="shared" si="7"/>
        <v>94</v>
      </c>
      <c r="AC28" s="13">
        <f t="shared" si="7"/>
        <v>86</v>
      </c>
      <c r="AD28" s="13">
        <f t="shared" si="7"/>
        <v>94</v>
      </c>
      <c r="AE28" s="13">
        <f t="shared" si="7"/>
        <v>90</v>
      </c>
      <c r="AF28" s="13">
        <f t="shared" si="7"/>
        <v>68</v>
      </c>
      <c r="AG28" s="13">
        <f t="shared" si="7"/>
        <v>114</v>
      </c>
      <c r="AH28" s="13">
        <f t="shared" si="7"/>
        <v>63</v>
      </c>
      <c r="AI28" s="13">
        <f t="shared" si="7"/>
        <v>98</v>
      </c>
      <c r="AJ28" s="13">
        <f t="shared" si="7"/>
        <v>103</v>
      </c>
      <c r="AK28" s="13">
        <f t="shared" si="7"/>
        <v>106</v>
      </c>
      <c r="AL28" s="13">
        <f t="shared" si="7"/>
        <v>111</v>
      </c>
      <c r="AM28" s="13">
        <f t="shared" si="7"/>
        <v>121</v>
      </c>
      <c r="AN28" s="13">
        <f t="shared" si="7"/>
        <v>103</v>
      </c>
      <c r="AO28" s="13">
        <f t="shared" si="7"/>
        <v>107</v>
      </c>
      <c r="AP28" s="13">
        <f t="shared" si="7"/>
        <v>94</v>
      </c>
      <c r="AQ28" s="13">
        <f t="shared" si="7"/>
        <v>103</v>
      </c>
      <c r="AR28" s="13">
        <f t="shared" si="7"/>
        <v>93</v>
      </c>
      <c r="AS28" s="13">
        <f t="shared" si="7"/>
        <v>103</v>
      </c>
      <c r="AT28" s="13">
        <f t="shared" si="7"/>
        <v>107</v>
      </c>
      <c r="AU28" s="13">
        <f t="shared" si="7"/>
        <v>118</v>
      </c>
      <c r="AV28" s="13">
        <f t="shared" si="7"/>
        <v>98</v>
      </c>
      <c r="AW28" s="13">
        <f t="shared" si="7"/>
        <v>89</v>
      </c>
      <c r="AX28" s="13">
        <f t="shared" si="7"/>
        <v>98</v>
      </c>
      <c r="AY28" s="13">
        <f t="shared" si="3"/>
        <v>4378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96</v>
      </c>
      <c r="F29" s="13">
        <f t="shared" si="8"/>
        <v>98</v>
      </c>
      <c r="G29" s="13">
        <f t="shared" si="8"/>
        <v>95</v>
      </c>
      <c r="H29" s="13">
        <f t="shared" si="8"/>
        <v>92</v>
      </c>
      <c r="I29" s="13">
        <f t="shared" si="8"/>
        <v>111</v>
      </c>
      <c r="J29" s="13">
        <f t="shared" si="8"/>
        <v>110</v>
      </c>
      <c r="K29" s="13">
        <f t="shared" si="8"/>
        <v>79</v>
      </c>
      <c r="L29" s="13">
        <f t="shared" si="8"/>
        <v>100</v>
      </c>
      <c r="M29" s="13">
        <f t="shared" si="8"/>
        <v>101</v>
      </c>
      <c r="N29" s="13">
        <f t="shared" si="8"/>
        <v>113</v>
      </c>
      <c r="O29" s="13">
        <f t="shared" si="8"/>
        <v>95</v>
      </c>
      <c r="P29" s="13">
        <f t="shared" si="8"/>
        <v>110</v>
      </c>
      <c r="Q29" s="13">
        <f t="shared" si="8"/>
        <v>95</v>
      </c>
      <c r="R29" s="13">
        <f t="shared" si="8"/>
        <v>82</v>
      </c>
      <c r="S29" s="13">
        <f t="shared" si="8"/>
        <v>96</v>
      </c>
      <c r="T29" s="13">
        <f t="shared" si="8"/>
        <v>109</v>
      </c>
      <c r="U29" s="13">
        <f t="shared" si="8"/>
        <v>122</v>
      </c>
      <c r="V29" s="13">
        <f t="shared" si="8"/>
        <v>118</v>
      </c>
      <c r="W29" s="13">
        <f t="shared" si="8"/>
        <v>109</v>
      </c>
      <c r="X29" s="13">
        <f t="shared" si="8"/>
        <v>115</v>
      </c>
      <c r="Y29" s="13">
        <f t="shared" si="8"/>
        <v>120</v>
      </c>
      <c r="Z29" s="13">
        <f t="shared" si="8"/>
        <v>104</v>
      </c>
      <c r="AA29" s="13">
        <f t="shared" si="8"/>
        <v>103</v>
      </c>
      <c r="AB29" s="13">
        <f t="shared" si="8"/>
        <v>95</v>
      </c>
      <c r="AC29" s="13">
        <f t="shared" si="8"/>
        <v>113</v>
      </c>
      <c r="AD29" s="13">
        <f t="shared" si="8"/>
        <v>109</v>
      </c>
      <c r="AE29" s="13">
        <f t="shared" si="8"/>
        <v>101</v>
      </c>
      <c r="AF29" s="13">
        <f t="shared" si="8"/>
        <v>93</v>
      </c>
      <c r="AG29" s="13">
        <f t="shared" si="8"/>
        <v>109</v>
      </c>
      <c r="AH29" s="13">
        <f t="shared" si="8"/>
        <v>59</v>
      </c>
      <c r="AI29" s="13">
        <f t="shared" si="8"/>
        <v>104</v>
      </c>
      <c r="AJ29" s="13">
        <f t="shared" si="8"/>
        <v>106</v>
      </c>
      <c r="AK29" s="13">
        <f t="shared" si="8"/>
        <v>118</v>
      </c>
      <c r="AL29" s="13">
        <f t="shared" si="8"/>
        <v>126</v>
      </c>
      <c r="AM29" s="13">
        <f t="shared" si="8"/>
        <v>134</v>
      </c>
      <c r="AN29" s="13">
        <f t="shared" si="8"/>
        <v>107</v>
      </c>
      <c r="AO29" s="13">
        <f t="shared" si="8"/>
        <v>122</v>
      </c>
      <c r="AP29" s="13">
        <f t="shared" si="8"/>
        <v>110</v>
      </c>
      <c r="AQ29" s="13">
        <f t="shared" si="8"/>
        <v>93</v>
      </c>
      <c r="AR29" s="13">
        <f t="shared" si="8"/>
        <v>105</v>
      </c>
      <c r="AS29" s="13">
        <f t="shared" si="8"/>
        <v>107</v>
      </c>
      <c r="AT29" s="13">
        <f t="shared" si="8"/>
        <v>103</v>
      </c>
      <c r="AU29" s="13">
        <f t="shared" si="8"/>
        <v>112</v>
      </c>
      <c r="AV29" s="13">
        <f t="shared" si="8"/>
        <v>107</v>
      </c>
      <c r="AW29" s="13">
        <f t="shared" si="8"/>
        <v>102</v>
      </c>
      <c r="AX29" s="13">
        <f t="shared" si="8"/>
        <v>102</v>
      </c>
      <c r="AY29" s="13">
        <f t="shared" si="3"/>
        <v>4810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182</v>
      </c>
      <c r="F30" s="13">
        <f t="shared" si="9"/>
        <v>205</v>
      </c>
      <c r="G30" s="13">
        <f t="shared" si="9"/>
        <v>171</v>
      </c>
      <c r="H30" s="13">
        <f t="shared" si="9"/>
        <v>170</v>
      </c>
      <c r="I30" s="13">
        <f t="shared" si="9"/>
        <v>208</v>
      </c>
      <c r="J30" s="13">
        <f t="shared" si="9"/>
        <v>199</v>
      </c>
      <c r="K30" s="13">
        <f t="shared" si="9"/>
        <v>167</v>
      </c>
      <c r="L30" s="13">
        <f t="shared" si="9"/>
        <v>194</v>
      </c>
      <c r="M30" s="13">
        <f t="shared" si="9"/>
        <v>166</v>
      </c>
      <c r="N30" s="13">
        <f t="shared" si="9"/>
        <v>218</v>
      </c>
      <c r="O30" s="13">
        <f t="shared" si="9"/>
        <v>192</v>
      </c>
      <c r="P30" s="13">
        <f t="shared" si="9"/>
        <v>210</v>
      </c>
      <c r="Q30" s="13">
        <f t="shared" si="9"/>
        <v>180</v>
      </c>
      <c r="R30" s="13">
        <f t="shared" si="9"/>
        <v>153</v>
      </c>
      <c r="S30" s="13">
        <f t="shared" si="9"/>
        <v>180</v>
      </c>
      <c r="T30" s="13">
        <f t="shared" si="9"/>
        <v>201</v>
      </c>
      <c r="U30" s="13">
        <f t="shared" si="9"/>
        <v>224</v>
      </c>
      <c r="V30" s="13">
        <f t="shared" si="9"/>
        <v>220</v>
      </c>
      <c r="W30" s="13">
        <f t="shared" si="9"/>
        <v>207</v>
      </c>
      <c r="X30" s="13">
        <f t="shared" si="9"/>
        <v>231</v>
      </c>
      <c r="Y30" s="13">
        <f t="shared" si="9"/>
        <v>215</v>
      </c>
      <c r="Z30" s="13">
        <f t="shared" si="9"/>
        <v>204</v>
      </c>
      <c r="AA30" s="13">
        <f t="shared" si="9"/>
        <v>193</v>
      </c>
      <c r="AB30" s="13">
        <f t="shared" si="9"/>
        <v>189</v>
      </c>
      <c r="AC30" s="13">
        <f t="shared" si="9"/>
        <v>199</v>
      </c>
      <c r="AD30" s="13">
        <f t="shared" si="9"/>
        <v>203</v>
      </c>
      <c r="AE30" s="13">
        <f t="shared" si="9"/>
        <v>191</v>
      </c>
      <c r="AF30" s="13">
        <f t="shared" si="9"/>
        <v>161</v>
      </c>
      <c r="AG30" s="13">
        <f t="shared" si="9"/>
        <v>223</v>
      </c>
      <c r="AH30" s="13">
        <f t="shared" si="9"/>
        <v>122</v>
      </c>
      <c r="AI30" s="13">
        <f t="shared" si="9"/>
        <v>202</v>
      </c>
      <c r="AJ30" s="13">
        <f t="shared" si="9"/>
        <v>209</v>
      </c>
      <c r="AK30" s="13">
        <f t="shared" si="9"/>
        <v>224</v>
      </c>
      <c r="AL30" s="13">
        <f t="shared" si="9"/>
        <v>237</v>
      </c>
      <c r="AM30" s="13">
        <f t="shared" si="9"/>
        <v>255</v>
      </c>
      <c r="AN30" s="13">
        <f t="shared" si="9"/>
        <v>210</v>
      </c>
      <c r="AO30" s="13">
        <f t="shared" si="9"/>
        <v>229</v>
      </c>
      <c r="AP30" s="13">
        <f t="shared" si="9"/>
        <v>204</v>
      </c>
      <c r="AQ30" s="13">
        <f t="shared" si="9"/>
        <v>196</v>
      </c>
      <c r="AR30" s="13">
        <f t="shared" si="9"/>
        <v>198</v>
      </c>
      <c r="AS30" s="13">
        <f t="shared" si="9"/>
        <v>210</v>
      </c>
      <c r="AT30" s="13">
        <f t="shared" si="9"/>
        <v>210</v>
      </c>
      <c r="AU30" s="13">
        <f t="shared" si="9"/>
        <v>230</v>
      </c>
      <c r="AV30" s="13">
        <f t="shared" si="9"/>
        <v>205</v>
      </c>
      <c r="AW30" s="13">
        <f t="shared" si="9"/>
        <v>191</v>
      </c>
      <c r="AX30" s="13">
        <f t="shared" si="9"/>
        <v>200</v>
      </c>
      <c r="AY30" s="13">
        <f t="shared" si="3"/>
        <v>9188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60"/>
      <c r="P31" s="60"/>
      <c r="Q31" s="60"/>
      <c r="R31" s="60"/>
      <c r="S31" s="60"/>
      <c r="T31" s="60"/>
      <c r="U31" s="60"/>
      <c r="V31" s="60"/>
      <c r="W31" s="19"/>
      <c r="X31" s="19"/>
      <c r="Y31" s="19"/>
      <c r="Z31" s="19"/>
      <c r="AA31" s="19"/>
      <c r="AB31" s="19"/>
      <c r="AC31" s="19"/>
      <c r="AD31" s="19"/>
      <c r="AE31" s="19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62"/>
      <c r="P32" s="62"/>
      <c r="Q32" s="62"/>
      <c r="R32" s="62"/>
      <c r="S32" s="62"/>
      <c r="T32" s="62"/>
      <c r="U32" s="62"/>
      <c r="V32" s="62"/>
      <c r="W32" s="13"/>
      <c r="X32" s="13"/>
      <c r="Y32" s="13"/>
      <c r="Z32" s="13"/>
      <c r="AA32" s="13"/>
      <c r="AB32" s="13"/>
      <c r="AC32" s="13"/>
      <c r="AD32" s="13"/>
      <c r="AE32" s="13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1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274.0</v>
      </c>
      <c r="G33" s="19">
        <v>260.0</v>
      </c>
      <c r="H33" s="19">
        <v>260.0</v>
      </c>
      <c r="I33" s="19">
        <v>287.0</v>
      </c>
      <c r="J33" s="19">
        <v>271.0</v>
      </c>
      <c r="K33" s="19">
        <v>236.0</v>
      </c>
      <c r="L33" s="19">
        <v>264.0</v>
      </c>
      <c r="M33" s="19">
        <v>243.0</v>
      </c>
      <c r="N33" s="19">
        <v>301.0</v>
      </c>
      <c r="O33" s="19">
        <v>296.0</v>
      </c>
      <c r="P33" s="19">
        <v>266.0</v>
      </c>
      <c r="Q33" s="19">
        <v>229.0</v>
      </c>
      <c r="R33" s="19">
        <v>226.0</v>
      </c>
      <c r="S33" s="19">
        <v>224.0</v>
      </c>
      <c r="T33" s="19">
        <v>284.0</v>
      </c>
      <c r="U33" s="19">
        <v>290.0</v>
      </c>
      <c r="V33" s="19">
        <v>280.0</v>
      </c>
      <c r="W33" s="19">
        <v>294.0</v>
      </c>
      <c r="X33" s="19">
        <v>283.0</v>
      </c>
      <c r="Y33" s="19">
        <v>282.0</v>
      </c>
      <c r="Z33" s="19">
        <v>275.0</v>
      </c>
      <c r="AA33" s="19">
        <v>247.0</v>
      </c>
      <c r="AB33" s="19">
        <v>228.0</v>
      </c>
      <c r="AC33" s="19">
        <v>283.0</v>
      </c>
      <c r="AD33" s="19">
        <v>270.0</v>
      </c>
      <c r="AE33" s="19">
        <v>270.0</v>
      </c>
      <c r="AF33" s="19">
        <v>210.0</v>
      </c>
      <c r="AG33" s="19">
        <v>278.0</v>
      </c>
      <c r="AH33" s="19">
        <v>154.0</v>
      </c>
      <c r="AI33" s="19">
        <v>274.0</v>
      </c>
      <c r="AJ33" s="19">
        <v>285.0</v>
      </c>
      <c r="AK33" s="19">
        <v>296.0</v>
      </c>
      <c r="AL33" s="19">
        <v>299.0</v>
      </c>
      <c r="AM33" s="19">
        <v>294.0</v>
      </c>
      <c r="AN33" s="19">
        <v>281.0</v>
      </c>
      <c r="AO33" s="19">
        <v>296.0</v>
      </c>
      <c r="AP33" s="19">
        <v>279.0</v>
      </c>
      <c r="AQ33" s="19">
        <v>290.0</v>
      </c>
      <c r="AR33" s="19">
        <v>266.0</v>
      </c>
      <c r="AS33" s="19">
        <v>299.0</v>
      </c>
      <c r="AT33" s="19">
        <v>266.0</v>
      </c>
      <c r="AU33" s="19">
        <v>286.0</v>
      </c>
      <c r="AV33" s="19">
        <v>277.0</v>
      </c>
      <c r="AW33" s="19">
        <v>275.0</v>
      </c>
      <c r="AX33" s="19">
        <v>286.0</v>
      </c>
      <c r="AY33" s="13">
        <f t="shared" ref="AY33:AY36" si="10">SUM(E33:AX33)</f>
        <v>12354</v>
      </c>
    </row>
    <row r="34" ht="12.75" customHeight="1">
      <c r="A34" s="19">
        <v>2.0</v>
      </c>
      <c r="B34" s="20" t="s">
        <v>28</v>
      </c>
      <c r="C34" s="15"/>
      <c r="D34" s="16"/>
      <c r="E34" s="13">
        <v>182.0</v>
      </c>
      <c r="F34" s="13">
        <v>205.0</v>
      </c>
      <c r="G34" s="13">
        <v>171.0</v>
      </c>
      <c r="H34" s="13">
        <v>170.0</v>
      </c>
      <c r="I34" s="13">
        <v>208.0</v>
      </c>
      <c r="J34" s="13">
        <v>199.0</v>
      </c>
      <c r="K34" s="13">
        <v>167.0</v>
      </c>
      <c r="L34" s="13">
        <v>194.0</v>
      </c>
      <c r="M34" s="13">
        <v>166.0</v>
      </c>
      <c r="N34" s="13">
        <v>218.0</v>
      </c>
      <c r="O34" s="13">
        <v>192.0</v>
      </c>
      <c r="P34" s="13">
        <v>210.0</v>
      </c>
      <c r="Q34" s="13">
        <v>180.0</v>
      </c>
      <c r="R34" s="13">
        <v>153.0</v>
      </c>
      <c r="S34" s="13">
        <v>180.0</v>
      </c>
      <c r="T34" s="13">
        <v>201.0</v>
      </c>
      <c r="U34" s="13">
        <v>224.0</v>
      </c>
      <c r="V34" s="13">
        <v>220.0</v>
      </c>
      <c r="W34" s="13">
        <v>207.0</v>
      </c>
      <c r="X34" s="13">
        <v>231.0</v>
      </c>
      <c r="Y34" s="13">
        <v>215.0</v>
      </c>
      <c r="Z34" s="13">
        <v>204.0</v>
      </c>
      <c r="AA34" s="13">
        <v>193.0</v>
      </c>
      <c r="AB34" s="13">
        <v>189.0</v>
      </c>
      <c r="AC34" s="13">
        <v>199.0</v>
      </c>
      <c r="AD34" s="13">
        <v>203.0</v>
      </c>
      <c r="AE34" s="13">
        <v>191.0</v>
      </c>
      <c r="AF34" s="13">
        <v>161.0</v>
      </c>
      <c r="AG34" s="13">
        <v>223.0</v>
      </c>
      <c r="AH34" s="13">
        <v>122.0</v>
      </c>
      <c r="AI34" s="13">
        <v>202.0</v>
      </c>
      <c r="AJ34" s="13">
        <v>209.0</v>
      </c>
      <c r="AK34" s="13">
        <v>224.0</v>
      </c>
      <c r="AL34" s="13">
        <v>237.0</v>
      </c>
      <c r="AM34" s="13">
        <v>255.0</v>
      </c>
      <c r="AN34" s="13">
        <v>210.0</v>
      </c>
      <c r="AO34" s="13">
        <v>229.0</v>
      </c>
      <c r="AP34" s="13">
        <v>204.0</v>
      </c>
      <c r="AQ34" s="13">
        <v>196.0</v>
      </c>
      <c r="AR34" s="13">
        <v>198.0</v>
      </c>
      <c r="AS34" s="13">
        <v>210.0</v>
      </c>
      <c r="AT34" s="13">
        <v>210.0</v>
      </c>
      <c r="AU34" s="13">
        <v>230.0</v>
      </c>
      <c r="AV34" s="13">
        <v>205.0</v>
      </c>
      <c r="AW34" s="13">
        <v>191.0</v>
      </c>
      <c r="AX34" s="13">
        <v>200.0</v>
      </c>
      <c r="AY34" s="13">
        <f t="shared" si="10"/>
        <v>9188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1.0</v>
      </c>
      <c r="L35" s="19">
        <v>1.0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1.0</v>
      </c>
      <c r="AK35" s="19">
        <v>0.0</v>
      </c>
      <c r="AL35" s="19">
        <v>1.0</v>
      </c>
      <c r="AM35" s="19">
        <v>0.0</v>
      </c>
      <c r="AN35" s="19">
        <v>0.0</v>
      </c>
      <c r="AO35" s="19">
        <v>0.0</v>
      </c>
      <c r="AP35" s="19">
        <v>0.0</v>
      </c>
      <c r="AQ35" s="19">
        <v>4.0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58</v>
      </c>
      <c r="F36" s="13">
        <f t="shared" si="11"/>
        <v>69</v>
      </c>
      <c r="G36" s="13">
        <f t="shared" si="11"/>
        <v>88</v>
      </c>
      <c r="H36" s="13">
        <f t="shared" si="11"/>
        <v>90</v>
      </c>
      <c r="I36" s="13">
        <f t="shared" si="11"/>
        <v>79</v>
      </c>
      <c r="J36" s="13">
        <f t="shared" si="11"/>
        <v>72</v>
      </c>
      <c r="K36" s="13">
        <f t="shared" si="11"/>
        <v>68</v>
      </c>
      <c r="L36" s="13">
        <f t="shared" si="11"/>
        <v>69</v>
      </c>
      <c r="M36" s="13">
        <f t="shared" si="11"/>
        <v>76</v>
      </c>
      <c r="N36" s="13">
        <f t="shared" si="11"/>
        <v>83</v>
      </c>
      <c r="O36" s="13">
        <f t="shared" si="11"/>
        <v>104</v>
      </c>
      <c r="P36" s="13">
        <f t="shared" si="11"/>
        <v>56</v>
      </c>
      <c r="Q36" s="13">
        <f t="shared" si="11"/>
        <v>49</v>
      </c>
      <c r="R36" s="13">
        <f t="shared" si="11"/>
        <v>73</v>
      </c>
      <c r="S36" s="13">
        <f t="shared" si="11"/>
        <v>44</v>
      </c>
      <c r="T36" s="13">
        <f t="shared" si="11"/>
        <v>83</v>
      </c>
      <c r="U36" s="13">
        <f t="shared" si="11"/>
        <v>66</v>
      </c>
      <c r="V36" s="13">
        <f t="shared" si="11"/>
        <v>59</v>
      </c>
      <c r="W36" s="13">
        <f t="shared" si="11"/>
        <v>87</v>
      </c>
      <c r="X36" s="13">
        <f t="shared" si="11"/>
        <v>52</v>
      </c>
      <c r="Y36" s="13">
        <f t="shared" si="11"/>
        <v>67</v>
      </c>
      <c r="Z36" s="13">
        <f t="shared" si="11"/>
        <v>70</v>
      </c>
      <c r="AA36" s="13">
        <f t="shared" si="11"/>
        <v>54</v>
      </c>
      <c r="AB36" s="13">
        <f t="shared" si="11"/>
        <v>39</v>
      </c>
      <c r="AC36" s="13">
        <f t="shared" si="11"/>
        <v>84</v>
      </c>
      <c r="AD36" s="13">
        <f t="shared" si="11"/>
        <v>67</v>
      </c>
      <c r="AE36" s="13">
        <f t="shared" si="11"/>
        <v>79</v>
      </c>
      <c r="AF36" s="13">
        <f t="shared" si="11"/>
        <v>49</v>
      </c>
      <c r="AG36" s="13">
        <f t="shared" si="11"/>
        <v>55</v>
      </c>
      <c r="AH36" s="13">
        <f t="shared" si="11"/>
        <v>32</v>
      </c>
      <c r="AI36" s="13">
        <f t="shared" si="11"/>
        <v>72</v>
      </c>
      <c r="AJ36" s="13">
        <f t="shared" si="11"/>
        <v>75</v>
      </c>
      <c r="AK36" s="13">
        <f t="shared" si="11"/>
        <v>72</v>
      </c>
      <c r="AL36" s="13">
        <f t="shared" si="11"/>
        <v>61</v>
      </c>
      <c r="AM36" s="13">
        <f t="shared" si="11"/>
        <v>39</v>
      </c>
      <c r="AN36" s="13">
        <f t="shared" si="11"/>
        <v>71</v>
      </c>
      <c r="AO36" s="13">
        <f t="shared" si="11"/>
        <v>67</v>
      </c>
      <c r="AP36" s="13">
        <f t="shared" si="11"/>
        <v>75</v>
      </c>
      <c r="AQ36" s="13">
        <f t="shared" si="11"/>
        <v>90</v>
      </c>
      <c r="AR36" s="13">
        <f t="shared" si="11"/>
        <v>68</v>
      </c>
      <c r="AS36" s="13">
        <f t="shared" si="11"/>
        <v>89</v>
      </c>
      <c r="AT36" s="13">
        <f t="shared" si="11"/>
        <v>56</v>
      </c>
      <c r="AU36" s="13">
        <f t="shared" si="11"/>
        <v>56</v>
      </c>
      <c r="AV36" s="13">
        <f t="shared" si="11"/>
        <v>72</v>
      </c>
      <c r="AW36" s="13">
        <f t="shared" si="11"/>
        <v>84</v>
      </c>
      <c r="AX36" s="13">
        <f t="shared" si="11"/>
        <v>86</v>
      </c>
      <c r="AY36" s="13">
        <f t="shared" si="10"/>
        <v>3154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63"/>
      <c r="P37" s="63"/>
      <c r="Q37" s="63"/>
      <c r="R37" s="63"/>
      <c r="S37" s="63"/>
      <c r="T37" s="63"/>
      <c r="U37" s="63"/>
      <c r="V37" s="63"/>
      <c r="W37" s="24"/>
      <c r="X37" s="15"/>
      <c r="Y37" s="15"/>
      <c r="Z37" s="15"/>
      <c r="AA37" s="16"/>
      <c r="AB37" s="19"/>
      <c r="AC37" s="19"/>
      <c r="AD37" s="19"/>
      <c r="AE37" s="19"/>
      <c r="AF37" s="60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62"/>
      <c r="P38" s="62"/>
      <c r="Q38" s="62"/>
      <c r="R38" s="62"/>
      <c r="S38" s="62"/>
      <c r="T38" s="62"/>
      <c r="U38" s="62"/>
      <c r="V38" s="62"/>
      <c r="W38" s="13"/>
      <c r="X38" s="13"/>
      <c r="Y38" s="13"/>
      <c r="Z38" s="13"/>
      <c r="AA38" s="13"/>
      <c r="AB38" s="13"/>
      <c r="AC38" s="13"/>
      <c r="AD38" s="13"/>
      <c r="AE38" s="13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3">
        <f t="shared" ref="AY39:AY41" si="12">SUM(E39:AX39)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1.0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X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60"/>
      <c r="Q42" s="19"/>
      <c r="R42" s="60"/>
      <c r="S42" s="19"/>
      <c r="T42" s="60"/>
      <c r="U42" s="19"/>
      <c r="V42" s="60"/>
      <c r="W42" s="24"/>
      <c r="X42" s="15"/>
      <c r="Y42" s="15"/>
      <c r="Z42" s="15"/>
      <c r="AA42" s="16"/>
      <c r="AB42" s="19"/>
      <c r="AC42" s="19"/>
      <c r="AD42" s="19"/>
      <c r="AE42" s="19"/>
      <c r="AF42" s="60"/>
      <c r="AG42" s="19"/>
      <c r="AH42" s="60"/>
      <c r="AI42" s="19"/>
      <c r="AJ42" s="60"/>
      <c r="AK42" s="19"/>
      <c r="AL42" s="60"/>
      <c r="AM42" s="19"/>
      <c r="AN42" s="60"/>
      <c r="AO42" s="19"/>
      <c r="AP42" s="60"/>
      <c r="AQ42" s="19"/>
      <c r="AR42" s="60"/>
      <c r="AS42" s="19"/>
      <c r="AT42" s="19"/>
      <c r="AU42" s="60"/>
      <c r="AV42" s="19"/>
      <c r="AW42" s="60"/>
      <c r="AX42" s="19"/>
      <c r="A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62"/>
      <c r="Q43" s="13"/>
      <c r="R43" s="62"/>
      <c r="S43" s="13"/>
      <c r="T43" s="62"/>
      <c r="U43" s="13"/>
      <c r="V43" s="62"/>
      <c r="W43" s="29"/>
      <c r="X43" s="13"/>
      <c r="Y43" s="13"/>
      <c r="Z43" s="13"/>
      <c r="AA43" s="13"/>
      <c r="AB43" s="13"/>
      <c r="AC43" s="13"/>
      <c r="AD43" s="13"/>
      <c r="AE43" s="13"/>
      <c r="AF43" s="62"/>
      <c r="AG43" s="13"/>
      <c r="AH43" s="62"/>
      <c r="AI43" s="13"/>
      <c r="AJ43" s="62"/>
      <c r="AK43" s="13"/>
      <c r="AL43" s="62"/>
      <c r="AM43" s="13"/>
      <c r="AN43" s="62"/>
      <c r="AO43" s="13"/>
      <c r="AP43" s="62"/>
      <c r="AQ43" s="13"/>
      <c r="AR43" s="62"/>
      <c r="AS43" s="13"/>
      <c r="AT43" s="13"/>
      <c r="AU43" s="62"/>
      <c r="AV43" s="13"/>
      <c r="AW43" s="62"/>
      <c r="AX43" s="13"/>
      <c r="A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60"/>
      <c r="Q44" s="19"/>
      <c r="R44" s="60"/>
      <c r="S44" s="19"/>
      <c r="T44" s="60"/>
      <c r="U44" s="19"/>
      <c r="V44" s="60"/>
      <c r="W44" s="24"/>
      <c r="X44" s="19"/>
      <c r="Y44" s="19"/>
      <c r="Z44" s="19"/>
      <c r="AA44" s="19"/>
      <c r="AB44" s="19"/>
      <c r="AC44" s="19"/>
      <c r="AD44" s="19"/>
      <c r="AE44" s="19"/>
      <c r="AF44" s="60"/>
      <c r="AG44" s="19"/>
      <c r="AH44" s="60"/>
      <c r="AI44" s="19"/>
      <c r="AJ44" s="60"/>
      <c r="AK44" s="19"/>
      <c r="AL44" s="60"/>
      <c r="AM44" s="19"/>
      <c r="AN44" s="60"/>
      <c r="AO44" s="19"/>
      <c r="AP44" s="60"/>
      <c r="AQ44" s="19"/>
      <c r="AR44" s="60"/>
      <c r="AS44" s="19"/>
      <c r="AT44" s="19"/>
      <c r="AU44" s="60"/>
      <c r="AV44" s="19"/>
      <c r="AW44" s="60"/>
      <c r="AX44" s="19"/>
      <c r="AY44" s="13"/>
    </row>
    <row r="45" ht="12.75" customHeight="1">
      <c r="A45" s="64"/>
      <c r="B45" s="47">
        <v>1.0</v>
      </c>
      <c r="C45" s="48" t="s">
        <v>37</v>
      </c>
      <c r="D45" s="16"/>
      <c r="E45" s="19">
        <v>12.0</v>
      </c>
      <c r="F45" s="19">
        <v>7.0</v>
      </c>
      <c r="G45" s="19">
        <v>3.0</v>
      </c>
      <c r="H45" s="19">
        <v>4.0</v>
      </c>
      <c r="I45" s="19">
        <v>30.0</v>
      </c>
      <c r="J45" s="19">
        <v>7.0</v>
      </c>
      <c r="K45" s="19">
        <v>9.0</v>
      </c>
      <c r="L45" s="19">
        <v>15.0</v>
      </c>
      <c r="M45" s="19">
        <v>18.0</v>
      </c>
      <c r="N45" s="19">
        <v>22.0</v>
      </c>
      <c r="O45" s="19">
        <v>16.0</v>
      </c>
      <c r="P45" s="19">
        <v>3.0</v>
      </c>
      <c r="Q45" s="19">
        <v>23.0</v>
      </c>
      <c r="R45" s="19">
        <v>27.0</v>
      </c>
      <c r="S45" s="19">
        <v>47.0</v>
      </c>
      <c r="T45" s="19">
        <v>15.0</v>
      </c>
      <c r="U45" s="19">
        <v>11.0</v>
      </c>
      <c r="V45" s="19">
        <v>17.0</v>
      </c>
      <c r="W45" s="19">
        <v>30.0</v>
      </c>
      <c r="X45" s="19">
        <v>35.0</v>
      </c>
      <c r="Y45" s="19">
        <v>26.0</v>
      </c>
      <c r="Z45" s="19">
        <v>23.0</v>
      </c>
      <c r="AA45" s="19">
        <v>11.0</v>
      </c>
      <c r="AB45" s="19">
        <v>13.0</v>
      </c>
      <c r="AC45" s="19">
        <v>11.0</v>
      </c>
      <c r="AD45" s="19">
        <v>6.0</v>
      </c>
      <c r="AE45" s="19">
        <v>16.0</v>
      </c>
      <c r="AF45" s="19">
        <v>24.0</v>
      </c>
      <c r="AG45" s="19">
        <v>29.0</v>
      </c>
      <c r="AH45" s="19">
        <v>8.0</v>
      </c>
      <c r="AI45" s="19">
        <v>5.0</v>
      </c>
      <c r="AJ45" s="19">
        <v>30.0</v>
      </c>
      <c r="AK45" s="19">
        <v>25.0</v>
      </c>
      <c r="AL45" s="19">
        <v>16.0</v>
      </c>
      <c r="AM45" s="19">
        <v>15.0</v>
      </c>
      <c r="AN45" s="19">
        <v>15.0</v>
      </c>
      <c r="AO45" s="19">
        <v>24.0</v>
      </c>
      <c r="AP45" s="19">
        <v>13.0</v>
      </c>
      <c r="AQ45" s="19">
        <v>23.0</v>
      </c>
      <c r="AR45" s="19">
        <v>33.0</v>
      </c>
      <c r="AS45" s="19">
        <v>24.0</v>
      </c>
      <c r="AT45" s="19">
        <v>16.0</v>
      </c>
      <c r="AU45" s="19">
        <v>34.0</v>
      </c>
      <c r="AV45" s="19">
        <v>10.0</v>
      </c>
      <c r="AW45" s="19">
        <v>12.0</v>
      </c>
      <c r="AX45" s="19">
        <v>7.0</v>
      </c>
      <c r="AY45" s="13">
        <f t="shared" ref="AY45:AY47" si="14">SUM(E45:AX45)</f>
        <v>820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155.0</v>
      </c>
      <c r="G46" s="19">
        <v>131.0</v>
      </c>
      <c r="H46" s="19">
        <v>138.0</v>
      </c>
      <c r="I46" s="19">
        <v>128.0</v>
      </c>
      <c r="J46" s="19">
        <v>135.0</v>
      </c>
      <c r="K46" s="19">
        <v>131.0</v>
      </c>
      <c r="L46" s="19">
        <v>121.0</v>
      </c>
      <c r="M46" s="19">
        <v>111.0</v>
      </c>
      <c r="N46" s="19">
        <v>165.0</v>
      </c>
      <c r="O46" s="19">
        <v>118.0</v>
      </c>
      <c r="P46" s="19">
        <v>145.0</v>
      </c>
      <c r="Q46" s="19">
        <v>121.0</v>
      </c>
      <c r="R46" s="19">
        <v>112.0</v>
      </c>
      <c r="S46" s="19">
        <v>92.0</v>
      </c>
      <c r="T46" s="19">
        <v>153.0</v>
      </c>
      <c r="U46" s="19">
        <v>169.0</v>
      </c>
      <c r="V46" s="19">
        <v>157.0</v>
      </c>
      <c r="W46" s="19">
        <v>136.0</v>
      </c>
      <c r="X46" s="19">
        <v>129.0</v>
      </c>
      <c r="Y46" s="19">
        <v>126.0</v>
      </c>
      <c r="Z46" s="19">
        <v>119.0</v>
      </c>
      <c r="AA46" s="19">
        <v>138.0</v>
      </c>
      <c r="AB46" s="19">
        <v>127.0</v>
      </c>
      <c r="AC46" s="19">
        <v>121.0</v>
      </c>
      <c r="AD46" s="19">
        <v>143.0</v>
      </c>
      <c r="AE46" s="19">
        <v>139.0</v>
      </c>
      <c r="AF46" s="19">
        <v>114.0</v>
      </c>
      <c r="AG46" s="19">
        <v>147.0</v>
      </c>
      <c r="AH46" s="19">
        <v>98.0</v>
      </c>
      <c r="AI46" s="19">
        <v>136.0</v>
      </c>
      <c r="AJ46" s="19">
        <v>128.0</v>
      </c>
      <c r="AK46" s="19">
        <v>156.0</v>
      </c>
      <c r="AL46" s="19">
        <v>177.0</v>
      </c>
      <c r="AM46" s="19">
        <v>198.0</v>
      </c>
      <c r="AN46" s="19">
        <v>145.0</v>
      </c>
      <c r="AO46" s="19">
        <v>157.0</v>
      </c>
      <c r="AP46" s="19">
        <v>131.0</v>
      </c>
      <c r="AQ46" s="19">
        <v>134.0</v>
      </c>
      <c r="AR46" s="19">
        <v>130.0</v>
      </c>
      <c r="AS46" s="19">
        <v>155.0</v>
      </c>
      <c r="AT46" s="19">
        <v>163.0</v>
      </c>
      <c r="AU46" s="19">
        <v>151.0</v>
      </c>
      <c r="AV46" s="19">
        <v>171.0</v>
      </c>
      <c r="AW46" s="19">
        <v>127.0</v>
      </c>
      <c r="AX46" s="19">
        <v>138.0</v>
      </c>
      <c r="AY46" s="13">
        <f t="shared" si="14"/>
        <v>6338</v>
      </c>
    </row>
    <row r="47" ht="12.75" customHeight="1">
      <c r="A47" s="45"/>
      <c r="B47" s="47">
        <v>3.0</v>
      </c>
      <c r="C47" s="48" t="s">
        <v>39</v>
      </c>
      <c r="D47" s="16"/>
      <c r="E47" s="19">
        <v>44.0</v>
      </c>
      <c r="F47" s="19">
        <v>42.0</v>
      </c>
      <c r="G47" s="19">
        <v>33.0</v>
      </c>
      <c r="H47" s="19">
        <v>23.0</v>
      </c>
      <c r="I47" s="19">
        <v>48.0</v>
      </c>
      <c r="J47" s="19">
        <v>52.0</v>
      </c>
      <c r="K47" s="19">
        <v>25.0</v>
      </c>
      <c r="L47" s="19">
        <v>55.0</v>
      </c>
      <c r="M47" s="19">
        <v>34.0</v>
      </c>
      <c r="N47" s="19">
        <v>27.0</v>
      </c>
      <c r="O47" s="19">
        <v>52.0</v>
      </c>
      <c r="P47" s="19">
        <v>61.0</v>
      </c>
      <c r="Q47" s="19">
        <v>35.0</v>
      </c>
      <c r="R47" s="19">
        <v>13.0</v>
      </c>
      <c r="S47" s="19">
        <v>36.0</v>
      </c>
      <c r="T47" s="19">
        <v>29.0</v>
      </c>
      <c r="U47" s="19">
        <v>39.0</v>
      </c>
      <c r="V47" s="19">
        <v>44.0</v>
      </c>
      <c r="W47" s="19">
        <v>37.0</v>
      </c>
      <c r="X47" s="19">
        <v>65.0</v>
      </c>
      <c r="Y47" s="19">
        <v>60.0</v>
      </c>
      <c r="Z47" s="19">
        <v>60.0</v>
      </c>
      <c r="AA47" s="19">
        <v>41.0</v>
      </c>
      <c r="AB47" s="19">
        <v>45.0</v>
      </c>
      <c r="AC47" s="19">
        <v>66.0</v>
      </c>
      <c r="AD47" s="19">
        <v>54.0</v>
      </c>
      <c r="AE47" s="19">
        <v>35.0</v>
      </c>
      <c r="AF47" s="19">
        <v>19.0</v>
      </c>
      <c r="AG47" s="19">
        <v>47.0</v>
      </c>
      <c r="AH47" s="19">
        <v>14.0</v>
      </c>
      <c r="AI47" s="19">
        <v>40.0</v>
      </c>
      <c r="AJ47" s="19">
        <v>48.0</v>
      </c>
      <c r="AK47" s="19">
        <v>62.0</v>
      </c>
      <c r="AL47" s="19">
        <v>43.0</v>
      </c>
      <c r="AM47" s="19">
        <v>38.0</v>
      </c>
      <c r="AN47" s="19">
        <v>42.0</v>
      </c>
      <c r="AO47" s="19">
        <v>45.0</v>
      </c>
      <c r="AP47" s="19">
        <v>60.0</v>
      </c>
      <c r="AQ47" s="19">
        <v>38.0</v>
      </c>
      <c r="AR47" s="19">
        <v>33.0</v>
      </c>
      <c r="AS47" s="19">
        <v>31.0</v>
      </c>
      <c r="AT47" s="19">
        <v>26.0</v>
      </c>
      <c r="AU47" s="19">
        <v>44.0</v>
      </c>
      <c r="AV47" s="19">
        <v>21.0</v>
      </c>
      <c r="AW47" s="19">
        <v>49.0</v>
      </c>
      <c r="AX47" s="19">
        <v>52.0</v>
      </c>
      <c r="AY47" s="13">
        <f t="shared" si="14"/>
        <v>1907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2"/>
      <c r="O49" s="62"/>
      <c r="P49" s="62"/>
      <c r="Q49" s="62"/>
      <c r="R49" s="62"/>
      <c r="S49" s="62"/>
      <c r="T49" s="62"/>
      <c r="U49" s="62"/>
      <c r="V49" s="62"/>
      <c r="W49" s="13"/>
      <c r="X49" s="13"/>
      <c r="Y49" s="13"/>
      <c r="Z49" s="13"/>
      <c r="AA49" s="13"/>
      <c r="AB49" s="13"/>
      <c r="AC49" s="13"/>
      <c r="AD49" s="13"/>
      <c r="AE49" s="13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X50" si="15">SUM(E45:E47)</f>
        <v>178</v>
      </c>
      <c r="F50" s="19">
        <f t="shared" si="15"/>
        <v>204</v>
      </c>
      <c r="G50" s="19">
        <f t="shared" si="15"/>
        <v>167</v>
      </c>
      <c r="H50" s="19">
        <f t="shared" si="15"/>
        <v>165</v>
      </c>
      <c r="I50" s="19">
        <f t="shared" si="15"/>
        <v>206</v>
      </c>
      <c r="J50" s="19">
        <f t="shared" si="15"/>
        <v>194</v>
      </c>
      <c r="K50" s="19">
        <f t="shared" si="15"/>
        <v>165</v>
      </c>
      <c r="L50" s="19">
        <f t="shared" si="15"/>
        <v>191</v>
      </c>
      <c r="M50" s="19">
        <f t="shared" si="15"/>
        <v>163</v>
      </c>
      <c r="N50" s="19">
        <f t="shared" si="15"/>
        <v>214</v>
      </c>
      <c r="O50" s="19">
        <f t="shared" si="15"/>
        <v>186</v>
      </c>
      <c r="P50" s="19">
        <f t="shared" si="15"/>
        <v>209</v>
      </c>
      <c r="Q50" s="19">
        <f t="shared" si="15"/>
        <v>179</v>
      </c>
      <c r="R50" s="19">
        <f t="shared" si="15"/>
        <v>152</v>
      </c>
      <c r="S50" s="19">
        <f t="shared" si="15"/>
        <v>175</v>
      </c>
      <c r="T50" s="19">
        <f t="shared" si="15"/>
        <v>197</v>
      </c>
      <c r="U50" s="19">
        <f t="shared" si="15"/>
        <v>219</v>
      </c>
      <c r="V50" s="19">
        <f t="shared" si="15"/>
        <v>218</v>
      </c>
      <c r="W50" s="19">
        <f t="shared" si="15"/>
        <v>203</v>
      </c>
      <c r="X50" s="19">
        <f t="shared" si="15"/>
        <v>229</v>
      </c>
      <c r="Y50" s="19">
        <f t="shared" si="15"/>
        <v>212</v>
      </c>
      <c r="Z50" s="19">
        <f t="shared" si="15"/>
        <v>202</v>
      </c>
      <c r="AA50" s="19">
        <f t="shared" si="15"/>
        <v>190</v>
      </c>
      <c r="AB50" s="19">
        <f t="shared" si="15"/>
        <v>185</v>
      </c>
      <c r="AC50" s="19">
        <f t="shared" si="15"/>
        <v>198</v>
      </c>
      <c r="AD50" s="19">
        <f t="shared" si="15"/>
        <v>203</v>
      </c>
      <c r="AE50" s="19">
        <f t="shared" si="15"/>
        <v>190</v>
      </c>
      <c r="AF50" s="19">
        <f t="shared" si="15"/>
        <v>157</v>
      </c>
      <c r="AG50" s="19">
        <f t="shared" si="15"/>
        <v>223</v>
      </c>
      <c r="AH50" s="19">
        <f t="shared" si="15"/>
        <v>120</v>
      </c>
      <c r="AI50" s="19">
        <f t="shared" si="15"/>
        <v>181</v>
      </c>
      <c r="AJ50" s="19">
        <f t="shared" si="15"/>
        <v>206</v>
      </c>
      <c r="AK50" s="19">
        <f t="shared" si="15"/>
        <v>243</v>
      </c>
      <c r="AL50" s="19">
        <f t="shared" si="15"/>
        <v>236</v>
      </c>
      <c r="AM50" s="19">
        <f t="shared" si="15"/>
        <v>251</v>
      </c>
      <c r="AN50" s="19">
        <f t="shared" si="15"/>
        <v>202</v>
      </c>
      <c r="AO50" s="19">
        <f t="shared" si="15"/>
        <v>226</v>
      </c>
      <c r="AP50" s="19">
        <f t="shared" si="15"/>
        <v>204</v>
      </c>
      <c r="AQ50" s="19">
        <f t="shared" si="15"/>
        <v>195</v>
      </c>
      <c r="AR50" s="19">
        <f t="shared" si="15"/>
        <v>196</v>
      </c>
      <c r="AS50" s="19">
        <f t="shared" si="15"/>
        <v>210</v>
      </c>
      <c r="AT50" s="19">
        <f t="shared" si="15"/>
        <v>205</v>
      </c>
      <c r="AU50" s="19">
        <f t="shared" si="15"/>
        <v>229</v>
      </c>
      <c r="AV50" s="19">
        <f t="shared" si="15"/>
        <v>202</v>
      </c>
      <c r="AW50" s="19">
        <f t="shared" si="15"/>
        <v>188</v>
      </c>
      <c r="AX50" s="19">
        <f t="shared" si="15"/>
        <v>197</v>
      </c>
      <c r="AY50" s="13">
        <f t="shared" ref="AY50:AY52" si="16">SUM(E50:AX50)</f>
        <v>9065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>
        <v>1.0</v>
      </c>
      <c r="G51" s="19">
        <v>4.0</v>
      </c>
      <c r="H51" s="19">
        <v>5.0</v>
      </c>
      <c r="I51" s="19">
        <v>2.0</v>
      </c>
      <c r="J51" s="19">
        <v>5.0</v>
      </c>
      <c r="K51" s="19">
        <v>2.0</v>
      </c>
      <c r="L51" s="19">
        <v>3.0</v>
      </c>
      <c r="M51" s="19">
        <v>3.0</v>
      </c>
      <c r="N51" s="19">
        <v>4.0</v>
      </c>
      <c r="O51" s="19">
        <v>6.0</v>
      </c>
      <c r="P51" s="19">
        <v>1.0</v>
      </c>
      <c r="Q51" s="19">
        <v>1.0</v>
      </c>
      <c r="R51" s="19">
        <v>1.0</v>
      </c>
      <c r="S51" s="19">
        <v>5.0</v>
      </c>
      <c r="T51" s="19">
        <v>4.0</v>
      </c>
      <c r="U51" s="19">
        <v>5.0</v>
      </c>
      <c r="V51" s="19">
        <v>2.0</v>
      </c>
      <c r="W51" s="19">
        <v>4.0</v>
      </c>
      <c r="X51" s="19">
        <v>2.0</v>
      </c>
      <c r="Y51" s="19">
        <v>3.0</v>
      </c>
      <c r="Z51" s="19">
        <v>2.0</v>
      </c>
      <c r="AA51" s="19">
        <v>3.0</v>
      </c>
      <c r="AB51" s="19">
        <v>4.0</v>
      </c>
      <c r="AC51" s="19">
        <v>1.0</v>
      </c>
      <c r="AD51" s="19">
        <v>0.0</v>
      </c>
      <c r="AE51" s="19">
        <v>1.0</v>
      </c>
      <c r="AF51" s="19">
        <v>4.0</v>
      </c>
      <c r="AG51" s="19">
        <v>0.0</v>
      </c>
      <c r="AH51" s="19">
        <v>2.0</v>
      </c>
      <c r="AI51" s="19">
        <v>1.0</v>
      </c>
      <c r="AJ51" s="19">
        <v>3.0</v>
      </c>
      <c r="AK51" s="19">
        <v>1.0</v>
      </c>
      <c r="AL51" s="19">
        <v>1.0</v>
      </c>
      <c r="AM51" s="19">
        <v>4.0</v>
      </c>
      <c r="AN51" s="19">
        <v>8.0</v>
      </c>
      <c r="AO51" s="19">
        <v>3.0</v>
      </c>
      <c r="AP51" s="19">
        <v>0.0</v>
      </c>
      <c r="AQ51" s="19">
        <v>1.0</v>
      </c>
      <c r="AR51" s="19">
        <v>2.0</v>
      </c>
      <c r="AS51" s="19">
        <v>0.0</v>
      </c>
      <c r="AT51" s="19">
        <v>5.0</v>
      </c>
      <c r="AU51" s="19">
        <v>1.0</v>
      </c>
      <c r="AV51" s="19">
        <v>3.0</v>
      </c>
      <c r="AW51" s="19">
        <v>3.0</v>
      </c>
      <c r="AX51" s="19">
        <v>3.0</v>
      </c>
      <c r="AY51" s="13">
        <f t="shared" si="16"/>
        <v>123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X52" si="17">SUM(E50:E51)</f>
        <v>182</v>
      </c>
      <c r="F52" s="13">
        <f t="shared" si="17"/>
        <v>205</v>
      </c>
      <c r="G52" s="13">
        <f t="shared" si="17"/>
        <v>171</v>
      </c>
      <c r="H52" s="13">
        <f t="shared" si="17"/>
        <v>170</v>
      </c>
      <c r="I52" s="13">
        <f t="shared" si="17"/>
        <v>208</v>
      </c>
      <c r="J52" s="13">
        <f t="shared" si="17"/>
        <v>199</v>
      </c>
      <c r="K52" s="13">
        <f t="shared" si="17"/>
        <v>167</v>
      </c>
      <c r="L52" s="13">
        <f t="shared" si="17"/>
        <v>194</v>
      </c>
      <c r="M52" s="13">
        <f t="shared" si="17"/>
        <v>166</v>
      </c>
      <c r="N52" s="13">
        <f t="shared" si="17"/>
        <v>218</v>
      </c>
      <c r="O52" s="13">
        <f t="shared" si="17"/>
        <v>192</v>
      </c>
      <c r="P52" s="13">
        <f t="shared" si="17"/>
        <v>210</v>
      </c>
      <c r="Q52" s="13">
        <f t="shared" si="17"/>
        <v>180</v>
      </c>
      <c r="R52" s="13">
        <f t="shared" si="17"/>
        <v>153</v>
      </c>
      <c r="S52" s="13">
        <f t="shared" si="17"/>
        <v>180</v>
      </c>
      <c r="T52" s="13">
        <f t="shared" si="17"/>
        <v>201</v>
      </c>
      <c r="U52" s="13">
        <f t="shared" si="17"/>
        <v>224</v>
      </c>
      <c r="V52" s="13">
        <f t="shared" si="17"/>
        <v>220</v>
      </c>
      <c r="W52" s="13">
        <f t="shared" si="17"/>
        <v>207</v>
      </c>
      <c r="X52" s="13">
        <f t="shared" si="17"/>
        <v>231</v>
      </c>
      <c r="Y52" s="13">
        <f t="shared" si="17"/>
        <v>215</v>
      </c>
      <c r="Z52" s="13">
        <f t="shared" si="17"/>
        <v>204</v>
      </c>
      <c r="AA52" s="13">
        <f t="shared" si="17"/>
        <v>193</v>
      </c>
      <c r="AB52" s="13">
        <f t="shared" si="17"/>
        <v>189</v>
      </c>
      <c r="AC52" s="13">
        <f t="shared" si="17"/>
        <v>199</v>
      </c>
      <c r="AD52" s="13">
        <f t="shared" si="17"/>
        <v>203</v>
      </c>
      <c r="AE52" s="13">
        <f t="shared" si="17"/>
        <v>191</v>
      </c>
      <c r="AF52" s="13">
        <f t="shared" si="17"/>
        <v>161</v>
      </c>
      <c r="AG52" s="13">
        <f t="shared" si="17"/>
        <v>223</v>
      </c>
      <c r="AH52" s="13">
        <f t="shared" si="17"/>
        <v>122</v>
      </c>
      <c r="AI52" s="13">
        <f t="shared" si="17"/>
        <v>182</v>
      </c>
      <c r="AJ52" s="13">
        <f t="shared" si="17"/>
        <v>209</v>
      </c>
      <c r="AK52" s="13">
        <f t="shared" si="17"/>
        <v>244</v>
      </c>
      <c r="AL52" s="13">
        <f t="shared" si="17"/>
        <v>237</v>
      </c>
      <c r="AM52" s="13">
        <f t="shared" si="17"/>
        <v>255</v>
      </c>
      <c r="AN52" s="13">
        <f t="shared" si="17"/>
        <v>210</v>
      </c>
      <c r="AO52" s="13">
        <f t="shared" si="17"/>
        <v>229</v>
      </c>
      <c r="AP52" s="13">
        <f t="shared" si="17"/>
        <v>204</v>
      </c>
      <c r="AQ52" s="13">
        <f t="shared" si="17"/>
        <v>196</v>
      </c>
      <c r="AR52" s="13">
        <f t="shared" si="17"/>
        <v>198</v>
      </c>
      <c r="AS52" s="13">
        <f t="shared" si="17"/>
        <v>210</v>
      </c>
      <c r="AT52" s="13">
        <f t="shared" si="17"/>
        <v>210</v>
      </c>
      <c r="AU52" s="13">
        <f t="shared" si="17"/>
        <v>230</v>
      </c>
      <c r="AV52" s="13">
        <f t="shared" si="17"/>
        <v>205</v>
      </c>
      <c r="AW52" s="13">
        <f t="shared" si="17"/>
        <v>191</v>
      </c>
      <c r="AX52" s="13">
        <f t="shared" si="17"/>
        <v>200</v>
      </c>
      <c r="AY52" s="13">
        <f t="shared" si="16"/>
        <v>9188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B12:D12"/>
    <mergeCell ref="W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C28:C30"/>
    <mergeCell ref="A31:D31"/>
    <mergeCell ref="B32:D32"/>
    <mergeCell ref="B33:D33"/>
    <mergeCell ref="B34:D34"/>
    <mergeCell ref="B35:D35"/>
    <mergeCell ref="B36:D36"/>
    <mergeCell ref="C45:D45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W42:AA42"/>
    <mergeCell ref="B43:D43"/>
    <mergeCell ref="A44:D44"/>
  </mergeCells>
  <conditionalFormatting sqref="E34:T34">
    <cfRule type="expression" dxfId="0" priority="1">
      <formula>E34&lt;&gt;#REF!</formula>
    </cfRule>
  </conditionalFormatting>
  <conditionalFormatting sqref="E14:AX15 E45:AX47">
    <cfRule type="containsBlanks" dxfId="1" priority="2">
      <formula>LEN(TRIM(E14))=0</formula>
    </cfRule>
  </conditionalFormatting>
  <conditionalFormatting sqref="E19:AX20">
    <cfRule type="containsBlanks" dxfId="1" priority="3">
      <formula>LEN(TRIM(E19))=0</formula>
    </cfRule>
  </conditionalFormatting>
  <conditionalFormatting sqref="E22:AX23 E25:AX26 E33:AX33 E35:AX35 E39:AX40">
    <cfRule type="containsBlanks" dxfId="1" priority="4">
      <formula>LEN(TRIM(E22))=0</formula>
    </cfRule>
  </conditionalFormatting>
  <conditionalFormatting sqref="E30:AX30">
    <cfRule type="expression" dxfId="0" priority="5">
      <formula>E30&lt;&gt;E46</formula>
    </cfRule>
  </conditionalFormatting>
  <conditionalFormatting sqref="E30:AX30">
    <cfRule type="expression" dxfId="0" priority="6">
      <formula>E30&lt;&gt;E34</formula>
    </cfRule>
  </conditionalFormatting>
  <conditionalFormatting sqref="E34:AX34">
    <cfRule type="expression" dxfId="2" priority="7">
      <formula>E30&lt;&gt;E34</formula>
    </cfRule>
  </conditionalFormatting>
  <conditionalFormatting sqref="E34:AX34">
    <cfRule type="expression" dxfId="3" priority="8">
      <formula>E30=E34</formula>
    </cfRule>
  </conditionalFormatting>
  <conditionalFormatting sqref="E34:AX34">
    <cfRule type="expression" dxfId="0" priority="9">
      <formula>E34&lt;&gt;E30</formula>
    </cfRule>
  </conditionalFormatting>
  <conditionalFormatting sqref="E50:AX51">
    <cfRule type="containsBlanks" dxfId="1" priority="10">
      <formula>LEN(TRIM(E50))=0</formula>
    </cfRule>
  </conditionalFormatting>
  <conditionalFormatting sqref="U34:V34">
    <cfRule type="expression" dxfId="0" priority="11">
      <formula>U34&lt;&gt;U46</formula>
    </cfRule>
  </conditionalFormatting>
  <conditionalFormatting sqref="W34:AL34">
    <cfRule type="expression" dxfId="0" priority="12">
      <formula>W34&lt;&gt;#REF!</formula>
    </cfRule>
  </conditionalFormatting>
  <conditionalFormatting sqref="AM34:AX34">
    <cfRule type="expression" dxfId="0" priority="13">
      <formula>AM34&lt;&gt;AM46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20" width="8.71"/>
    <col customWidth="1" min="21" max="21" width="9.14"/>
    <col customWidth="1" min="22" max="36" width="8.71"/>
    <col customWidth="1" min="37" max="37" width="9.14"/>
    <col customWidth="1" min="38" max="52" width="8.71"/>
    <col customWidth="1" min="53" max="5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U11" s="1"/>
      <c r="V11" s="1"/>
      <c r="W11" s="1"/>
      <c r="X11" s="1"/>
      <c r="Y11" s="1"/>
      <c r="Z11" s="1"/>
      <c r="AA11" s="1"/>
      <c r="AB11" s="1"/>
      <c r="AC11" s="1"/>
      <c r="AD11" s="2"/>
      <c r="AK11" s="1"/>
      <c r="AL11" s="1"/>
      <c r="AM11" s="1"/>
      <c r="AN11" s="1"/>
      <c r="AO11" s="1"/>
      <c r="AP11" s="1"/>
      <c r="AQ11" s="1"/>
      <c r="AR11" s="1"/>
      <c r="AS11" s="1"/>
      <c r="A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29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29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69</v>
      </c>
      <c r="Z13" s="13" t="s">
        <v>70</v>
      </c>
      <c r="AA13" s="13" t="s">
        <v>71</v>
      </c>
      <c r="AB13" s="13" t="s">
        <v>72</v>
      </c>
      <c r="AC13" s="13" t="s">
        <v>73</v>
      </c>
      <c r="AD13" s="13" t="s">
        <v>74</v>
      </c>
      <c r="AE13" s="13" t="s">
        <v>75</v>
      </c>
      <c r="AF13" s="13" t="s">
        <v>76</v>
      </c>
      <c r="AG13" s="13" t="s">
        <v>77</v>
      </c>
      <c r="AH13" s="13" t="s">
        <v>78</v>
      </c>
      <c r="AI13" s="13" t="s">
        <v>79</v>
      </c>
      <c r="AJ13" s="13" t="s">
        <v>80</v>
      </c>
      <c r="AK13" s="13" t="s">
        <v>81</v>
      </c>
      <c r="AL13" s="13" t="s">
        <v>82</v>
      </c>
      <c r="AM13" s="13" t="s">
        <v>83</v>
      </c>
      <c r="AN13" s="13" t="s">
        <v>84</v>
      </c>
      <c r="AO13" s="13" t="s">
        <v>85</v>
      </c>
      <c r="AP13" s="13" t="s">
        <v>86</v>
      </c>
      <c r="AQ13" s="13" t="s">
        <v>87</v>
      </c>
      <c r="AR13" s="13" t="s">
        <v>88</v>
      </c>
      <c r="AS13" s="13" t="s">
        <v>89</v>
      </c>
      <c r="AT13" s="13" t="s">
        <v>90</v>
      </c>
      <c r="AU13" s="13" t="s">
        <v>91</v>
      </c>
      <c r="AV13" s="13" t="s">
        <v>92</v>
      </c>
      <c r="AW13" s="13" t="s">
        <v>93</v>
      </c>
      <c r="AX13" s="13" t="s">
        <v>94</v>
      </c>
      <c r="AY13" s="13" t="s">
        <v>96</v>
      </c>
      <c r="AZ13" s="13" t="s">
        <v>97</v>
      </c>
      <c r="BA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104.0</v>
      </c>
      <c r="H14" s="19">
        <v>123.0</v>
      </c>
      <c r="I14" s="19">
        <v>142.0</v>
      </c>
      <c r="J14" s="19">
        <v>128.0</v>
      </c>
      <c r="K14" s="19">
        <v>118.0</v>
      </c>
      <c r="L14" s="19">
        <v>116.0</v>
      </c>
      <c r="M14" s="19">
        <v>106.0</v>
      </c>
      <c r="N14" s="19">
        <v>127.0</v>
      </c>
      <c r="O14" s="19">
        <v>131.0</v>
      </c>
      <c r="P14" s="19">
        <v>111.0</v>
      </c>
      <c r="Q14" s="19">
        <v>96.0</v>
      </c>
      <c r="R14" s="19">
        <v>146.0</v>
      </c>
      <c r="S14" s="19">
        <v>136.0</v>
      </c>
      <c r="T14" s="19">
        <v>148.0</v>
      </c>
      <c r="U14" s="19">
        <v>99.0</v>
      </c>
      <c r="V14" s="19">
        <v>145.0</v>
      </c>
      <c r="W14" s="19">
        <v>152.0</v>
      </c>
      <c r="X14" s="19">
        <v>139.0</v>
      </c>
      <c r="Y14" s="19">
        <v>143.0</v>
      </c>
      <c r="Z14" s="19">
        <v>77.0</v>
      </c>
      <c r="AA14" s="19">
        <v>149.0</v>
      </c>
      <c r="AB14" s="19">
        <v>131.0</v>
      </c>
      <c r="AC14" s="19">
        <v>128.0</v>
      </c>
      <c r="AD14" s="19">
        <v>129.0</v>
      </c>
      <c r="AE14" s="19">
        <v>117.0</v>
      </c>
      <c r="AF14" s="19">
        <v>141.0</v>
      </c>
      <c r="AG14" s="19">
        <v>136.0</v>
      </c>
      <c r="AH14" s="19">
        <v>146.0</v>
      </c>
      <c r="AI14" s="19">
        <v>70.0</v>
      </c>
      <c r="AJ14" s="19">
        <v>141.0</v>
      </c>
      <c r="AK14" s="19">
        <v>134.0</v>
      </c>
      <c r="AL14" s="19">
        <v>142.0</v>
      </c>
      <c r="AM14" s="19">
        <v>125.0</v>
      </c>
      <c r="AN14" s="19">
        <v>132.0</v>
      </c>
      <c r="AO14" s="19">
        <v>133.0</v>
      </c>
      <c r="AP14" s="19">
        <v>141.0</v>
      </c>
      <c r="AQ14" s="19">
        <v>125.0</v>
      </c>
      <c r="AR14" s="19">
        <v>129.0</v>
      </c>
      <c r="AS14" s="19">
        <v>114.0</v>
      </c>
      <c r="AT14" s="19">
        <v>131.0</v>
      </c>
      <c r="AU14" s="19">
        <v>138.0</v>
      </c>
      <c r="AV14" s="19">
        <v>134.0</v>
      </c>
      <c r="AW14" s="19">
        <v>143.0</v>
      </c>
      <c r="AX14" s="19">
        <v>121.0</v>
      </c>
      <c r="AY14" s="19">
        <v>111.0</v>
      </c>
      <c r="AZ14" s="19">
        <v>88.0</v>
      </c>
      <c r="BA14" s="13">
        <f t="shared" ref="BA14:BA16" si="1">SUM(E14:AZ14)</f>
        <v>6088</v>
      </c>
    </row>
    <row r="15" ht="12.75" customHeight="1">
      <c r="A15" s="18"/>
      <c r="B15" s="26"/>
      <c r="C15" s="27"/>
      <c r="D15" s="19" t="s">
        <v>13</v>
      </c>
      <c r="E15" s="19">
        <v>155.0</v>
      </c>
      <c r="F15" s="19">
        <v>158.0</v>
      </c>
      <c r="G15" s="19">
        <v>104.0</v>
      </c>
      <c r="H15" s="19">
        <v>155.0</v>
      </c>
      <c r="I15" s="19">
        <v>146.0</v>
      </c>
      <c r="J15" s="19">
        <v>149.0</v>
      </c>
      <c r="K15" s="19">
        <v>126.0</v>
      </c>
      <c r="L15" s="19">
        <v>128.0</v>
      </c>
      <c r="M15" s="19">
        <v>119.0</v>
      </c>
      <c r="N15" s="19">
        <v>134.0</v>
      </c>
      <c r="O15" s="19">
        <v>131.0</v>
      </c>
      <c r="P15" s="19">
        <v>123.0</v>
      </c>
      <c r="Q15" s="19">
        <v>114.0</v>
      </c>
      <c r="R15" s="19">
        <v>141.0</v>
      </c>
      <c r="S15" s="19">
        <v>158.0</v>
      </c>
      <c r="T15" s="19">
        <v>149.0</v>
      </c>
      <c r="U15" s="19">
        <v>113.0</v>
      </c>
      <c r="V15" s="19">
        <v>145.0</v>
      </c>
      <c r="W15" s="19">
        <v>147.0</v>
      </c>
      <c r="X15" s="19">
        <v>140.0</v>
      </c>
      <c r="Y15" s="19">
        <v>132.0</v>
      </c>
      <c r="Z15" s="19">
        <v>79.0</v>
      </c>
      <c r="AA15" s="19">
        <v>144.0</v>
      </c>
      <c r="AB15" s="19">
        <v>129.0</v>
      </c>
      <c r="AC15" s="19">
        <v>142.0</v>
      </c>
      <c r="AD15" s="19">
        <v>159.0</v>
      </c>
      <c r="AE15" s="19">
        <v>128.0</v>
      </c>
      <c r="AF15" s="19">
        <v>137.0</v>
      </c>
      <c r="AG15" s="19">
        <v>133.0</v>
      </c>
      <c r="AH15" s="19">
        <v>136.0</v>
      </c>
      <c r="AI15" s="19">
        <v>76.0</v>
      </c>
      <c r="AJ15" s="19">
        <v>143.0</v>
      </c>
      <c r="AK15" s="19">
        <v>135.0</v>
      </c>
      <c r="AL15" s="19">
        <v>145.0</v>
      </c>
      <c r="AM15" s="19">
        <v>117.0</v>
      </c>
      <c r="AN15" s="19">
        <v>141.0</v>
      </c>
      <c r="AO15" s="19">
        <v>140.0</v>
      </c>
      <c r="AP15" s="19">
        <v>152.0</v>
      </c>
      <c r="AQ15" s="19">
        <v>108.0</v>
      </c>
      <c r="AR15" s="19">
        <v>125.0</v>
      </c>
      <c r="AS15" s="19">
        <v>116.0</v>
      </c>
      <c r="AT15" s="19">
        <v>159.0</v>
      </c>
      <c r="AU15" s="19">
        <v>134.0</v>
      </c>
      <c r="AV15" s="19">
        <v>149.0</v>
      </c>
      <c r="AW15" s="19">
        <v>154.0</v>
      </c>
      <c r="AX15" s="19">
        <v>117.0</v>
      </c>
      <c r="AY15" s="19">
        <v>123.0</v>
      </c>
      <c r="AZ15" s="19">
        <v>99.0</v>
      </c>
      <c r="BA15" s="13">
        <f t="shared" si="1"/>
        <v>6387</v>
      </c>
    </row>
    <row r="16" ht="12.75" customHeight="1">
      <c r="A16" s="25"/>
      <c r="B16" s="21"/>
      <c r="C16" s="28"/>
      <c r="D16" s="13" t="s">
        <v>14</v>
      </c>
      <c r="E16" s="13">
        <f t="shared" ref="E16:AZ16" si="2">SUM(E14:E15)</f>
        <v>291</v>
      </c>
      <c r="F16" s="13">
        <f t="shared" si="2"/>
        <v>294</v>
      </c>
      <c r="G16" s="13">
        <f t="shared" si="2"/>
        <v>208</v>
      </c>
      <c r="H16" s="13">
        <f t="shared" si="2"/>
        <v>278</v>
      </c>
      <c r="I16" s="13">
        <f t="shared" si="2"/>
        <v>288</v>
      </c>
      <c r="J16" s="13">
        <f t="shared" si="2"/>
        <v>277</v>
      </c>
      <c r="K16" s="13">
        <f t="shared" si="2"/>
        <v>244</v>
      </c>
      <c r="L16" s="13">
        <f t="shared" si="2"/>
        <v>244</v>
      </c>
      <c r="M16" s="13">
        <f t="shared" si="2"/>
        <v>225</v>
      </c>
      <c r="N16" s="13">
        <f t="shared" si="2"/>
        <v>261</v>
      </c>
      <c r="O16" s="13">
        <f t="shared" si="2"/>
        <v>262</v>
      </c>
      <c r="P16" s="13">
        <f t="shared" si="2"/>
        <v>234</v>
      </c>
      <c r="Q16" s="13">
        <f t="shared" si="2"/>
        <v>210</v>
      </c>
      <c r="R16" s="13">
        <f t="shared" si="2"/>
        <v>287</v>
      </c>
      <c r="S16" s="13">
        <f t="shared" si="2"/>
        <v>294</v>
      </c>
      <c r="T16" s="13">
        <f t="shared" si="2"/>
        <v>297</v>
      </c>
      <c r="U16" s="13">
        <f t="shared" si="2"/>
        <v>212</v>
      </c>
      <c r="V16" s="13">
        <f t="shared" si="2"/>
        <v>290</v>
      </c>
      <c r="W16" s="13">
        <f t="shared" si="2"/>
        <v>299</v>
      </c>
      <c r="X16" s="13">
        <f t="shared" si="2"/>
        <v>279</v>
      </c>
      <c r="Y16" s="13">
        <f t="shared" si="2"/>
        <v>275</v>
      </c>
      <c r="Z16" s="13">
        <f t="shared" si="2"/>
        <v>156</v>
      </c>
      <c r="AA16" s="13">
        <f t="shared" si="2"/>
        <v>293</v>
      </c>
      <c r="AB16" s="13">
        <f t="shared" si="2"/>
        <v>260</v>
      </c>
      <c r="AC16" s="13">
        <f t="shared" si="2"/>
        <v>270</v>
      </c>
      <c r="AD16" s="13">
        <f t="shared" si="2"/>
        <v>288</v>
      </c>
      <c r="AE16" s="13">
        <f t="shared" si="2"/>
        <v>245</v>
      </c>
      <c r="AF16" s="13">
        <f t="shared" si="2"/>
        <v>278</v>
      </c>
      <c r="AG16" s="13">
        <f t="shared" si="2"/>
        <v>269</v>
      </c>
      <c r="AH16" s="13">
        <f t="shared" si="2"/>
        <v>282</v>
      </c>
      <c r="AI16" s="13">
        <f t="shared" si="2"/>
        <v>146</v>
      </c>
      <c r="AJ16" s="13">
        <f t="shared" si="2"/>
        <v>284</v>
      </c>
      <c r="AK16" s="13">
        <f t="shared" si="2"/>
        <v>269</v>
      </c>
      <c r="AL16" s="13">
        <f t="shared" si="2"/>
        <v>287</v>
      </c>
      <c r="AM16" s="13">
        <f t="shared" si="2"/>
        <v>242</v>
      </c>
      <c r="AN16" s="13">
        <f t="shared" si="2"/>
        <v>273</v>
      </c>
      <c r="AO16" s="13">
        <f t="shared" si="2"/>
        <v>273</v>
      </c>
      <c r="AP16" s="13">
        <f t="shared" si="2"/>
        <v>293</v>
      </c>
      <c r="AQ16" s="13">
        <f t="shared" si="2"/>
        <v>233</v>
      </c>
      <c r="AR16" s="13">
        <f t="shared" si="2"/>
        <v>254</v>
      </c>
      <c r="AS16" s="13">
        <f t="shared" si="2"/>
        <v>230</v>
      </c>
      <c r="AT16" s="13">
        <f t="shared" si="2"/>
        <v>290</v>
      </c>
      <c r="AU16" s="13">
        <f t="shared" si="2"/>
        <v>272</v>
      </c>
      <c r="AV16" s="13">
        <f t="shared" si="2"/>
        <v>283</v>
      </c>
      <c r="AW16" s="13">
        <f t="shared" si="2"/>
        <v>297</v>
      </c>
      <c r="AX16" s="13">
        <f t="shared" si="2"/>
        <v>238</v>
      </c>
      <c r="AY16" s="13">
        <f t="shared" si="2"/>
        <v>234</v>
      </c>
      <c r="AZ16" s="13">
        <f t="shared" si="2"/>
        <v>187</v>
      </c>
      <c r="BA16" s="13">
        <f t="shared" si="1"/>
        <v>12475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60"/>
      <c r="P17" s="60"/>
      <c r="Q17" s="60"/>
      <c r="R17" s="60"/>
      <c r="S17" s="60"/>
      <c r="T17" s="60"/>
      <c r="U17" s="19"/>
      <c r="V17" s="19"/>
      <c r="W17" s="19"/>
      <c r="X17" s="19"/>
      <c r="Y17" s="19"/>
      <c r="Z17" s="19"/>
      <c r="AA17" s="19"/>
      <c r="AB17" s="19"/>
      <c r="AC17" s="19"/>
      <c r="AD17" s="60"/>
      <c r="AE17" s="60"/>
      <c r="AF17" s="60"/>
      <c r="AG17" s="60"/>
      <c r="AH17" s="60"/>
      <c r="AI17" s="60"/>
      <c r="AJ17" s="60"/>
      <c r="AK17" s="19"/>
      <c r="AL17" s="19"/>
      <c r="AM17" s="19"/>
      <c r="AN17" s="19"/>
      <c r="AO17" s="19"/>
      <c r="AP17" s="19"/>
      <c r="AQ17" s="19"/>
      <c r="AR17" s="19"/>
      <c r="AS17" s="19"/>
      <c r="AT17" s="60"/>
      <c r="AU17" s="60"/>
      <c r="AV17" s="60"/>
      <c r="AW17" s="60"/>
      <c r="AX17" s="60"/>
      <c r="AY17" s="60"/>
      <c r="AZ17" s="60"/>
      <c r="BA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60"/>
      <c r="P18" s="60"/>
      <c r="Q18" s="60"/>
      <c r="R18" s="60"/>
      <c r="S18" s="60"/>
      <c r="T18" s="60"/>
      <c r="U18" s="19"/>
      <c r="V18" s="19"/>
      <c r="W18" s="19"/>
      <c r="X18" s="19"/>
      <c r="Y18" s="19"/>
      <c r="Z18" s="19"/>
      <c r="AA18" s="19"/>
      <c r="AB18" s="19"/>
      <c r="AC18" s="19"/>
      <c r="AD18" s="60"/>
      <c r="AE18" s="60"/>
      <c r="AF18" s="60"/>
      <c r="AG18" s="60"/>
      <c r="AH18" s="60"/>
      <c r="AI18" s="60"/>
      <c r="AJ18" s="60"/>
      <c r="AK18" s="19"/>
      <c r="AL18" s="19"/>
      <c r="AM18" s="19"/>
      <c r="AN18" s="19"/>
      <c r="AO18" s="19"/>
      <c r="AP18" s="19"/>
      <c r="AQ18" s="19"/>
      <c r="AR18" s="19"/>
      <c r="AS18" s="19"/>
      <c r="AT18" s="60"/>
      <c r="AU18" s="60"/>
      <c r="AV18" s="60"/>
      <c r="AW18" s="60"/>
      <c r="AX18" s="60"/>
      <c r="AY18" s="60"/>
      <c r="AZ18" s="60"/>
      <c r="BA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109.0</v>
      </c>
      <c r="G19" s="19">
        <v>87.0</v>
      </c>
      <c r="H19" s="19">
        <v>90.0</v>
      </c>
      <c r="I19" s="19">
        <v>105.0</v>
      </c>
      <c r="J19" s="19">
        <v>101.0</v>
      </c>
      <c r="K19" s="19">
        <v>86.0</v>
      </c>
      <c r="L19" s="19">
        <v>89.0</v>
      </c>
      <c r="M19" s="19">
        <v>76.0</v>
      </c>
      <c r="N19" s="19">
        <v>85.0</v>
      </c>
      <c r="O19" s="19">
        <v>98.0</v>
      </c>
      <c r="P19" s="19">
        <v>89.0</v>
      </c>
      <c r="Q19" s="19">
        <v>79.0</v>
      </c>
      <c r="R19" s="19">
        <v>115.0</v>
      </c>
      <c r="S19" s="19">
        <v>106.0</v>
      </c>
      <c r="T19" s="19">
        <v>113.0</v>
      </c>
      <c r="U19" s="19">
        <v>73.0</v>
      </c>
      <c r="V19" s="19">
        <v>97.0</v>
      </c>
      <c r="W19" s="19">
        <v>109.0</v>
      </c>
      <c r="X19" s="19">
        <v>106.0</v>
      </c>
      <c r="Y19" s="19">
        <v>103.0</v>
      </c>
      <c r="Z19" s="19">
        <v>58.0</v>
      </c>
      <c r="AA19" s="19">
        <v>110.0</v>
      </c>
      <c r="AB19" s="19">
        <v>98.0</v>
      </c>
      <c r="AC19" s="19">
        <v>92.0</v>
      </c>
      <c r="AD19" s="19">
        <v>88.0</v>
      </c>
      <c r="AE19" s="19">
        <v>97.0</v>
      </c>
      <c r="AF19" s="19">
        <v>109.0</v>
      </c>
      <c r="AG19" s="19">
        <v>103.0</v>
      </c>
      <c r="AH19" s="19">
        <v>100.0</v>
      </c>
      <c r="AI19" s="19">
        <v>43.0</v>
      </c>
      <c r="AJ19" s="19">
        <v>104.0</v>
      </c>
      <c r="AK19" s="19">
        <v>93.0</v>
      </c>
      <c r="AL19" s="19">
        <v>93.0</v>
      </c>
      <c r="AM19" s="19">
        <v>88.0</v>
      </c>
      <c r="AN19" s="19">
        <v>103.0</v>
      </c>
      <c r="AO19" s="19">
        <v>92.0</v>
      </c>
      <c r="AP19" s="19">
        <v>99.0</v>
      </c>
      <c r="AQ19" s="19">
        <v>81.0</v>
      </c>
      <c r="AR19" s="19">
        <v>93.0</v>
      </c>
      <c r="AS19" s="19">
        <v>79.0</v>
      </c>
      <c r="AT19" s="19">
        <v>104.0</v>
      </c>
      <c r="AU19" s="19">
        <v>104.0</v>
      </c>
      <c r="AV19" s="19">
        <v>107.0</v>
      </c>
      <c r="AW19" s="19">
        <v>107.0</v>
      </c>
      <c r="AX19" s="19">
        <v>99.0</v>
      </c>
      <c r="AY19" s="19">
        <v>77.0</v>
      </c>
      <c r="AZ19" s="19">
        <v>67.0</v>
      </c>
      <c r="BA19" s="13">
        <f t="shared" ref="BA19:BA30" si="3">SUM(E19:AZ19)</f>
        <v>4502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122.0</v>
      </c>
      <c r="G20" s="19">
        <v>86.0</v>
      </c>
      <c r="H20" s="19">
        <v>120.0</v>
      </c>
      <c r="I20" s="19">
        <v>115.0</v>
      </c>
      <c r="J20" s="19">
        <v>118.0</v>
      </c>
      <c r="K20" s="19">
        <v>107.0</v>
      </c>
      <c r="L20" s="19">
        <v>98.0</v>
      </c>
      <c r="M20" s="19">
        <v>92.0</v>
      </c>
      <c r="N20" s="19">
        <v>104.0</v>
      </c>
      <c r="O20" s="19">
        <v>100.0</v>
      </c>
      <c r="P20" s="19">
        <v>97.0</v>
      </c>
      <c r="Q20" s="19">
        <v>94.0</v>
      </c>
      <c r="R20" s="19">
        <v>108.0</v>
      </c>
      <c r="S20" s="19">
        <v>113.0</v>
      </c>
      <c r="T20" s="19">
        <v>119.0</v>
      </c>
      <c r="U20" s="19">
        <v>87.0</v>
      </c>
      <c r="V20" s="19">
        <v>108.0</v>
      </c>
      <c r="W20" s="19">
        <v>119.0</v>
      </c>
      <c r="X20" s="19">
        <v>127.0</v>
      </c>
      <c r="Y20" s="19">
        <v>109.0</v>
      </c>
      <c r="Z20" s="19">
        <v>68.0</v>
      </c>
      <c r="AA20" s="19">
        <v>113.0</v>
      </c>
      <c r="AB20" s="19">
        <v>105.0</v>
      </c>
      <c r="AC20" s="19">
        <v>104.0</v>
      </c>
      <c r="AD20" s="19">
        <v>119.0</v>
      </c>
      <c r="AE20" s="19">
        <v>103.0</v>
      </c>
      <c r="AF20" s="19">
        <v>109.0</v>
      </c>
      <c r="AG20" s="19">
        <v>95.0</v>
      </c>
      <c r="AH20" s="19">
        <v>102.0</v>
      </c>
      <c r="AI20" s="19">
        <v>57.0</v>
      </c>
      <c r="AJ20" s="19">
        <v>115.0</v>
      </c>
      <c r="AK20" s="19">
        <v>105.0</v>
      </c>
      <c r="AL20" s="19">
        <v>103.0</v>
      </c>
      <c r="AM20" s="19">
        <v>99.0</v>
      </c>
      <c r="AN20" s="19">
        <v>96.0</v>
      </c>
      <c r="AO20" s="19">
        <v>98.0</v>
      </c>
      <c r="AP20" s="19">
        <v>111.0</v>
      </c>
      <c r="AQ20" s="19">
        <v>82.0</v>
      </c>
      <c r="AR20" s="19">
        <v>97.0</v>
      </c>
      <c r="AS20" s="19">
        <v>92.0</v>
      </c>
      <c r="AT20" s="19">
        <v>139.0</v>
      </c>
      <c r="AU20" s="19">
        <v>96.0</v>
      </c>
      <c r="AV20" s="19">
        <v>123.0</v>
      </c>
      <c r="AW20" s="19">
        <v>105.0</v>
      </c>
      <c r="AX20" s="19">
        <v>93.0</v>
      </c>
      <c r="AY20" s="19">
        <v>96.0</v>
      </c>
      <c r="AZ20" s="19">
        <v>77.0</v>
      </c>
      <c r="BA20" s="13">
        <f t="shared" si="3"/>
        <v>4960</v>
      </c>
    </row>
    <row r="21" ht="12.75" customHeight="1">
      <c r="A21" s="35"/>
      <c r="B21" s="28"/>
      <c r="C21" s="36"/>
      <c r="D21" s="13" t="s">
        <v>14</v>
      </c>
      <c r="E21" s="13">
        <f t="shared" ref="E21:AZ21" si="4">SUM(E19:E20)</f>
        <v>213</v>
      </c>
      <c r="F21" s="13">
        <f t="shared" si="4"/>
        <v>231</v>
      </c>
      <c r="G21" s="13">
        <f t="shared" si="4"/>
        <v>173</v>
      </c>
      <c r="H21" s="13">
        <f t="shared" si="4"/>
        <v>210</v>
      </c>
      <c r="I21" s="13">
        <f t="shared" si="4"/>
        <v>220</v>
      </c>
      <c r="J21" s="13">
        <f t="shared" si="4"/>
        <v>219</v>
      </c>
      <c r="K21" s="13">
        <f t="shared" si="4"/>
        <v>193</v>
      </c>
      <c r="L21" s="13">
        <f t="shared" si="4"/>
        <v>187</v>
      </c>
      <c r="M21" s="13">
        <f t="shared" si="4"/>
        <v>168</v>
      </c>
      <c r="N21" s="13">
        <f t="shared" si="4"/>
        <v>189</v>
      </c>
      <c r="O21" s="13">
        <f t="shared" si="4"/>
        <v>198</v>
      </c>
      <c r="P21" s="13">
        <f t="shared" si="4"/>
        <v>186</v>
      </c>
      <c r="Q21" s="13">
        <f t="shared" si="4"/>
        <v>173</v>
      </c>
      <c r="R21" s="13">
        <f t="shared" si="4"/>
        <v>223</v>
      </c>
      <c r="S21" s="13">
        <f t="shared" si="4"/>
        <v>219</v>
      </c>
      <c r="T21" s="13">
        <f t="shared" si="4"/>
        <v>232</v>
      </c>
      <c r="U21" s="13">
        <f t="shared" si="4"/>
        <v>160</v>
      </c>
      <c r="V21" s="13">
        <f t="shared" si="4"/>
        <v>205</v>
      </c>
      <c r="W21" s="13">
        <f t="shared" si="4"/>
        <v>228</v>
      </c>
      <c r="X21" s="13">
        <f t="shared" si="4"/>
        <v>233</v>
      </c>
      <c r="Y21" s="13">
        <f t="shared" si="4"/>
        <v>212</v>
      </c>
      <c r="Z21" s="13">
        <f t="shared" si="4"/>
        <v>126</v>
      </c>
      <c r="AA21" s="13">
        <f t="shared" si="4"/>
        <v>223</v>
      </c>
      <c r="AB21" s="13">
        <f t="shared" si="4"/>
        <v>203</v>
      </c>
      <c r="AC21" s="13">
        <f t="shared" si="4"/>
        <v>196</v>
      </c>
      <c r="AD21" s="13">
        <f t="shared" si="4"/>
        <v>207</v>
      </c>
      <c r="AE21" s="13">
        <f t="shared" si="4"/>
        <v>200</v>
      </c>
      <c r="AF21" s="13">
        <f t="shared" si="4"/>
        <v>218</v>
      </c>
      <c r="AG21" s="13">
        <f t="shared" si="4"/>
        <v>198</v>
      </c>
      <c r="AH21" s="13">
        <f t="shared" si="4"/>
        <v>202</v>
      </c>
      <c r="AI21" s="13">
        <f t="shared" si="4"/>
        <v>100</v>
      </c>
      <c r="AJ21" s="13">
        <f t="shared" si="4"/>
        <v>219</v>
      </c>
      <c r="AK21" s="13">
        <f t="shared" si="4"/>
        <v>198</v>
      </c>
      <c r="AL21" s="13">
        <f t="shared" si="4"/>
        <v>196</v>
      </c>
      <c r="AM21" s="13">
        <f t="shared" si="4"/>
        <v>187</v>
      </c>
      <c r="AN21" s="13">
        <f t="shared" si="4"/>
        <v>199</v>
      </c>
      <c r="AO21" s="13">
        <f t="shared" si="4"/>
        <v>190</v>
      </c>
      <c r="AP21" s="13">
        <f t="shared" si="4"/>
        <v>210</v>
      </c>
      <c r="AQ21" s="13">
        <f t="shared" si="4"/>
        <v>163</v>
      </c>
      <c r="AR21" s="13">
        <f t="shared" si="4"/>
        <v>190</v>
      </c>
      <c r="AS21" s="13">
        <f t="shared" si="4"/>
        <v>171</v>
      </c>
      <c r="AT21" s="13">
        <f t="shared" si="4"/>
        <v>243</v>
      </c>
      <c r="AU21" s="13">
        <f t="shared" si="4"/>
        <v>200</v>
      </c>
      <c r="AV21" s="13">
        <f t="shared" si="4"/>
        <v>230</v>
      </c>
      <c r="AW21" s="13">
        <f t="shared" si="4"/>
        <v>212</v>
      </c>
      <c r="AX21" s="13">
        <f t="shared" si="4"/>
        <v>192</v>
      </c>
      <c r="AY21" s="13">
        <f t="shared" si="4"/>
        <v>173</v>
      </c>
      <c r="AZ21" s="13">
        <f t="shared" si="4"/>
        <v>144</v>
      </c>
      <c r="BA21" s="13">
        <f t="shared" si="3"/>
        <v>9462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7.0</v>
      </c>
      <c r="G22" s="19">
        <v>5.0</v>
      </c>
      <c r="H22" s="19">
        <v>0.0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1.0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1.0</v>
      </c>
      <c r="AX22" s="19">
        <v>0.0</v>
      </c>
      <c r="AY22" s="19">
        <v>0.0</v>
      </c>
      <c r="AZ22" s="19">
        <v>1.0</v>
      </c>
      <c r="BA22" s="13">
        <f t="shared" si="3"/>
        <v>22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7.0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4.0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0.0</v>
      </c>
      <c r="AW23" s="19">
        <v>1.0</v>
      </c>
      <c r="AX23" s="19">
        <v>0.0</v>
      </c>
      <c r="AY23" s="19">
        <v>0.0</v>
      </c>
      <c r="AZ23" s="19">
        <v>0.0</v>
      </c>
      <c r="BA23" s="13">
        <f t="shared" si="3"/>
        <v>18</v>
      </c>
    </row>
    <row r="24" ht="12.75" customHeight="1">
      <c r="A24" s="35"/>
      <c r="B24" s="28"/>
      <c r="C24" s="36"/>
      <c r="D24" s="13" t="s">
        <v>14</v>
      </c>
      <c r="E24" s="13">
        <f t="shared" ref="E24:AZ24" si="5">SUM(E22:E23)</f>
        <v>0</v>
      </c>
      <c r="F24" s="13">
        <f t="shared" si="5"/>
        <v>14</v>
      </c>
      <c r="G24" s="13">
        <f t="shared" si="5"/>
        <v>7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2</v>
      </c>
      <c r="U24" s="13">
        <f t="shared" si="5"/>
        <v>4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2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2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3"/>
        <v>40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3.0</v>
      </c>
      <c r="M25" s="19">
        <v>1.0</v>
      </c>
      <c r="N25" s="19">
        <v>0.0</v>
      </c>
      <c r="O25" s="19">
        <v>10.0</v>
      </c>
      <c r="P25" s="19">
        <v>0.0</v>
      </c>
      <c r="Q25" s="19">
        <v>2.0</v>
      </c>
      <c r="R25" s="19">
        <v>6.0</v>
      </c>
      <c r="S25" s="19">
        <v>2.0</v>
      </c>
      <c r="T25" s="19">
        <v>1.0</v>
      </c>
      <c r="U25" s="19">
        <v>0.0</v>
      </c>
      <c r="V25" s="19">
        <v>3.0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9">
        <v>4.0</v>
      </c>
      <c r="AD25" s="19">
        <v>4.0</v>
      </c>
      <c r="AE25" s="19">
        <v>0.0</v>
      </c>
      <c r="AF25" s="19">
        <v>1.0</v>
      </c>
      <c r="AG25" s="19">
        <v>4.0</v>
      </c>
      <c r="AH25" s="19">
        <v>0.0</v>
      </c>
      <c r="AI25" s="19">
        <v>0.0</v>
      </c>
      <c r="AJ25" s="19">
        <v>0.0</v>
      </c>
      <c r="AK25" s="19">
        <v>2.0</v>
      </c>
      <c r="AL25" s="19">
        <v>0.0</v>
      </c>
      <c r="AM25" s="19">
        <v>0.0</v>
      </c>
      <c r="AN25" s="19">
        <v>0.0</v>
      </c>
      <c r="AO25" s="19">
        <v>3.0</v>
      </c>
      <c r="AP25" s="19">
        <v>1.0</v>
      </c>
      <c r="AQ25" s="19">
        <v>1.0</v>
      </c>
      <c r="AR25" s="19">
        <v>2.0</v>
      </c>
      <c r="AS25" s="19">
        <v>1.0</v>
      </c>
      <c r="AT25" s="19">
        <v>4.0</v>
      </c>
      <c r="AU25" s="19">
        <v>0.0</v>
      </c>
      <c r="AV25" s="19">
        <v>3.0</v>
      </c>
      <c r="AW25" s="19">
        <v>0.0</v>
      </c>
      <c r="AX25" s="19">
        <v>0.0</v>
      </c>
      <c r="AY25" s="19">
        <v>0.0</v>
      </c>
      <c r="AZ25" s="19">
        <v>0.0</v>
      </c>
      <c r="BA25" s="13">
        <f t="shared" si="3"/>
        <v>67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0.0</v>
      </c>
      <c r="H26" s="19">
        <v>0.0</v>
      </c>
      <c r="I26" s="19">
        <v>2.0</v>
      </c>
      <c r="J26" s="19">
        <v>3.0</v>
      </c>
      <c r="K26" s="19">
        <v>1.0</v>
      </c>
      <c r="L26" s="19">
        <v>2.0</v>
      </c>
      <c r="M26" s="19">
        <v>2.0</v>
      </c>
      <c r="N26" s="19">
        <v>2.0</v>
      </c>
      <c r="O26" s="19">
        <v>6.0</v>
      </c>
      <c r="P26" s="19">
        <v>0.0</v>
      </c>
      <c r="Q26" s="19">
        <v>0.0</v>
      </c>
      <c r="R26" s="19">
        <v>3.0</v>
      </c>
      <c r="S26" s="19">
        <v>1.0</v>
      </c>
      <c r="T26" s="19">
        <v>0.0</v>
      </c>
      <c r="U26" s="19">
        <v>0.0</v>
      </c>
      <c r="V26" s="19">
        <v>1.0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6.0</v>
      </c>
      <c r="AD26" s="19">
        <v>4.0</v>
      </c>
      <c r="AE26" s="19">
        <v>0.0</v>
      </c>
      <c r="AF26" s="19">
        <v>1.0</v>
      </c>
      <c r="AG26" s="19">
        <v>2.0</v>
      </c>
      <c r="AH26" s="19">
        <v>1.0</v>
      </c>
      <c r="AI26" s="19">
        <v>1.0</v>
      </c>
      <c r="AJ26" s="19">
        <v>0.0</v>
      </c>
      <c r="AK26" s="19">
        <v>1.0</v>
      </c>
      <c r="AL26" s="19">
        <v>0.0</v>
      </c>
      <c r="AM26" s="19">
        <v>1.0</v>
      </c>
      <c r="AN26" s="19">
        <v>0.0</v>
      </c>
      <c r="AO26" s="19">
        <v>3.0</v>
      </c>
      <c r="AP26" s="19">
        <v>3.0</v>
      </c>
      <c r="AQ26" s="19">
        <v>2.0</v>
      </c>
      <c r="AR26" s="19">
        <v>2.0</v>
      </c>
      <c r="AS26" s="19">
        <v>6.0</v>
      </c>
      <c r="AT26" s="19">
        <v>3.0</v>
      </c>
      <c r="AU26" s="19">
        <v>0.0</v>
      </c>
      <c r="AV26" s="19">
        <v>4.0</v>
      </c>
      <c r="AW26" s="19">
        <v>2.0</v>
      </c>
      <c r="AX26" s="19">
        <v>2.0</v>
      </c>
      <c r="AY26" s="19">
        <v>3.0</v>
      </c>
      <c r="AZ26" s="19">
        <v>0.0</v>
      </c>
      <c r="BA26" s="13">
        <f t="shared" si="3"/>
        <v>74</v>
      </c>
    </row>
    <row r="27" ht="12.75" customHeight="1">
      <c r="A27" s="35"/>
      <c r="B27" s="28"/>
      <c r="C27" s="36"/>
      <c r="D27" s="13" t="s">
        <v>14</v>
      </c>
      <c r="E27" s="13">
        <f t="shared" ref="E27:AZ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3</v>
      </c>
      <c r="J27" s="13">
        <f t="shared" si="6"/>
        <v>7</v>
      </c>
      <c r="K27" s="13">
        <f t="shared" si="6"/>
        <v>2</v>
      </c>
      <c r="L27" s="13">
        <f t="shared" si="6"/>
        <v>5</v>
      </c>
      <c r="M27" s="13">
        <f t="shared" si="6"/>
        <v>3</v>
      </c>
      <c r="N27" s="13">
        <f t="shared" si="6"/>
        <v>2</v>
      </c>
      <c r="O27" s="13">
        <f t="shared" si="6"/>
        <v>16</v>
      </c>
      <c r="P27" s="13">
        <f t="shared" si="6"/>
        <v>0</v>
      </c>
      <c r="Q27" s="13">
        <f t="shared" si="6"/>
        <v>2</v>
      </c>
      <c r="R27" s="13">
        <f t="shared" si="6"/>
        <v>9</v>
      </c>
      <c r="S27" s="13">
        <f t="shared" si="6"/>
        <v>3</v>
      </c>
      <c r="T27" s="13">
        <f t="shared" si="6"/>
        <v>1</v>
      </c>
      <c r="U27" s="13">
        <f t="shared" si="6"/>
        <v>0</v>
      </c>
      <c r="V27" s="13">
        <f t="shared" si="6"/>
        <v>4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10</v>
      </c>
      <c r="AD27" s="13">
        <f t="shared" si="6"/>
        <v>8</v>
      </c>
      <c r="AE27" s="13">
        <f t="shared" si="6"/>
        <v>0</v>
      </c>
      <c r="AF27" s="13">
        <f t="shared" si="6"/>
        <v>2</v>
      </c>
      <c r="AG27" s="13">
        <f t="shared" si="6"/>
        <v>6</v>
      </c>
      <c r="AH27" s="13">
        <f t="shared" si="6"/>
        <v>1</v>
      </c>
      <c r="AI27" s="13">
        <f t="shared" si="6"/>
        <v>1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1</v>
      </c>
      <c r="AN27" s="13">
        <f t="shared" si="6"/>
        <v>0</v>
      </c>
      <c r="AO27" s="13">
        <f t="shared" si="6"/>
        <v>6</v>
      </c>
      <c r="AP27" s="13">
        <f t="shared" si="6"/>
        <v>4</v>
      </c>
      <c r="AQ27" s="13">
        <f t="shared" si="6"/>
        <v>3</v>
      </c>
      <c r="AR27" s="13">
        <f t="shared" si="6"/>
        <v>4</v>
      </c>
      <c r="AS27" s="13">
        <f t="shared" si="6"/>
        <v>7</v>
      </c>
      <c r="AT27" s="13">
        <f t="shared" si="6"/>
        <v>7</v>
      </c>
      <c r="AU27" s="13">
        <f t="shared" si="6"/>
        <v>0</v>
      </c>
      <c r="AV27" s="13">
        <f t="shared" si="6"/>
        <v>7</v>
      </c>
      <c r="AW27" s="13">
        <f t="shared" si="6"/>
        <v>2</v>
      </c>
      <c r="AX27" s="13">
        <f t="shared" si="6"/>
        <v>2</v>
      </c>
      <c r="AY27" s="13">
        <f t="shared" si="6"/>
        <v>3</v>
      </c>
      <c r="AZ27" s="13">
        <f t="shared" si="6"/>
        <v>0</v>
      </c>
      <c r="BA27" s="13">
        <f t="shared" si="3"/>
        <v>141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Z28" si="7">SUM(E19,E22,E25)</f>
        <v>98</v>
      </c>
      <c r="F28" s="13">
        <f t="shared" si="7"/>
        <v>117</v>
      </c>
      <c r="G28" s="13">
        <f t="shared" si="7"/>
        <v>92</v>
      </c>
      <c r="H28" s="13">
        <f t="shared" si="7"/>
        <v>90</v>
      </c>
      <c r="I28" s="13">
        <f t="shared" si="7"/>
        <v>106</v>
      </c>
      <c r="J28" s="13">
        <f t="shared" si="7"/>
        <v>105</v>
      </c>
      <c r="K28" s="13">
        <f t="shared" si="7"/>
        <v>88</v>
      </c>
      <c r="L28" s="13">
        <f t="shared" si="7"/>
        <v>93</v>
      </c>
      <c r="M28" s="13">
        <f t="shared" si="7"/>
        <v>77</v>
      </c>
      <c r="N28" s="13">
        <f t="shared" si="7"/>
        <v>85</v>
      </c>
      <c r="O28" s="13">
        <f t="shared" si="7"/>
        <v>108</v>
      </c>
      <c r="P28" s="13">
        <f t="shared" si="7"/>
        <v>89</v>
      </c>
      <c r="Q28" s="13">
        <f t="shared" si="7"/>
        <v>81</v>
      </c>
      <c r="R28" s="13">
        <f t="shared" si="7"/>
        <v>122</v>
      </c>
      <c r="S28" s="13">
        <f t="shared" si="7"/>
        <v>108</v>
      </c>
      <c r="T28" s="13">
        <f t="shared" si="7"/>
        <v>115</v>
      </c>
      <c r="U28" s="13">
        <f t="shared" si="7"/>
        <v>73</v>
      </c>
      <c r="V28" s="13">
        <f t="shared" si="7"/>
        <v>100</v>
      </c>
      <c r="W28" s="13">
        <f t="shared" si="7"/>
        <v>111</v>
      </c>
      <c r="X28" s="13">
        <f t="shared" si="7"/>
        <v>106</v>
      </c>
      <c r="Y28" s="13">
        <f t="shared" si="7"/>
        <v>104</v>
      </c>
      <c r="Z28" s="13">
        <f t="shared" si="7"/>
        <v>58</v>
      </c>
      <c r="AA28" s="13">
        <f t="shared" si="7"/>
        <v>111</v>
      </c>
      <c r="AB28" s="13">
        <f t="shared" si="7"/>
        <v>98</v>
      </c>
      <c r="AC28" s="13">
        <f t="shared" si="7"/>
        <v>96</v>
      </c>
      <c r="AD28" s="13">
        <f t="shared" si="7"/>
        <v>92</v>
      </c>
      <c r="AE28" s="13">
        <f t="shared" si="7"/>
        <v>98</v>
      </c>
      <c r="AF28" s="13">
        <f t="shared" si="7"/>
        <v>110</v>
      </c>
      <c r="AG28" s="13">
        <f t="shared" si="7"/>
        <v>107</v>
      </c>
      <c r="AH28" s="13">
        <f t="shared" si="7"/>
        <v>100</v>
      </c>
      <c r="AI28" s="13">
        <f t="shared" si="7"/>
        <v>43</v>
      </c>
      <c r="AJ28" s="13">
        <f t="shared" si="7"/>
        <v>104</v>
      </c>
      <c r="AK28" s="13">
        <f t="shared" si="7"/>
        <v>95</v>
      </c>
      <c r="AL28" s="13">
        <f t="shared" si="7"/>
        <v>93</v>
      </c>
      <c r="AM28" s="13">
        <f t="shared" si="7"/>
        <v>88</v>
      </c>
      <c r="AN28" s="13">
        <f t="shared" si="7"/>
        <v>104</v>
      </c>
      <c r="AO28" s="13">
        <f t="shared" si="7"/>
        <v>95</v>
      </c>
      <c r="AP28" s="13">
        <f t="shared" si="7"/>
        <v>100</v>
      </c>
      <c r="AQ28" s="13">
        <f t="shared" si="7"/>
        <v>82</v>
      </c>
      <c r="AR28" s="13">
        <f t="shared" si="7"/>
        <v>95</v>
      </c>
      <c r="AS28" s="13">
        <f t="shared" si="7"/>
        <v>80</v>
      </c>
      <c r="AT28" s="13">
        <f t="shared" si="7"/>
        <v>108</v>
      </c>
      <c r="AU28" s="13">
        <f t="shared" si="7"/>
        <v>104</v>
      </c>
      <c r="AV28" s="13">
        <f t="shared" si="7"/>
        <v>110</v>
      </c>
      <c r="AW28" s="13">
        <f t="shared" si="7"/>
        <v>108</v>
      </c>
      <c r="AX28" s="13">
        <f t="shared" si="7"/>
        <v>99</v>
      </c>
      <c r="AY28" s="13">
        <f t="shared" si="7"/>
        <v>77</v>
      </c>
      <c r="AZ28" s="13">
        <f t="shared" si="7"/>
        <v>68</v>
      </c>
      <c r="BA28" s="13">
        <f t="shared" si="3"/>
        <v>4591</v>
      </c>
    </row>
    <row r="29" ht="12.75" customHeight="1">
      <c r="A29" s="35"/>
      <c r="B29" s="27"/>
      <c r="C29" s="34"/>
      <c r="D29" s="13" t="s">
        <v>13</v>
      </c>
      <c r="E29" s="13">
        <f t="shared" ref="E29:AZ29" si="8">SUM(E20,E23,E26)</f>
        <v>116</v>
      </c>
      <c r="F29" s="13">
        <f t="shared" si="8"/>
        <v>132</v>
      </c>
      <c r="G29" s="13">
        <f t="shared" si="8"/>
        <v>88</v>
      </c>
      <c r="H29" s="13">
        <f t="shared" si="8"/>
        <v>120</v>
      </c>
      <c r="I29" s="13">
        <f t="shared" si="8"/>
        <v>117</v>
      </c>
      <c r="J29" s="13">
        <f t="shared" si="8"/>
        <v>121</v>
      </c>
      <c r="K29" s="13">
        <f t="shared" si="8"/>
        <v>108</v>
      </c>
      <c r="L29" s="13">
        <f t="shared" si="8"/>
        <v>100</v>
      </c>
      <c r="M29" s="13">
        <f t="shared" si="8"/>
        <v>94</v>
      </c>
      <c r="N29" s="13">
        <f t="shared" si="8"/>
        <v>106</v>
      </c>
      <c r="O29" s="13">
        <f t="shared" si="8"/>
        <v>106</v>
      </c>
      <c r="P29" s="13">
        <f t="shared" si="8"/>
        <v>97</v>
      </c>
      <c r="Q29" s="13">
        <f t="shared" si="8"/>
        <v>94</v>
      </c>
      <c r="R29" s="13">
        <f t="shared" si="8"/>
        <v>111</v>
      </c>
      <c r="S29" s="13">
        <f t="shared" si="8"/>
        <v>114</v>
      </c>
      <c r="T29" s="13">
        <f t="shared" si="8"/>
        <v>120</v>
      </c>
      <c r="U29" s="13">
        <f t="shared" si="8"/>
        <v>91</v>
      </c>
      <c r="V29" s="13">
        <f t="shared" si="8"/>
        <v>109</v>
      </c>
      <c r="W29" s="13">
        <f t="shared" si="8"/>
        <v>119</v>
      </c>
      <c r="X29" s="13">
        <f t="shared" si="8"/>
        <v>127</v>
      </c>
      <c r="Y29" s="13">
        <f t="shared" si="8"/>
        <v>109</v>
      </c>
      <c r="Z29" s="13">
        <f t="shared" si="8"/>
        <v>68</v>
      </c>
      <c r="AA29" s="13">
        <f t="shared" si="8"/>
        <v>113</v>
      </c>
      <c r="AB29" s="13">
        <f t="shared" si="8"/>
        <v>105</v>
      </c>
      <c r="AC29" s="13">
        <f t="shared" si="8"/>
        <v>110</v>
      </c>
      <c r="AD29" s="13">
        <f t="shared" si="8"/>
        <v>123</v>
      </c>
      <c r="AE29" s="13">
        <f t="shared" si="8"/>
        <v>104</v>
      </c>
      <c r="AF29" s="13">
        <f t="shared" si="8"/>
        <v>110</v>
      </c>
      <c r="AG29" s="13">
        <f t="shared" si="8"/>
        <v>97</v>
      </c>
      <c r="AH29" s="13">
        <f t="shared" si="8"/>
        <v>103</v>
      </c>
      <c r="AI29" s="13">
        <f t="shared" si="8"/>
        <v>58</v>
      </c>
      <c r="AJ29" s="13">
        <f t="shared" si="8"/>
        <v>115</v>
      </c>
      <c r="AK29" s="13">
        <f t="shared" si="8"/>
        <v>106</v>
      </c>
      <c r="AL29" s="13">
        <f t="shared" si="8"/>
        <v>103</v>
      </c>
      <c r="AM29" s="13">
        <f t="shared" si="8"/>
        <v>100</v>
      </c>
      <c r="AN29" s="13">
        <f t="shared" si="8"/>
        <v>97</v>
      </c>
      <c r="AO29" s="13">
        <f t="shared" si="8"/>
        <v>101</v>
      </c>
      <c r="AP29" s="13">
        <f t="shared" si="8"/>
        <v>114</v>
      </c>
      <c r="AQ29" s="13">
        <f t="shared" si="8"/>
        <v>84</v>
      </c>
      <c r="AR29" s="13">
        <f t="shared" si="8"/>
        <v>99</v>
      </c>
      <c r="AS29" s="13">
        <f t="shared" si="8"/>
        <v>98</v>
      </c>
      <c r="AT29" s="13">
        <f t="shared" si="8"/>
        <v>143</v>
      </c>
      <c r="AU29" s="13">
        <f t="shared" si="8"/>
        <v>96</v>
      </c>
      <c r="AV29" s="13">
        <f t="shared" si="8"/>
        <v>127</v>
      </c>
      <c r="AW29" s="13">
        <f t="shared" si="8"/>
        <v>108</v>
      </c>
      <c r="AX29" s="13">
        <f t="shared" si="8"/>
        <v>95</v>
      </c>
      <c r="AY29" s="13">
        <f t="shared" si="8"/>
        <v>99</v>
      </c>
      <c r="AZ29" s="13">
        <f t="shared" si="8"/>
        <v>77</v>
      </c>
      <c r="BA29" s="13">
        <f t="shared" si="3"/>
        <v>5052</v>
      </c>
    </row>
    <row r="30" ht="12.75" customHeight="1">
      <c r="A30" s="35"/>
      <c r="B30" s="28"/>
      <c r="C30" s="36"/>
      <c r="D30" s="13" t="s">
        <v>14</v>
      </c>
      <c r="E30" s="13">
        <f t="shared" ref="E30:AZ30" si="9">SUM(E28:E29)</f>
        <v>214</v>
      </c>
      <c r="F30" s="13">
        <f t="shared" si="9"/>
        <v>249</v>
      </c>
      <c r="G30" s="13">
        <f t="shared" si="9"/>
        <v>180</v>
      </c>
      <c r="H30" s="13">
        <f t="shared" si="9"/>
        <v>210</v>
      </c>
      <c r="I30" s="13">
        <f t="shared" si="9"/>
        <v>223</v>
      </c>
      <c r="J30" s="13">
        <f t="shared" si="9"/>
        <v>226</v>
      </c>
      <c r="K30" s="13">
        <f t="shared" si="9"/>
        <v>196</v>
      </c>
      <c r="L30" s="13">
        <f t="shared" si="9"/>
        <v>193</v>
      </c>
      <c r="M30" s="13">
        <f t="shared" si="9"/>
        <v>171</v>
      </c>
      <c r="N30" s="13">
        <f t="shared" si="9"/>
        <v>191</v>
      </c>
      <c r="O30" s="13">
        <f t="shared" si="9"/>
        <v>214</v>
      </c>
      <c r="P30" s="13">
        <f t="shared" si="9"/>
        <v>186</v>
      </c>
      <c r="Q30" s="13">
        <f t="shared" si="9"/>
        <v>175</v>
      </c>
      <c r="R30" s="13">
        <f t="shared" si="9"/>
        <v>233</v>
      </c>
      <c r="S30" s="13">
        <f t="shared" si="9"/>
        <v>222</v>
      </c>
      <c r="T30" s="13">
        <f t="shared" si="9"/>
        <v>235</v>
      </c>
      <c r="U30" s="13">
        <f t="shared" si="9"/>
        <v>164</v>
      </c>
      <c r="V30" s="13">
        <f t="shared" si="9"/>
        <v>209</v>
      </c>
      <c r="W30" s="13">
        <f t="shared" si="9"/>
        <v>230</v>
      </c>
      <c r="X30" s="13">
        <f t="shared" si="9"/>
        <v>233</v>
      </c>
      <c r="Y30" s="13">
        <f t="shared" si="9"/>
        <v>213</v>
      </c>
      <c r="Z30" s="13">
        <f t="shared" si="9"/>
        <v>126</v>
      </c>
      <c r="AA30" s="13">
        <f t="shared" si="9"/>
        <v>224</v>
      </c>
      <c r="AB30" s="13">
        <f t="shared" si="9"/>
        <v>203</v>
      </c>
      <c r="AC30" s="13">
        <f t="shared" si="9"/>
        <v>206</v>
      </c>
      <c r="AD30" s="13">
        <f t="shared" si="9"/>
        <v>215</v>
      </c>
      <c r="AE30" s="13">
        <f t="shared" si="9"/>
        <v>202</v>
      </c>
      <c r="AF30" s="13">
        <f t="shared" si="9"/>
        <v>220</v>
      </c>
      <c r="AG30" s="13">
        <f t="shared" si="9"/>
        <v>204</v>
      </c>
      <c r="AH30" s="13">
        <f t="shared" si="9"/>
        <v>203</v>
      </c>
      <c r="AI30" s="13">
        <f t="shared" si="9"/>
        <v>101</v>
      </c>
      <c r="AJ30" s="13">
        <f t="shared" si="9"/>
        <v>219</v>
      </c>
      <c r="AK30" s="13">
        <f t="shared" si="9"/>
        <v>201</v>
      </c>
      <c r="AL30" s="13">
        <f t="shared" si="9"/>
        <v>196</v>
      </c>
      <c r="AM30" s="13">
        <f t="shared" si="9"/>
        <v>188</v>
      </c>
      <c r="AN30" s="13">
        <f t="shared" si="9"/>
        <v>201</v>
      </c>
      <c r="AO30" s="13">
        <f t="shared" si="9"/>
        <v>196</v>
      </c>
      <c r="AP30" s="13">
        <f t="shared" si="9"/>
        <v>214</v>
      </c>
      <c r="AQ30" s="13">
        <f t="shared" si="9"/>
        <v>166</v>
      </c>
      <c r="AR30" s="13">
        <f t="shared" si="9"/>
        <v>194</v>
      </c>
      <c r="AS30" s="13">
        <f t="shared" si="9"/>
        <v>178</v>
      </c>
      <c r="AT30" s="13">
        <f t="shared" si="9"/>
        <v>251</v>
      </c>
      <c r="AU30" s="13">
        <f t="shared" si="9"/>
        <v>200</v>
      </c>
      <c r="AV30" s="13">
        <f t="shared" si="9"/>
        <v>237</v>
      </c>
      <c r="AW30" s="13">
        <f t="shared" si="9"/>
        <v>216</v>
      </c>
      <c r="AX30" s="13">
        <f t="shared" si="9"/>
        <v>194</v>
      </c>
      <c r="AY30" s="13">
        <f t="shared" si="9"/>
        <v>176</v>
      </c>
      <c r="AZ30" s="13">
        <f t="shared" si="9"/>
        <v>145</v>
      </c>
      <c r="BA30" s="13">
        <f t="shared" si="3"/>
        <v>9643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60"/>
      <c r="P31" s="60"/>
      <c r="Q31" s="60"/>
      <c r="R31" s="60"/>
      <c r="S31" s="60"/>
      <c r="T31" s="60"/>
      <c r="U31" s="19"/>
      <c r="V31" s="19"/>
      <c r="W31" s="19"/>
      <c r="X31" s="19"/>
      <c r="Y31" s="19"/>
      <c r="Z31" s="19"/>
      <c r="AA31" s="19"/>
      <c r="AB31" s="19"/>
      <c r="AC31" s="19"/>
      <c r="AD31" s="60"/>
      <c r="AE31" s="60"/>
      <c r="AF31" s="60"/>
      <c r="AG31" s="60"/>
      <c r="AH31" s="60"/>
      <c r="AI31" s="60"/>
      <c r="AJ31" s="60"/>
      <c r="AK31" s="19"/>
      <c r="AL31" s="19"/>
      <c r="AM31" s="19"/>
      <c r="AN31" s="19"/>
      <c r="AO31" s="19"/>
      <c r="AP31" s="19"/>
      <c r="AQ31" s="19"/>
      <c r="AR31" s="19"/>
      <c r="AS31" s="19"/>
      <c r="AT31" s="60"/>
      <c r="AU31" s="60"/>
      <c r="AV31" s="60"/>
      <c r="AW31" s="60"/>
      <c r="AX31" s="60"/>
      <c r="AY31" s="60"/>
      <c r="AZ31" s="60"/>
      <c r="BA31" s="13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62"/>
      <c r="P32" s="62"/>
      <c r="Q32" s="62"/>
      <c r="R32" s="62"/>
      <c r="S32" s="62"/>
      <c r="T32" s="62"/>
      <c r="U32" s="13"/>
      <c r="V32" s="13"/>
      <c r="W32" s="13"/>
      <c r="X32" s="13"/>
      <c r="Y32" s="13"/>
      <c r="Z32" s="13"/>
      <c r="AA32" s="13"/>
      <c r="AB32" s="13"/>
      <c r="AC32" s="13"/>
      <c r="AD32" s="62"/>
      <c r="AE32" s="62"/>
      <c r="AF32" s="62"/>
      <c r="AG32" s="62"/>
      <c r="AH32" s="62"/>
      <c r="AI32" s="62"/>
      <c r="AJ32" s="62"/>
      <c r="AK32" s="13"/>
      <c r="AL32" s="13"/>
      <c r="AM32" s="13"/>
      <c r="AN32" s="13"/>
      <c r="AO32" s="13"/>
      <c r="AP32" s="13"/>
      <c r="AQ32" s="13"/>
      <c r="AR32" s="13"/>
      <c r="AS32" s="13"/>
      <c r="AT32" s="62"/>
      <c r="AU32" s="62"/>
      <c r="AV32" s="62"/>
      <c r="AW32" s="62"/>
      <c r="AX32" s="62"/>
      <c r="AY32" s="62"/>
      <c r="AZ32" s="62"/>
      <c r="BA32" s="61"/>
    </row>
    <row r="33" ht="12.75" customHeight="1">
      <c r="A33" s="19">
        <v>1.0</v>
      </c>
      <c r="B33" s="20" t="s">
        <v>27</v>
      </c>
      <c r="C33" s="15"/>
      <c r="D33" s="16"/>
      <c r="E33" s="19">
        <v>297.0</v>
      </c>
      <c r="F33" s="19">
        <v>300.0</v>
      </c>
      <c r="G33" s="19">
        <v>213.0</v>
      </c>
      <c r="H33" s="19">
        <v>291.0</v>
      </c>
      <c r="I33" s="19">
        <v>297.0</v>
      </c>
      <c r="J33" s="19">
        <v>286.0</v>
      </c>
      <c r="K33" s="19">
        <v>249.0</v>
      </c>
      <c r="L33" s="19">
        <v>250.0</v>
      </c>
      <c r="M33" s="19">
        <v>230.0</v>
      </c>
      <c r="N33" s="19">
        <v>252.0</v>
      </c>
      <c r="O33" s="19">
        <v>268.0</v>
      </c>
      <c r="P33" s="19">
        <v>237.0</v>
      </c>
      <c r="Q33" s="19">
        <v>218.0</v>
      </c>
      <c r="R33" s="19">
        <v>294.0</v>
      </c>
      <c r="S33" s="19">
        <v>299.0</v>
      </c>
      <c r="T33" s="19">
        <v>303.0</v>
      </c>
      <c r="U33" s="19">
        <v>217.0</v>
      </c>
      <c r="V33" s="19">
        <v>296.0</v>
      </c>
      <c r="W33" s="19">
        <v>305.0</v>
      </c>
      <c r="X33" s="19">
        <v>285.0</v>
      </c>
      <c r="Y33" s="19">
        <v>281.0</v>
      </c>
      <c r="Z33" s="19">
        <v>138.0</v>
      </c>
      <c r="AA33" s="19">
        <v>298.0</v>
      </c>
      <c r="AB33" s="19">
        <v>266.0</v>
      </c>
      <c r="AC33" s="19">
        <v>276.0</v>
      </c>
      <c r="AD33" s="19">
        <v>295.0</v>
      </c>
      <c r="AE33" s="19">
        <v>252.0</v>
      </c>
      <c r="AF33" s="19">
        <v>285.0</v>
      </c>
      <c r="AG33" s="19">
        <v>275.0</v>
      </c>
      <c r="AH33" s="19">
        <v>288.0</v>
      </c>
      <c r="AI33" s="19">
        <v>149.0</v>
      </c>
      <c r="AJ33" s="19">
        <v>293.0</v>
      </c>
      <c r="AK33" s="19">
        <v>276.0</v>
      </c>
      <c r="AL33" s="19">
        <v>294.0</v>
      </c>
      <c r="AM33" s="19">
        <v>247.0</v>
      </c>
      <c r="AN33" s="19">
        <v>279.0</v>
      </c>
      <c r="AO33" s="19">
        <v>285.0</v>
      </c>
      <c r="AP33" s="19">
        <v>299.0</v>
      </c>
      <c r="AQ33" s="19">
        <v>240.0</v>
      </c>
      <c r="AR33" s="19">
        <v>260.0</v>
      </c>
      <c r="AS33" s="19">
        <v>235.0</v>
      </c>
      <c r="AT33" s="19">
        <v>297.0</v>
      </c>
      <c r="AU33" s="19">
        <v>278.0</v>
      </c>
      <c r="AV33" s="19">
        <v>289.0</v>
      </c>
      <c r="AW33" s="19">
        <v>303.0</v>
      </c>
      <c r="AX33" s="19">
        <v>220.0</v>
      </c>
      <c r="AY33" s="19">
        <v>239.0</v>
      </c>
      <c r="AZ33" s="19">
        <v>199.0</v>
      </c>
      <c r="BA33" s="13">
        <f t="shared" ref="BA33:BA36" si="10">SUM(E33:AZ33)</f>
        <v>12723</v>
      </c>
    </row>
    <row r="34" ht="12.75" customHeight="1">
      <c r="A34" s="19">
        <v>2.0</v>
      </c>
      <c r="B34" s="20" t="s">
        <v>28</v>
      </c>
      <c r="C34" s="15"/>
      <c r="D34" s="16"/>
      <c r="E34" s="13">
        <v>214.0</v>
      </c>
      <c r="F34" s="13">
        <v>249.0</v>
      </c>
      <c r="G34" s="13">
        <v>180.0</v>
      </c>
      <c r="H34" s="13">
        <v>210.0</v>
      </c>
      <c r="I34" s="13">
        <v>223.0</v>
      </c>
      <c r="J34" s="13">
        <v>226.0</v>
      </c>
      <c r="K34" s="13">
        <v>196.0</v>
      </c>
      <c r="L34" s="13">
        <v>193.0</v>
      </c>
      <c r="M34" s="13">
        <v>171.0</v>
      </c>
      <c r="N34" s="13">
        <v>191.0</v>
      </c>
      <c r="O34" s="13">
        <v>214.0</v>
      </c>
      <c r="P34" s="13">
        <v>186.0</v>
      </c>
      <c r="Q34" s="13">
        <v>175.0</v>
      </c>
      <c r="R34" s="13">
        <v>233.0</v>
      </c>
      <c r="S34" s="13">
        <v>222.0</v>
      </c>
      <c r="T34" s="13">
        <v>235.0</v>
      </c>
      <c r="U34" s="13">
        <v>164.0</v>
      </c>
      <c r="V34" s="13">
        <v>209.0</v>
      </c>
      <c r="W34" s="13">
        <v>230.0</v>
      </c>
      <c r="X34" s="13">
        <v>233.0</v>
      </c>
      <c r="Y34" s="13">
        <v>213.0</v>
      </c>
      <c r="Z34" s="13">
        <v>126.0</v>
      </c>
      <c r="AA34" s="13">
        <v>224.0</v>
      </c>
      <c r="AB34" s="13">
        <v>203.0</v>
      </c>
      <c r="AC34" s="13">
        <v>206.0</v>
      </c>
      <c r="AD34" s="13">
        <v>215.0</v>
      </c>
      <c r="AE34" s="13">
        <v>202.0</v>
      </c>
      <c r="AF34" s="13">
        <v>220.0</v>
      </c>
      <c r="AG34" s="13">
        <v>204.0</v>
      </c>
      <c r="AH34" s="13">
        <v>203.0</v>
      </c>
      <c r="AI34" s="13">
        <v>101.0</v>
      </c>
      <c r="AJ34" s="13">
        <v>219.0</v>
      </c>
      <c r="AK34" s="13">
        <v>201.0</v>
      </c>
      <c r="AL34" s="13">
        <v>196.0</v>
      </c>
      <c r="AM34" s="13">
        <v>188.0</v>
      </c>
      <c r="AN34" s="13">
        <v>201.0</v>
      </c>
      <c r="AO34" s="13">
        <v>196.0</v>
      </c>
      <c r="AP34" s="13">
        <v>214.0</v>
      </c>
      <c r="AQ34" s="13">
        <v>166.0</v>
      </c>
      <c r="AR34" s="13">
        <v>194.0</v>
      </c>
      <c r="AS34" s="13">
        <v>178.0</v>
      </c>
      <c r="AT34" s="13">
        <v>251.0</v>
      </c>
      <c r="AU34" s="13">
        <v>200.0</v>
      </c>
      <c r="AV34" s="13">
        <v>237.0</v>
      </c>
      <c r="AW34" s="13">
        <v>216.0</v>
      </c>
      <c r="AX34" s="13">
        <v>194.0</v>
      </c>
      <c r="AY34" s="13">
        <v>176.0</v>
      </c>
      <c r="AZ34" s="13">
        <v>145.0</v>
      </c>
      <c r="BA34" s="13">
        <f t="shared" si="10"/>
        <v>9643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11.0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9.0</v>
      </c>
      <c r="AF35" s="19">
        <v>0.0</v>
      </c>
      <c r="AG35" s="19">
        <v>6.0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1.0</v>
      </c>
      <c r="AO35" s="19">
        <v>0.0</v>
      </c>
      <c r="AP35" s="19">
        <v>0.0</v>
      </c>
      <c r="AQ35" s="19">
        <v>1.0</v>
      </c>
      <c r="AR35" s="19">
        <v>0.0</v>
      </c>
      <c r="AS35" s="19">
        <v>0.0</v>
      </c>
      <c r="AT35" s="19">
        <v>0.0</v>
      </c>
      <c r="AU35" s="19">
        <v>0.0</v>
      </c>
      <c r="AV35" s="19">
        <v>2.0</v>
      </c>
      <c r="AW35" s="19">
        <v>0.0</v>
      </c>
      <c r="AX35" s="19">
        <v>0.0</v>
      </c>
      <c r="AY35" s="19">
        <v>0.0</v>
      </c>
      <c r="AZ35" s="19">
        <v>0.0</v>
      </c>
      <c r="BA35" s="13">
        <f t="shared" si="10"/>
        <v>31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Z36" si="11">E33-(E34+E35)</f>
        <v>83</v>
      </c>
      <c r="F36" s="13">
        <f t="shared" si="11"/>
        <v>51</v>
      </c>
      <c r="G36" s="13">
        <f t="shared" si="11"/>
        <v>33</v>
      </c>
      <c r="H36" s="13">
        <f t="shared" si="11"/>
        <v>81</v>
      </c>
      <c r="I36" s="13">
        <f t="shared" si="11"/>
        <v>74</v>
      </c>
      <c r="J36" s="13">
        <f t="shared" si="11"/>
        <v>60</v>
      </c>
      <c r="K36" s="13">
        <f t="shared" si="11"/>
        <v>53</v>
      </c>
      <c r="L36" s="13">
        <f t="shared" si="11"/>
        <v>57</v>
      </c>
      <c r="M36" s="13">
        <f t="shared" si="11"/>
        <v>59</v>
      </c>
      <c r="N36" s="13">
        <f t="shared" si="11"/>
        <v>61</v>
      </c>
      <c r="O36" s="13">
        <f t="shared" si="11"/>
        <v>54</v>
      </c>
      <c r="P36" s="13">
        <f t="shared" si="11"/>
        <v>51</v>
      </c>
      <c r="Q36" s="13">
        <f t="shared" si="11"/>
        <v>43</v>
      </c>
      <c r="R36" s="13">
        <f t="shared" si="11"/>
        <v>50</v>
      </c>
      <c r="S36" s="13">
        <f t="shared" si="11"/>
        <v>77</v>
      </c>
      <c r="T36" s="13">
        <f t="shared" si="11"/>
        <v>68</v>
      </c>
      <c r="U36" s="13">
        <f t="shared" si="11"/>
        <v>53</v>
      </c>
      <c r="V36" s="13">
        <f t="shared" si="11"/>
        <v>86</v>
      </c>
      <c r="W36" s="13">
        <f t="shared" si="11"/>
        <v>75</v>
      </c>
      <c r="X36" s="13">
        <f t="shared" si="11"/>
        <v>52</v>
      </c>
      <c r="Y36" s="13">
        <f t="shared" si="11"/>
        <v>68</v>
      </c>
      <c r="Z36" s="13">
        <f t="shared" si="11"/>
        <v>12</v>
      </c>
      <c r="AA36" s="13">
        <f t="shared" si="11"/>
        <v>74</v>
      </c>
      <c r="AB36" s="13">
        <f t="shared" si="11"/>
        <v>63</v>
      </c>
      <c r="AC36" s="13">
        <f t="shared" si="11"/>
        <v>70</v>
      </c>
      <c r="AD36" s="13">
        <f t="shared" si="11"/>
        <v>80</v>
      </c>
      <c r="AE36" s="13">
        <f t="shared" si="11"/>
        <v>41</v>
      </c>
      <c r="AF36" s="13">
        <f t="shared" si="11"/>
        <v>65</v>
      </c>
      <c r="AG36" s="13">
        <f t="shared" si="11"/>
        <v>65</v>
      </c>
      <c r="AH36" s="13">
        <f t="shared" si="11"/>
        <v>85</v>
      </c>
      <c r="AI36" s="13">
        <f t="shared" si="11"/>
        <v>48</v>
      </c>
      <c r="AJ36" s="13">
        <f t="shared" si="11"/>
        <v>74</v>
      </c>
      <c r="AK36" s="13">
        <f t="shared" si="11"/>
        <v>75</v>
      </c>
      <c r="AL36" s="13">
        <f t="shared" si="11"/>
        <v>98</v>
      </c>
      <c r="AM36" s="13">
        <f t="shared" si="11"/>
        <v>59</v>
      </c>
      <c r="AN36" s="13">
        <f t="shared" si="11"/>
        <v>77</v>
      </c>
      <c r="AO36" s="13">
        <f t="shared" si="11"/>
        <v>89</v>
      </c>
      <c r="AP36" s="13">
        <f t="shared" si="11"/>
        <v>85</v>
      </c>
      <c r="AQ36" s="13">
        <f t="shared" si="11"/>
        <v>73</v>
      </c>
      <c r="AR36" s="13">
        <f t="shared" si="11"/>
        <v>66</v>
      </c>
      <c r="AS36" s="13">
        <f t="shared" si="11"/>
        <v>57</v>
      </c>
      <c r="AT36" s="13">
        <f t="shared" si="11"/>
        <v>46</v>
      </c>
      <c r="AU36" s="13">
        <f t="shared" si="11"/>
        <v>78</v>
      </c>
      <c r="AV36" s="13">
        <f t="shared" si="11"/>
        <v>50</v>
      </c>
      <c r="AW36" s="13">
        <f t="shared" si="11"/>
        <v>87</v>
      </c>
      <c r="AX36" s="13">
        <f t="shared" si="11"/>
        <v>26</v>
      </c>
      <c r="AY36" s="13">
        <f t="shared" si="11"/>
        <v>63</v>
      </c>
      <c r="AZ36" s="13">
        <f t="shared" si="11"/>
        <v>54</v>
      </c>
      <c r="BA36" s="13">
        <f t="shared" si="10"/>
        <v>3049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63"/>
      <c r="P37" s="63"/>
      <c r="Q37" s="63"/>
      <c r="R37" s="63"/>
      <c r="S37" s="63"/>
      <c r="T37" s="63"/>
      <c r="U37" s="24"/>
      <c r="V37" s="15"/>
      <c r="W37" s="15"/>
      <c r="X37" s="15"/>
      <c r="Y37" s="16"/>
      <c r="Z37" s="19"/>
      <c r="AA37" s="19"/>
      <c r="AB37" s="19"/>
      <c r="AC37" s="19"/>
      <c r="AD37" s="60"/>
      <c r="AE37" s="63"/>
      <c r="AF37" s="63"/>
      <c r="AG37" s="63"/>
      <c r="AH37" s="63"/>
      <c r="AI37" s="63"/>
      <c r="AJ37" s="63"/>
      <c r="AK37" s="24"/>
      <c r="AL37" s="15"/>
      <c r="AM37" s="15"/>
      <c r="AN37" s="15"/>
      <c r="AO37" s="16"/>
      <c r="AP37" s="19"/>
      <c r="AQ37" s="19"/>
      <c r="AR37" s="19"/>
      <c r="AS37" s="19"/>
      <c r="AT37" s="60"/>
      <c r="AU37" s="63"/>
      <c r="AV37" s="63"/>
      <c r="AW37" s="63"/>
      <c r="AX37" s="63"/>
      <c r="AY37" s="63"/>
      <c r="AZ37" s="63"/>
      <c r="BA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62"/>
      <c r="P38" s="62"/>
      <c r="Q38" s="62"/>
      <c r="R38" s="62"/>
      <c r="S38" s="62"/>
      <c r="T38" s="62"/>
      <c r="U38" s="13"/>
      <c r="V38" s="13"/>
      <c r="W38" s="13"/>
      <c r="X38" s="13"/>
      <c r="Y38" s="13"/>
      <c r="Z38" s="13"/>
      <c r="AA38" s="13"/>
      <c r="AB38" s="13"/>
      <c r="AC38" s="13"/>
      <c r="AD38" s="62"/>
      <c r="AE38" s="62"/>
      <c r="AF38" s="62"/>
      <c r="AG38" s="62"/>
      <c r="AH38" s="62"/>
      <c r="AI38" s="62"/>
      <c r="AJ38" s="62"/>
      <c r="AK38" s="13"/>
      <c r="AL38" s="13"/>
      <c r="AM38" s="13"/>
      <c r="AN38" s="13"/>
      <c r="AO38" s="13"/>
      <c r="AP38" s="13"/>
      <c r="AQ38" s="13"/>
      <c r="AR38" s="13"/>
      <c r="AS38" s="13"/>
      <c r="AT38" s="62"/>
      <c r="AU38" s="62"/>
      <c r="AV38" s="62"/>
      <c r="AW38" s="62"/>
      <c r="AX38" s="62"/>
      <c r="AY38" s="62"/>
      <c r="AZ38" s="62"/>
      <c r="BA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2.0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1.0</v>
      </c>
      <c r="AQ39" s="19">
        <v>0.0</v>
      </c>
      <c r="AR39" s="19">
        <v>0.0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3">
        <f t="shared" ref="BA39:BA41" si="12">SUM(E39:AZ39)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1.0</v>
      </c>
      <c r="Y40" s="19">
        <v>0.0</v>
      </c>
      <c r="Z40" s="19">
        <v>3.0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2.0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1.0</v>
      </c>
      <c r="BA40" s="13">
        <f t="shared" si="12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A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3</v>
      </c>
      <c r="Y41" s="13">
        <f t="shared" si="13"/>
        <v>0</v>
      </c>
      <c r="Z41" s="13">
        <f t="shared" si="13"/>
        <v>4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2</v>
      </c>
      <c r="AQ41" s="13">
        <f t="shared" si="13"/>
        <v>0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60"/>
      <c r="Q42" s="19"/>
      <c r="R42" s="60"/>
      <c r="S42" s="19"/>
      <c r="T42" s="60"/>
      <c r="U42" s="24"/>
      <c r="V42" s="15"/>
      <c r="W42" s="15"/>
      <c r="X42" s="15"/>
      <c r="Y42" s="16"/>
      <c r="Z42" s="19"/>
      <c r="AA42" s="19"/>
      <c r="AB42" s="19"/>
      <c r="AC42" s="19"/>
      <c r="AD42" s="60"/>
      <c r="AE42" s="19"/>
      <c r="AF42" s="60"/>
      <c r="AG42" s="19"/>
      <c r="AH42" s="60"/>
      <c r="AI42" s="19"/>
      <c r="AJ42" s="60"/>
      <c r="AK42" s="24"/>
      <c r="AL42" s="15"/>
      <c r="AM42" s="15"/>
      <c r="AN42" s="15"/>
      <c r="AO42" s="16"/>
      <c r="AP42" s="19"/>
      <c r="AQ42" s="19"/>
      <c r="AR42" s="19"/>
      <c r="AS42" s="19"/>
      <c r="AT42" s="60"/>
      <c r="AU42" s="19"/>
      <c r="AV42" s="60"/>
      <c r="AW42" s="19"/>
      <c r="AX42" s="60"/>
      <c r="AY42" s="19"/>
      <c r="AZ42" s="60"/>
      <c r="B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62"/>
      <c r="Q43" s="13"/>
      <c r="R43" s="62"/>
      <c r="S43" s="13"/>
      <c r="T43" s="62"/>
      <c r="U43" s="29"/>
      <c r="V43" s="13"/>
      <c r="W43" s="13"/>
      <c r="X43" s="13"/>
      <c r="Y43" s="13"/>
      <c r="Z43" s="13"/>
      <c r="AA43" s="13"/>
      <c r="AB43" s="13"/>
      <c r="AC43" s="13"/>
      <c r="AD43" s="62"/>
      <c r="AE43" s="13"/>
      <c r="AF43" s="62"/>
      <c r="AG43" s="13"/>
      <c r="AH43" s="62"/>
      <c r="AI43" s="13"/>
      <c r="AJ43" s="62"/>
      <c r="AK43" s="29"/>
      <c r="AL43" s="13"/>
      <c r="AM43" s="13"/>
      <c r="AN43" s="13"/>
      <c r="AO43" s="13"/>
      <c r="AP43" s="13"/>
      <c r="AQ43" s="13"/>
      <c r="AR43" s="13"/>
      <c r="AS43" s="13"/>
      <c r="AT43" s="62"/>
      <c r="AU43" s="13"/>
      <c r="AV43" s="62"/>
      <c r="AW43" s="13"/>
      <c r="AX43" s="62"/>
      <c r="AY43" s="13"/>
      <c r="AZ43" s="62"/>
      <c r="B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60"/>
      <c r="Q44" s="19"/>
      <c r="R44" s="60"/>
      <c r="S44" s="19"/>
      <c r="T44" s="60"/>
      <c r="U44" s="24"/>
      <c r="V44" s="19"/>
      <c r="W44" s="19"/>
      <c r="X44" s="19"/>
      <c r="Y44" s="19"/>
      <c r="Z44" s="19"/>
      <c r="AA44" s="19"/>
      <c r="AB44" s="19"/>
      <c r="AC44" s="19"/>
      <c r="AD44" s="60"/>
      <c r="AE44" s="19"/>
      <c r="AF44" s="60"/>
      <c r="AG44" s="19"/>
      <c r="AH44" s="60"/>
      <c r="AI44" s="19"/>
      <c r="AJ44" s="60"/>
      <c r="AK44" s="24"/>
      <c r="AL44" s="19"/>
      <c r="AM44" s="19"/>
      <c r="AN44" s="19"/>
      <c r="AO44" s="19"/>
      <c r="AP44" s="19"/>
      <c r="AQ44" s="19"/>
      <c r="AR44" s="19"/>
      <c r="AS44" s="19"/>
      <c r="AT44" s="60"/>
      <c r="AU44" s="19"/>
      <c r="AV44" s="60"/>
      <c r="AW44" s="19"/>
      <c r="AX44" s="60"/>
      <c r="AY44" s="19"/>
      <c r="AZ44" s="60"/>
      <c r="BA44" s="13"/>
    </row>
    <row r="45" ht="12.75" customHeight="1">
      <c r="A45" s="64"/>
      <c r="B45" s="47">
        <v>1.0</v>
      </c>
      <c r="C45" s="48" t="s">
        <v>37</v>
      </c>
      <c r="D45" s="16"/>
      <c r="E45" s="19">
        <v>23.0</v>
      </c>
      <c r="F45" s="19">
        <v>32.0</v>
      </c>
      <c r="G45" s="19">
        <v>15.0</v>
      </c>
      <c r="H45" s="19">
        <v>12.0</v>
      </c>
      <c r="I45" s="19">
        <v>22.0</v>
      </c>
      <c r="J45" s="19">
        <v>29.0</v>
      </c>
      <c r="K45" s="19">
        <v>24.0</v>
      </c>
      <c r="L45" s="19">
        <v>59.0</v>
      </c>
      <c r="M45" s="19">
        <v>19.0</v>
      </c>
      <c r="N45" s="19">
        <v>22.0</v>
      </c>
      <c r="O45" s="19">
        <v>12.0</v>
      </c>
      <c r="P45" s="19">
        <v>15.0</v>
      </c>
      <c r="Q45" s="19">
        <v>11.0</v>
      </c>
      <c r="R45" s="19">
        <v>20.0</v>
      </c>
      <c r="S45" s="19">
        <v>26.0</v>
      </c>
      <c r="T45" s="19">
        <v>27.0</v>
      </c>
      <c r="U45" s="19">
        <v>20.0</v>
      </c>
      <c r="V45" s="19">
        <v>17.0</v>
      </c>
      <c r="W45" s="19">
        <v>7.0</v>
      </c>
      <c r="X45" s="19">
        <v>0.0</v>
      </c>
      <c r="Y45" s="19">
        <v>26.0</v>
      </c>
      <c r="Z45" s="19">
        <v>18.0</v>
      </c>
      <c r="AA45" s="19">
        <v>31.0</v>
      </c>
      <c r="AB45" s="19">
        <v>19.0</v>
      </c>
      <c r="AC45" s="19">
        <v>20.0</v>
      </c>
      <c r="AD45" s="19">
        <v>13.0</v>
      </c>
      <c r="AE45" s="19">
        <v>14.0</v>
      </c>
      <c r="AF45" s="19">
        <v>18.0</v>
      </c>
      <c r="AG45" s="19">
        <v>15.0</v>
      </c>
      <c r="AH45" s="19">
        <v>22.0</v>
      </c>
      <c r="AI45" s="19">
        <v>6.0</v>
      </c>
      <c r="AJ45" s="19">
        <v>12.0</v>
      </c>
      <c r="AK45" s="19">
        <v>9.0</v>
      </c>
      <c r="AL45" s="19">
        <v>11.0</v>
      </c>
      <c r="AM45" s="19">
        <v>21.0</v>
      </c>
      <c r="AN45" s="19">
        <v>7.0</v>
      </c>
      <c r="AO45" s="19">
        <v>11.0</v>
      </c>
      <c r="AP45" s="19">
        <v>23.0</v>
      </c>
      <c r="AQ45" s="19">
        <v>8.0</v>
      </c>
      <c r="AR45" s="19">
        <v>18.0</v>
      </c>
      <c r="AS45" s="19">
        <v>11.0</v>
      </c>
      <c r="AT45" s="19">
        <v>21.0</v>
      </c>
      <c r="AU45" s="19">
        <v>3.0</v>
      </c>
      <c r="AV45" s="19">
        <v>4.0</v>
      </c>
      <c r="AW45" s="19">
        <v>14.0</v>
      </c>
      <c r="AX45" s="19">
        <v>22.0</v>
      </c>
      <c r="AY45" s="19">
        <v>5.0</v>
      </c>
      <c r="AZ45" s="19">
        <v>8.0</v>
      </c>
      <c r="BA45" s="13">
        <f t="shared" ref="BA45:BA47" si="14">SUM(E45:AZ45)</f>
        <v>822</v>
      </c>
    </row>
    <row r="46" ht="12.75" customHeight="1">
      <c r="A46" s="18"/>
      <c r="B46" s="47">
        <v>2.0</v>
      </c>
      <c r="C46" s="48" t="s">
        <v>38</v>
      </c>
      <c r="D46" s="16"/>
      <c r="E46" s="19">
        <v>139.0</v>
      </c>
      <c r="F46" s="19">
        <v>148.0</v>
      </c>
      <c r="G46" s="19">
        <v>124.0</v>
      </c>
      <c r="H46" s="19">
        <v>108.0</v>
      </c>
      <c r="I46" s="19">
        <v>145.0</v>
      </c>
      <c r="J46" s="19">
        <v>121.0</v>
      </c>
      <c r="K46" s="19">
        <v>132.0</v>
      </c>
      <c r="L46" s="19">
        <v>95.0</v>
      </c>
      <c r="M46" s="19">
        <v>98.0</v>
      </c>
      <c r="N46" s="19">
        <v>139.0</v>
      </c>
      <c r="O46" s="19">
        <v>147.0</v>
      </c>
      <c r="P46" s="19">
        <v>132.0</v>
      </c>
      <c r="Q46" s="19">
        <v>125.0</v>
      </c>
      <c r="R46" s="19">
        <v>149.0</v>
      </c>
      <c r="S46" s="19">
        <v>123.0</v>
      </c>
      <c r="T46" s="19">
        <v>137.0</v>
      </c>
      <c r="U46" s="19">
        <v>91.0</v>
      </c>
      <c r="V46" s="19">
        <v>130.0</v>
      </c>
      <c r="W46" s="19">
        <v>209.0</v>
      </c>
      <c r="X46" s="19">
        <v>230.0</v>
      </c>
      <c r="Y46" s="19">
        <v>145.0</v>
      </c>
      <c r="Z46" s="19">
        <v>85.0</v>
      </c>
      <c r="AA46" s="19">
        <v>150.0</v>
      </c>
      <c r="AB46" s="19">
        <v>139.0</v>
      </c>
      <c r="AC46" s="19">
        <v>117.0</v>
      </c>
      <c r="AD46" s="19">
        <v>149.0</v>
      </c>
      <c r="AE46" s="19">
        <v>143.0</v>
      </c>
      <c r="AF46" s="19">
        <v>165.0</v>
      </c>
      <c r="AG46" s="19">
        <v>151.0</v>
      </c>
      <c r="AH46" s="19">
        <v>124.0</v>
      </c>
      <c r="AI46" s="19">
        <v>70.0</v>
      </c>
      <c r="AJ46" s="19">
        <v>107.0</v>
      </c>
      <c r="AK46" s="19">
        <v>119.0</v>
      </c>
      <c r="AL46" s="19">
        <v>137.0</v>
      </c>
      <c r="AM46" s="19">
        <v>123.0</v>
      </c>
      <c r="AN46" s="19">
        <v>137.0</v>
      </c>
      <c r="AO46" s="19">
        <v>132.0</v>
      </c>
      <c r="AP46" s="19">
        <v>125.0</v>
      </c>
      <c r="AQ46" s="19">
        <v>105.0</v>
      </c>
      <c r="AR46" s="19">
        <v>107.0</v>
      </c>
      <c r="AS46" s="19">
        <v>116.0</v>
      </c>
      <c r="AT46" s="19">
        <v>171.0</v>
      </c>
      <c r="AU46" s="19">
        <v>140.0</v>
      </c>
      <c r="AV46" s="19">
        <v>152.0</v>
      </c>
      <c r="AW46" s="19">
        <v>144.0</v>
      </c>
      <c r="AX46" s="19">
        <v>128.0</v>
      </c>
      <c r="AY46" s="19">
        <v>129.0</v>
      </c>
      <c r="AZ46" s="19">
        <v>93.0</v>
      </c>
      <c r="BA46" s="13">
        <f t="shared" si="14"/>
        <v>6325</v>
      </c>
    </row>
    <row r="47" ht="12.75" customHeight="1">
      <c r="A47" s="45"/>
      <c r="B47" s="47">
        <v>3.0</v>
      </c>
      <c r="C47" s="48" t="s">
        <v>39</v>
      </c>
      <c r="D47" s="16"/>
      <c r="E47" s="19">
        <v>50.0</v>
      </c>
      <c r="F47" s="19">
        <v>67.0</v>
      </c>
      <c r="G47" s="19">
        <v>40.0</v>
      </c>
      <c r="H47" s="19">
        <v>81.0</v>
      </c>
      <c r="I47" s="19">
        <v>51.0</v>
      </c>
      <c r="J47" s="19">
        <v>73.0</v>
      </c>
      <c r="K47" s="19">
        <v>40.0</v>
      </c>
      <c r="L47" s="19">
        <v>39.0</v>
      </c>
      <c r="M47" s="19">
        <v>50.0</v>
      </c>
      <c r="N47" s="19">
        <v>30.0</v>
      </c>
      <c r="O47" s="19">
        <v>52.0</v>
      </c>
      <c r="P47" s="19">
        <v>39.0</v>
      </c>
      <c r="Q47" s="19">
        <v>39.0</v>
      </c>
      <c r="R47" s="19">
        <v>59.0</v>
      </c>
      <c r="S47" s="19">
        <v>71.0</v>
      </c>
      <c r="T47" s="19">
        <v>66.0</v>
      </c>
      <c r="U47" s="19">
        <v>52.0</v>
      </c>
      <c r="V47" s="19">
        <v>62.0</v>
      </c>
      <c r="W47" s="19">
        <v>11.0</v>
      </c>
      <c r="X47" s="19">
        <v>3.0</v>
      </c>
      <c r="Y47" s="19">
        <v>42.0</v>
      </c>
      <c r="Z47" s="19">
        <v>21.0</v>
      </c>
      <c r="AA47" s="19">
        <v>43.0</v>
      </c>
      <c r="AB47" s="19">
        <v>42.0</v>
      </c>
      <c r="AC47" s="19">
        <v>69.0</v>
      </c>
      <c r="AD47" s="19">
        <v>51.0</v>
      </c>
      <c r="AE47" s="19">
        <v>37.0</v>
      </c>
      <c r="AF47" s="19">
        <v>34.0</v>
      </c>
      <c r="AG47" s="19">
        <v>35.0</v>
      </c>
      <c r="AH47" s="19">
        <v>56.0</v>
      </c>
      <c r="AI47" s="19">
        <v>23.0</v>
      </c>
      <c r="AJ47" s="19">
        <v>97.0</v>
      </c>
      <c r="AK47" s="19">
        <v>69.0</v>
      </c>
      <c r="AL47" s="19">
        <v>47.0</v>
      </c>
      <c r="AM47" s="19">
        <v>42.0</v>
      </c>
      <c r="AN47" s="19">
        <v>53.0</v>
      </c>
      <c r="AO47" s="19">
        <v>49.0</v>
      </c>
      <c r="AP47" s="19">
        <v>63.0</v>
      </c>
      <c r="AQ47" s="19">
        <v>50.0</v>
      </c>
      <c r="AR47" s="19">
        <v>67.0</v>
      </c>
      <c r="AS47" s="19">
        <v>47.0</v>
      </c>
      <c r="AT47" s="19">
        <v>57.0</v>
      </c>
      <c r="AU47" s="19">
        <v>53.0</v>
      </c>
      <c r="AV47" s="19">
        <v>77.0</v>
      </c>
      <c r="AW47" s="19">
        <v>52.0</v>
      </c>
      <c r="AX47" s="19">
        <v>40.0</v>
      </c>
      <c r="AY47" s="19">
        <v>39.0</v>
      </c>
      <c r="AZ47" s="19">
        <v>38.0</v>
      </c>
      <c r="BA47" s="13">
        <f t="shared" si="14"/>
        <v>2368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2"/>
      <c r="O49" s="62"/>
      <c r="P49" s="62"/>
      <c r="Q49" s="62"/>
      <c r="R49" s="62"/>
      <c r="S49" s="62"/>
      <c r="T49" s="62"/>
      <c r="U49" s="13"/>
      <c r="V49" s="13"/>
      <c r="W49" s="13"/>
      <c r="X49" s="13"/>
      <c r="Y49" s="13"/>
      <c r="Z49" s="13"/>
      <c r="AA49" s="13"/>
      <c r="AB49" s="13"/>
      <c r="AC49" s="13"/>
      <c r="AD49" s="62"/>
      <c r="AE49" s="62"/>
      <c r="AF49" s="62"/>
      <c r="AG49" s="62"/>
      <c r="AH49" s="62"/>
      <c r="AI49" s="62"/>
      <c r="AJ49" s="62"/>
      <c r="AK49" s="13"/>
      <c r="AL49" s="13"/>
      <c r="AM49" s="13"/>
      <c r="AN49" s="13"/>
      <c r="AO49" s="13"/>
      <c r="AP49" s="13"/>
      <c r="AQ49" s="13"/>
      <c r="AR49" s="13"/>
      <c r="AS49" s="13"/>
      <c r="AT49" s="62"/>
      <c r="AU49" s="62"/>
      <c r="AV49" s="62"/>
      <c r="AW49" s="62"/>
      <c r="AX49" s="62"/>
      <c r="AY49" s="62"/>
      <c r="AZ49" s="62"/>
      <c r="BA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Z50" si="15">SUM(E45:E47)</f>
        <v>212</v>
      </c>
      <c r="F50" s="19">
        <f t="shared" si="15"/>
        <v>247</v>
      </c>
      <c r="G50" s="19">
        <f t="shared" si="15"/>
        <v>179</v>
      </c>
      <c r="H50" s="19">
        <f t="shared" si="15"/>
        <v>201</v>
      </c>
      <c r="I50" s="19">
        <f t="shared" si="15"/>
        <v>218</v>
      </c>
      <c r="J50" s="19">
        <f t="shared" si="15"/>
        <v>223</v>
      </c>
      <c r="K50" s="19">
        <f t="shared" si="15"/>
        <v>196</v>
      </c>
      <c r="L50" s="19">
        <f t="shared" si="15"/>
        <v>193</v>
      </c>
      <c r="M50" s="19">
        <f t="shared" si="15"/>
        <v>167</v>
      </c>
      <c r="N50" s="19">
        <f t="shared" si="15"/>
        <v>191</v>
      </c>
      <c r="O50" s="19">
        <f t="shared" si="15"/>
        <v>211</v>
      </c>
      <c r="P50" s="19">
        <f t="shared" si="15"/>
        <v>186</v>
      </c>
      <c r="Q50" s="19">
        <f t="shared" si="15"/>
        <v>175</v>
      </c>
      <c r="R50" s="19">
        <f t="shared" si="15"/>
        <v>228</v>
      </c>
      <c r="S50" s="19">
        <f t="shared" si="15"/>
        <v>220</v>
      </c>
      <c r="T50" s="19">
        <f t="shared" si="15"/>
        <v>230</v>
      </c>
      <c r="U50" s="19">
        <f t="shared" si="15"/>
        <v>163</v>
      </c>
      <c r="V50" s="19">
        <f t="shared" si="15"/>
        <v>209</v>
      </c>
      <c r="W50" s="19">
        <f t="shared" si="15"/>
        <v>227</v>
      </c>
      <c r="X50" s="19">
        <f t="shared" si="15"/>
        <v>233</v>
      </c>
      <c r="Y50" s="19">
        <f t="shared" si="15"/>
        <v>213</v>
      </c>
      <c r="Z50" s="19">
        <f t="shared" si="15"/>
        <v>124</v>
      </c>
      <c r="AA50" s="19">
        <f t="shared" si="15"/>
        <v>224</v>
      </c>
      <c r="AB50" s="19">
        <f t="shared" si="15"/>
        <v>200</v>
      </c>
      <c r="AC50" s="19">
        <f t="shared" si="15"/>
        <v>206</v>
      </c>
      <c r="AD50" s="19">
        <f t="shared" si="15"/>
        <v>213</v>
      </c>
      <c r="AE50" s="19">
        <f t="shared" si="15"/>
        <v>194</v>
      </c>
      <c r="AF50" s="19">
        <f t="shared" si="15"/>
        <v>217</v>
      </c>
      <c r="AG50" s="19">
        <f t="shared" si="15"/>
        <v>201</v>
      </c>
      <c r="AH50" s="19">
        <f t="shared" si="15"/>
        <v>202</v>
      </c>
      <c r="AI50" s="19">
        <f t="shared" si="15"/>
        <v>99</v>
      </c>
      <c r="AJ50" s="19">
        <f t="shared" si="15"/>
        <v>216</v>
      </c>
      <c r="AK50" s="19">
        <f t="shared" si="15"/>
        <v>197</v>
      </c>
      <c r="AL50" s="19">
        <f t="shared" si="15"/>
        <v>195</v>
      </c>
      <c r="AM50" s="19">
        <f t="shared" si="15"/>
        <v>186</v>
      </c>
      <c r="AN50" s="19">
        <f t="shared" si="15"/>
        <v>197</v>
      </c>
      <c r="AO50" s="19">
        <f t="shared" si="15"/>
        <v>192</v>
      </c>
      <c r="AP50" s="19">
        <f t="shared" si="15"/>
        <v>211</v>
      </c>
      <c r="AQ50" s="19">
        <f t="shared" si="15"/>
        <v>163</v>
      </c>
      <c r="AR50" s="19">
        <f t="shared" si="15"/>
        <v>192</v>
      </c>
      <c r="AS50" s="19">
        <f t="shared" si="15"/>
        <v>174</v>
      </c>
      <c r="AT50" s="19">
        <f t="shared" si="15"/>
        <v>249</v>
      </c>
      <c r="AU50" s="19">
        <f t="shared" si="15"/>
        <v>196</v>
      </c>
      <c r="AV50" s="19">
        <f t="shared" si="15"/>
        <v>233</v>
      </c>
      <c r="AW50" s="19">
        <f t="shared" si="15"/>
        <v>210</v>
      </c>
      <c r="AX50" s="19">
        <f t="shared" si="15"/>
        <v>190</v>
      </c>
      <c r="AY50" s="19">
        <f t="shared" si="15"/>
        <v>173</v>
      </c>
      <c r="AZ50" s="19">
        <f t="shared" si="15"/>
        <v>139</v>
      </c>
      <c r="BA50" s="13">
        <f t="shared" ref="BA50:BA52" si="16">SUM(E50:AZ50)</f>
        <v>9515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2.0</v>
      </c>
      <c r="G51" s="19">
        <v>1.0</v>
      </c>
      <c r="H51" s="19">
        <v>9.0</v>
      </c>
      <c r="I51" s="19">
        <v>5.0</v>
      </c>
      <c r="J51" s="19">
        <v>3.0</v>
      </c>
      <c r="K51" s="19">
        <v>0.0</v>
      </c>
      <c r="L51" s="19">
        <v>0.0</v>
      </c>
      <c r="M51" s="19">
        <v>4.0</v>
      </c>
      <c r="N51" s="19">
        <v>0.0</v>
      </c>
      <c r="O51" s="19">
        <v>3.0</v>
      </c>
      <c r="P51" s="19">
        <v>0.0</v>
      </c>
      <c r="Q51" s="19">
        <v>0.0</v>
      </c>
      <c r="R51" s="19">
        <v>5.0</v>
      </c>
      <c r="S51" s="19">
        <v>2.0</v>
      </c>
      <c r="T51" s="19">
        <v>5.0</v>
      </c>
      <c r="U51" s="19">
        <v>1.0</v>
      </c>
      <c r="V51" s="19">
        <v>0.0</v>
      </c>
      <c r="W51" s="19">
        <v>3.0</v>
      </c>
      <c r="X51" s="19">
        <v>0.0</v>
      </c>
      <c r="Y51" s="19">
        <v>0.0</v>
      </c>
      <c r="Z51" s="19">
        <v>2.0</v>
      </c>
      <c r="AA51" s="19">
        <v>0.0</v>
      </c>
      <c r="AB51" s="19">
        <v>3.0</v>
      </c>
      <c r="AC51" s="19">
        <v>0.0</v>
      </c>
      <c r="AD51" s="19">
        <v>2.0</v>
      </c>
      <c r="AE51" s="19">
        <v>8.0</v>
      </c>
      <c r="AF51" s="19">
        <v>3.0</v>
      </c>
      <c r="AG51" s="19">
        <v>3.0</v>
      </c>
      <c r="AH51" s="19">
        <v>1.0</v>
      </c>
      <c r="AI51" s="19">
        <v>2.0</v>
      </c>
      <c r="AJ51" s="19">
        <v>3.0</v>
      </c>
      <c r="AK51" s="19">
        <v>4.0</v>
      </c>
      <c r="AL51" s="19">
        <v>1.0</v>
      </c>
      <c r="AM51" s="19">
        <v>2.0</v>
      </c>
      <c r="AN51" s="19">
        <v>4.0</v>
      </c>
      <c r="AO51" s="19">
        <v>4.0</v>
      </c>
      <c r="AP51" s="19">
        <v>3.0</v>
      </c>
      <c r="AQ51" s="19">
        <v>3.0</v>
      </c>
      <c r="AR51" s="19">
        <v>2.0</v>
      </c>
      <c r="AS51" s="19">
        <v>4.0</v>
      </c>
      <c r="AT51" s="19">
        <v>2.0</v>
      </c>
      <c r="AU51" s="19">
        <v>4.0</v>
      </c>
      <c r="AV51" s="19">
        <v>4.0</v>
      </c>
      <c r="AW51" s="19">
        <v>6.0</v>
      </c>
      <c r="AX51" s="19">
        <v>4.0</v>
      </c>
      <c r="AY51" s="19">
        <v>3.0</v>
      </c>
      <c r="AZ51" s="19">
        <v>6.0</v>
      </c>
      <c r="BA51" s="13">
        <f t="shared" si="16"/>
        <v>128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Z52" si="17">SUM(E50:E51)</f>
        <v>214</v>
      </c>
      <c r="F52" s="13">
        <f t="shared" si="17"/>
        <v>249</v>
      </c>
      <c r="G52" s="13">
        <f t="shared" si="17"/>
        <v>180</v>
      </c>
      <c r="H52" s="13">
        <f t="shared" si="17"/>
        <v>210</v>
      </c>
      <c r="I52" s="13">
        <f t="shared" si="17"/>
        <v>223</v>
      </c>
      <c r="J52" s="13">
        <f t="shared" si="17"/>
        <v>226</v>
      </c>
      <c r="K52" s="13">
        <f t="shared" si="17"/>
        <v>196</v>
      </c>
      <c r="L52" s="13">
        <f t="shared" si="17"/>
        <v>193</v>
      </c>
      <c r="M52" s="13">
        <f t="shared" si="17"/>
        <v>171</v>
      </c>
      <c r="N52" s="13">
        <f t="shared" si="17"/>
        <v>191</v>
      </c>
      <c r="O52" s="13">
        <f t="shared" si="17"/>
        <v>214</v>
      </c>
      <c r="P52" s="13">
        <f t="shared" si="17"/>
        <v>186</v>
      </c>
      <c r="Q52" s="13">
        <f t="shared" si="17"/>
        <v>175</v>
      </c>
      <c r="R52" s="13">
        <f t="shared" si="17"/>
        <v>233</v>
      </c>
      <c r="S52" s="13">
        <f t="shared" si="17"/>
        <v>222</v>
      </c>
      <c r="T52" s="13">
        <f t="shared" si="17"/>
        <v>235</v>
      </c>
      <c r="U52" s="13">
        <f t="shared" si="17"/>
        <v>164</v>
      </c>
      <c r="V52" s="13">
        <f t="shared" si="17"/>
        <v>209</v>
      </c>
      <c r="W52" s="13">
        <f t="shared" si="17"/>
        <v>230</v>
      </c>
      <c r="X52" s="13">
        <f t="shared" si="17"/>
        <v>233</v>
      </c>
      <c r="Y52" s="13">
        <f t="shared" si="17"/>
        <v>213</v>
      </c>
      <c r="Z52" s="13">
        <f t="shared" si="17"/>
        <v>126</v>
      </c>
      <c r="AA52" s="13">
        <f t="shared" si="17"/>
        <v>224</v>
      </c>
      <c r="AB52" s="13">
        <f t="shared" si="17"/>
        <v>203</v>
      </c>
      <c r="AC52" s="13">
        <f t="shared" si="17"/>
        <v>206</v>
      </c>
      <c r="AD52" s="13">
        <f t="shared" si="17"/>
        <v>215</v>
      </c>
      <c r="AE52" s="13">
        <f t="shared" si="17"/>
        <v>202</v>
      </c>
      <c r="AF52" s="13">
        <f t="shared" si="17"/>
        <v>220</v>
      </c>
      <c r="AG52" s="13">
        <f t="shared" si="17"/>
        <v>204</v>
      </c>
      <c r="AH52" s="13">
        <f t="shared" si="17"/>
        <v>203</v>
      </c>
      <c r="AI52" s="13">
        <f t="shared" si="17"/>
        <v>101</v>
      </c>
      <c r="AJ52" s="13">
        <f t="shared" si="17"/>
        <v>219</v>
      </c>
      <c r="AK52" s="13">
        <f t="shared" si="17"/>
        <v>201</v>
      </c>
      <c r="AL52" s="13">
        <f t="shared" si="17"/>
        <v>196</v>
      </c>
      <c r="AM52" s="13">
        <f t="shared" si="17"/>
        <v>188</v>
      </c>
      <c r="AN52" s="13">
        <f t="shared" si="17"/>
        <v>201</v>
      </c>
      <c r="AO52" s="13">
        <f t="shared" si="17"/>
        <v>196</v>
      </c>
      <c r="AP52" s="13">
        <f t="shared" si="17"/>
        <v>214</v>
      </c>
      <c r="AQ52" s="13">
        <f t="shared" si="17"/>
        <v>166</v>
      </c>
      <c r="AR52" s="13">
        <f t="shared" si="17"/>
        <v>194</v>
      </c>
      <c r="AS52" s="13">
        <f t="shared" si="17"/>
        <v>178</v>
      </c>
      <c r="AT52" s="13">
        <f t="shared" si="17"/>
        <v>251</v>
      </c>
      <c r="AU52" s="13">
        <f t="shared" si="17"/>
        <v>200</v>
      </c>
      <c r="AV52" s="13">
        <f t="shared" si="17"/>
        <v>237</v>
      </c>
      <c r="AW52" s="13">
        <f t="shared" si="17"/>
        <v>216</v>
      </c>
      <c r="AX52" s="13">
        <f t="shared" si="17"/>
        <v>194</v>
      </c>
      <c r="AY52" s="13">
        <f t="shared" si="17"/>
        <v>176</v>
      </c>
      <c r="AZ52" s="13">
        <f t="shared" si="17"/>
        <v>145</v>
      </c>
      <c r="BA52" s="13">
        <f t="shared" si="16"/>
        <v>9643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2">
    <mergeCell ref="B12:D12"/>
    <mergeCell ref="E12:T12"/>
    <mergeCell ref="U12:AJ12"/>
    <mergeCell ref="AK12:AZ12"/>
    <mergeCell ref="BA12:BA13"/>
    <mergeCell ref="B13:D13"/>
    <mergeCell ref="B14:C16"/>
    <mergeCell ref="B25:B27"/>
    <mergeCell ref="B28:B30"/>
    <mergeCell ref="C28:C30"/>
    <mergeCell ref="A17:D17"/>
    <mergeCell ref="B18:D18"/>
    <mergeCell ref="B19:B21"/>
    <mergeCell ref="C19:C21"/>
    <mergeCell ref="B22:B24"/>
    <mergeCell ref="C22:C24"/>
    <mergeCell ref="C25:C27"/>
    <mergeCell ref="E37:I37"/>
    <mergeCell ref="U37:Y37"/>
    <mergeCell ref="AK37:AO37"/>
    <mergeCell ref="B38:D38"/>
    <mergeCell ref="B39:C41"/>
    <mergeCell ref="A42:D42"/>
    <mergeCell ref="E42:I42"/>
    <mergeCell ref="U42:Y42"/>
    <mergeCell ref="AK42:AO42"/>
    <mergeCell ref="A31:D31"/>
    <mergeCell ref="B32:D32"/>
    <mergeCell ref="B33:D33"/>
    <mergeCell ref="B34:D34"/>
    <mergeCell ref="B35:D35"/>
    <mergeCell ref="B36:D36"/>
    <mergeCell ref="A37:D37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Z15 E45:AZ47">
    <cfRule type="containsBlanks" dxfId="1" priority="1">
      <formula>LEN(TRIM(E14))=0</formula>
    </cfRule>
  </conditionalFormatting>
  <conditionalFormatting sqref="E19:AZ20">
    <cfRule type="containsBlanks" dxfId="1" priority="2">
      <formula>LEN(TRIM(E19))=0</formula>
    </cfRule>
  </conditionalFormatting>
  <conditionalFormatting sqref="E22:AZ23 E25:AZ26 E33:AZ33 E35:AZ35 E39:AZ40">
    <cfRule type="containsBlanks" dxfId="1" priority="3">
      <formula>LEN(TRIM(E22))=0</formula>
    </cfRule>
  </conditionalFormatting>
  <conditionalFormatting sqref="E30:AZ30">
    <cfRule type="expression" dxfId="0" priority="4">
      <formula>E30&lt;&gt;E46</formula>
    </cfRule>
  </conditionalFormatting>
  <conditionalFormatting sqref="E30:AZ30">
    <cfRule type="expression" dxfId="0" priority="5">
      <formula>E30&lt;&gt;E34</formula>
    </cfRule>
  </conditionalFormatting>
  <conditionalFormatting sqref="E34:AZ34">
    <cfRule type="expression" dxfId="2" priority="6">
      <formula>E30&lt;&gt;E34</formula>
    </cfRule>
  </conditionalFormatting>
  <conditionalFormatting sqref="E34:AZ34">
    <cfRule type="expression" dxfId="3" priority="7">
      <formula>E30=E34</formula>
    </cfRule>
  </conditionalFormatting>
  <conditionalFormatting sqref="E34:AZ34">
    <cfRule type="expression" dxfId="0" priority="8">
      <formula>E34&lt;&gt;E30</formula>
    </cfRule>
  </conditionalFormatting>
  <conditionalFormatting sqref="E34:AZ34">
    <cfRule type="expression" dxfId="0" priority="9">
      <formula>E34&lt;&gt;#REF!</formula>
    </cfRule>
  </conditionalFormatting>
  <conditionalFormatting sqref="E50:AZ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69</v>
      </c>
      <c r="Z13" s="13" t="s">
        <v>70</v>
      </c>
      <c r="AA13" s="13" t="s">
        <v>71</v>
      </c>
      <c r="AB13" s="13" t="s">
        <v>72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98.0</v>
      </c>
      <c r="G14" s="19">
        <v>127.0</v>
      </c>
      <c r="H14" s="19">
        <v>127.0</v>
      </c>
      <c r="I14" s="19">
        <v>137.0</v>
      </c>
      <c r="J14" s="19">
        <v>137.0</v>
      </c>
      <c r="K14" s="19">
        <v>140.0</v>
      </c>
      <c r="L14" s="19">
        <v>117.0</v>
      </c>
      <c r="M14" s="19">
        <v>133.0</v>
      </c>
      <c r="N14" s="19">
        <v>133.0</v>
      </c>
      <c r="O14" s="19">
        <v>147.0</v>
      </c>
      <c r="P14" s="19">
        <v>136.0</v>
      </c>
      <c r="Q14" s="19">
        <v>160.0</v>
      </c>
      <c r="R14" s="19">
        <v>148.0</v>
      </c>
      <c r="S14" s="19">
        <v>110.0</v>
      </c>
      <c r="T14" s="19">
        <v>124.0</v>
      </c>
      <c r="U14" s="19">
        <v>129.0</v>
      </c>
      <c r="V14" s="19">
        <v>135.0</v>
      </c>
      <c r="W14" s="19">
        <v>108.0</v>
      </c>
      <c r="X14" s="19">
        <v>121.0</v>
      </c>
      <c r="Y14" s="19">
        <v>151.0</v>
      </c>
      <c r="Z14" s="19">
        <v>141.0</v>
      </c>
      <c r="AA14" s="19">
        <v>103.0</v>
      </c>
      <c r="AB14" s="19">
        <v>135.0</v>
      </c>
      <c r="AC14" s="13">
        <f t="shared" ref="AC14:AC16" si="1">SUM(E14:AB14)</f>
        <v>3122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104.0</v>
      </c>
      <c r="G15" s="19">
        <v>131.0</v>
      </c>
      <c r="H15" s="19">
        <v>144.0</v>
      </c>
      <c r="I15" s="19">
        <v>136.0</v>
      </c>
      <c r="J15" s="19">
        <v>142.0</v>
      </c>
      <c r="K15" s="19">
        <v>142.0</v>
      </c>
      <c r="L15" s="19">
        <v>103.0</v>
      </c>
      <c r="M15" s="19">
        <v>123.0</v>
      </c>
      <c r="N15" s="19">
        <v>152.0</v>
      </c>
      <c r="O15" s="19">
        <v>141.0</v>
      </c>
      <c r="P15" s="19">
        <v>155.0</v>
      </c>
      <c r="Q15" s="19">
        <v>134.0</v>
      </c>
      <c r="R15" s="19">
        <v>138.0</v>
      </c>
      <c r="S15" s="19">
        <v>113.0</v>
      </c>
      <c r="T15" s="19">
        <v>152.0</v>
      </c>
      <c r="U15" s="19">
        <v>136.0</v>
      </c>
      <c r="V15" s="19">
        <v>134.0</v>
      </c>
      <c r="W15" s="19">
        <v>121.0</v>
      </c>
      <c r="X15" s="19">
        <v>115.0</v>
      </c>
      <c r="Y15" s="19">
        <v>133.0</v>
      </c>
      <c r="Z15" s="19">
        <v>141.0</v>
      </c>
      <c r="AA15" s="19">
        <v>140.0</v>
      </c>
      <c r="AB15" s="19">
        <v>135.0</v>
      </c>
      <c r="AC15" s="13">
        <f t="shared" si="1"/>
        <v>3196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256</v>
      </c>
      <c r="F16" s="13">
        <f t="shared" si="2"/>
        <v>202</v>
      </c>
      <c r="G16" s="13">
        <f t="shared" si="2"/>
        <v>258</v>
      </c>
      <c r="H16" s="13">
        <f t="shared" si="2"/>
        <v>271</v>
      </c>
      <c r="I16" s="13">
        <f t="shared" si="2"/>
        <v>273</v>
      </c>
      <c r="J16" s="13">
        <f t="shared" si="2"/>
        <v>279</v>
      </c>
      <c r="K16" s="13">
        <f t="shared" si="2"/>
        <v>282</v>
      </c>
      <c r="L16" s="13">
        <f t="shared" si="2"/>
        <v>220</v>
      </c>
      <c r="M16" s="13">
        <f t="shared" si="2"/>
        <v>256</v>
      </c>
      <c r="N16" s="13">
        <f t="shared" si="2"/>
        <v>285</v>
      </c>
      <c r="O16" s="13">
        <f t="shared" si="2"/>
        <v>288</v>
      </c>
      <c r="P16" s="13">
        <f t="shared" si="2"/>
        <v>291</v>
      </c>
      <c r="Q16" s="13">
        <f t="shared" si="2"/>
        <v>294</v>
      </c>
      <c r="R16" s="13">
        <f t="shared" si="2"/>
        <v>286</v>
      </c>
      <c r="S16" s="13">
        <f t="shared" si="2"/>
        <v>223</v>
      </c>
      <c r="T16" s="13">
        <f t="shared" si="2"/>
        <v>276</v>
      </c>
      <c r="U16" s="13">
        <f t="shared" si="2"/>
        <v>265</v>
      </c>
      <c r="V16" s="13">
        <f t="shared" si="2"/>
        <v>269</v>
      </c>
      <c r="W16" s="13">
        <f t="shared" si="2"/>
        <v>229</v>
      </c>
      <c r="X16" s="13">
        <f t="shared" si="2"/>
        <v>236</v>
      </c>
      <c r="Y16" s="13">
        <f t="shared" si="2"/>
        <v>284</v>
      </c>
      <c r="Z16" s="13">
        <f t="shared" si="2"/>
        <v>282</v>
      </c>
      <c r="AA16" s="13">
        <f t="shared" si="2"/>
        <v>243</v>
      </c>
      <c r="AB16" s="13">
        <f t="shared" si="2"/>
        <v>270</v>
      </c>
      <c r="AC16" s="13">
        <f t="shared" si="1"/>
        <v>6318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76.0</v>
      </c>
      <c r="G19" s="19">
        <v>107.0</v>
      </c>
      <c r="H19" s="19">
        <v>80.0</v>
      </c>
      <c r="I19" s="19">
        <v>101.0</v>
      </c>
      <c r="J19" s="19">
        <v>100.0</v>
      </c>
      <c r="K19" s="19">
        <v>102.0</v>
      </c>
      <c r="L19" s="19">
        <v>86.0</v>
      </c>
      <c r="M19" s="19">
        <v>111.0</v>
      </c>
      <c r="N19" s="19">
        <v>104.0</v>
      </c>
      <c r="O19" s="19">
        <v>112.0</v>
      </c>
      <c r="P19" s="19">
        <v>99.0</v>
      </c>
      <c r="Q19" s="19">
        <v>122.0</v>
      </c>
      <c r="R19" s="19">
        <v>121.0</v>
      </c>
      <c r="S19" s="19">
        <v>85.0</v>
      </c>
      <c r="T19" s="19">
        <v>88.0</v>
      </c>
      <c r="U19" s="19">
        <v>85.0</v>
      </c>
      <c r="V19" s="19">
        <v>104.0</v>
      </c>
      <c r="W19" s="19">
        <v>83.0</v>
      </c>
      <c r="X19" s="19">
        <v>87.0</v>
      </c>
      <c r="Y19" s="19">
        <v>122.0</v>
      </c>
      <c r="Z19" s="19">
        <v>110.0</v>
      </c>
      <c r="AA19" s="19">
        <v>82.0</v>
      </c>
      <c r="AB19" s="19">
        <v>110.0</v>
      </c>
      <c r="AC19" s="13">
        <f t="shared" ref="AC19:AC30" si="3">SUM(E19:AB19)</f>
        <v>2360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87.0</v>
      </c>
      <c r="G20" s="19">
        <v>110.0</v>
      </c>
      <c r="H20" s="19">
        <v>111.0</v>
      </c>
      <c r="I20" s="19">
        <v>109.0</v>
      </c>
      <c r="J20" s="19">
        <v>115.0</v>
      </c>
      <c r="K20" s="19">
        <v>111.0</v>
      </c>
      <c r="L20" s="19">
        <v>83.0</v>
      </c>
      <c r="M20" s="19">
        <v>98.0</v>
      </c>
      <c r="N20" s="19">
        <v>132.0</v>
      </c>
      <c r="O20" s="19">
        <v>116.0</v>
      </c>
      <c r="P20" s="19">
        <v>137.0</v>
      </c>
      <c r="Q20" s="19">
        <v>109.0</v>
      </c>
      <c r="R20" s="19">
        <v>103.0</v>
      </c>
      <c r="S20" s="19">
        <v>96.0</v>
      </c>
      <c r="T20" s="19">
        <v>112.0</v>
      </c>
      <c r="U20" s="19">
        <v>104.0</v>
      </c>
      <c r="V20" s="19">
        <v>106.0</v>
      </c>
      <c r="W20" s="19">
        <v>102.0</v>
      </c>
      <c r="X20" s="19">
        <v>92.0</v>
      </c>
      <c r="Y20" s="19">
        <v>107.0</v>
      </c>
      <c r="Z20" s="19">
        <v>115.0</v>
      </c>
      <c r="AA20" s="19">
        <v>119.0</v>
      </c>
      <c r="AB20" s="19">
        <v>122.0</v>
      </c>
      <c r="AC20" s="13">
        <f t="shared" si="3"/>
        <v>2592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179</v>
      </c>
      <c r="F21" s="13">
        <f t="shared" si="4"/>
        <v>163</v>
      </c>
      <c r="G21" s="13">
        <f t="shared" si="4"/>
        <v>217</v>
      </c>
      <c r="H21" s="13">
        <f t="shared" si="4"/>
        <v>191</v>
      </c>
      <c r="I21" s="13">
        <f t="shared" si="4"/>
        <v>210</v>
      </c>
      <c r="J21" s="13">
        <f t="shared" si="4"/>
        <v>215</v>
      </c>
      <c r="K21" s="13">
        <f t="shared" si="4"/>
        <v>213</v>
      </c>
      <c r="L21" s="13">
        <f t="shared" si="4"/>
        <v>169</v>
      </c>
      <c r="M21" s="13">
        <f t="shared" si="4"/>
        <v>209</v>
      </c>
      <c r="N21" s="13">
        <f t="shared" si="4"/>
        <v>236</v>
      </c>
      <c r="O21" s="13">
        <f t="shared" si="4"/>
        <v>228</v>
      </c>
      <c r="P21" s="13">
        <f t="shared" si="4"/>
        <v>236</v>
      </c>
      <c r="Q21" s="13">
        <f t="shared" si="4"/>
        <v>231</v>
      </c>
      <c r="R21" s="13">
        <f t="shared" si="4"/>
        <v>224</v>
      </c>
      <c r="S21" s="13">
        <f t="shared" si="4"/>
        <v>181</v>
      </c>
      <c r="T21" s="13">
        <f t="shared" si="4"/>
        <v>200</v>
      </c>
      <c r="U21" s="13">
        <f t="shared" si="4"/>
        <v>189</v>
      </c>
      <c r="V21" s="13">
        <f t="shared" si="4"/>
        <v>210</v>
      </c>
      <c r="W21" s="13">
        <f t="shared" si="4"/>
        <v>185</v>
      </c>
      <c r="X21" s="13">
        <f t="shared" si="4"/>
        <v>179</v>
      </c>
      <c r="Y21" s="13">
        <f t="shared" si="4"/>
        <v>229</v>
      </c>
      <c r="Z21" s="13">
        <f t="shared" si="4"/>
        <v>225</v>
      </c>
      <c r="AA21" s="13">
        <f t="shared" si="4"/>
        <v>201</v>
      </c>
      <c r="AB21" s="13">
        <f t="shared" si="4"/>
        <v>232</v>
      </c>
      <c r="AC21" s="13">
        <f t="shared" si="3"/>
        <v>4952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3.0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1.0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2.0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1.0</v>
      </c>
      <c r="S26" s="19">
        <v>3.0</v>
      </c>
      <c r="T26" s="19">
        <v>1.0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2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4</v>
      </c>
      <c r="L27" s="13">
        <f t="shared" si="6"/>
        <v>2</v>
      </c>
      <c r="M27" s="13">
        <f t="shared" si="6"/>
        <v>1</v>
      </c>
      <c r="N27" s="13">
        <f t="shared" si="6"/>
        <v>2</v>
      </c>
      <c r="O27" s="13">
        <f t="shared" si="6"/>
        <v>1</v>
      </c>
      <c r="P27" s="13">
        <f t="shared" si="6"/>
        <v>0</v>
      </c>
      <c r="Q27" s="13">
        <f t="shared" si="6"/>
        <v>4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84</v>
      </c>
      <c r="F28" s="13">
        <f t="shared" si="7"/>
        <v>76</v>
      </c>
      <c r="G28" s="13">
        <f t="shared" si="7"/>
        <v>111</v>
      </c>
      <c r="H28" s="13">
        <f t="shared" si="7"/>
        <v>81</v>
      </c>
      <c r="I28" s="13">
        <f t="shared" si="7"/>
        <v>101</v>
      </c>
      <c r="J28" s="13">
        <f t="shared" si="7"/>
        <v>100</v>
      </c>
      <c r="K28" s="13">
        <f t="shared" si="7"/>
        <v>104</v>
      </c>
      <c r="L28" s="13">
        <f t="shared" si="7"/>
        <v>89</v>
      </c>
      <c r="M28" s="13">
        <f t="shared" si="7"/>
        <v>111</v>
      </c>
      <c r="N28" s="13">
        <f t="shared" si="7"/>
        <v>104</v>
      </c>
      <c r="O28" s="13">
        <f t="shared" si="7"/>
        <v>112</v>
      </c>
      <c r="P28" s="13">
        <f t="shared" si="7"/>
        <v>99</v>
      </c>
      <c r="Q28" s="13">
        <f t="shared" si="7"/>
        <v>124</v>
      </c>
      <c r="R28" s="13">
        <f t="shared" si="7"/>
        <v>121</v>
      </c>
      <c r="S28" s="13">
        <f t="shared" si="7"/>
        <v>85</v>
      </c>
      <c r="T28" s="13">
        <f t="shared" si="7"/>
        <v>89</v>
      </c>
      <c r="U28" s="13">
        <f t="shared" si="7"/>
        <v>86</v>
      </c>
      <c r="V28" s="13">
        <f t="shared" si="7"/>
        <v>104</v>
      </c>
      <c r="W28" s="13">
        <f t="shared" si="7"/>
        <v>84</v>
      </c>
      <c r="X28" s="13">
        <f t="shared" si="7"/>
        <v>87</v>
      </c>
      <c r="Y28" s="13">
        <f t="shared" si="7"/>
        <v>122</v>
      </c>
      <c r="Z28" s="13">
        <f t="shared" si="7"/>
        <v>110</v>
      </c>
      <c r="AA28" s="13">
        <f t="shared" si="7"/>
        <v>82</v>
      </c>
      <c r="AB28" s="13">
        <f t="shared" si="7"/>
        <v>110</v>
      </c>
      <c r="AC28" s="13">
        <f t="shared" si="3"/>
        <v>2376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97</v>
      </c>
      <c r="F29" s="13">
        <f t="shared" si="8"/>
        <v>87</v>
      </c>
      <c r="G29" s="13">
        <f t="shared" si="8"/>
        <v>113</v>
      </c>
      <c r="H29" s="13">
        <f t="shared" si="8"/>
        <v>112</v>
      </c>
      <c r="I29" s="13">
        <f t="shared" si="8"/>
        <v>109</v>
      </c>
      <c r="J29" s="13">
        <f t="shared" si="8"/>
        <v>118</v>
      </c>
      <c r="K29" s="13">
        <f t="shared" si="8"/>
        <v>113</v>
      </c>
      <c r="L29" s="13">
        <f t="shared" si="8"/>
        <v>84</v>
      </c>
      <c r="M29" s="13">
        <f t="shared" si="8"/>
        <v>99</v>
      </c>
      <c r="N29" s="13">
        <f t="shared" si="8"/>
        <v>134</v>
      </c>
      <c r="O29" s="13">
        <f t="shared" si="8"/>
        <v>117</v>
      </c>
      <c r="P29" s="13">
        <f t="shared" si="8"/>
        <v>137</v>
      </c>
      <c r="Q29" s="13">
        <f t="shared" si="8"/>
        <v>111</v>
      </c>
      <c r="R29" s="13">
        <f t="shared" si="8"/>
        <v>104</v>
      </c>
      <c r="S29" s="13">
        <f t="shared" si="8"/>
        <v>99</v>
      </c>
      <c r="T29" s="13">
        <f t="shared" si="8"/>
        <v>113</v>
      </c>
      <c r="U29" s="13">
        <f t="shared" si="8"/>
        <v>105</v>
      </c>
      <c r="V29" s="13">
        <f t="shared" si="8"/>
        <v>106</v>
      </c>
      <c r="W29" s="13">
        <f t="shared" si="8"/>
        <v>102</v>
      </c>
      <c r="X29" s="13">
        <f t="shared" si="8"/>
        <v>92</v>
      </c>
      <c r="Y29" s="13">
        <f t="shared" si="8"/>
        <v>107</v>
      </c>
      <c r="Z29" s="13">
        <f t="shared" si="8"/>
        <v>115</v>
      </c>
      <c r="AA29" s="13">
        <f t="shared" si="8"/>
        <v>119</v>
      </c>
      <c r="AB29" s="13">
        <f t="shared" si="8"/>
        <v>122</v>
      </c>
      <c r="AC29" s="13">
        <f t="shared" si="3"/>
        <v>2615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181</v>
      </c>
      <c r="F30" s="13">
        <f t="shared" si="9"/>
        <v>163</v>
      </c>
      <c r="G30" s="13">
        <f t="shared" si="9"/>
        <v>224</v>
      </c>
      <c r="H30" s="13">
        <f t="shared" si="9"/>
        <v>193</v>
      </c>
      <c r="I30" s="13">
        <f t="shared" si="9"/>
        <v>210</v>
      </c>
      <c r="J30" s="13">
        <f t="shared" si="9"/>
        <v>218</v>
      </c>
      <c r="K30" s="13">
        <f t="shared" si="9"/>
        <v>217</v>
      </c>
      <c r="L30" s="13">
        <f t="shared" si="9"/>
        <v>173</v>
      </c>
      <c r="M30" s="13">
        <f t="shared" si="9"/>
        <v>210</v>
      </c>
      <c r="N30" s="13">
        <f t="shared" si="9"/>
        <v>238</v>
      </c>
      <c r="O30" s="13">
        <f t="shared" si="9"/>
        <v>229</v>
      </c>
      <c r="P30" s="13">
        <f t="shared" si="9"/>
        <v>236</v>
      </c>
      <c r="Q30" s="13">
        <f t="shared" si="9"/>
        <v>235</v>
      </c>
      <c r="R30" s="13">
        <f t="shared" si="9"/>
        <v>225</v>
      </c>
      <c r="S30" s="13">
        <f t="shared" si="9"/>
        <v>184</v>
      </c>
      <c r="T30" s="13">
        <f t="shared" si="9"/>
        <v>202</v>
      </c>
      <c r="U30" s="13">
        <f t="shared" si="9"/>
        <v>191</v>
      </c>
      <c r="V30" s="13">
        <f t="shared" si="9"/>
        <v>210</v>
      </c>
      <c r="W30" s="13">
        <f t="shared" si="9"/>
        <v>186</v>
      </c>
      <c r="X30" s="13">
        <f t="shared" si="9"/>
        <v>179</v>
      </c>
      <c r="Y30" s="13">
        <f t="shared" si="9"/>
        <v>229</v>
      </c>
      <c r="Z30" s="13">
        <f t="shared" si="9"/>
        <v>225</v>
      </c>
      <c r="AA30" s="13">
        <f t="shared" si="9"/>
        <v>201</v>
      </c>
      <c r="AB30" s="13">
        <f t="shared" si="9"/>
        <v>232</v>
      </c>
      <c r="AC30" s="13">
        <f t="shared" si="3"/>
        <v>4991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1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207.0</v>
      </c>
      <c r="G33" s="19">
        <v>264.0</v>
      </c>
      <c r="H33" s="19">
        <v>279.0</v>
      </c>
      <c r="I33" s="19">
        <v>279.0</v>
      </c>
      <c r="J33" s="19">
        <v>295.0</v>
      </c>
      <c r="K33" s="19">
        <v>288.0</v>
      </c>
      <c r="L33" s="19">
        <v>225.0</v>
      </c>
      <c r="M33" s="19">
        <v>267.0</v>
      </c>
      <c r="N33" s="19">
        <v>299.0</v>
      </c>
      <c r="O33" s="19">
        <v>299.0</v>
      </c>
      <c r="P33" s="19">
        <v>284.0</v>
      </c>
      <c r="Q33" s="19">
        <v>300.0</v>
      </c>
      <c r="R33" s="19">
        <v>292.0</v>
      </c>
      <c r="S33" s="19">
        <v>228.0</v>
      </c>
      <c r="T33" s="19">
        <v>282.0</v>
      </c>
      <c r="U33" s="19">
        <v>274.0</v>
      </c>
      <c r="V33" s="19">
        <v>276.0</v>
      </c>
      <c r="W33" s="19">
        <v>234.0</v>
      </c>
      <c r="X33" s="19">
        <v>241.0</v>
      </c>
      <c r="Y33" s="19">
        <v>290.0</v>
      </c>
      <c r="Z33" s="19">
        <v>290.0</v>
      </c>
      <c r="AA33" s="19">
        <v>248.0</v>
      </c>
      <c r="AB33" s="19">
        <v>275.0</v>
      </c>
      <c r="AC33" s="13">
        <f t="shared" ref="AC33:AC36" si="10">SUM(E33:AB33)</f>
        <v>6478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163.0</v>
      </c>
      <c r="G34" s="13">
        <v>224.0</v>
      </c>
      <c r="H34" s="13">
        <v>193.0</v>
      </c>
      <c r="I34" s="13">
        <v>210.0</v>
      </c>
      <c r="J34" s="13">
        <v>218.0</v>
      </c>
      <c r="K34" s="13">
        <v>217.0</v>
      </c>
      <c r="L34" s="13">
        <v>173.0</v>
      </c>
      <c r="M34" s="13">
        <v>210.0</v>
      </c>
      <c r="N34" s="13">
        <v>238.0</v>
      </c>
      <c r="O34" s="13">
        <v>229.0</v>
      </c>
      <c r="P34" s="13">
        <v>236.0</v>
      </c>
      <c r="Q34" s="13">
        <v>235.0</v>
      </c>
      <c r="R34" s="13">
        <v>225.0</v>
      </c>
      <c r="S34" s="13">
        <v>184.0</v>
      </c>
      <c r="T34" s="13">
        <v>202.0</v>
      </c>
      <c r="U34" s="13">
        <v>191.0</v>
      </c>
      <c r="V34" s="13">
        <v>210.0</v>
      </c>
      <c r="W34" s="13">
        <v>186.0</v>
      </c>
      <c r="X34" s="13">
        <v>179.0</v>
      </c>
      <c r="Y34" s="13">
        <v>229.0</v>
      </c>
      <c r="Z34" s="13">
        <v>225.0</v>
      </c>
      <c r="AA34" s="13">
        <v>201.0</v>
      </c>
      <c r="AB34" s="13">
        <v>232.0</v>
      </c>
      <c r="AC34" s="13">
        <f t="shared" si="10"/>
        <v>4991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3.0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81</v>
      </c>
      <c r="F36" s="13">
        <f t="shared" si="11"/>
        <v>44</v>
      </c>
      <c r="G36" s="13">
        <f t="shared" si="11"/>
        <v>40</v>
      </c>
      <c r="H36" s="13">
        <f t="shared" si="11"/>
        <v>85</v>
      </c>
      <c r="I36" s="13">
        <f t="shared" si="11"/>
        <v>69</v>
      </c>
      <c r="J36" s="13">
        <f t="shared" si="11"/>
        <v>77</v>
      </c>
      <c r="K36" s="13">
        <f t="shared" si="11"/>
        <v>71</v>
      </c>
      <c r="L36" s="13">
        <f t="shared" si="11"/>
        <v>52</v>
      </c>
      <c r="M36" s="13">
        <f t="shared" si="11"/>
        <v>57</v>
      </c>
      <c r="N36" s="13">
        <f t="shared" si="11"/>
        <v>61</v>
      </c>
      <c r="O36" s="13">
        <f t="shared" si="11"/>
        <v>70</v>
      </c>
      <c r="P36" s="13">
        <f t="shared" si="11"/>
        <v>48</v>
      </c>
      <c r="Q36" s="13">
        <f t="shared" si="11"/>
        <v>64</v>
      </c>
      <c r="R36" s="13">
        <f t="shared" si="11"/>
        <v>67</v>
      </c>
      <c r="S36" s="13">
        <f t="shared" si="11"/>
        <v>43</v>
      </c>
      <c r="T36" s="13">
        <f t="shared" si="11"/>
        <v>80</v>
      </c>
      <c r="U36" s="13">
        <f t="shared" si="11"/>
        <v>83</v>
      </c>
      <c r="V36" s="13">
        <f t="shared" si="11"/>
        <v>66</v>
      </c>
      <c r="W36" s="13">
        <f t="shared" si="11"/>
        <v>45</v>
      </c>
      <c r="X36" s="13">
        <f t="shared" si="11"/>
        <v>62</v>
      </c>
      <c r="Y36" s="13">
        <f t="shared" si="11"/>
        <v>61</v>
      </c>
      <c r="Z36" s="13">
        <f t="shared" si="11"/>
        <v>65</v>
      </c>
      <c r="AA36" s="13">
        <f t="shared" si="11"/>
        <v>47</v>
      </c>
      <c r="AB36" s="13">
        <f t="shared" si="11"/>
        <v>43</v>
      </c>
      <c r="AC36" s="13">
        <f t="shared" si="10"/>
        <v>1481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1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3">
        <f t="shared" ref="AC39:AC41" si="12">SUM(E39:AB39)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4.0</v>
      </c>
      <c r="V40" s="19">
        <v>0.0</v>
      </c>
      <c r="W40" s="19">
        <v>2.0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60"/>
      <c r="Q42" s="19"/>
      <c r="R42" s="60"/>
      <c r="S42" s="19"/>
      <c r="T42" s="60"/>
      <c r="U42" s="19"/>
      <c r="V42" s="60"/>
      <c r="W42" s="19"/>
      <c r="X42" s="60"/>
      <c r="Y42" s="19"/>
      <c r="Z42" s="60"/>
      <c r="AA42" s="19"/>
      <c r="AB42" s="60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62"/>
      <c r="Q43" s="13"/>
      <c r="R43" s="62"/>
      <c r="S43" s="13"/>
      <c r="T43" s="62"/>
      <c r="U43" s="13"/>
      <c r="V43" s="62"/>
      <c r="W43" s="13"/>
      <c r="X43" s="62"/>
      <c r="Y43" s="13"/>
      <c r="Z43" s="62"/>
      <c r="AA43" s="13"/>
      <c r="AB43" s="62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60"/>
      <c r="Q44" s="19"/>
      <c r="R44" s="60"/>
      <c r="S44" s="19"/>
      <c r="T44" s="60"/>
      <c r="U44" s="19"/>
      <c r="V44" s="60"/>
      <c r="W44" s="19"/>
      <c r="X44" s="60"/>
      <c r="Y44" s="19"/>
      <c r="Z44" s="60"/>
      <c r="AA44" s="19"/>
      <c r="AB44" s="60"/>
      <c r="AC44" s="13"/>
    </row>
    <row r="45" ht="12.75" customHeight="1">
      <c r="A45" s="64"/>
      <c r="B45" s="47">
        <v>1.0</v>
      </c>
      <c r="C45" s="48" t="s">
        <v>37</v>
      </c>
      <c r="D45" s="16"/>
      <c r="E45" s="19">
        <v>16.0</v>
      </c>
      <c r="F45" s="19">
        <v>12.0</v>
      </c>
      <c r="G45" s="19">
        <v>17.0</v>
      </c>
      <c r="H45" s="19">
        <v>18.0</v>
      </c>
      <c r="I45" s="19">
        <v>15.0</v>
      </c>
      <c r="J45" s="19">
        <v>15.0</v>
      </c>
      <c r="K45" s="19">
        <v>5.0</v>
      </c>
      <c r="L45" s="19">
        <v>32.0</v>
      </c>
      <c r="M45" s="19">
        <v>34.0</v>
      </c>
      <c r="N45" s="19">
        <v>35.0</v>
      </c>
      <c r="O45" s="19">
        <v>41.0</v>
      </c>
      <c r="P45" s="19">
        <v>50.0</v>
      </c>
      <c r="Q45" s="19">
        <v>23.0</v>
      </c>
      <c r="R45" s="19">
        <v>20.0</v>
      </c>
      <c r="S45" s="19">
        <v>19.0</v>
      </c>
      <c r="T45" s="19">
        <v>2.0</v>
      </c>
      <c r="U45" s="19">
        <v>2.0</v>
      </c>
      <c r="V45" s="19">
        <v>20.0</v>
      </c>
      <c r="W45" s="19">
        <v>14.0</v>
      </c>
      <c r="X45" s="19">
        <v>4.0</v>
      </c>
      <c r="Y45" s="19">
        <v>20.0</v>
      </c>
      <c r="Z45" s="19">
        <v>18.0</v>
      </c>
      <c r="AA45" s="19">
        <v>14.0</v>
      </c>
      <c r="AB45" s="19">
        <v>22.0</v>
      </c>
      <c r="AC45" s="13">
        <f t="shared" ref="AC45:AC47" si="14">SUM(E45:AB45)</f>
        <v>468</v>
      </c>
    </row>
    <row r="46" ht="12.75" customHeight="1">
      <c r="A46" s="18"/>
      <c r="B46" s="47">
        <v>2.0</v>
      </c>
      <c r="C46" s="48" t="s">
        <v>38</v>
      </c>
      <c r="D46" s="16"/>
      <c r="E46" s="19">
        <v>119.0</v>
      </c>
      <c r="F46" s="19">
        <v>116.0</v>
      </c>
      <c r="G46" s="19">
        <v>171.0</v>
      </c>
      <c r="H46" s="19">
        <v>163.0</v>
      </c>
      <c r="I46" s="19">
        <v>159.0</v>
      </c>
      <c r="J46" s="19">
        <v>149.0</v>
      </c>
      <c r="K46" s="19">
        <v>160.0</v>
      </c>
      <c r="L46" s="19">
        <v>111.0</v>
      </c>
      <c r="M46" s="19">
        <v>133.0</v>
      </c>
      <c r="N46" s="19">
        <v>162.0</v>
      </c>
      <c r="O46" s="19">
        <v>145.0</v>
      </c>
      <c r="P46" s="19">
        <v>147.0</v>
      </c>
      <c r="Q46" s="19">
        <v>164.0</v>
      </c>
      <c r="R46" s="19">
        <v>170.0</v>
      </c>
      <c r="S46" s="19">
        <v>134.0</v>
      </c>
      <c r="T46" s="19">
        <v>168.0</v>
      </c>
      <c r="U46" s="19">
        <v>143.0</v>
      </c>
      <c r="V46" s="19">
        <v>143.0</v>
      </c>
      <c r="W46" s="19">
        <v>140.0</v>
      </c>
      <c r="X46" s="19">
        <v>131.0</v>
      </c>
      <c r="Y46" s="19">
        <v>157.0</v>
      </c>
      <c r="Z46" s="19">
        <v>152.0</v>
      </c>
      <c r="AA46" s="19">
        <v>141.0</v>
      </c>
      <c r="AB46" s="19">
        <v>135.0</v>
      </c>
      <c r="AC46" s="13">
        <f t="shared" si="14"/>
        <v>3513</v>
      </c>
    </row>
    <row r="47" ht="12.75" customHeight="1">
      <c r="A47" s="45"/>
      <c r="B47" s="47">
        <v>3.0</v>
      </c>
      <c r="C47" s="48" t="s">
        <v>39</v>
      </c>
      <c r="D47" s="16"/>
      <c r="E47" s="19">
        <v>44.0</v>
      </c>
      <c r="F47" s="19">
        <v>32.0</v>
      </c>
      <c r="G47" s="19">
        <v>34.0</v>
      </c>
      <c r="H47" s="19">
        <v>11.0</v>
      </c>
      <c r="I47" s="19">
        <v>34.0</v>
      </c>
      <c r="J47" s="19">
        <v>53.0</v>
      </c>
      <c r="K47" s="19">
        <v>48.0</v>
      </c>
      <c r="L47" s="19">
        <v>27.0</v>
      </c>
      <c r="M47" s="19">
        <v>42.0</v>
      </c>
      <c r="N47" s="19">
        <v>37.0</v>
      </c>
      <c r="O47" s="19">
        <v>42.0</v>
      </c>
      <c r="P47" s="19">
        <v>32.0</v>
      </c>
      <c r="Q47" s="19">
        <v>45.0</v>
      </c>
      <c r="R47" s="19">
        <v>34.0</v>
      </c>
      <c r="S47" s="19">
        <v>23.0</v>
      </c>
      <c r="T47" s="19">
        <v>31.0</v>
      </c>
      <c r="U47" s="19">
        <v>40.0</v>
      </c>
      <c r="V47" s="19">
        <v>45.0</v>
      </c>
      <c r="W47" s="19">
        <v>29.0</v>
      </c>
      <c r="X47" s="19">
        <v>42.0</v>
      </c>
      <c r="Y47" s="19">
        <v>48.0</v>
      </c>
      <c r="Z47" s="19">
        <v>53.0</v>
      </c>
      <c r="AA47" s="19">
        <v>42.0</v>
      </c>
      <c r="AB47" s="19">
        <v>72.0</v>
      </c>
      <c r="AC47" s="13">
        <f t="shared" si="14"/>
        <v>940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B50" si="15">SUM(E45:E47)</f>
        <v>179</v>
      </c>
      <c r="F50" s="19">
        <f t="shared" si="15"/>
        <v>160</v>
      </c>
      <c r="G50" s="19">
        <f t="shared" si="15"/>
        <v>222</v>
      </c>
      <c r="H50" s="19">
        <f t="shared" si="15"/>
        <v>192</v>
      </c>
      <c r="I50" s="19">
        <f t="shared" si="15"/>
        <v>208</v>
      </c>
      <c r="J50" s="19">
        <f t="shared" si="15"/>
        <v>217</v>
      </c>
      <c r="K50" s="19">
        <f t="shared" si="15"/>
        <v>213</v>
      </c>
      <c r="L50" s="19">
        <f t="shared" si="15"/>
        <v>170</v>
      </c>
      <c r="M50" s="19">
        <f t="shared" si="15"/>
        <v>209</v>
      </c>
      <c r="N50" s="19">
        <f t="shared" si="15"/>
        <v>234</v>
      </c>
      <c r="O50" s="19">
        <f t="shared" si="15"/>
        <v>228</v>
      </c>
      <c r="P50" s="19">
        <f t="shared" si="15"/>
        <v>229</v>
      </c>
      <c r="Q50" s="19">
        <f t="shared" si="15"/>
        <v>232</v>
      </c>
      <c r="R50" s="19">
        <f t="shared" si="15"/>
        <v>224</v>
      </c>
      <c r="S50" s="19">
        <f t="shared" si="15"/>
        <v>176</v>
      </c>
      <c r="T50" s="19">
        <f t="shared" si="15"/>
        <v>201</v>
      </c>
      <c r="U50" s="19">
        <f t="shared" si="15"/>
        <v>185</v>
      </c>
      <c r="V50" s="19">
        <f t="shared" si="15"/>
        <v>208</v>
      </c>
      <c r="W50" s="19">
        <f t="shared" si="15"/>
        <v>183</v>
      </c>
      <c r="X50" s="19">
        <f t="shared" si="15"/>
        <v>177</v>
      </c>
      <c r="Y50" s="19">
        <f t="shared" si="15"/>
        <v>225</v>
      </c>
      <c r="Z50" s="19">
        <f t="shared" si="15"/>
        <v>223</v>
      </c>
      <c r="AA50" s="19">
        <f t="shared" si="15"/>
        <v>197</v>
      </c>
      <c r="AB50" s="19">
        <f t="shared" si="15"/>
        <v>229</v>
      </c>
      <c r="AC50" s="13">
        <f t="shared" ref="AC50:AC52" si="16">SUM(E50:AB50)</f>
        <v>4921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3.0</v>
      </c>
      <c r="G51" s="19">
        <v>2.0</v>
      </c>
      <c r="H51" s="19">
        <v>1.0</v>
      </c>
      <c r="I51" s="19">
        <v>2.0</v>
      </c>
      <c r="J51" s="19">
        <v>1.0</v>
      </c>
      <c r="K51" s="19">
        <v>4.0</v>
      </c>
      <c r="L51" s="19">
        <v>3.0</v>
      </c>
      <c r="M51" s="19">
        <v>1.0</v>
      </c>
      <c r="N51" s="19">
        <v>4.0</v>
      </c>
      <c r="O51" s="19">
        <v>1.0</v>
      </c>
      <c r="P51" s="19">
        <v>7.0</v>
      </c>
      <c r="Q51" s="19">
        <v>3.0</v>
      </c>
      <c r="R51" s="19">
        <v>1.0</v>
      </c>
      <c r="S51" s="19">
        <v>8.0</v>
      </c>
      <c r="T51" s="19">
        <v>1.0</v>
      </c>
      <c r="U51" s="19">
        <v>6.0</v>
      </c>
      <c r="V51" s="19">
        <v>2.0</v>
      </c>
      <c r="W51" s="19">
        <v>3.0</v>
      </c>
      <c r="X51" s="19">
        <v>2.0</v>
      </c>
      <c r="Y51" s="19">
        <v>4.0</v>
      </c>
      <c r="Z51" s="19">
        <v>2.0</v>
      </c>
      <c r="AA51" s="19">
        <v>4.0</v>
      </c>
      <c r="AB51" s="19">
        <v>3.0</v>
      </c>
      <c r="AC51" s="13">
        <f t="shared" si="16"/>
        <v>70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B52" si="17">SUM(E50:E51)</f>
        <v>181</v>
      </c>
      <c r="F52" s="13">
        <f t="shared" si="17"/>
        <v>163</v>
      </c>
      <c r="G52" s="13">
        <f t="shared" si="17"/>
        <v>224</v>
      </c>
      <c r="H52" s="13">
        <f t="shared" si="17"/>
        <v>193</v>
      </c>
      <c r="I52" s="13">
        <f t="shared" si="17"/>
        <v>210</v>
      </c>
      <c r="J52" s="13">
        <f t="shared" si="17"/>
        <v>218</v>
      </c>
      <c r="K52" s="13">
        <f t="shared" si="17"/>
        <v>217</v>
      </c>
      <c r="L52" s="13">
        <f t="shared" si="17"/>
        <v>173</v>
      </c>
      <c r="M52" s="13">
        <f t="shared" si="17"/>
        <v>210</v>
      </c>
      <c r="N52" s="13">
        <f t="shared" si="17"/>
        <v>238</v>
      </c>
      <c r="O52" s="13">
        <f t="shared" si="17"/>
        <v>229</v>
      </c>
      <c r="P52" s="13">
        <f t="shared" si="17"/>
        <v>236</v>
      </c>
      <c r="Q52" s="13">
        <f t="shared" si="17"/>
        <v>235</v>
      </c>
      <c r="R52" s="13">
        <f t="shared" si="17"/>
        <v>225</v>
      </c>
      <c r="S52" s="13">
        <f t="shared" si="17"/>
        <v>184</v>
      </c>
      <c r="T52" s="13">
        <f t="shared" si="17"/>
        <v>202</v>
      </c>
      <c r="U52" s="13">
        <f t="shared" si="17"/>
        <v>191</v>
      </c>
      <c r="V52" s="13">
        <f t="shared" si="17"/>
        <v>210</v>
      </c>
      <c r="W52" s="13">
        <f t="shared" si="17"/>
        <v>186</v>
      </c>
      <c r="X52" s="13">
        <f t="shared" si="17"/>
        <v>179</v>
      </c>
      <c r="Y52" s="13">
        <f t="shared" si="17"/>
        <v>229</v>
      </c>
      <c r="Z52" s="13">
        <f t="shared" si="17"/>
        <v>225</v>
      </c>
      <c r="AA52" s="13">
        <f t="shared" si="17"/>
        <v>201</v>
      </c>
      <c r="AB52" s="13">
        <f t="shared" si="17"/>
        <v>232</v>
      </c>
      <c r="AC52" s="13">
        <f t="shared" si="16"/>
        <v>4991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 W34:Z34">
    <cfRule type="expression" dxfId="0" priority="1">
      <formula>E34&lt;&gt;#REF!</formula>
    </cfRule>
  </conditionalFormatting>
  <conditionalFormatting sqref="E14:AB15 E45:AB47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E30&lt;&gt;E46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50:AB51">
    <cfRule type="containsBlanks" dxfId="1" priority="10">
      <formula>LEN(TRIM(E50))=0</formula>
    </cfRule>
  </conditionalFormatting>
  <conditionalFormatting sqref="U34:V34">
    <cfRule type="expression" dxfId="0" priority="11">
      <formula>U34&lt;&gt;U46</formula>
    </cfRule>
  </conditionalFormatting>
  <conditionalFormatting sqref="AA34:AB34">
    <cfRule type="expression" dxfId="0" priority="12">
      <formula>AA34&lt;&gt;AA46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69</v>
      </c>
      <c r="Z13" s="13" t="s">
        <v>70</v>
      </c>
      <c r="AA13" s="13" t="s">
        <v>71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131.0</v>
      </c>
      <c r="G14" s="19">
        <v>139.0</v>
      </c>
      <c r="H14" s="19">
        <v>147.0</v>
      </c>
      <c r="I14" s="19">
        <v>121.0</v>
      </c>
      <c r="J14" s="19">
        <v>145.0</v>
      </c>
      <c r="K14" s="19">
        <v>129.0</v>
      </c>
      <c r="L14" s="19">
        <v>152.0</v>
      </c>
      <c r="M14" s="19">
        <v>140.0</v>
      </c>
      <c r="N14" s="19">
        <v>130.0</v>
      </c>
      <c r="O14" s="19">
        <v>146.0</v>
      </c>
      <c r="P14" s="19">
        <v>129.0</v>
      </c>
      <c r="Q14" s="19">
        <v>122.0</v>
      </c>
      <c r="R14" s="19">
        <v>147.0</v>
      </c>
      <c r="S14" s="19">
        <v>147.0</v>
      </c>
      <c r="T14" s="19">
        <v>143.0</v>
      </c>
      <c r="U14" s="19">
        <v>120.0</v>
      </c>
      <c r="V14" s="19">
        <v>121.0</v>
      </c>
      <c r="W14" s="19">
        <v>113.0</v>
      </c>
      <c r="X14" s="19">
        <v>132.0</v>
      </c>
      <c r="Y14" s="19">
        <v>133.0</v>
      </c>
      <c r="Z14" s="19">
        <v>145.0</v>
      </c>
      <c r="AA14" s="19">
        <v>135.0</v>
      </c>
      <c r="AB14" s="13">
        <f t="shared" ref="AB14:AB16" si="1">SUM(E14:AA14)</f>
        <v>3106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156.0</v>
      </c>
      <c r="G15" s="19">
        <v>137.0</v>
      </c>
      <c r="H15" s="19">
        <v>150.0</v>
      </c>
      <c r="I15" s="19">
        <v>147.0</v>
      </c>
      <c r="J15" s="19">
        <v>148.0</v>
      </c>
      <c r="K15" s="19">
        <v>125.0</v>
      </c>
      <c r="L15" s="19">
        <v>136.0</v>
      </c>
      <c r="M15" s="19">
        <v>153.0</v>
      </c>
      <c r="N15" s="19">
        <v>136.0</v>
      </c>
      <c r="O15" s="19">
        <v>137.0</v>
      </c>
      <c r="P15" s="19">
        <v>143.0</v>
      </c>
      <c r="Q15" s="19">
        <v>131.0</v>
      </c>
      <c r="R15" s="19">
        <v>140.0</v>
      </c>
      <c r="S15" s="19">
        <v>144.0</v>
      </c>
      <c r="T15" s="19">
        <v>133.0</v>
      </c>
      <c r="U15" s="19">
        <v>130.0</v>
      </c>
      <c r="V15" s="19">
        <v>115.0</v>
      </c>
      <c r="W15" s="19">
        <v>115.0</v>
      </c>
      <c r="X15" s="19">
        <v>138.0</v>
      </c>
      <c r="Y15" s="19">
        <v>129.0</v>
      </c>
      <c r="Z15" s="19">
        <v>142.0</v>
      </c>
      <c r="AA15" s="19">
        <v>145.0</v>
      </c>
      <c r="AB15" s="13">
        <f t="shared" si="1"/>
        <v>3173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282</v>
      </c>
      <c r="F16" s="13">
        <f t="shared" si="2"/>
        <v>287</v>
      </c>
      <c r="G16" s="13">
        <f t="shared" si="2"/>
        <v>276</v>
      </c>
      <c r="H16" s="13">
        <f t="shared" si="2"/>
        <v>297</v>
      </c>
      <c r="I16" s="13">
        <f t="shared" si="2"/>
        <v>268</v>
      </c>
      <c r="J16" s="13">
        <f t="shared" si="2"/>
        <v>293</v>
      </c>
      <c r="K16" s="13">
        <f t="shared" si="2"/>
        <v>254</v>
      </c>
      <c r="L16" s="13">
        <f t="shared" si="2"/>
        <v>288</v>
      </c>
      <c r="M16" s="13">
        <f t="shared" si="2"/>
        <v>293</v>
      </c>
      <c r="N16" s="13">
        <f t="shared" si="2"/>
        <v>266</v>
      </c>
      <c r="O16" s="13">
        <f t="shared" si="2"/>
        <v>283</v>
      </c>
      <c r="P16" s="13">
        <f t="shared" si="2"/>
        <v>272</v>
      </c>
      <c r="Q16" s="13">
        <f t="shared" si="2"/>
        <v>253</v>
      </c>
      <c r="R16" s="13">
        <f t="shared" si="2"/>
        <v>287</v>
      </c>
      <c r="S16" s="13">
        <f t="shared" si="2"/>
        <v>291</v>
      </c>
      <c r="T16" s="13">
        <f t="shared" si="2"/>
        <v>276</v>
      </c>
      <c r="U16" s="13">
        <f t="shared" si="2"/>
        <v>250</v>
      </c>
      <c r="V16" s="13">
        <f t="shared" si="2"/>
        <v>236</v>
      </c>
      <c r="W16" s="13">
        <f t="shared" si="2"/>
        <v>228</v>
      </c>
      <c r="X16" s="13">
        <f t="shared" si="2"/>
        <v>270</v>
      </c>
      <c r="Y16" s="13">
        <f t="shared" si="2"/>
        <v>262</v>
      </c>
      <c r="Z16" s="13">
        <f t="shared" si="2"/>
        <v>287</v>
      </c>
      <c r="AA16" s="13">
        <f t="shared" si="2"/>
        <v>280</v>
      </c>
      <c r="AB16" s="13">
        <f t="shared" si="1"/>
        <v>6279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104.0</v>
      </c>
      <c r="G19" s="19">
        <v>101.0</v>
      </c>
      <c r="H19" s="19">
        <v>128.0</v>
      </c>
      <c r="I19" s="19">
        <v>93.0</v>
      </c>
      <c r="J19" s="19">
        <v>103.0</v>
      </c>
      <c r="K19" s="19">
        <v>92.0</v>
      </c>
      <c r="L19" s="19">
        <v>105.0</v>
      </c>
      <c r="M19" s="19">
        <v>99.0</v>
      </c>
      <c r="N19" s="19">
        <v>86.0</v>
      </c>
      <c r="O19" s="19">
        <v>113.0</v>
      </c>
      <c r="P19" s="19">
        <v>104.0</v>
      </c>
      <c r="Q19" s="19">
        <v>94.0</v>
      </c>
      <c r="R19" s="19">
        <v>96.0</v>
      </c>
      <c r="S19" s="19">
        <v>110.0</v>
      </c>
      <c r="T19" s="19">
        <v>108.0</v>
      </c>
      <c r="U19" s="19">
        <v>91.0</v>
      </c>
      <c r="V19" s="19">
        <v>85.0</v>
      </c>
      <c r="W19" s="19">
        <v>78.0</v>
      </c>
      <c r="X19" s="19">
        <v>88.0</v>
      </c>
      <c r="Y19" s="19">
        <v>105.0</v>
      </c>
      <c r="Z19" s="19">
        <v>112.0</v>
      </c>
      <c r="AA19" s="19">
        <v>100.0</v>
      </c>
      <c r="AB19" s="13">
        <f t="shared" ref="AB19:AB30" si="3">SUM(E19:AA19)</f>
        <v>2291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126.0</v>
      </c>
      <c r="G20" s="19">
        <v>110.0</v>
      </c>
      <c r="H20" s="19">
        <v>134.0</v>
      </c>
      <c r="I20" s="19">
        <v>122.0</v>
      </c>
      <c r="J20" s="19">
        <v>122.0</v>
      </c>
      <c r="K20" s="19">
        <v>94.0</v>
      </c>
      <c r="L20" s="19">
        <v>103.0</v>
      </c>
      <c r="M20" s="19">
        <v>115.0</v>
      </c>
      <c r="N20" s="19">
        <v>105.0</v>
      </c>
      <c r="O20" s="19">
        <v>108.0</v>
      </c>
      <c r="P20" s="19">
        <v>105.0</v>
      </c>
      <c r="Q20" s="19">
        <v>108.0</v>
      </c>
      <c r="R20" s="19">
        <v>108.0</v>
      </c>
      <c r="S20" s="19">
        <v>115.0</v>
      </c>
      <c r="T20" s="19">
        <v>110.0</v>
      </c>
      <c r="U20" s="19">
        <v>104.0</v>
      </c>
      <c r="V20" s="19">
        <v>88.0</v>
      </c>
      <c r="W20" s="19">
        <v>101.0</v>
      </c>
      <c r="X20" s="19">
        <v>114.0</v>
      </c>
      <c r="Y20" s="19">
        <v>114.0</v>
      </c>
      <c r="Z20" s="19">
        <v>118.0</v>
      </c>
      <c r="AA20" s="19">
        <v>107.0</v>
      </c>
      <c r="AB20" s="13">
        <f t="shared" si="3"/>
        <v>2542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207</v>
      </c>
      <c r="F21" s="13">
        <f t="shared" si="4"/>
        <v>230</v>
      </c>
      <c r="G21" s="13">
        <f t="shared" si="4"/>
        <v>211</v>
      </c>
      <c r="H21" s="13">
        <f t="shared" si="4"/>
        <v>262</v>
      </c>
      <c r="I21" s="13">
        <f t="shared" si="4"/>
        <v>215</v>
      </c>
      <c r="J21" s="13">
        <f t="shared" si="4"/>
        <v>225</v>
      </c>
      <c r="K21" s="13">
        <f t="shared" si="4"/>
        <v>186</v>
      </c>
      <c r="L21" s="13">
        <f t="shared" si="4"/>
        <v>208</v>
      </c>
      <c r="M21" s="13">
        <f t="shared" si="4"/>
        <v>214</v>
      </c>
      <c r="N21" s="13">
        <f t="shared" si="4"/>
        <v>191</v>
      </c>
      <c r="O21" s="13">
        <f t="shared" si="4"/>
        <v>221</v>
      </c>
      <c r="P21" s="13">
        <f t="shared" si="4"/>
        <v>209</v>
      </c>
      <c r="Q21" s="13">
        <f t="shared" si="4"/>
        <v>202</v>
      </c>
      <c r="R21" s="13">
        <f t="shared" si="4"/>
        <v>204</v>
      </c>
      <c r="S21" s="13">
        <f t="shared" si="4"/>
        <v>225</v>
      </c>
      <c r="T21" s="13">
        <f t="shared" si="4"/>
        <v>218</v>
      </c>
      <c r="U21" s="13">
        <f t="shared" si="4"/>
        <v>195</v>
      </c>
      <c r="V21" s="13">
        <f t="shared" si="4"/>
        <v>173</v>
      </c>
      <c r="W21" s="13">
        <f t="shared" si="4"/>
        <v>179</v>
      </c>
      <c r="X21" s="13">
        <f t="shared" si="4"/>
        <v>202</v>
      </c>
      <c r="Y21" s="13">
        <f t="shared" si="4"/>
        <v>219</v>
      </c>
      <c r="Z21" s="13">
        <f t="shared" si="4"/>
        <v>230</v>
      </c>
      <c r="AA21" s="13">
        <f t="shared" si="4"/>
        <v>207</v>
      </c>
      <c r="AB21" s="13">
        <f t="shared" si="3"/>
        <v>4833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3.0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2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>
        <v>2.0</v>
      </c>
      <c r="H25" s="19"/>
      <c r="I25" s="19">
        <v>5.0</v>
      </c>
      <c r="J25" s="19"/>
      <c r="K25" s="19"/>
      <c r="L25" s="19">
        <v>1.0</v>
      </c>
      <c r="M25" s="19">
        <v>1.0</v>
      </c>
      <c r="N25" s="19">
        <v>1.0</v>
      </c>
      <c r="O25" s="19">
        <v>2.0</v>
      </c>
      <c r="P25" s="19"/>
      <c r="Q25" s="19">
        <v>1.0</v>
      </c>
      <c r="R25" s="19">
        <v>1.0</v>
      </c>
      <c r="S25" s="19">
        <v>2.0</v>
      </c>
      <c r="T25" s="19"/>
      <c r="U25" s="19"/>
      <c r="V25" s="19">
        <v>1.0</v>
      </c>
      <c r="W25" s="19"/>
      <c r="X25" s="19">
        <v>1.0</v>
      </c>
      <c r="Y25" s="19">
        <v>2.0</v>
      </c>
      <c r="Z25" s="19"/>
      <c r="AA25" s="19">
        <v>4.0</v>
      </c>
      <c r="AB25" s="13">
        <f t="shared" si="3"/>
        <v>24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>
        <v>1.0</v>
      </c>
      <c r="H26" s="19"/>
      <c r="I26" s="19">
        <v>6.0</v>
      </c>
      <c r="J26" s="19"/>
      <c r="K26" s="19"/>
      <c r="L26" s="19">
        <v>1.0</v>
      </c>
      <c r="M26" s="19"/>
      <c r="N26" s="19">
        <v>3.0</v>
      </c>
      <c r="O26" s="19">
        <v>3.0</v>
      </c>
      <c r="P26" s="19">
        <v>1.0</v>
      </c>
      <c r="Q26" s="19"/>
      <c r="R26" s="19"/>
      <c r="S26" s="19">
        <v>4.0</v>
      </c>
      <c r="T26" s="19"/>
      <c r="U26" s="19"/>
      <c r="V26" s="19">
        <v>1.0</v>
      </c>
      <c r="W26" s="19"/>
      <c r="X26" s="19">
        <v>1.0</v>
      </c>
      <c r="Y26" s="19">
        <v>2.0</v>
      </c>
      <c r="Z26" s="19"/>
      <c r="AA26" s="19">
        <v>3.0</v>
      </c>
      <c r="AB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11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5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6</v>
      </c>
      <c r="T27" s="13">
        <f t="shared" si="6"/>
        <v>0</v>
      </c>
      <c r="U27" s="13">
        <f t="shared" si="6"/>
        <v>0</v>
      </c>
      <c r="V27" s="13">
        <f t="shared" si="6"/>
        <v>2</v>
      </c>
      <c r="W27" s="13">
        <f t="shared" si="6"/>
        <v>0</v>
      </c>
      <c r="X27" s="13">
        <f t="shared" si="6"/>
        <v>2</v>
      </c>
      <c r="Y27" s="13">
        <f t="shared" si="6"/>
        <v>4</v>
      </c>
      <c r="Z27" s="13">
        <f t="shared" si="6"/>
        <v>0</v>
      </c>
      <c r="AA27" s="13">
        <f t="shared" si="6"/>
        <v>7</v>
      </c>
      <c r="AB27" s="13">
        <f t="shared" si="3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97</v>
      </c>
      <c r="F28" s="13">
        <f t="shared" si="7"/>
        <v>104</v>
      </c>
      <c r="G28" s="13">
        <f t="shared" si="7"/>
        <v>103</v>
      </c>
      <c r="H28" s="13">
        <f t="shared" si="7"/>
        <v>128</v>
      </c>
      <c r="I28" s="13">
        <f t="shared" si="7"/>
        <v>98</v>
      </c>
      <c r="J28" s="13">
        <f t="shared" si="7"/>
        <v>103</v>
      </c>
      <c r="K28" s="13">
        <f t="shared" si="7"/>
        <v>92</v>
      </c>
      <c r="L28" s="13">
        <f t="shared" si="7"/>
        <v>106</v>
      </c>
      <c r="M28" s="13">
        <f t="shared" si="7"/>
        <v>100</v>
      </c>
      <c r="N28" s="13">
        <f t="shared" si="7"/>
        <v>87</v>
      </c>
      <c r="O28" s="13">
        <f t="shared" si="7"/>
        <v>115</v>
      </c>
      <c r="P28" s="13">
        <f t="shared" si="7"/>
        <v>104</v>
      </c>
      <c r="Q28" s="13">
        <f t="shared" si="7"/>
        <v>95</v>
      </c>
      <c r="R28" s="13">
        <f t="shared" si="7"/>
        <v>97</v>
      </c>
      <c r="S28" s="13">
        <f t="shared" si="7"/>
        <v>112</v>
      </c>
      <c r="T28" s="13">
        <f t="shared" si="7"/>
        <v>108</v>
      </c>
      <c r="U28" s="13">
        <f t="shared" si="7"/>
        <v>91</v>
      </c>
      <c r="V28" s="13">
        <f t="shared" si="7"/>
        <v>86</v>
      </c>
      <c r="W28" s="13">
        <f t="shared" si="7"/>
        <v>78</v>
      </c>
      <c r="X28" s="13">
        <f t="shared" si="7"/>
        <v>89</v>
      </c>
      <c r="Y28" s="13">
        <f t="shared" si="7"/>
        <v>107</v>
      </c>
      <c r="Z28" s="13">
        <f t="shared" si="7"/>
        <v>112</v>
      </c>
      <c r="AA28" s="13">
        <f t="shared" si="7"/>
        <v>105</v>
      </c>
      <c r="AB28" s="13">
        <f t="shared" si="3"/>
        <v>2317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112</v>
      </c>
      <c r="F29" s="13">
        <f t="shared" si="8"/>
        <v>129</v>
      </c>
      <c r="G29" s="13">
        <f t="shared" si="8"/>
        <v>111</v>
      </c>
      <c r="H29" s="13">
        <f t="shared" si="8"/>
        <v>134</v>
      </c>
      <c r="I29" s="13">
        <f t="shared" si="8"/>
        <v>128</v>
      </c>
      <c r="J29" s="13">
        <f t="shared" si="8"/>
        <v>122</v>
      </c>
      <c r="K29" s="13">
        <f t="shared" si="8"/>
        <v>94</v>
      </c>
      <c r="L29" s="13">
        <f t="shared" si="8"/>
        <v>104</v>
      </c>
      <c r="M29" s="13">
        <f t="shared" si="8"/>
        <v>115</v>
      </c>
      <c r="N29" s="13">
        <f t="shared" si="8"/>
        <v>108</v>
      </c>
      <c r="O29" s="13">
        <f t="shared" si="8"/>
        <v>111</v>
      </c>
      <c r="P29" s="13">
        <f t="shared" si="8"/>
        <v>106</v>
      </c>
      <c r="Q29" s="13">
        <f t="shared" si="8"/>
        <v>108</v>
      </c>
      <c r="R29" s="13">
        <f t="shared" si="8"/>
        <v>108</v>
      </c>
      <c r="S29" s="13">
        <f t="shared" si="8"/>
        <v>119</v>
      </c>
      <c r="T29" s="13">
        <f t="shared" si="8"/>
        <v>110</v>
      </c>
      <c r="U29" s="13">
        <f t="shared" si="8"/>
        <v>104</v>
      </c>
      <c r="V29" s="13">
        <f t="shared" si="8"/>
        <v>89</v>
      </c>
      <c r="W29" s="13">
        <f t="shared" si="8"/>
        <v>101</v>
      </c>
      <c r="X29" s="13">
        <f t="shared" si="8"/>
        <v>115</v>
      </c>
      <c r="Y29" s="13">
        <f t="shared" si="8"/>
        <v>116</v>
      </c>
      <c r="Z29" s="13">
        <f t="shared" si="8"/>
        <v>118</v>
      </c>
      <c r="AA29" s="13">
        <f t="shared" si="8"/>
        <v>111</v>
      </c>
      <c r="AB29" s="13">
        <f t="shared" si="3"/>
        <v>2573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209</v>
      </c>
      <c r="F30" s="13">
        <f t="shared" si="9"/>
        <v>233</v>
      </c>
      <c r="G30" s="13">
        <f t="shared" si="9"/>
        <v>214</v>
      </c>
      <c r="H30" s="13">
        <f t="shared" si="9"/>
        <v>262</v>
      </c>
      <c r="I30" s="13">
        <f t="shared" si="9"/>
        <v>226</v>
      </c>
      <c r="J30" s="13">
        <f t="shared" si="9"/>
        <v>225</v>
      </c>
      <c r="K30" s="13">
        <f t="shared" si="9"/>
        <v>186</v>
      </c>
      <c r="L30" s="13">
        <f t="shared" si="9"/>
        <v>210</v>
      </c>
      <c r="M30" s="13">
        <f t="shared" si="9"/>
        <v>215</v>
      </c>
      <c r="N30" s="13">
        <f t="shared" si="9"/>
        <v>195</v>
      </c>
      <c r="O30" s="13">
        <f t="shared" si="9"/>
        <v>226</v>
      </c>
      <c r="P30" s="13">
        <f t="shared" si="9"/>
        <v>210</v>
      </c>
      <c r="Q30" s="13">
        <f t="shared" si="9"/>
        <v>203</v>
      </c>
      <c r="R30" s="13">
        <f t="shared" si="9"/>
        <v>205</v>
      </c>
      <c r="S30" s="13">
        <f t="shared" si="9"/>
        <v>231</v>
      </c>
      <c r="T30" s="13">
        <f t="shared" si="9"/>
        <v>218</v>
      </c>
      <c r="U30" s="13">
        <f t="shared" si="9"/>
        <v>195</v>
      </c>
      <c r="V30" s="13">
        <f t="shared" si="9"/>
        <v>175</v>
      </c>
      <c r="W30" s="13">
        <f t="shared" si="9"/>
        <v>179</v>
      </c>
      <c r="X30" s="13">
        <f t="shared" si="9"/>
        <v>204</v>
      </c>
      <c r="Y30" s="13">
        <f t="shared" si="9"/>
        <v>223</v>
      </c>
      <c r="Z30" s="13">
        <f t="shared" si="9"/>
        <v>230</v>
      </c>
      <c r="AA30" s="13">
        <f t="shared" si="9"/>
        <v>216</v>
      </c>
      <c r="AB30" s="13">
        <f t="shared" si="3"/>
        <v>4890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1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298.0</v>
      </c>
      <c r="G33" s="19">
        <v>277.0</v>
      </c>
      <c r="H33" s="19">
        <v>301.0</v>
      </c>
      <c r="I33" s="19">
        <v>274.0</v>
      </c>
      <c r="J33" s="19">
        <v>299.0</v>
      </c>
      <c r="K33" s="19">
        <v>260.0</v>
      </c>
      <c r="L33" s="19">
        <v>294.0</v>
      </c>
      <c r="M33" s="19">
        <v>300.0</v>
      </c>
      <c r="N33" s="19">
        <v>272.0</v>
      </c>
      <c r="O33" s="19">
        <v>289.0</v>
      </c>
      <c r="P33" s="19">
        <v>278.0</v>
      </c>
      <c r="Q33" s="19">
        <v>259.0</v>
      </c>
      <c r="R33" s="19">
        <v>293.0</v>
      </c>
      <c r="S33" s="19">
        <v>298.0</v>
      </c>
      <c r="T33" s="19">
        <v>282.0</v>
      </c>
      <c r="U33" s="19">
        <v>255.0</v>
      </c>
      <c r="V33" s="19">
        <v>241.0</v>
      </c>
      <c r="W33" s="19">
        <v>230.0</v>
      </c>
      <c r="X33" s="19">
        <v>276.0</v>
      </c>
      <c r="Y33" s="19">
        <v>270.0</v>
      </c>
      <c r="Z33" s="19">
        <v>293.0</v>
      </c>
      <c r="AA33" s="19">
        <v>286.0</v>
      </c>
      <c r="AB33" s="13">
        <f t="shared" ref="AB33:AB36" si="10">SUM(E33:AA33)</f>
        <v>6415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233.0</v>
      </c>
      <c r="G34" s="13">
        <v>214.0</v>
      </c>
      <c r="H34" s="13">
        <v>262.0</v>
      </c>
      <c r="I34" s="13">
        <v>226.0</v>
      </c>
      <c r="J34" s="13">
        <v>225.0</v>
      </c>
      <c r="K34" s="13">
        <v>186.0</v>
      </c>
      <c r="L34" s="13">
        <v>210.0</v>
      </c>
      <c r="M34" s="13">
        <v>215.0</v>
      </c>
      <c r="N34" s="13">
        <v>195.0</v>
      </c>
      <c r="O34" s="13">
        <v>226.0</v>
      </c>
      <c r="P34" s="13">
        <v>210.0</v>
      </c>
      <c r="Q34" s="13">
        <v>203.0</v>
      </c>
      <c r="R34" s="13">
        <v>205.0</v>
      </c>
      <c r="S34" s="13">
        <v>231.0</v>
      </c>
      <c r="T34" s="13">
        <v>218.0</v>
      </c>
      <c r="U34" s="13">
        <v>195.0</v>
      </c>
      <c r="V34" s="13">
        <v>175.0</v>
      </c>
      <c r="W34" s="13">
        <v>179.0</v>
      </c>
      <c r="X34" s="13">
        <v>204.0</v>
      </c>
      <c r="Y34" s="13">
        <v>223.0</v>
      </c>
      <c r="Z34" s="13">
        <v>230.0</v>
      </c>
      <c r="AA34" s="13">
        <v>216.0</v>
      </c>
      <c r="AB34" s="13">
        <f t="shared" si="10"/>
        <v>4890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>
        <v>2.0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>
        <v>1.0</v>
      </c>
      <c r="AB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81</v>
      </c>
      <c r="F36" s="13">
        <f t="shared" si="11"/>
        <v>65</v>
      </c>
      <c r="G36" s="13">
        <f t="shared" si="11"/>
        <v>63</v>
      </c>
      <c r="H36" s="13">
        <f t="shared" si="11"/>
        <v>39</v>
      </c>
      <c r="I36" s="13">
        <f t="shared" si="11"/>
        <v>48</v>
      </c>
      <c r="J36" s="13">
        <f t="shared" si="11"/>
        <v>74</v>
      </c>
      <c r="K36" s="13">
        <f t="shared" si="11"/>
        <v>72</v>
      </c>
      <c r="L36" s="13">
        <f t="shared" si="11"/>
        <v>84</v>
      </c>
      <c r="M36" s="13">
        <f t="shared" si="11"/>
        <v>85</v>
      </c>
      <c r="N36" s="13">
        <f t="shared" si="11"/>
        <v>77</v>
      </c>
      <c r="O36" s="13">
        <f t="shared" si="11"/>
        <v>63</v>
      </c>
      <c r="P36" s="13">
        <f t="shared" si="11"/>
        <v>68</v>
      </c>
      <c r="Q36" s="13">
        <f t="shared" si="11"/>
        <v>56</v>
      </c>
      <c r="R36" s="13">
        <f t="shared" si="11"/>
        <v>88</v>
      </c>
      <c r="S36" s="13">
        <f t="shared" si="11"/>
        <v>67</v>
      </c>
      <c r="T36" s="13">
        <f t="shared" si="11"/>
        <v>64</v>
      </c>
      <c r="U36" s="13">
        <f t="shared" si="11"/>
        <v>60</v>
      </c>
      <c r="V36" s="13">
        <f t="shared" si="11"/>
        <v>66</v>
      </c>
      <c r="W36" s="13">
        <f t="shared" si="11"/>
        <v>51</v>
      </c>
      <c r="X36" s="13">
        <f t="shared" si="11"/>
        <v>72</v>
      </c>
      <c r="Y36" s="13">
        <f t="shared" si="11"/>
        <v>47</v>
      </c>
      <c r="Z36" s="13">
        <f t="shared" si="11"/>
        <v>63</v>
      </c>
      <c r="AA36" s="13">
        <f t="shared" si="11"/>
        <v>69</v>
      </c>
      <c r="AB36" s="13">
        <f t="shared" si="10"/>
        <v>1522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60"/>
      <c r="Q42" s="19"/>
      <c r="R42" s="60"/>
      <c r="S42" s="19"/>
      <c r="T42" s="60"/>
      <c r="U42" s="19"/>
      <c r="V42" s="60"/>
      <c r="W42" s="19"/>
      <c r="X42" s="60"/>
      <c r="Y42" s="19"/>
      <c r="Z42" s="19"/>
      <c r="AA42" s="60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62"/>
      <c r="Q43" s="13"/>
      <c r="R43" s="62"/>
      <c r="S43" s="13"/>
      <c r="T43" s="62"/>
      <c r="U43" s="13"/>
      <c r="V43" s="62"/>
      <c r="W43" s="13"/>
      <c r="X43" s="62"/>
      <c r="Y43" s="13"/>
      <c r="Z43" s="13"/>
      <c r="AA43" s="62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60"/>
      <c r="Q44" s="19"/>
      <c r="R44" s="60"/>
      <c r="S44" s="19"/>
      <c r="T44" s="60"/>
      <c r="U44" s="19"/>
      <c r="V44" s="60"/>
      <c r="W44" s="19"/>
      <c r="X44" s="60"/>
      <c r="Y44" s="19"/>
      <c r="Z44" s="19"/>
      <c r="AA44" s="60"/>
      <c r="AB44" s="13"/>
    </row>
    <row r="45" ht="12.75" customHeight="1">
      <c r="A45" s="64"/>
      <c r="B45" s="47">
        <v>1.0</v>
      </c>
      <c r="C45" s="48" t="s">
        <v>37</v>
      </c>
      <c r="D45" s="16"/>
      <c r="E45" s="19">
        <v>33.0</v>
      </c>
      <c r="F45" s="19">
        <v>20.0</v>
      </c>
      <c r="G45" s="19">
        <v>30.0</v>
      </c>
      <c r="H45" s="19">
        <v>19.0</v>
      </c>
      <c r="I45" s="19">
        <v>15.0</v>
      </c>
      <c r="J45" s="19">
        <v>24.0</v>
      </c>
      <c r="K45" s="19">
        <v>22.0</v>
      </c>
      <c r="L45" s="19">
        <v>22.0</v>
      </c>
      <c r="M45" s="19">
        <v>11.0</v>
      </c>
      <c r="N45" s="19">
        <v>24.0</v>
      </c>
      <c r="O45" s="19">
        <v>14.0</v>
      </c>
      <c r="P45" s="19">
        <v>15.0</v>
      </c>
      <c r="Q45" s="19">
        <v>6.0</v>
      </c>
      <c r="R45" s="19">
        <v>24.0</v>
      </c>
      <c r="S45" s="19">
        <v>24.0</v>
      </c>
      <c r="T45" s="19">
        <v>30.0</v>
      </c>
      <c r="U45" s="19">
        <v>14.0</v>
      </c>
      <c r="V45" s="19">
        <v>8.0</v>
      </c>
      <c r="W45" s="19">
        <v>14.0</v>
      </c>
      <c r="X45" s="19">
        <v>28.0</v>
      </c>
      <c r="Y45" s="19">
        <v>19.0</v>
      </c>
      <c r="Z45" s="19">
        <v>22.0</v>
      </c>
      <c r="AA45" s="19">
        <v>25.0</v>
      </c>
      <c r="AB45" s="13">
        <f t="shared" ref="AB45:AB47" si="14">SUM(E45:AA45)</f>
        <v>463</v>
      </c>
    </row>
    <row r="46" ht="12.75" customHeight="1">
      <c r="A46" s="18"/>
      <c r="B46" s="47">
        <v>2.0</v>
      </c>
      <c r="C46" s="48" t="s">
        <v>38</v>
      </c>
      <c r="D46" s="16"/>
      <c r="E46" s="19">
        <v>118.0</v>
      </c>
      <c r="F46" s="19">
        <v>142.0</v>
      </c>
      <c r="G46" s="19">
        <v>127.0</v>
      </c>
      <c r="H46" s="19">
        <v>179.0</v>
      </c>
      <c r="I46" s="19">
        <v>154.0</v>
      </c>
      <c r="J46" s="19">
        <v>153.0</v>
      </c>
      <c r="K46" s="19">
        <v>105.0</v>
      </c>
      <c r="L46" s="19">
        <v>145.0</v>
      </c>
      <c r="M46" s="19">
        <v>138.0</v>
      </c>
      <c r="N46" s="19">
        <v>117.0</v>
      </c>
      <c r="O46" s="19">
        <v>154.0</v>
      </c>
      <c r="P46" s="19">
        <v>114.0</v>
      </c>
      <c r="Q46" s="19">
        <v>130.0</v>
      </c>
      <c r="R46" s="19">
        <v>148.0</v>
      </c>
      <c r="S46" s="19">
        <v>147.0</v>
      </c>
      <c r="T46" s="19">
        <v>134.0</v>
      </c>
      <c r="U46" s="19">
        <v>120.0</v>
      </c>
      <c r="V46" s="19">
        <v>123.0</v>
      </c>
      <c r="W46" s="19">
        <v>127.0</v>
      </c>
      <c r="X46" s="19">
        <v>133.0</v>
      </c>
      <c r="Y46" s="19">
        <v>150.0</v>
      </c>
      <c r="Z46" s="19">
        <v>131.0</v>
      </c>
      <c r="AA46" s="19">
        <v>131.0</v>
      </c>
      <c r="AB46" s="13">
        <f t="shared" si="14"/>
        <v>3120</v>
      </c>
    </row>
    <row r="47" ht="12.75" customHeight="1">
      <c r="A47" s="45"/>
      <c r="B47" s="47">
        <v>3.0</v>
      </c>
      <c r="C47" s="48" t="s">
        <v>39</v>
      </c>
      <c r="D47" s="16"/>
      <c r="E47" s="19">
        <v>51.0</v>
      </c>
      <c r="F47" s="19">
        <v>68.0</v>
      </c>
      <c r="G47" s="19">
        <v>52.0</v>
      </c>
      <c r="H47" s="19">
        <v>60.0</v>
      </c>
      <c r="I47" s="19">
        <v>56.0</v>
      </c>
      <c r="J47" s="19">
        <v>43.0</v>
      </c>
      <c r="K47" s="19">
        <v>54.0</v>
      </c>
      <c r="L47" s="19">
        <v>42.0</v>
      </c>
      <c r="M47" s="19">
        <v>57.0</v>
      </c>
      <c r="N47" s="19">
        <v>52.0</v>
      </c>
      <c r="O47" s="19">
        <v>56.0</v>
      </c>
      <c r="P47" s="19">
        <v>76.0</v>
      </c>
      <c r="Q47" s="19">
        <v>63.0</v>
      </c>
      <c r="R47" s="19">
        <v>29.0</v>
      </c>
      <c r="S47" s="19">
        <v>57.0</v>
      </c>
      <c r="T47" s="19">
        <v>52.0</v>
      </c>
      <c r="U47" s="19">
        <v>56.0</v>
      </c>
      <c r="V47" s="19">
        <v>43.0</v>
      </c>
      <c r="W47" s="19">
        <v>35.0</v>
      </c>
      <c r="X47" s="19">
        <v>42.0</v>
      </c>
      <c r="Y47" s="19">
        <v>50.0</v>
      </c>
      <c r="Z47" s="19">
        <v>68.0</v>
      </c>
      <c r="AA47" s="19">
        <v>58.0</v>
      </c>
      <c r="AB47" s="13">
        <f t="shared" si="14"/>
        <v>1220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A50" si="15">SUM(E45:E47)</f>
        <v>202</v>
      </c>
      <c r="F50" s="19">
        <f t="shared" si="15"/>
        <v>230</v>
      </c>
      <c r="G50" s="19">
        <f t="shared" si="15"/>
        <v>209</v>
      </c>
      <c r="H50" s="19">
        <f t="shared" si="15"/>
        <v>258</v>
      </c>
      <c r="I50" s="19">
        <f t="shared" si="15"/>
        <v>225</v>
      </c>
      <c r="J50" s="19">
        <f t="shared" si="15"/>
        <v>220</v>
      </c>
      <c r="K50" s="19">
        <f t="shared" si="15"/>
        <v>181</v>
      </c>
      <c r="L50" s="19">
        <f t="shared" si="15"/>
        <v>209</v>
      </c>
      <c r="M50" s="19">
        <f t="shared" si="15"/>
        <v>206</v>
      </c>
      <c r="N50" s="19">
        <f t="shared" si="15"/>
        <v>193</v>
      </c>
      <c r="O50" s="19">
        <f t="shared" si="15"/>
        <v>224</v>
      </c>
      <c r="P50" s="19">
        <f t="shared" si="15"/>
        <v>205</v>
      </c>
      <c r="Q50" s="19">
        <f t="shared" si="15"/>
        <v>199</v>
      </c>
      <c r="R50" s="19">
        <f t="shared" si="15"/>
        <v>201</v>
      </c>
      <c r="S50" s="19">
        <f t="shared" si="15"/>
        <v>228</v>
      </c>
      <c r="T50" s="19">
        <f t="shared" si="15"/>
        <v>216</v>
      </c>
      <c r="U50" s="19">
        <f t="shared" si="15"/>
        <v>190</v>
      </c>
      <c r="V50" s="19">
        <f t="shared" si="15"/>
        <v>174</v>
      </c>
      <c r="W50" s="19">
        <f t="shared" si="15"/>
        <v>176</v>
      </c>
      <c r="X50" s="19">
        <f t="shared" si="15"/>
        <v>203</v>
      </c>
      <c r="Y50" s="19">
        <f t="shared" si="15"/>
        <v>219</v>
      </c>
      <c r="Z50" s="19">
        <f t="shared" si="15"/>
        <v>221</v>
      </c>
      <c r="AA50" s="19">
        <f t="shared" si="15"/>
        <v>214</v>
      </c>
      <c r="AB50" s="13">
        <f t="shared" ref="AB50:AB52" si="16">SUM(E50:AA50)</f>
        <v>4803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7.0</v>
      </c>
      <c r="F51" s="19">
        <v>3.0</v>
      </c>
      <c r="G51" s="19">
        <v>5.0</v>
      </c>
      <c r="H51" s="19">
        <v>4.0</v>
      </c>
      <c r="I51" s="19">
        <v>1.0</v>
      </c>
      <c r="J51" s="19">
        <v>5.0</v>
      </c>
      <c r="K51" s="19">
        <v>5.0</v>
      </c>
      <c r="L51" s="19">
        <v>1.0</v>
      </c>
      <c r="M51" s="19">
        <v>9.0</v>
      </c>
      <c r="N51" s="19">
        <v>2.0</v>
      </c>
      <c r="O51" s="19">
        <v>2.0</v>
      </c>
      <c r="P51" s="19">
        <v>5.0</v>
      </c>
      <c r="Q51" s="19">
        <v>4.0</v>
      </c>
      <c r="R51" s="19">
        <v>4.0</v>
      </c>
      <c r="S51" s="19">
        <v>3.0</v>
      </c>
      <c r="T51" s="19">
        <v>2.0</v>
      </c>
      <c r="U51" s="19">
        <v>5.0</v>
      </c>
      <c r="V51" s="19">
        <v>1.0</v>
      </c>
      <c r="W51" s="19">
        <v>3.0</v>
      </c>
      <c r="X51" s="19">
        <v>1.0</v>
      </c>
      <c r="Y51" s="19">
        <v>4.0</v>
      </c>
      <c r="Z51" s="19">
        <v>9.0</v>
      </c>
      <c r="AA51" s="19">
        <v>2.0</v>
      </c>
      <c r="AB51" s="13">
        <f t="shared" si="16"/>
        <v>87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A52" si="17">SUM(E50:E51)</f>
        <v>209</v>
      </c>
      <c r="F52" s="13">
        <f t="shared" si="17"/>
        <v>233</v>
      </c>
      <c r="G52" s="13">
        <f t="shared" si="17"/>
        <v>214</v>
      </c>
      <c r="H52" s="13">
        <f t="shared" si="17"/>
        <v>262</v>
      </c>
      <c r="I52" s="13">
        <f t="shared" si="17"/>
        <v>226</v>
      </c>
      <c r="J52" s="13">
        <f t="shared" si="17"/>
        <v>225</v>
      </c>
      <c r="K52" s="13">
        <f t="shared" si="17"/>
        <v>186</v>
      </c>
      <c r="L52" s="13">
        <f t="shared" si="17"/>
        <v>210</v>
      </c>
      <c r="M52" s="13">
        <f t="shared" si="17"/>
        <v>215</v>
      </c>
      <c r="N52" s="13">
        <f t="shared" si="17"/>
        <v>195</v>
      </c>
      <c r="O52" s="13">
        <f t="shared" si="17"/>
        <v>226</v>
      </c>
      <c r="P52" s="13">
        <f t="shared" si="17"/>
        <v>210</v>
      </c>
      <c r="Q52" s="13">
        <f t="shared" si="17"/>
        <v>203</v>
      </c>
      <c r="R52" s="13">
        <f t="shared" si="17"/>
        <v>205</v>
      </c>
      <c r="S52" s="13">
        <f t="shared" si="17"/>
        <v>231</v>
      </c>
      <c r="T52" s="13">
        <f t="shared" si="17"/>
        <v>218</v>
      </c>
      <c r="U52" s="13">
        <f t="shared" si="17"/>
        <v>195</v>
      </c>
      <c r="V52" s="13">
        <f t="shared" si="17"/>
        <v>175</v>
      </c>
      <c r="W52" s="13">
        <f t="shared" si="17"/>
        <v>179</v>
      </c>
      <c r="X52" s="13">
        <f t="shared" si="17"/>
        <v>204</v>
      </c>
      <c r="Y52" s="13">
        <f t="shared" si="17"/>
        <v>223</v>
      </c>
      <c r="Z52" s="13">
        <f t="shared" si="17"/>
        <v>230</v>
      </c>
      <c r="AA52" s="13">
        <f t="shared" si="17"/>
        <v>216</v>
      </c>
      <c r="AB52" s="13">
        <f t="shared" si="16"/>
        <v>4890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A15 E45:AA4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50:AA51">
    <cfRule type="containsBlanks" dxfId="1" priority="10">
      <formula>LEN(TRIM(E50))=0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138.0</v>
      </c>
      <c r="H14" s="19">
        <v>147.0</v>
      </c>
      <c r="I14" s="19">
        <v>148.0</v>
      </c>
      <c r="J14" s="19">
        <v>147.0</v>
      </c>
      <c r="K14" s="19">
        <v>144.0</v>
      </c>
      <c r="L14" s="19">
        <v>126.0</v>
      </c>
      <c r="M14" s="19">
        <v>145.0</v>
      </c>
      <c r="N14" s="19">
        <v>153.0</v>
      </c>
      <c r="O14" s="19">
        <v>152.0</v>
      </c>
      <c r="P14" s="19">
        <v>108.0</v>
      </c>
      <c r="Q14" s="19">
        <v>139.0</v>
      </c>
      <c r="R14" s="19">
        <v>106.0</v>
      </c>
      <c r="S14" s="19">
        <v>135.0</v>
      </c>
      <c r="T14" s="19"/>
      <c r="U14" s="19"/>
      <c r="V14" s="19"/>
      <c r="W14" s="19"/>
      <c r="X14" s="13">
        <f t="shared" ref="X14:X16" si="1">SUM(E14:W14)</f>
        <v>2076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156.0</v>
      </c>
      <c r="G15" s="19">
        <v>150.0</v>
      </c>
      <c r="H15" s="19">
        <v>146.0</v>
      </c>
      <c r="I15" s="19">
        <v>136.0</v>
      </c>
      <c r="J15" s="19">
        <v>150.0</v>
      </c>
      <c r="K15" s="19">
        <v>151.0</v>
      </c>
      <c r="L15" s="19">
        <v>126.0</v>
      </c>
      <c r="M15" s="19">
        <v>148.0</v>
      </c>
      <c r="N15" s="19">
        <v>143.0</v>
      </c>
      <c r="O15" s="19">
        <v>134.0</v>
      </c>
      <c r="P15" s="19">
        <v>106.0</v>
      </c>
      <c r="Q15" s="19">
        <v>141.0</v>
      </c>
      <c r="R15" s="19">
        <v>110.0</v>
      </c>
      <c r="S15" s="19">
        <v>135.0</v>
      </c>
      <c r="T15" s="19"/>
      <c r="U15" s="19"/>
      <c r="V15" s="19"/>
      <c r="W15" s="19"/>
      <c r="X15" s="13">
        <f t="shared" si="1"/>
        <v>2074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293</v>
      </c>
      <c r="F16" s="13">
        <f t="shared" si="2"/>
        <v>293</v>
      </c>
      <c r="G16" s="13">
        <f t="shared" si="2"/>
        <v>288</v>
      </c>
      <c r="H16" s="13">
        <f t="shared" si="2"/>
        <v>293</v>
      </c>
      <c r="I16" s="13">
        <f t="shared" si="2"/>
        <v>284</v>
      </c>
      <c r="J16" s="13">
        <f t="shared" si="2"/>
        <v>297</v>
      </c>
      <c r="K16" s="13">
        <f t="shared" si="2"/>
        <v>295</v>
      </c>
      <c r="L16" s="13">
        <f t="shared" si="2"/>
        <v>252</v>
      </c>
      <c r="M16" s="13">
        <f t="shared" si="2"/>
        <v>293</v>
      </c>
      <c r="N16" s="13">
        <f t="shared" si="2"/>
        <v>296</v>
      </c>
      <c r="O16" s="13">
        <f t="shared" si="2"/>
        <v>286</v>
      </c>
      <c r="P16" s="13">
        <f t="shared" si="2"/>
        <v>214</v>
      </c>
      <c r="Q16" s="13">
        <f t="shared" si="2"/>
        <v>280</v>
      </c>
      <c r="R16" s="13">
        <f t="shared" si="2"/>
        <v>216</v>
      </c>
      <c r="S16" s="13">
        <f t="shared" si="2"/>
        <v>270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1"/>
        <v>4150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60"/>
      <c r="P17" s="60"/>
      <c r="Q17" s="60"/>
      <c r="R17" s="19"/>
      <c r="S17" s="19"/>
      <c r="T17" s="60"/>
      <c r="U17" s="60"/>
      <c r="V17" s="60"/>
      <c r="W17" s="60"/>
      <c r="X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60"/>
      <c r="P18" s="60"/>
      <c r="Q18" s="60"/>
      <c r="R18" s="19"/>
      <c r="S18" s="19"/>
      <c r="T18" s="60"/>
      <c r="U18" s="60"/>
      <c r="V18" s="60"/>
      <c r="W18" s="60"/>
      <c r="X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105.0</v>
      </c>
      <c r="G19" s="19">
        <v>106.0</v>
      </c>
      <c r="H19" s="19">
        <v>112.0</v>
      </c>
      <c r="I19" s="19">
        <v>104.0</v>
      </c>
      <c r="J19" s="19">
        <v>100.0</v>
      </c>
      <c r="K19" s="19">
        <v>104.0</v>
      </c>
      <c r="L19" s="19">
        <v>91.0</v>
      </c>
      <c r="M19" s="19">
        <v>119.0</v>
      </c>
      <c r="N19" s="19">
        <v>105.0</v>
      </c>
      <c r="O19" s="19">
        <v>108.0</v>
      </c>
      <c r="P19" s="19">
        <v>97.0</v>
      </c>
      <c r="Q19" s="19">
        <v>106.0</v>
      </c>
      <c r="R19" s="19">
        <v>74.0</v>
      </c>
      <c r="S19" s="19">
        <v>97.0</v>
      </c>
      <c r="T19" s="19"/>
      <c r="U19" s="19"/>
      <c r="V19" s="19"/>
      <c r="W19" s="19"/>
      <c r="X19" s="13">
        <f t="shared" ref="X19:X30" si="3">SUM(E19:W19)</f>
        <v>1540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126.0</v>
      </c>
      <c r="G20" s="19">
        <v>126.0</v>
      </c>
      <c r="H20" s="19">
        <v>119.0</v>
      </c>
      <c r="I20" s="19">
        <v>106.0</v>
      </c>
      <c r="J20" s="19">
        <v>124.0</v>
      </c>
      <c r="K20" s="19">
        <v>119.0</v>
      </c>
      <c r="L20" s="19">
        <v>104.0</v>
      </c>
      <c r="M20" s="19">
        <v>111.0</v>
      </c>
      <c r="N20" s="19">
        <v>109.0</v>
      </c>
      <c r="O20" s="19">
        <v>95.0</v>
      </c>
      <c r="P20" s="19">
        <v>86.0</v>
      </c>
      <c r="Q20" s="19">
        <v>112.0</v>
      </c>
      <c r="R20" s="19">
        <v>77.0</v>
      </c>
      <c r="S20" s="19">
        <v>110.0</v>
      </c>
      <c r="T20" s="19"/>
      <c r="U20" s="19"/>
      <c r="V20" s="19"/>
      <c r="W20" s="19"/>
      <c r="X20" s="13">
        <f t="shared" si="3"/>
        <v>1630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218</v>
      </c>
      <c r="F21" s="13">
        <f t="shared" si="4"/>
        <v>231</v>
      </c>
      <c r="G21" s="13">
        <f t="shared" si="4"/>
        <v>232</v>
      </c>
      <c r="H21" s="13">
        <f t="shared" si="4"/>
        <v>231</v>
      </c>
      <c r="I21" s="13">
        <f t="shared" si="4"/>
        <v>210</v>
      </c>
      <c r="J21" s="13">
        <f t="shared" si="4"/>
        <v>224</v>
      </c>
      <c r="K21" s="13">
        <f t="shared" si="4"/>
        <v>223</v>
      </c>
      <c r="L21" s="13">
        <f t="shared" si="4"/>
        <v>195</v>
      </c>
      <c r="M21" s="13">
        <f t="shared" si="4"/>
        <v>230</v>
      </c>
      <c r="N21" s="13">
        <f t="shared" si="4"/>
        <v>214</v>
      </c>
      <c r="O21" s="13">
        <f t="shared" si="4"/>
        <v>203</v>
      </c>
      <c r="P21" s="13">
        <f t="shared" si="4"/>
        <v>183</v>
      </c>
      <c r="Q21" s="13">
        <f t="shared" si="4"/>
        <v>218</v>
      </c>
      <c r="R21" s="13">
        <f t="shared" si="4"/>
        <v>151</v>
      </c>
      <c r="S21" s="13">
        <f t="shared" si="4"/>
        <v>207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3"/>
        <v>3170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3.0</v>
      </c>
      <c r="T22" s="19"/>
      <c r="U22" s="19"/>
      <c r="V22" s="19"/>
      <c r="W22" s="19"/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3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1.0</v>
      </c>
      <c r="L25" s="19">
        <v>0.0</v>
      </c>
      <c r="M25" s="19">
        <v>2.0</v>
      </c>
      <c r="N25" s="19">
        <v>1.0</v>
      </c>
      <c r="O25" s="19">
        <v>3.0</v>
      </c>
      <c r="P25" s="19">
        <v>0.0</v>
      </c>
      <c r="Q25" s="19">
        <v>1.0</v>
      </c>
      <c r="R25" s="19">
        <v>12.0</v>
      </c>
      <c r="S25" s="19">
        <v>2.0</v>
      </c>
      <c r="T25" s="19"/>
      <c r="U25" s="19"/>
      <c r="V25" s="19"/>
      <c r="W25" s="19"/>
      <c r="X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5.0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3.0</v>
      </c>
      <c r="O26" s="19">
        <v>2.0</v>
      </c>
      <c r="P26" s="19">
        <v>2.0</v>
      </c>
      <c r="Q26" s="19">
        <v>1.0</v>
      </c>
      <c r="R26" s="19">
        <v>12.0</v>
      </c>
      <c r="S26" s="19">
        <v>1.0</v>
      </c>
      <c r="T26" s="19"/>
      <c r="U26" s="19"/>
      <c r="V26" s="19"/>
      <c r="W26" s="19"/>
      <c r="X26" s="13">
        <f t="shared" si="3"/>
        <v>30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5</v>
      </c>
      <c r="P27" s="13">
        <f t="shared" si="6"/>
        <v>2</v>
      </c>
      <c r="Q27" s="13">
        <f t="shared" si="6"/>
        <v>2</v>
      </c>
      <c r="R27" s="13">
        <f t="shared" si="6"/>
        <v>24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113</v>
      </c>
      <c r="F28" s="13">
        <f t="shared" si="7"/>
        <v>105</v>
      </c>
      <c r="G28" s="13">
        <f t="shared" si="7"/>
        <v>106</v>
      </c>
      <c r="H28" s="13">
        <f t="shared" si="7"/>
        <v>112</v>
      </c>
      <c r="I28" s="13">
        <f t="shared" si="7"/>
        <v>105</v>
      </c>
      <c r="J28" s="13">
        <f t="shared" si="7"/>
        <v>102</v>
      </c>
      <c r="K28" s="13">
        <f t="shared" si="7"/>
        <v>105</v>
      </c>
      <c r="L28" s="13">
        <f t="shared" si="7"/>
        <v>91</v>
      </c>
      <c r="M28" s="13">
        <f t="shared" si="7"/>
        <v>121</v>
      </c>
      <c r="N28" s="13">
        <f t="shared" si="7"/>
        <v>106</v>
      </c>
      <c r="O28" s="13">
        <f t="shared" si="7"/>
        <v>111</v>
      </c>
      <c r="P28" s="13">
        <f t="shared" si="7"/>
        <v>97</v>
      </c>
      <c r="Q28" s="13">
        <f t="shared" si="7"/>
        <v>107</v>
      </c>
      <c r="R28" s="13">
        <f t="shared" si="7"/>
        <v>86</v>
      </c>
      <c r="S28" s="13">
        <f t="shared" si="7"/>
        <v>102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3"/>
        <v>1569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107</v>
      </c>
      <c r="F29" s="13">
        <f t="shared" si="8"/>
        <v>126</v>
      </c>
      <c r="G29" s="13">
        <f t="shared" si="8"/>
        <v>126</v>
      </c>
      <c r="H29" s="13">
        <f t="shared" si="8"/>
        <v>124</v>
      </c>
      <c r="I29" s="13">
        <f t="shared" si="8"/>
        <v>106</v>
      </c>
      <c r="J29" s="13">
        <f t="shared" si="8"/>
        <v>125</v>
      </c>
      <c r="K29" s="13">
        <f t="shared" si="8"/>
        <v>120</v>
      </c>
      <c r="L29" s="13">
        <f t="shared" si="8"/>
        <v>104</v>
      </c>
      <c r="M29" s="13">
        <f t="shared" si="8"/>
        <v>112</v>
      </c>
      <c r="N29" s="13">
        <f t="shared" si="8"/>
        <v>112</v>
      </c>
      <c r="O29" s="13">
        <f t="shared" si="8"/>
        <v>97</v>
      </c>
      <c r="P29" s="13">
        <f t="shared" si="8"/>
        <v>88</v>
      </c>
      <c r="Q29" s="13">
        <f t="shared" si="8"/>
        <v>113</v>
      </c>
      <c r="R29" s="13">
        <f t="shared" si="8"/>
        <v>89</v>
      </c>
      <c r="S29" s="13">
        <f t="shared" si="8"/>
        <v>111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3"/>
        <v>1660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220</v>
      </c>
      <c r="F30" s="13">
        <f t="shared" si="9"/>
        <v>231</v>
      </c>
      <c r="G30" s="13">
        <f t="shared" si="9"/>
        <v>232</v>
      </c>
      <c r="H30" s="13">
        <f t="shared" si="9"/>
        <v>236</v>
      </c>
      <c r="I30" s="13">
        <f t="shared" si="9"/>
        <v>211</v>
      </c>
      <c r="J30" s="13">
        <f t="shared" si="9"/>
        <v>227</v>
      </c>
      <c r="K30" s="13">
        <f t="shared" si="9"/>
        <v>225</v>
      </c>
      <c r="L30" s="13">
        <f t="shared" si="9"/>
        <v>195</v>
      </c>
      <c r="M30" s="13">
        <f t="shared" si="9"/>
        <v>233</v>
      </c>
      <c r="N30" s="13">
        <f t="shared" si="9"/>
        <v>218</v>
      </c>
      <c r="O30" s="13">
        <f t="shared" si="9"/>
        <v>208</v>
      </c>
      <c r="P30" s="13">
        <f t="shared" si="9"/>
        <v>185</v>
      </c>
      <c r="Q30" s="13">
        <f t="shared" si="9"/>
        <v>220</v>
      </c>
      <c r="R30" s="13">
        <f t="shared" si="9"/>
        <v>175</v>
      </c>
      <c r="S30" s="13">
        <f t="shared" si="9"/>
        <v>213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3"/>
        <v>3229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60"/>
      <c r="P31" s="60"/>
      <c r="Q31" s="60"/>
      <c r="R31" s="19"/>
      <c r="S31" s="19"/>
      <c r="T31" s="60"/>
      <c r="U31" s="60"/>
      <c r="V31" s="60"/>
      <c r="W31" s="60"/>
      <c r="X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62"/>
      <c r="P32" s="62"/>
      <c r="Q32" s="62"/>
      <c r="R32" s="13"/>
      <c r="S32" s="13"/>
      <c r="T32" s="62"/>
      <c r="U32" s="62"/>
      <c r="V32" s="62"/>
      <c r="W32" s="62"/>
      <c r="X32" s="61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299.0</v>
      </c>
      <c r="G33" s="19">
        <v>294.0</v>
      </c>
      <c r="H33" s="19">
        <v>299.0</v>
      </c>
      <c r="I33" s="19">
        <v>292.0</v>
      </c>
      <c r="J33" s="19">
        <v>303.0</v>
      </c>
      <c r="K33" s="19">
        <v>305.0</v>
      </c>
      <c r="L33" s="19">
        <v>260.0</v>
      </c>
      <c r="M33" s="19">
        <v>299.0</v>
      </c>
      <c r="N33" s="19">
        <v>302.0</v>
      </c>
      <c r="O33" s="19">
        <v>292.0</v>
      </c>
      <c r="P33" s="19">
        <v>219.0</v>
      </c>
      <c r="Q33" s="19">
        <v>286.0</v>
      </c>
      <c r="R33" s="19">
        <v>221.0</v>
      </c>
      <c r="S33" s="19">
        <v>276.0</v>
      </c>
      <c r="T33" s="19"/>
      <c r="U33" s="19"/>
      <c r="V33" s="19"/>
      <c r="W33" s="19"/>
      <c r="X33" s="13">
        <f t="shared" ref="X33:X36" si="10">SUM(E33:W33)</f>
        <v>4246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231.0</v>
      </c>
      <c r="G34" s="13">
        <v>232.0</v>
      </c>
      <c r="H34" s="13">
        <v>236.0</v>
      </c>
      <c r="I34" s="13">
        <v>211.0</v>
      </c>
      <c r="J34" s="13">
        <v>227.0</v>
      </c>
      <c r="K34" s="13">
        <v>225.0</v>
      </c>
      <c r="L34" s="13">
        <v>195.0</v>
      </c>
      <c r="M34" s="13">
        <v>233.0</v>
      </c>
      <c r="N34" s="13">
        <v>218.0</v>
      </c>
      <c r="O34" s="13">
        <v>208.0</v>
      </c>
      <c r="P34" s="13">
        <v>185.0</v>
      </c>
      <c r="Q34" s="13">
        <v>220.0</v>
      </c>
      <c r="R34" s="13">
        <v>175.0</v>
      </c>
      <c r="S34" s="13">
        <v>213.0</v>
      </c>
      <c r="T34" s="13"/>
      <c r="U34" s="13"/>
      <c r="V34" s="13"/>
      <c r="W34" s="13"/>
      <c r="X34" s="13">
        <f t="shared" si="10"/>
        <v>3229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79</v>
      </c>
      <c r="F36" s="13">
        <f t="shared" si="11"/>
        <v>68</v>
      </c>
      <c r="G36" s="13">
        <f t="shared" si="11"/>
        <v>62</v>
      </c>
      <c r="H36" s="13">
        <f t="shared" si="11"/>
        <v>62</v>
      </c>
      <c r="I36" s="13">
        <f t="shared" si="11"/>
        <v>81</v>
      </c>
      <c r="J36" s="13">
        <f t="shared" si="11"/>
        <v>76</v>
      </c>
      <c r="K36" s="13">
        <f t="shared" si="11"/>
        <v>80</v>
      </c>
      <c r="L36" s="13">
        <f t="shared" si="11"/>
        <v>65</v>
      </c>
      <c r="M36" s="13">
        <f t="shared" si="11"/>
        <v>66</v>
      </c>
      <c r="N36" s="13">
        <f t="shared" si="11"/>
        <v>82</v>
      </c>
      <c r="O36" s="13">
        <f t="shared" si="11"/>
        <v>84</v>
      </c>
      <c r="P36" s="13">
        <f t="shared" si="11"/>
        <v>34</v>
      </c>
      <c r="Q36" s="13">
        <f t="shared" si="11"/>
        <v>66</v>
      </c>
      <c r="R36" s="13">
        <f t="shared" si="11"/>
        <v>46</v>
      </c>
      <c r="S36" s="13">
        <f t="shared" si="11"/>
        <v>63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0"/>
        <v>1014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63"/>
      <c r="P37" s="63"/>
      <c r="Q37" s="63"/>
      <c r="R37" s="19"/>
      <c r="S37" s="19"/>
      <c r="T37" s="60"/>
      <c r="U37" s="63"/>
      <c r="V37" s="63"/>
      <c r="W37" s="63"/>
      <c r="X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62"/>
      <c r="P38" s="62"/>
      <c r="Q38" s="62"/>
      <c r="R38" s="13"/>
      <c r="S38" s="13"/>
      <c r="T38" s="62"/>
      <c r="U38" s="62"/>
      <c r="V38" s="62"/>
      <c r="W38" s="62"/>
      <c r="X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/>
      <c r="W39" s="19"/>
      <c r="X39" s="13">
        <f t="shared" ref="X39:X41" si="12">SUM(E39:W39)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5.0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2.0</v>
      </c>
      <c r="S40" s="19">
        <v>0.0</v>
      </c>
      <c r="T40" s="19"/>
      <c r="U40" s="19"/>
      <c r="V40" s="19"/>
      <c r="W40" s="19"/>
      <c r="X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60"/>
      <c r="Q42" s="19"/>
      <c r="R42" s="19"/>
      <c r="S42" s="19"/>
      <c r="T42" s="60"/>
      <c r="U42" s="19"/>
      <c r="V42" s="60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62"/>
      <c r="Q43" s="13"/>
      <c r="R43" s="13"/>
      <c r="S43" s="13"/>
      <c r="T43" s="62"/>
      <c r="U43" s="13"/>
      <c r="V43" s="62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60"/>
      <c r="Q44" s="19"/>
      <c r="R44" s="19"/>
      <c r="S44" s="19"/>
      <c r="T44" s="60"/>
      <c r="U44" s="19"/>
      <c r="V44" s="60"/>
      <c r="W44" s="19"/>
      <c r="X44" s="13"/>
    </row>
    <row r="45" ht="12.75" customHeight="1">
      <c r="A45" s="64"/>
      <c r="B45" s="47">
        <v>1.0</v>
      </c>
      <c r="C45" s="48" t="s">
        <v>37</v>
      </c>
      <c r="D45" s="16"/>
      <c r="E45" s="19">
        <v>35.0</v>
      </c>
      <c r="F45" s="19">
        <v>37.0</v>
      </c>
      <c r="G45" s="19">
        <v>30.0</v>
      </c>
      <c r="H45" s="19">
        <v>27.0</v>
      </c>
      <c r="I45" s="19">
        <v>21.0</v>
      </c>
      <c r="J45" s="19">
        <v>22.0</v>
      </c>
      <c r="K45" s="19">
        <v>12.0</v>
      </c>
      <c r="L45" s="19">
        <v>33.0</v>
      </c>
      <c r="M45" s="19">
        <v>51.0</v>
      </c>
      <c r="N45" s="19">
        <v>35.0</v>
      </c>
      <c r="O45" s="19">
        <v>23.0</v>
      </c>
      <c r="P45" s="19">
        <v>4.0</v>
      </c>
      <c r="Q45" s="19">
        <v>30.0</v>
      </c>
      <c r="R45" s="19">
        <v>21.0</v>
      </c>
      <c r="S45" s="19">
        <v>21.0</v>
      </c>
      <c r="T45" s="19">
        <v>27.0</v>
      </c>
      <c r="U45" s="19">
        <v>8.0</v>
      </c>
      <c r="V45" s="19">
        <v>10.0</v>
      </c>
      <c r="W45" s="19">
        <v>7.0</v>
      </c>
      <c r="X45" s="13">
        <f t="shared" ref="X45:X47" si="14">SUM(E45:W45)</f>
        <v>454</v>
      </c>
    </row>
    <row r="46" ht="12.75" customHeight="1">
      <c r="A46" s="18"/>
      <c r="B46" s="47">
        <v>2.0</v>
      </c>
      <c r="C46" s="48" t="s">
        <v>38</v>
      </c>
      <c r="D46" s="16"/>
      <c r="E46" s="19">
        <v>148.0</v>
      </c>
      <c r="F46" s="19">
        <v>164.0</v>
      </c>
      <c r="G46" s="19">
        <v>157.0</v>
      </c>
      <c r="H46" s="19">
        <v>173.0</v>
      </c>
      <c r="I46" s="19">
        <v>143.0</v>
      </c>
      <c r="J46" s="19">
        <v>155.0</v>
      </c>
      <c r="K46" s="19">
        <v>161.0</v>
      </c>
      <c r="L46" s="19">
        <v>125.0</v>
      </c>
      <c r="M46" s="19">
        <v>140.0</v>
      </c>
      <c r="N46" s="19">
        <v>149.0</v>
      </c>
      <c r="O46" s="19">
        <v>147.0</v>
      </c>
      <c r="P46" s="19">
        <v>134.0</v>
      </c>
      <c r="Q46" s="19">
        <v>135.0</v>
      </c>
      <c r="R46" s="19">
        <v>108.0</v>
      </c>
      <c r="S46" s="19">
        <v>164.0</v>
      </c>
      <c r="T46" s="19">
        <v>152.0</v>
      </c>
      <c r="U46" s="19">
        <v>149.0</v>
      </c>
      <c r="V46" s="19">
        <v>122.0</v>
      </c>
      <c r="W46" s="19">
        <v>138.0</v>
      </c>
      <c r="X46" s="13">
        <f t="shared" si="14"/>
        <v>2764</v>
      </c>
    </row>
    <row r="47" ht="12.75" customHeight="1">
      <c r="A47" s="45"/>
      <c r="B47" s="47">
        <v>3.0</v>
      </c>
      <c r="C47" s="48" t="s">
        <v>39</v>
      </c>
      <c r="D47" s="16"/>
      <c r="E47" s="19">
        <v>37.0</v>
      </c>
      <c r="F47" s="19">
        <v>28.0</v>
      </c>
      <c r="G47" s="19">
        <v>44.0</v>
      </c>
      <c r="H47" s="19">
        <v>33.0</v>
      </c>
      <c r="I47" s="19">
        <v>43.0</v>
      </c>
      <c r="J47" s="19">
        <v>47.0</v>
      </c>
      <c r="K47" s="19">
        <v>48.0</v>
      </c>
      <c r="L47" s="19">
        <v>33.0</v>
      </c>
      <c r="M47" s="19">
        <v>37.0</v>
      </c>
      <c r="N47" s="19">
        <v>28.0</v>
      </c>
      <c r="O47" s="19">
        <v>33.0</v>
      </c>
      <c r="P47" s="19">
        <v>46.0</v>
      </c>
      <c r="Q47" s="19">
        <v>53.0</v>
      </c>
      <c r="R47" s="19">
        <v>41.0</v>
      </c>
      <c r="S47" s="19">
        <v>25.0</v>
      </c>
      <c r="T47" s="19">
        <v>25.0</v>
      </c>
      <c r="U47" s="19">
        <v>39.0</v>
      </c>
      <c r="V47" s="19">
        <v>45.0</v>
      </c>
      <c r="W47" s="19">
        <v>36.0</v>
      </c>
      <c r="X47" s="13">
        <f t="shared" si="14"/>
        <v>721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2"/>
      <c r="O49" s="62"/>
      <c r="P49" s="62"/>
      <c r="Q49" s="62"/>
      <c r="R49" s="13"/>
      <c r="S49" s="13"/>
      <c r="T49" s="62"/>
      <c r="U49" s="62"/>
      <c r="V49" s="62"/>
      <c r="W49" s="62"/>
      <c r="X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W50" si="15">SUM(E45:E47)</f>
        <v>220</v>
      </c>
      <c r="F50" s="19">
        <f t="shared" si="15"/>
        <v>229</v>
      </c>
      <c r="G50" s="19">
        <f t="shared" si="15"/>
        <v>231</v>
      </c>
      <c r="H50" s="19">
        <f t="shared" si="15"/>
        <v>233</v>
      </c>
      <c r="I50" s="19">
        <f t="shared" si="15"/>
        <v>207</v>
      </c>
      <c r="J50" s="19">
        <f t="shared" si="15"/>
        <v>224</v>
      </c>
      <c r="K50" s="19">
        <f t="shared" si="15"/>
        <v>221</v>
      </c>
      <c r="L50" s="19">
        <f t="shared" si="15"/>
        <v>191</v>
      </c>
      <c r="M50" s="19">
        <f t="shared" si="15"/>
        <v>228</v>
      </c>
      <c r="N50" s="19">
        <f t="shared" si="15"/>
        <v>212</v>
      </c>
      <c r="O50" s="19">
        <f t="shared" si="15"/>
        <v>203</v>
      </c>
      <c r="P50" s="19">
        <f t="shared" si="15"/>
        <v>184</v>
      </c>
      <c r="Q50" s="19">
        <f t="shared" si="15"/>
        <v>218</v>
      </c>
      <c r="R50" s="19">
        <f t="shared" si="15"/>
        <v>170</v>
      </c>
      <c r="S50" s="19">
        <f t="shared" si="15"/>
        <v>210</v>
      </c>
      <c r="T50" s="19">
        <f t="shared" si="15"/>
        <v>204</v>
      </c>
      <c r="U50" s="19">
        <f t="shared" si="15"/>
        <v>196</v>
      </c>
      <c r="V50" s="19">
        <f t="shared" si="15"/>
        <v>177</v>
      </c>
      <c r="W50" s="19">
        <f t="shared" si="15"/>
        <v>181</v>
      </c>
      <c r="X50" s="13">
        <f t="shared" ref="X50:X52" si="16">SUM(E50:W50)</f>
        <v>3939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0.0</v>
      </c>
      <c r="F51" s="19">
        <v>2.0</v>
      </c>
      <c r="G51" s="19">
        <v>1.0</v>
      </c>
      <c r="H51" s="19">
        <v>3.0</v>
      </c>
      <c r="I51" s="19">
        <v>4.0</v>
      </c>
      <c r="J51" s="19">
        <v>3.0</v>
      </c>
      <c r="K51" s="19">
        <v>4.0</v>
      </c>
      <c r="L51" s="19">
        <v>4.0</v>
      </c>
      <c r="M51" s="19">
        <v>5.0</v>
      </c>
      <c r="N51" s="19">
        <v>6.0</v>
      </c>
      <c r="O51" s="19">
        <v>5.0</v>
      </c>
      <c r="P51" s="19">
        <v>1.0</v>
      </c>
      <c r="Q51" s="19">
        <v>2.0</v>
      </c>
      <c r="R51" s="19">
        <v>5.0</v>
      </c>
      <c r="S51" s="19">
        <v>3.0</v>
      </c>
      <c r="T51" s="19">
        <v>3.0</v>
      </c>
      <c r="U51" s="19">
        <v>2.0</v>
      </c>
      <c r="V51" s="19">
        <v>4.0</v>
      </c>
      <c r="W51" s="19">
        <v>5.0</v>
      </c>
      <c r="X51" s="13">
        <f t="shared" si="16"/>
        <v>62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W52" si="17">SUM(E50:E51)</f>
        <v>220</v>
      </c>
      <c r="F52" s="13">
        <f t="shared" si="17"/>
        <v>231</v>
      </c>
      <c r="G52" s="13">
        <f t="shared" si="17"/>
        <v>232</v>
      </c>
      <c r="H52" s="13">
        <f t="shared" si="17"/>
        <v>236</v>
      </c>
      <c r="I52" s="13">
        <f t="shared" si="17"/>
        <v>211</v>
      </c>
      <c r="J52" s="13">
        <f t="shared" si="17"/>
        <v>227</v>
      </c>
      <c r="K52" s="13">
        <f t="shared" si="17"/>
        <v>225</v>
      </c>
      <c r="L52" s="13">
        <f t="shared" si="17"/>
        <v>195</v>
      </c>
      <c r="M52" s="13">
        <f t="shared" si="17"/>
        <v>233</v>
      </c>
      <c r="N52" s="13">
        <f t="shared" si="17"/>
        <v>218</v>
      </c>
      <c r="O52" s="13">
        <f t="shared" si="17"/>
        <v>208</v>
      </c>
      <c r="P52" s="13">
        <f t="shared" si="17"/>
        <v>185</v>
      </c>
      <c r="Q52" s="13">
        <f t="shared" si="17"/>
        <v>220</v>
      </c>
      <c r="R52" s="13">
        <f t="shared" si="17"/>
        <v>175</v>
      </c>
      <c r="S52" s="13">
        <f t="shared" si="17"/>
        <v>213</v>
      </c>
      <c r="T52" s="13">
        <f t="shared" si="17"/>
        <v>207</v>
      </c>
      <c r="U52" s="13">
        <f t="shared" si="17"/>
        <v>198</v>
      </c>
      <c r="V52" s="13">
        <f t="shared" si="17"/>
        <v>181</v>
      </c>
      <c r="W52" s="13">
        <f t="shared" si="17"/>
        <v>186</v>
      </c>
      <c r="X52" s="13">
        <f t="shared" si="16"/>
        <v>4001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 E45:W47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E30&lt;&gt;E46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50:W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29"/>
      <c r="N12" s="15"/>
      <c r="O12" s="15"/>
      <c r="P12" s="15"/>
      <c r="Q12" s="15"/>
      <c r="R12" s="15"/>
      <c r="S12" s="15"/>
      <c r="T12" s="15"/>
      <c r="U12" s="29"/>
      <c r="V12" s="15"/>
      <c r="W12" s="15"/>
      <c r="X12" s="15"/>
      <c r="Y12" s="15"/>
      <c r="Z12" s="15"/>
      <c r="AA12" s="15"/>
      <c r="AB12" s="15"/>
      <c r="AC12" s="29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69</v>
      </c>
      <c r="Z13" s="13" t="s">
        <v>70</v>
      </c>
      <c r="AA13" s="13" t="s">
        <v>71</v>
      </c>
      <c r="AB13" s="13" t="s">
        <v>72</v>
      </c>
      <c r="AC13" s="13" t="s">
        <v>73</v>
      </c>
      <c r="AD13" s="13" t="s">
        <v>74</v>
      </c>
      <c r="AE13" s="13" t="s">
        <v>75</v>
      </c>
      <c r="AF13" s="13" t="s">
        <v>76</v>
      </c>
      <c r="AG13" s="13" t="s">
        <v>77</v>
      </c>
      <c r="AH13" s="13" t="s">
        <v>78</v>
      </c>
      <c r="AI13" s="13" t="s">
        <v>79</v>
      </c>
      <c r="AJ13" s="13" t="s">
        <v>80</v>
      </c>
      <c r="AK13" s="13" t="s">
        <v>81</v>
      </c>
      <c r="AL13" s="13" t="s">
        <v>82</v>
      </c>
      <c r="AM13" s="13" t="s">
        <v>83</v>
      </c>
      <c r="AN13" s="13" t="s">
        <v>84</v>
      </c>
      <c r="AO13" s="13" t="s">
        <v>85</v>
      </c>
      <c r="A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142.0</v>
      </c>
      <c r="G14" s="19">
        <v>114.0</v>
      </c>
      <c r="H14" s="19">
        <v>129.0</v>
      </c>
      <c r="I14" s="19">
        <v>133.0</v>
      </c>
      <c r="J14" s="19">
        <v>103.0</v>
      </c>
      <c r="K14" s="19">
        <v>111.0</v>
      </c>
      <c r="L14" s="19">
        <v>97.0</v>
      </c>
      <c r="M14" s="19">
        <v>146.0</v>
      </c>
      <c r="N14" s="19">
        <v>140.0</v>
      </c>
      <c r="O14" s="19">
        <v>143.0</v>
      </c>
      <c r="P14" s="19">
        <v>89.0</v>
      </c>
      <c r="Q14" s="19">
        <v>139.0</v>
      </c>
      <c r="R14" s="19">
        <v>117.0</v>
      </c>
      <c r="S14" s="19">
        <v>137.0</v>
      </c>
      <c r="T14" s="19">
        <v>122.0</v>
      </c>
      <c r="U14" s="19">
        <v>123.0</v>
      </c>
      <c r="V14" s="19">
        <v>143.0</v>
      </c>
      <c r="W14" s="19">
        <v>142.0</v>
      </c>
      <c r="X14" s="19">
        <v>147.0</v>
      </c>
      <c r="Y14" s="19">
        <v>133.0</v>
      </c>
      <c r="Z14" s="19">
        <v>143.0</v>
      </c>
      <c r="AA14" s="19">
        <v>142.0</v>
      </c>
      <c r="AB14" s="19">
        <v>140.0</v>
      </c>
      <c r="AC14" s="19">
        <v>138.0</v>
      </c>
      <c r="AD14" s="19">
        <v>136.0</v>
      </c>
      <c r="AE14" s="19">
        <v>136.0</v>
      </c>
      <c r="AF14" s="19">
        <v>152.0</v>
      </c>
      <c r="AG14" s="19">
        <v>123.0</v>
      </c>
      <c r="AH14" s="19">
        <v>133.0</v>
      </c>
      <c r="AI14" s="19">
        <v>134.0</v>
      </c>
      <c r="AJ14" s="19">
        <v>143.0</v>
      </c>
      <c r="AK14" s="19">
        <v>135.0</v>
      </c>
      <c r="AL14" s="19">
        <v>127.0</v>
      </c>
      <c r="AM14" s="19">
        <v>143.0</v>
      </c>
      <c r="AN14" s="19">
        <v>119.0</v>
      </c>
      <c r="AO14" s="19">
        <v>124.0</v>
      </c>
      <c r="AP14" s="13">
        <f t="shared" ref="AP14:AP16" si="1">SUM(E14:AO14)</f>
        <v>4858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140.0</v>
      </c>
      <c r="G15" s="19">
        <v>121.0</v>
      </c>
      <c r="H15" s="19">
        <v>126.0</v>
      </c>
      <c r="I15" s="19">
        <v>147.0</v>
      </c>
      <c r="J15" s="19">
        <v>118.0</v>
      </c>
      <c r="K15" s="19">
        <v>110.0</v>
      </c>
      <c r="L15" s="19">
        <v>103.0</v>
      </c>
      <c r="M15" s="19">
        <v>152.0</v>
      </c>
      <c r="N15" s="19">
        <v>153.0</v>
      </c>
      <c r="O15" s="19">
        <v>147.0</v>
      </c>
      <c r="P15" s="19">
        <v>113.0</v>
      </c>
      <c r="Q15" s="19">
        <v>137.0</v>
      </c>
      <c r="R15" s="19">
        <v>135.0</v>
      </c>
      <c r="S15" s="19">
        <v>134.0</v>
      </c>
      <c r="T15" s="19">
        <v>119.0</v>
      </c>
      <c r="U15" s="19">
        <v>133.0</v>
      </c>
      <c r="V15" s="19">
        <v>140.0</v>
      </c>
      <c r="W15" s="19">
        <v>138.0</v>
      </c>
      <c r="X15" s="19">
        <v>143.0</v>
      </c>
      <c r="Y15" s="19">
        <v>144.0</v>
      </c>
      <c r="Z15" s="19">
        <v>132.0</v>
      </c>
      <c r="AA15" s="19">
        <v>127.0</v>
      </c>
      <c r="AB15" s="19">
        <v>137.0</v>
      </c>
      <c r="AC15" s="19">
        <v>137.0</v>
      </c>
      <c r="AD15" s="19">
        <v>143.0</v>
      </c>
      <c r="AE15" s="19">
        <v>134.0</v>
      </c>
      <c r="AF15" s="19">
        <v>137.0</v>
      </c>
      <c r="AG15" s="19">
        <v>141.0</v>
      </c>
      <c r="AH15" s="19">
        <v>144.0</v>
      </c>
      <c r="AI15" s="19">
        <v>150.0</v>
      </c>
      <c r="AJ15" s="19">
        <v>143.0</v>
      </c>
      <c r="AK15" s="19">
        <v>132.0</v>
      </c>
      <c r="AL15" s="19">
        <v>117.0</v>
      </c>
      <c r="AM15" s="19">
        <v>154.0</v>
      </c>
      <c r="AN15" s="19">
        <v>129.0</v>
      </c>
      <c r="AO15" s="19">
        <v>121.0</v>
      </c>
      <c r="AP15" s="13">
        <f t="shared" si="1"/>
        <v>4969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278</v>
      </c>
      <c r="F16" s="13">
        <f t="shared" si="2"/>
        <v>282</v>
      </c>
      <c r="G16" s="13">
        <f t="shared" si="2"/>
        <v>235</v>
      </c>
      <c r="H16" s="13">
        <f t="shared" si="2"/>
        <v>255</v>
      </c>
      <c r="I16" s="13">
        <f t="shared" si="2"/>
        <v>280</v>
      </c>
      <c r="J16" s="13">
        <f t="shared" si="2"/>
        <v>221</v>
      </c>
      <c r="K16" s="13">
        <f t="shared" si="2"/>
        <v>221</v>
      </c>
      <c r="L16" s="13">
        <f t="shared" si="2"/>
        <v>200</v>
      </c>
      <c r="M16" s="13">
        <f t="shared" si="2"/>
        <v>298</v>
      </c>
      <c r="N16" s="13">
        <f t="shared" si="2"/>
        <v>293</v>
      </c>
      <c r="O16" s="13">
        <f t="shared" si="2"/>
        <v>290</v>
      </c>
      <c r="P16" s="13">
        <f t="shared" si="2"/>
        <v>202</v>
      </c>
      <c r="Q16" s="13">
        <f t="shared" si="2"/>
        <v>276</v>
      </c>
      <c r="R16" s="13">
        <f t="shared" si="2"/>
        <v>252</v>
      </c>
      <c r="S16" s="13">
        <f t="shared" si="2"/>
        <v>271</v>
      </c>
      <c r="T16" s="13">
        <f t="shared" si="2"/>
        <v>241</v>
      </c>
      <c r="U16" s="13">
        <f t="shared" si="2"/>
        <v>256</v>
      </c>
      <c r="V16" s="13">
        <f t="shared" si="2"/>
        <v>283</v>
      </c>
      <c r="W16" s="13">
        <f t="shared" si="2"/>
        <v>280</v>
      </c>
      <c r="X16" s="13">
        <f t="shared" si="2"/>
        <v>290</v>
      </c>
      <c r="Y16" s="13">
        <f t="shared" si="2"/>
        <v>277</v>
      </c>
      <c r="Z16" s="13">
        <f t="shared" si="2"/>
        <v>275</v>
      </c>
      <c r="AA16" s="13">
        <f t="shared" si="2"/>
        <v>269</v>
      </c>
      <c r="AB16" s="13">
        <f t="shared" si="2"/>
        <v>277</v>
      </c>
      <c r="AC16" s="13">
        <f t="shared" si="2"/>
        <v>275</v>
      </c>
      <c r="AD16" s="13">
        <f t="shared" si="2"/>
        <v>279</v>
      </c>
      <c r="AE16" s="13">
        <f t="shared" si="2"/>
        <v>270</v>
      </c>
      <c r="AF16" s="13">
        <f t="shared" si="2"/>
        <v>289</v>
      </c>
      <c r="AG16" s="13">
        <f t="shared" si="2"/>
        <v>264</v>
      </c>
      <c r="AH16" s="13">
        <f t="shared" si="2"/>
        <v>277</v>
      </c>
      <c r="AI16" s="13">
        <f t="shared" si="2"/>
        <v>284</v>
      </c>
      <c r="AJ16" s="13">
        <f t="shared" si="2"/>
        <v>286</v>
      </c>
      <c r="AK16" s="13">
        <f t="shared" si="2"/>
        <v>267</v>
      </c>
      <c r="AL16" s="13">
        <f t="shared" si="2"/>
        <v>244</v>
      </c>
      <c r="AM16" s="13">
        <f t="shared" si="2"/>
        <v>297</v>
      </c>
      <c r="AN16" s="13">
        <f t="shared" si="2"/>
        <v>248</v>
      </c>
      <c r="AO16" s="13">
        <f t="shared" si="2"/>
        <v>245</v>
      </c>
      <c r="AP16" s="13">
        <f t="shared" si="1"/>
        <v>9827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86.0</v>
      </c>
      <c r="H19" s="19">
        <v>104.0</v>
      </c>
      <c r="I19" s="19">
        <v>102.0</v>
      </c>
      <c r="J19" s="19">
        <v>79.0</v>
      </c>
      <c r="K19" s="19">
        <v>90.0</v>
      </c>
      <c r="L19" s="19">
        <v>74.0</v>
      </c>
      <c r="M19" s="19">
        <v>105.0</v>
      </c>
      <c r="N19" s="19">
        <v>109.0</v>
      </c>
      <c r="O19" s="19">
        <v>89.0</v>
      </c>
      <c r="P19" s="19">
        <v>75.0</v>
      </c>
      <c r="Q19" s="19">
        <v>107.0</v>
      </c>
      <c r="R19" s="19">
        <v>87.0</v>
      </c>
      <c r="S19" s="19">
        <v>110.0</v>
      </c>
      <c r="T19" s="19">
        <v>85.0</v>
      </c>
      <c r="U19" s="19">
        <v>91.0</v>
      </c>
      <c r="V19" s="19">
        <v>108.0</v>
      </c>
      <c r="W19" s="19">
        <v>95.0</v>
      </c>
      <c r="X19" s="19">
        <v>112.0</v>
      </c>
      <c r="Y19" s="19">
        <v>87.0</v>
      </c>
      <c r="Z19" s="19">
        <v>99.0</v>
      </c>
      <c r="AA19" s="19">
        <v>97.0</v>
      </c>
      <c r="AB19" s="19">
        <v>101.0</v>
      </c>
      <c r="AC19" s="19">
        <v>103.0</v>
      </c>
      <c r="AD19" s="19">
        <v>104.0</v>
      </c>
      <c r="AE19" s="19">
        <v>93.0</v>
      </c>
      <c r="AF19" s="19">
        <v>117.0</v>
      </c>
      <c r="AG19" s="19">
        <v>64.0</v>
      </c>
      <c r="AH19" s="19">
        <v>98.0</v>
      </c>
      <c r="AI19" s="19">
        <v>107.0</v>
      </c>
      <c r="AJ19" s="19">
        <v>113.0</v>
      </c>
      <c r="AK19" s="19">
        <v>105.0</v>
      </c>
      <c r="AL19" s="19">
        <v>89.0</v>
      </c>
      <c r="AM19" s="19">
        <v>103.0</v>
      </c>
      <c r="AN19" s="19">
        <v>98.0</v>
      </c>
      <c r="AO19" s="19">
        <v>104.0</v>
      </c>
      <c r="AP19" s="13">
        <f t="shared" ref="AP19:AP30" si="3">SUM(E19:AO19)</f>
        <v>3596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107.0</v>
      </c>
      <c r="G20" s="19">
        <v>93.0</v>
      </c>
      <c r="H20" s="19">
        <v>104.0</v>
      </c>
      <c r="I20" s="19">
        <v>114.0</v>
      </c>
      <c r="J20" s="19">
        <v>94.0</v>
      </c>
      <c r="K20" s="19">
        <v>91.0</v>
      </c>
      <c r="L20" s="19">
        <v>83.0</v>
      </c>
      <c r="M20" s="19">
        <v>122.0</v>
      </c>
      <c r="N20" s="19">
        <v>121.0</v>
      </c>
      <c r="O20" s="19">
        <v>115.0</v>
      </c>
      <c r="P20" s="19">
        <v>101.0</v>
      </c>
      <c r="Q20" s="19">
        <v>113.0</v>
      </c>
      <c r="R20" s="19">
        <v>99.0</v>
      </c>
      <c r="S20" s="19">
        <v>102.0</v>
      </c>
      <c r="T20" s="19">
        <v>94.0</v>
      </c>
      <c r="U20" s="19">
        <v>95.0</v>
      </c>
      <c r="V20" s="19">
        <v>108.0</v>
      </c>
      <c r="W20" s="19">
        <v>109.0</v>
      </c>
      <c r="X20" s="19">
        <v>113.0</v>
      </c>
      <c r="Y20" s="19">
        <v>116.0</v>
      </c>
      <c r="Z20" s="19">
        <v>99.0</v>
      </c>
      <c r="AA20" s="19">
        <v>98.0</v>
      </c>
      <c r="AB20" s="19">
        <v>103.0</v>
      </c>
      <c r="AC20" s="19">
        <v>110.0</v>
      </c>
      <c r="AD20" s="19">
        <v>108.0</v>
      </c>
      <c r="AE20" s="19">
        <v>95.0</v>
      </c>
      <c r="AF20" s="19">
        <v>112.0</v>
      </c>
      <c r="AG20" s="19">
        <v>140.0</v>
      </c>
      <c r="AH20" s="19">
        <v>112.0</v>
      </c>
      <c r="AI20" s="19">
        <v>114.0</v>
      </c>
      <c r="AJ20" s="19">
        <v>117.0</v>
      </c>
      <c r="AK20" s="19">
        <v>92.0</v>
      </c>
      <c r="AL20" s="19">
        <v>92.0</v>
      </c>
      <c r="AM20" s="19">
        <v>107.0</v>
      </c>
      <c r="AN20" s="19">
        <v>106.0</v>
      </c>
      <c r="AO20" s="19">
        <v>104.0</v>
      </c>
      <c r="AP20" s="13">
        <f t="shared" si="3"/>
        <v>3916</v>
      </c>
    </row>
    <row r="21" ht="12.75" customHeight="1">
      <c r="A21" s="35"/>
      <c r="B21" s="28"/>
      <c r="C21" s="36"/>
      <c r="D21" s="13" t="s">
        <v>14</v>
      </c>
      <c r="E21" s="13">
        <f t="shared" ref="E21:AO21" si="4">SUM(E19:E20)</f>
        <v>219</v>
      </c>
      <c r="F21" s="13">
        <f t="shared" si="4"/>
        <v>207</v>
      </c>
      <c r="G21" s="13">
        <f t="shared" si="4"/>
        <v>179</v>
      </c>
      <c r="H21" s="13">
        <f t="shared" si="4"/>
        <v>208</v>
      </c>
      <c r="I21" s="13">
        <f t="shared" si="4"/>
        <v>216</v>
      </c>
      <c r="J21" s="13">
        <f t="shared" si="4"/>
        <v>173</v>
      </c>
      <c r="K21" s="13">
        <f t="shared" si="4"/>
        <v>181</v>
      </c>
      <c r="L21" s="13">
        <f t="shared" si="4"/>
        <v>157</v>
      </c>
      <c r="M21" s="13">
        <f t="shared" si="4"/>
        <v>227</v>
      </c>
      <c r="N21" s="13">
        <f t="shared" si="4"/>
        <v>230</v>
      </c>
      <c r="O21" s="13">
        <f t="shared" si="4"/>
        <v>204</v>
      </c>
      <c r="P21" s="13">
        <f t="shared" si="4"/>
        <v>176</v>
      </c>
      <c r="Q21" s="13">
        <f t="shared" si="4"/>
        <v>220</v>
      </c>
      <c r="R21" s="13">
        <f t="shared" si="4"/>
        <v>186</v>
      </c>
      <c r="S21" s="13">
        <f t="shared" si="4"/>
        <v>212</v>
      </c>
      <c r="T21" s="13">
        <f t="shared" si="4"/>
        <v>179</v>
      </c>
      <c r="U21" s="13">
        <f t="shared" si="4"/>
        <v>186</v>
      </c>
      <c r="V21" s="13">
        <f t="shared" si="4"/>
        <v>216</v>
      </c>
      <c r="W21" s="13">
        <f t="shared" si="4"/>
        <v>204</v>
      </c>
      <c r="X21" s="13">
        <f t="shared" si="4"/>
        <v>225</v>
      </c>
      <c r="Y21" s="13">
        <f t="shared" si="4"/>
        <v>203</v>
      </c>
      <c r="Z21" s="13">
        <f t="shared" si="4"/>
        <v>198</v>
      </c>
      <c r="AA21" s="13">
        <f t="shared" si="4"/>
        <v>195</v>
      </c>
      <c r="AB21" s="13">
        <f t="shared" si="4"/>
        <v>204</v>
      </c>
      <c r="AC21" s="13">
        <f t="shared" si="4"/>
        <v>213</v>
      </c>
      <c r="AD21" s="13">
        <f t="shared" si="4"/>
        <v>212</v>
      </c>
      <c r="AE21" s="13">
        <f t="shared" si="4"/>
        <v>188</v>
      </c>
      <c r="AF21" s="13">
        <f t="shared" si="4"/>
        <v>229</v>
      </c>
      <c r="AG21" s="13">
        <f t="shared" si="4"/>
        <v>204</v>
      </c>
      <c r="AH21" s="13">
        <f t="shared" si="4"/>
        <v>210</v>
      </c>
      <c r="AI21" s="13">
        <f t="shared" si="4"/>
        <v>221</v>
      </c>
      <c r="AJ21" s="13">
        <f t="shared" si="4"/>
        <v>230</v>
      </c>
      <c r="AK21" s="13">
        <f t="shared" si="4"/>
        <v>197</v>
      </c>
      <c r="AL21" s="13">
        <f t="shared" si="4"/>
        <v>181</v>
      </c>
      <c r="AM21" s="13">
        <f t="shared" si="4"/>
        <v>210</v>
      </c>
      <c r="AN21" s="13">
        <f t="shared" si="4"/>
        <v>204</v>
      </c>
      <c r="AO21" s="13">
        <f t="shared" si="4"/>
        <v>208</v>
      </c>
      <c r="AP21" s="13">
        <f t="shared" si="3"/>
        <v>7512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1.0</v>
      </c>
      <c r="J25" s="19">
        <v>1.0</v>
      </c>
      <c r="K25" s="19">
        <v>0.0</v>
      </c>
      <c r="L25" s="19">
        <v>1.0</v>
      </c>
      <c r="M25" s="19">
        <v>1.0</v>
      </c>
      <c r="N25" s="19">
        <v>1.0</v>
      </c>
      <c r="O25" s="19">
        <v>1.0</v>
      </c>
      <c r="P25" s="19">
        <v>0.0</v>
      </c>
      <c r="Q25" s="19">
        <v>1.0</v>
      </c>
      <c r="R25" s="19">
        <v>0.0</v>
      </c>
      <c r="S25" s="19">
        <v>0.0</v>
      </c>
      <c r="T25" s="19">
        <v>1.0</v>
      </c>
      <c r="U25" s="19">
        <v>0.0</v>
      </c>
      <c r="V25" s="19">
        <v>3.0</v>
      </c>
      <c r="W25" s="19">
        <v>0.0</v>
      </c>
      <c r="X25" s="19">
        <v>1.0</v>
      </c>
      <c r="Y25" s="19">
        <v>0.0</v>
      </c>
      <c r="Z25" s="19">
        <v>1.0</v>
      </c>
      <c r="AA25" s="19">
        <v>5.0</v>
      </c>
      <c r="AB25" s="19">
        <v>2.0</v>
      </c>
      <c r="AC25" s="19">
        <v>0.0</v>
      </c>
      <c r="AD25" s="19">
        <v>1.0</v>
      </c>
      <c r="AE25" s="19">
        <v>1.0</v>
      </c>
      <c r="AF25" s="19">
        <v>0.0</v>
      </c>
      <c r="AG25" s="19">
        <v>0.0</v>
      </c>
      <c r="AH25" s="19">
        <v>1.0</v>
      </c>
      <c r="AI25" s="19">
        <v>0.0</v>
      </c>
      <c r="AJ25" s="19">
        <v>2.0</v>
      </c>
      <c r="AK25" s="13">
        <f t="shared" ref="AK25:AO25" si="6">SUM(AK23:AK24)</f>
        <v>0</v>
      </c>
      <c r="AL25" s="13">
        <f t="shared" si="6"/>
        <v>0</v>
      </c>
      <c r="AM25" s="13">
        <f t="shared" si="6"/>
        <v>0</v>
      </c>
      <c r="AN25" s="13">
        <f t="shared" si="6"/>
        <v>0</v>
      </c>
      <c r="AO25" s="13">
        <f t="shared" si="6"/>
        <v>0</v>
      </c>
      <c r="AP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2.0</v>
      </c>
      <c r="N26" s="19">
        <v>3.0</v>
      </c>
      <c r="O26" s="19">
        <v>0.0</v>
      </c>
      <c r="P26" s="19">
        <v>0.0</v>
      </c>
      <c r="Q26" s="19">
        <v>1.0</v>
      </c>
      <c r="R26" s="19">
        <v>0.0</v>
      </c>
      <c r="S26" s="19">
        <v>2.0</v>
      </c>
      <c r="T26" s="19">
        <v>2.0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1.0</v>
      </c>
      <c r="AA26" s="19">
        <v>1.0</v>
      </c>
      <c r="AB26" s="19">
        <v>3.0</v>
      </c>
      <c r="AC26" s="19">
        <v>0.0</v>
      </c>
      <c r="AD26" s="19">
        <v>1.0</v>
      </c>
      <c r="AE26" s="19">
        <v>0.0</v>
      </c>
      <c r="AF26" s="19">
        <v>0.0</v>
      </c>
      <c r="AG26" s="19">
        <v>0.0</v>
      </c>
      <c r="AH26" s="19">
        <v>0.0</v>
      </c>
      <c r="AI26" s="19">
        <v>0.0</v>
      </c>
      <c r="AJ26" s="19">
        <v>1.0</v>
      </c>
      <c r="AK26" s="19">
        <v>1.0</v>
      </c>
      <c r="AL26" s="19">
        <v>0.0</v>
      </c>
      <c r="AM26" s="19">
        <v>3.0</v>
      </c>
      <c r="AN26" s="19">
        <v>0.0</v>
      </c>
      <c r="AO26" s="19">
        <v>0.0</v>
      </c>
      <c r="AP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AO27" si="7">SUM(E25:E26)</f>
        <v>0</v>
      </c>
      <c r="F27" s="13">
        <f t="shared" si="7"/>
        <v>0</v>
      </c>
      <c r="G27" s="13">
        <f t="shared" si="7"/>
        <v>0</v>
      </c>
      <c r="H27" s="13">
        <f t="shared" si="7"/>
        <v>2</v>
      </c>
      <c r="I27" s="13">
        <f t="shared" si="7"/>
        <v>2</v>
      </c>
      <c r="J27" s="13">
        <f t="shared" si="7"/>
        <v>1</v>
      </c>
      <c r="K27" s="13">
        <f t="shared" si="7"/>
        <v>0</v>
      </c>
      <c r="L27" s="13">
        <f t="shared" si="7"/>
        <v>1</v>
      </c>
      <c r="M27" s="13">
        <f t="shared" si="7"/>
        <v>3</v>
      </c>
      <c r="N27" s="13">
        <f t="shared" si="7"/>
        <v>4</v>
      </c>
      <c r="O27" s="13">
        <f t="shared" si="7"/>
        <v>1</v>
      </c>
      <c r="P27" s="13">
        <f t="shared" si="7"/>
        <v>0</v>
      </c>
      <c r="Q27" s="13">
        <f t="shared" si="7"/>
        <v>2</v>
      </c>
      <c r="R27" s="13">
        <f t="shared" si="7"/>
        <v>0</v>
      </c>
      <c r="S27" s="13">
        <f t="shared" si="7"/>
        <v>2</v>
      </c>
      <c r="T27" s="13">
        <f t="shared" si="7"/>
        <v>3</v>
      </c>
      <c r="U27" s="13">
        <f t="shared" si="7"/>
        <v>0</v>
      </c>
      <c r="V27" s="13">
        <f t="shared" si="7"/>
        <v>3</v>
      </c>
      <c r="W27" s="13">
        <f t="shared" si="7"/>
        <v>1</v>
      </c>
      <c r="X27" s="13">
        <f t="shared" si="7"/>
        <v>1</v>
      </c>
      <c r="Y27" s="13">
        <f t="shared" si="7"/>
        <v>0</v>
      </c>
      <c r="Z27" s="13">
        <f t="shared" si="7"/>
        <v>2</v>
      </c>
      <c r="AA27" s="13">
        <f t="shared" si="7"/>
        <v>6</v>
      </c>
      <c r="AB27" s="13">
        <f t="shared" si="7"/>
        <v>5</v>
      </c>
      <c r="AC27" s="13">
        <f t="shared" si="7"/>
        <v>0</v>
      </c>
      <c r="AD27" s="13">
        <f t="shared" si="7"/>
        <v>2</v>
      </c>
      <c r="AE27" s="13">
        <f t="shared" si="7"/>
        <v>1</v>
      </c>
      <c r="AF27" s="13">
        <f t="shared" si="7"/>
        <v>0</v>
      </c>
      <c r="AG27" s="13">
        <f t="shared" si="7"/>
        <v>0</v>
      </c>
      <c r="AH27" s="13">
        <f t="shared" si="7"/>
        <v>1</v>
      </c>
      <c r="AI27" s="13">
        <f t="shared" si="7"/>
        <v>0</v>
      </c>
      <c r="AJ27" s="13">
        <f t="shared" si="7"/>
        <v>3</v>
      </c>
      <c r="AK27" s="13">
        <f t="shared" si="7"/>
        <v>1</v>
      </c>
      <c r="AL27" s="13">
        <f t="shared" si="7"/>
        <v>0</v>
      </c>
      <c r="AM27" s="13">
        <f t="shared" si="7"/>
        <v>3</v>
      </c>
      <c r="AN27" s="13">
        <f t="shared" si="7"/>
        <v>0</v>
      </c>
      <c r="AO27" s="13">
        <f t="shared" si="7"/>
        <v>0</v>
      </c>
      <c r="AP27" s="13">
        <f t="shared" si="3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O28" si="8">SUM(E19,E22,E25)</f>
        <v>106</v>
      </c>
      <c r="F28" s="13">
        <f t="shared" si="8"/>
        <v>100</v>
      </c>
      <c r="G28" s="13">
        <f t="shared" si="8"/>
        <v>86</v>
      </c>
      <c r="H28" s="13">
        <f t="shared" si="8"/>
        <v>106</v>
      </c>
      <c r="I28" s="13">
        <f t="shared" si="8"/>
        <v>103</v>
      </c>
      <c r="J28" s="13">
        <f t="shared" si="8"/>
        <v>80</v>
      </c>
      <c r="K28" s="13">
        <f t="shared" si="8"/>
        <v>90</v>
      </c>
      <c r="L28" s="13">
        <f t="shared" si="8"/>
        <v>76</v>
      </c>
      <c r="M28" s="13">
        <f t="shared" si="8"/>
        <v>106</v>
      </c>
      <c r="N28" s="13">
        <f t="shared" si="8"/>
        <v>110</v>
      </c>
      <c r="O28" s="13">
        <f t="shared" si="8"/>
        <v>90</v>
      </c>
      <c r="P28" s="13">
        <f t="shared" si="8"/>
        <v>75</v>
      </c>
      <c r="Q28" s="13">
        <f t="shared" si="8"/>
        <v>108</v>
      </c>
      <c r="R28" s="13">
        <f t="shared" si="8"/>
        <v>87</v>
      </c>
      <c r="S28" s="13">
        <f t="shared" si="8"/>
        <v>110</v>
      </c>
      <c r="T28" s="13">
        <f t="shared" si="8"/>
        <v>86</v>
      </c>
      <c r="U28" s="13">
        <f t="shared" si="8"/>
        <v>92</v>
      </c>
      <c r="V28" s="13">
        <f t="shared" si="8"/>
        <v>111</v>
      </c>
      <c r="W28" s="13">
        <f t="shared" si="8"/>
        <v>96</v>
      </c>
      <c r="X28" s="13">
        <f t="shared" si="8"/>
        <v>113</v>
      </c>
      <c r="Y28" s="13">
        <f t="shared" si="8"/>
        <v>87</v>
      </c>
      <c r="Z28" s="13">
        <f t="shared" si="8"/>
        <v>100</v>
      </c>
      <c r="AA28" s="13">
        <f t="shared" si="8"/>
        <v>102</v>
      </c>
      <c r="AB28" s="13">
        <f t="shared" si="8"/>
        <v>104</v>
      </c>
      <c r="AC28" s="13">
        <f t="shared" si="8"/>
        <v>103</v>
      </c>
      <c r="AD28" s="13">
        <f t="shared" si="8"/>
        <v>105</v>
      </c>
      <c r="AE28" s="13">
        <f t="shared" si="8"/>
        <v>94</v>
      </c>
      <c r="AF28" s="13">
        <f t="shared" si="8"/>
        <v>117</v>
      </c>
      <c r="AG28" s="13">
        <f t="shared" si="8"/>
        <v>64</v>
      </c>
      <c r="AH28" s="13">
        <f t="shared" si="8"/>
        <v>99</v>
      </c>
      <c r="AI28" s="13">
        <f t="shared" si="8"/>
        <v>107</v>
      </c>
      <c r="AJ28" s="13">
        <f t="shared" si="8"/>
        <v>115</v>
      </c>
      <c r="AK28" s="13">
        <f t="shared" si="8"/>
        <v>105</v>
      </c>
      <c r="AL28" s="13">
        <f t="shared" si="8"/>
        <v>89</v>
      </c>
      <c r="AM28" s="13">
        <f t="shared" si="8"/>
        <v>103</v>
      </c>
      <c r="AN28" s="13">
        <f t="shared" si="8"/>
        <v>98</v>
      </c>
      <c r="AO28" s="13">
        <f t="shared" si="8"/>
        <v>104</v>
      </c>
      <c r="AP28" s="13">
        <f t="shared" si="3"/>
        <v>3627</v>
      </c>
    </row>
    <row r="29" ht="12.75" customHeight="1">
      <c r="A29" s="35"/>
      <c r="B29" s="27"/>
      <c r="C29" s="34"/>
      <c r="D29" s="13" t="s">
        <v>13</v>
      </c>
      <c r="E29" s="13">
        <f t="shared" ref="E29:AO29" si="9">SUM(E20,E23,E26)</f>
        <v>113</v>
      </c>
      <c r="F29" s="13">
        <f t="shared" si="9"/>
        <v>107</v>
      </c>
      <c r="G29" s="13">
        <f t="shared" si="9"/>
        <v>93</v>
      </c>
      <c r="H29" s="13">
        <f t="shared" si="9"/>
        <v>104</v>
      </c>
      <c r="I29" s="13">
        <f t="shared" si="9"/>
        <v>115</v>
      </c>
      <c r="J29" s="13">
        <f t="shared" si="9"/>
        <v>94</v>
      </c>
      <c r="K29" s="13">
        <f t="shared" si="9"/>
        <v>91</v>
      </c>
      <c r="L29" s="13">
        <f t="shared" si="9"/>
        <v>83</v>
      </c>
      <c r="M29" s="13">
        <f t="shared" si="9"/>
        <v>124</v>
      </c>
      <c r="N29" s="13">
        <f t="shared" si="9"/>
        <v>124</v>
      </c>
      <c r="O29" s="13">
        <f t="shared" si="9"/>
        <v>116</v>
      </c>
      <c r="P29" s="13">
        <f t="shared" si="9"/>
        <v>101</v>
      </c>
      <c r="Q29" s="13">
        <f t="shared" si="9"/>
        <v>114</v>
      </c>
      <c r="R29" s="13">
        <f t="shared" si="9"/>
        <v>99</v>
      </c>
      <c r="S29" s="13">
        <f t="shared" si="9"/>
        <v>104</v>
      </c>
      <c r="T29" s="13">
        <f t="shared" si="9"/>
        <v>96</v>
      </c>
      <c r="U29" s="13">
        <f t="shared" si="9"/>
        <v>96</v>
      </c>
      <c r="V29" s="13">
        <f t="shared" si="9"/>
        <v>108</v>
      </c>
      <c r="W29" s="13">
        <f t="shared" si="9"/>
        <v>110</v>
      </c>
      <c r="X29" s="13">
        <f t="shared" si="9"/>
        <v>113</v>
      </c>
      <c r="Y29" s="13">
        <f t="shared" si="9"/>
        <v>116</v>
      </c>
      <c r="Z29" s="13">
        <f t="shared" si="9"/>
        <v>100</v>
      </c>
      <c r="AA29" s="13">
        <f t="shared" si="9"/>
        <v>99</v>
      </c>
      <c r="AB29" s="13">
        <f t="shared" si="9"/>
        <v>106</v>
      </c>
      <c r="AC29" s="13">
        <f t="shared" si="9"/>
        <v>110</v>
      </c>
      <c r="AD29" s="13">
        <f t="shared" si="9"/>
        <v>109</v>
      </c>
      <c r="AE29" s="13">
        <f t="shared" si="9"/>
        <v>95</v>
      </c>
      <c r="AF29" s="13">
        <f t="shared" si="9"/>
        <v>112</v>
      </c>
      <c r="AG29" s="13">
        <f t="shared" si="9"/>
        <v>140</v>
      </c>
      <c r="AH29" s="13">
        <f t="shared" si="9"/>
        <v>112</v>
      </c>
      <c r="AI29" s="13">
        <f t="shared" si="9"/>
        <v>114</v>
      </c>
      <c r="AJ29" s="13">
        <f t="shared" si="9"/>
        <v>118</v>
      </c>
      <c r="AK29" s="13">
        <f t="shared" si="9"/>
        <v>93</v>
      </c>
      <c r="AL29" s="13">
        <f t="shared" si="9"/>
        <v>92</v>
      </c>
      <c r="AM29" s="13">
        <f t="shared" si="9"/>
        <v>110</v>
      </c>
      <c r="AN29" s="13">
        <f t="shared" si="9"/>
        <v>106</v>
      </c>
      <c r="AO29" s="13">
        <f t="shared" si="9"/>
        <v>104</v>
      </c>
      <c r="AP29" s="13">
        <f t="shared" si="3"/>
        <v>3941</v>
      </c>
    </row>
    <row r="30" ht="12.75" customHeight="1">
      <c r="A30" s="35"/>
      <c r="B30" s="28"/>
      <c r="C30" s="36"/>
      <c r="D30" s="13" t="s">
        <v>14</v>
      </c>
      <c r="E30" s="13">
        <f t="shared" ref="E30:AO30" si="10">SUM(E28:E29)</f>
        <v>219</v>
      </c>
      <c r="F30" s="13">
        <f t="shared" si="10"/>
        <v>207</v>
      </c>
      <c r="G30" s="13">
        <f t="shared" si="10"/>
        <v>179</v>
      </c>
      <c r="H30" s="13">
        <f t="shared" si="10"/>
        <v>210</v>
      </c>
      <c r="I30" s="13">
        <f t="shared" si="10"/>
        <v>218</v>
      </c>
      <c r="J30" s="13">
        <f t="shared" si="10"/>
        <v>174</v>
      </c>
      <c r="K30" s="13">
        <f t="shared" si="10"/>
        <v>181</v>
      </c>
      <c r="L30" s="13">
        <f t="shared" si="10"/>
        <v>159</v>
      </c>
      <c r="M30" s="13">
        <f t="shared" si="10"/>
        <v>230</v>
      </c>
      <c r="N30" s="13">
        <f t="shared" si="10"/>
        <v>234</v>
      </c>
      <c r="O30" s="13">
        <f t="shared" si="10"/>
        <v>206</v>
      </c>
      <c r="P30" s="13">
        <f t="shared" si="10"/>
        <v>176</v>
      </c>
      <c r="Q30" s="13">
        <f t="shared" si="10"/>
        <v>222</v>
      </c>
      <c r="R30" s="13">
        <f t="shared" si="10"/>
        <v>186</v>
      </c>
      <c r="S30" s="13">
        <f t="shared" si="10"/>
        <v>214</v>
      </c>
      <c r="T30" s="13">
        <f t="shared" si="10"/>
        <v>182</v>
      </c>
      <c r="U30" s="13">
        <f t="shared" si="10"/>
        <v>188</v>
      </c>
      <c r="V30" s="13">
        <f t="shared" si="10"/>
        <v>219</v>
      </c>
      <c r="W30" s="13">
        <f t="shared" si="10"/>
        <v>206</v>
      </c>
      <c r="X30" s="13">
        <f t="shared" si="10"/>
        <v>226</v>
      </c>
      <c r="Y30" s="13">
        <f t="shared" si="10"/>
        <v>203</v>
      </c>
      <c r="Z30" s="13">
        <f t="shared" si="10"/>
        <v>200</v>
      </c>
      <c r="AA30" s="13">
        <f t="shared" si="10"/>
        <v>201</v>
      </c>
      <c r="AB30" s="13">
        <f t="shared" si="10"/>
        <v>210</v>
      </c>
      <c r="AC30" s="13">
        <f t="shared" si="10"/>
        <v>213</v>
      </c>
      <c r="AD30" s="13">
        <f t="shared" si="10"/>
        <v>214</v>
      </c>
      <c r="AE30" s="13">
        <f t="shared" si="10"/>
        <v>189</v>
      </c>
      <c r="AF30" s="13">
        <f t="shared" si="10"/>
        <v>229</v>
      </c>
      <c r="AG30" s="13">
        <f t="shared" si="10"/>
        <v>204</v>
      </c>
      <c r="AH30" s="13">
        <f t="shared" si="10"/>
        <v>211</v>
      </c>
      <c r="AI30" s="13">
        <f t="shared" si="10"/>
        <v>221</v>
      </c>
      <c r="AJ30" s="13">
        <f t="shared" si="10"/>
        <v>233</v>
      </c>
      <c r="AK30" s="13">
        <f t="shared" si="10"/>
        <v>198</v>
      </c>
      <c r="AL30" s="13">
        <f t="shared" si="10"/>
        <v>181</v>
      </c>
      <c r="AM30" s="13">
        <f t="shared" si="10"/>
        <v>213</v>
      </c>
      <c r="AN30" s="13">
        <f t="shared" si="10"/>
        <v>204</v>
      </c>
      <c r="AO30" s="13">
        <f t="shared" si="10"/>
        <v>208</v>
      </c>
      <c r="AP30" s="13">
        <f t="shared" si="3"/>
        <v>7568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61"/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288.0</v>
      </c>
      <c r="G33" s="19">
        <v>240.0</v>
      </c>
      <c r="H33" s="19">
        <v>256.0</v>
      </c>
      <c r="I33" s="19">
        <v>289.0</v>
      </c>
      <c r="J33" s="19">
        <v>224.0</v>
      </c>
      <c r="K33" s="19">
        <v>226.0</v>
      </c>
      <c r="L33" s="19">
        <v>206.0</v>
      </c>
      <c r="M33" s="19">
        <v>306.0</v>
      </c>
      <c r="N33" s="19">
        <v>303.0</v>
      </c>
      <c r="O33" s="19">
        <v>296.0</v>
      </c>
      <c r="P33" s="19">
        <v>211.0</v>
      </c>
      <c r="Q33" s="19">
        <v>282.0</v>
      </c>
      <c r="R33" s="19">
        <v>258.0</v>
      </c>
      <c r="S33" s="19">
        <v>277.0</v>
      </c>
      <c r="T33" s="19">
        <v>247.0</v>
      </c>
      <c r="U33" s="19">
        <v>256.0</v>
      </c>
      <c r="V33" s="19">
        <v>288.0</v>
      </c>
      <c r="W33" s="19">
        <v>287.0</v>
      </c>
      <c r="X33" s="19">
        <v>296.0</v>
      </c>
      <c r="Y33" s="19">
        <v>257.0</v>
      </c>
      <c r="Z33" s="19">
        <v>281.0</v>
      </c>
      <c r="AA33" s="19">
        <v>277.0</v>
      </c>
      <c r="AB33" s="19">
        <v>283.0</v>
      </c>
      <c r="AC33" s="19">
        <v>282.0</v>
      </c>
      <c r="AD33" s="19">
        <v>286.0</v>
      </c>
      <c r="AE33" s="19">
        <v>276.0</v>
      </c>
      <c r="AF33" s="19">
        <v>295.0</v>
      </c>
      <c r="AG33" s="19">
        <v>270.0</v>
      </c>
      <c r="AH33" s="19">
        <v>282.0</v>
      </c>
      <c r="AI33" s="19">
        <v>290.0</v>
      </c>
      <c r="AJ33" s="19">
        <v>295.0</v>
      </c>
      <c r="AK33" s="19">
        <v>268.0</v>
      </c>
      <c r="AL33" s="19">
        <v>250.0</v>
      </c>
      <c r="AM33" s="19">
        <v>303.0</v>
      </c>
      <c r="AN33" s="19">
        <v>253.0</v>
      </c>
      <c r="AO33" s="19">
        <v>250.0</v>
      </c>
      <c r="AP33" s="13">
        <f t="shared" ref="AP33:AP36" si="11">SUM(E33:AO33)</f>
        <v>10018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207.0</v>
      </c>
      <c r="G34" s="13">
        <v>179.0</v>
      </c>
      <c r="H34" s="13">
        <v>210.0</v>
      </c>
      <c r="I34" s="13">
        <v>218.0</v>
      </c>
      <c r="J34" s="13">
        <v>174.0</v>
      </c>
      <c r="K34" s="13">
        <v>181.0</v>
      </c>
      <c r="L34" s="13">
        <v>159.0</v>
      </c>
      <c r="M34" s="13">
        <v>230.0</v>
      </c>
      <c r="N34" s="13">
        <v>234.0</v>
      </c>
      <c r="O34" s="13">
        <v>206.0</v>
      </c>
      <c r="P34" s="13">
        <v>176.0</v>
      </c>
      <c r="Q34" s="13">
        <v>222.0</v>
      </c>
      <c r="R34" s="13">
        <v>186.0</v>
      </c>
      <c r="S34" s="13">
        <v>214.0</v>
      </c>
      <c r="T34" s="13">
        <v>182.0</v>
      </c>
      <c r="U34" s="13">
        <v>188.0</v>
      </c>
      <c r="V34" s="13">
        <v>219.0</v>
      </c>
      <c r="W34" s="13">
        <v>206.0</v>
      </c>
      <c r="X34" s="13">
        <v>226.0</v>
      </c>
      <c r="Y34" s="13">
        <v>203.0</v>
      </c>
      <c r="Z34" s="13">
        <v>200.0</v>
      </c>
      <c r="AA34" s="13">
        <v>201.0</v>
      </c>
      <c r="AB34" s="13">
        <v>210.0</v>
      </c>
      <c r="AC34" s="13">
        <v>213.0</v>
      </c>
      <c r="AD34" s="13">
        <v>214.0</v>
      </c>
      <c r="AE34" s="13">
        <v>189.0</v>
      </c>
      <c r="AF34" s="13">
        <v>229.0</v>
      </c>
      <c r="AG34" s="13">
        <v>204.0</v>
      </c>
      <c r="AH34" s="13">
        <v>211.0</v>
      </c>
      <c r="AI34" s="13">
        <v>221.0</v>
      </c>
      <c r="AJ34" s="13">
        <v>233.0</v>
      </c>
      <c r="AK34" s="13">
        <v>198.0</v>
      </c>
      <c r="AL34" s="13">
        <v>181.0</v>
      </c>
      <c r="AM34" s="13">
        <v>213.0</v>
      </c>
      <c r="AN34" s="13">
        <v>204.0</v>
      </c>
      <c r="AO34" s="13">
        <v>208.0</v>
      </c>
      <c r="AP34" s="13">
        <f t="shared" si="11"/>
        <v>7568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1.0</v>
      </c>
      <c r="AO35" s="19">
        <v>0.0</v>
      </c>
      <c r="AP35" s="13">
        <f t="shared" si="11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12">E33-(E34+E35)</f>
        <v>62</v>
      </c>
      <c r="F36" s="13">
        <f t="shared" si="12"/>
        <v>81</v>
      </c>
      <c r="G36" s="13">
        <f t="shared" si="12"/>
        <v>61</v>
      </c>
      <c r="H36" s="13">
        <f t="shared" si="12"/>
        <v>46</v>
      </c>
      <c r="I36" s="13">
        <f t="shared" si="12"/>
        <v>71</v>
      </c>
      <c r="J36" s="13">
        <f t="shared" si="12"/>
        <v>50</v>
      </c>
      <c r="K36" s="13">
        <f t="shared" si="12"/>
        <v>45</v>
      </c>
      <c r="L36" s="13">
        <f t="shared" si="12"/>
        <v>47</v>
      </c>
      <c r="M36" s="13">
        <f t="shared" si="12"/>
        <v>76</v>
      </c>
      <c r="N36" s="13">
        <f t="shared" si="12"/>
        <v>69</v>
      </c>
      <c r="O36" s="13">
        <f t="shared" si="12"/>
        <v>90</v>
      </c>
      <c r="P36" s="13">
        <f t="shared" si="12"/>
        <v>35</v>
      </c>
      <c r="Q36" s="13">
        <f t="shared" si="12"/>
        <v>60</v>
      </c>
      <c r="R36" s="13">
        <f t="shared" si="12"/>
        <v>72</v>
      </c>
      <c r="S36" s="13">
        <f t="shared" si="12"/>
        <v>61</v>
      </c>
      <c r="T36" s="13">
        <f t="shared" si="12"/>
        <v>65</v>
      </c>
      <c r="U36" s="13">
        <f t="shared" si="12"/>
        <v>67</v>
      </c>
      <c r="V36" s="13">
        <f t="shared" si="12"/>
        <v>69</v>
      </c>
      <c r="W36" s="13">
        <f t="shared" si="12"/>
        <v>81</v>
      </c>
      <c r="X36" s="13">
        <f t="shared" si="12"/>
        <v>70</v>
      </c>
      <c r="Y36" s="13">
        <f t="shared" si="12"/>
        <v>54</v>
      </c>
      <c r="Z36" s="13">
        <f t="shared" si="12"/>
        <v>81</v>
      </c>
      <c r="AA36" s="13">
        <f t="shared" si="12"/>
        <v>76</v>
      </c>
      <c r="AB36" s="13">
        <f t="shared" si="12"/>
        <v>73</v>
      </c>
      <c r="AC36" s="13">
        <f t="shared" si="12"/>
        <v>69</v>
      </c>
      <c r="AD36" s="13">
        <f t="shared" si="12"/>
        <v>72</v>
      </c>
      <c r="AE36" s="13">
        <f t="shared" si="12"/>
        <v>87</v>
      </c>
      <c r="AF36" s="13">
        <f t="shared" si="12"/>
        <v>66</v>
      </c>
      <c r="AG36" s="13">
        <f t="shared" si="12"/>
        <v>66</v>
      </c>
      <c r="AH36" s="13">
        <f t="shared" si="12"/>
        <v>70</v>
      </c>
      <c r="AI36" s="13">
        <f t="shared" si="12"/>
        <v>69</v>
      </c>
      <c r="AJ36" s="13">
        <f t="shared" si="12"/>
        <v>62</v>
      </c>
      <c r="AK36" s="13">
        <f t="shared" si="12"/>
        <v>70</v>
      </c>
      <c r="AL36" s="13">
        <f t="shared" si="12"/>
        <v>69</v>
      </c>
      <c r="AM36" s="13">
        <f t="shared" si="12"/>
        <v>90</v>
      </c>
      <c r="AN36" s="13">
        <f t="shared" si="12"/>
        <v>48</v>
      </c>
      <c r="AO36" s="13">
        <f t="shared" si="12"/>
        <v>42</v>
      </c>
      <c r="AP36" s="13">
        <f t="shared" si="11"/>
        <v>2442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24"/>
      <c r="N37" s="15"/>
      <c r="O37" s="15"/>
      <c r="P37" s="15"/>
      <c r="Q37" s="16"/>
      <c r="R37" s="19"/>
      <c r="S37" s="19"/>
      <c r="T37" s="19"/>
      <c r="U37" s="24"/>
      <c r="V37" s="15"/>
      <c r="W37" s="15"/>
      <c r="X37" s="15"/>
      <c r="Y37" s="16"/>
      <c r="Z37" s="19"/>
      <c r="AA37" s="19"/>
      <c r="AB37" s="19"/>
      <c r="AC37" s="24"/>
      <c r="AD37" s="15"/>
      <c r="AE37" s="15"/>
      <c r="AF37" s="15"/>
      <c r="AG37" s="15"/>
      <c r="AH37" s="15"/>
      <c r="AI37" s="15"/>
      <c r="AJ37" s="15"/>
      <c r="AK37" s="15"/>
      <c r="AL37" s="16"/>
      <c r="AM37" s="19"/>
      <c r="AN37" s="19"/>
      <c r="AO37" s="19"/>
      <c r="AP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3">
        <f t="shared" ref="AP39:AP41" si="13">SUM(E39:AO39)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3">
        <f t="shared" si="13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O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1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1</v>
      </c>
      <c r="AB41" s="13">
        <f t="shared" si="14"/>
        <v>0</v>
      </c>
      <c r="AC41" s="13">
        <f t="shared" si="14"/>
        <v>1</v>
      </c>
      <c r="AD41" s="13">
        <f t="shared" si="14"/>
        <v>1</v>
      </c>
      <c r="AE41" s="13">
        <f t="shared" si="14"/>
        <v>0</v>
      </c>
      <c r="AF41" s="13">
        <f t="shared" si="14"/>
        <v>0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4"/>
        <v>0</v>
      </c>
      <c r="AK41" s="13">
        <f t="shared" si="14"/>
        <v>1</v>
      </c>
      <c r="AL41" s="13">
        <f t="shared" si="14"/>
        <v>0</v>
      </c>
      <c r="AM41" s="13">
        <f t="shared" si="14"/>
        <v>0</v>
      </c>
      <c r="AN41" s="13">
        <f t="shared" si="14"/>
        <v>0</v>
      </c>
      <c r="AO41" s="13">
        <f t="shared" si="14"/>
        <v>0</v>
      </c>
      <c r="AP41" s="13">
        <f t="shared" si="13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24"/>
      <c r="N42" s="15"/>
      <c r="O42" s="15"/>
      <c r="P42" s="15"/>
      <c r="Q42" s="16"/>
      <c r="R42" s="19"/>
      <c r="S42" s="19"/>
      <c r="T42" s="19"/>
      <c r="U42" s="24"/>
      <c r="V42" s="15"/>
      <c r="W42" s="15"/>
      <c r="X42" s="15"/>
      <c r="Y42" s="16"/>
      <c r="Z42" s="19"/>
      <c r="AA42" s="19"/>
      <c r="AB42" s="19"/>
      <c r="AC42" s="24"/>
      <c r="AD42" s="15"/>
      <c r="AE42" s="15"/>
      <c r="AF42" s="15"/>
      <c r="AG42" s="15"/>
      <c r="AH42" s="15"/>
      <c r="AI42" s="15"/>
      <c r="AJ42" s="15"/>
      <c r="AK42" s="15"/>
      <c r="AL42" s="16"/>
      <c r="AM42" s="19"/>
      <c r="AN42" s="19"/>
      <c r="AO42" s="19"/>
      <c r="A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29"/>
      <c r="N43" s="13"/>
      <c r="O43" s="13"/>
      <c r="P43" s="13"/>
      <c r="Q43" s="13"/>
      <c r="R43" s="13"/>
      <c r="S43" s="13"/>
      <c r="T43" s="13"/>
      <c r="U43" s="29"/>
      <c r="V43" s="13"/>
      <c r="W43" s="13"/>
      <c r="X43" s="13"/>
      <c r="Y43" s="13"/>
      <c r="Z43" s="13"/>
      <c r="AA43" s="13"/>
      <c r="AB43" s="13"/>
      <c r="AC43" s="29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24"/>
      <c r="N44" s="19"/>
      <c r="O44" s="19"/>
      <c r="P44" s="19"/>
      <c r="Q44" s="19"/>
      <c r="R44" s="19"/>
      <c r="S44" s="19"/>
      <c r="T44" s="19"/>
      <c r="U44" s="24"/>
      <c r="V44" s="19"/>
      <c r="W44" s="19"/>
      <c r="X44" s="19"/>
      <c r="Y44" s="19"/>
      <c r="Z44" s="19"/>
      <c r="AA44" s="19"/>
      <c r="AB44" s="19"/>
      <c r="AC44" s="24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3"/>
    </row>
    <row r="45" ht="12.75" customHeight="1">
      <c r="A45" s="64"/>
      <c r="B45" s="47">
        <v>1.0</v>
      </c>
      <c r="C45" s="48" t="s">
        <v>37</v>
      </c>
      <c r="D45" s="16"/>
      <c r="E45" s="19">
        <v>22.0</v>
      </c>
      <c r="F45" s="19">
        <v>21.0</v>
      </c>
      <c r="G45" s="19">
        <v>9.0</v>
      </c>
      <c r="H45" s="19">
        <v>20.0</v>
      </c>
      <c r="I45" s="19">
        <v>41.0</v>
      </c>
      <c r="J45" s="19">
        <v>19.0</v>
      </c>
      <c r="K45" s="19">
        <v>12.0</v>
      </c>
      <c r="L45" s="19">
        <v>17.0</v>
      </c>
      <c r="M45" s="19">
        <v>19.0</v>
      </c>
      <c r="N45" s="19">
        <v>25.0</v>
      </c>
      <c r="O45" s="19">
        <v>20.0</v>
      </c>
      <c r="P45" s="19">
        <v>22.0</v>
      </c>
      <c r="Q45" s="19">
        <v>13.0</v>
      </c>
      <c r="R45" s="19">
        <v>15.0</v>
      </c>
      <c r="S45" s="19">
        <v>22.0</v>
      </c>
      <c r="T45" s="19">
        <v>19.0</v>
      </c>
      <c r="U45" s="19">
        <v>6.0</v>
      </c>
      <c r="V45" s="19">
        <v>11.0</v>
      </c>
      <c r="W45" s="19">
        <v>16.0</v>
      </c>
      <c r="X45" s="19">
        <v>8.0</v>
      </c>
      <c r="Y45" s="19">
        <v>26.0</v>
      </c>
      <c r="Z45" s="19">
        <v>12.0</v>
      </c>
      <c r="AA45" s="19">
        <v>28.0</v>
      </c>
      <c r="AB45" s="19">
        <v>19.0</v>
      </c>
      <c r="AC45" s="19">
        <v>9.0</v>
      </c>
      <c r="AD45" s="19">
        <v>19.0</v>
      </c>
      <c r="AE45" s="19">
        <v>3.0</v>
      </c>
      <c r="AF45" s="19">
        <v>17.0</v>
      </c>
      <c r="AG45" s="19">
        <v>14.0</v>
      </c>
      <c r="AH45" s="19">
        <v>2.0</v>
      </c>
      <c r="AI45" s="19">
        <v>36.0</v>
      </c>
      <c r="AJ45" s="19">
        <v>17.0</v>
      </c>
      <c r="AK45" s="19">
        <v>9.0</v>
      </c>
      <c r="AL45" s="19">
        <v>8.0</v>
      </c>
      <c r="AM45" s="19">
        <v>10.0</v>
      </c>
      <c r="AN45" s="19">
        <v>7.0</v>
      </c>
      <c r="AO45" s="19">
        <v>8.0</v>
      </c>
      <c r="AP45" s="13">
        <f t="shared" ref="AP45:AP47" si="15">SUM(E45:AO45)</f>
        <v>601</v>
      </c>
    </row>
    <row r="46" ht="12.75" customHeight="1">
      <c r="A46" s="18"/>
      <c r="B46" s="47">
        <v>2.0</v>
      </c>
      <c r="C46" s="48" t="s">
        <v>38</v>
      </c>
      <c r="D46" s="16"/>
      <c r="E46" s="19">
        <v>120.0</v>
      </c>
      <c r="F46" s="19">
        <v>135.0</v>
      </c>
      <c r="G46" s="19">
        <v>130.0</v>
      </c>
      <c r="H46" s="19">
        <v>140.0</v>
      </c>
      <c r="I46" s="19">
        <v>127.0</v>
      </c>
      <c r="J46" s="19">
        <v>125.0</v>
      </c>
      <c r="K46" s="19">
        <v>125.0</v>
      </c>
      <c r="L46" s="19">
        <v>115.0</v>
      </c>
      <c r="M46" s="19">
        <v>147.0</v>
      </c>
      <c r="N46" s="19">
        <v>151.0</v>
      </c>
      <c r="O46" s="19">
        <v>129.0</v>
      </c>
      <c r="P46" s="19">
        <v>110.0</v>
      </c>
      <c r="Q46" s="19">
        <v>134.0</v>
      </c>
      <c r="R46" s="19">
        <v>100.0</v>
      </c>
      <c r="S46" s="19">
        <v>96.0</v>
      </c>
      <c r="T46" s="19">
        <v>106.0</v>
      </c>
      <c r="U46" s="19">
        <v>106.0</v>
      </c>
      <c r="V46" s="19">
        <v>147.0</v>
      </c>
      <c r="W46" s="19">
        <v>146.0</v>
      </c>
      <c r="X46" s="19">
        <v>178.0</v>
      </c>
      <c r="Y46" s="19">
        <v>153.0</v>
      </c>
      <c r="Z46" s="19">
        <v>149.0</v>
      </c>
      <c r="AA46" s="19">
        <v>131.0</v>
      </c>
      <c r="AB46" s="19">
        <v>142.0</v>
      </c>
      <c r="AC46" s="19">
        <v>167.0</v>
      </c>
      <c r="AD46" s="19">
        <v>134.0</v>
      </c>
      <c r="AE46" s="19">
        <v>127.0</v>
      </c>
      <c r="AF46" s="19">
        <v>110.0</v>
      </c>
      <c r="AG46" s="19">
        <v>111.0</v>
      </c>
      <c r="AH46" s="19">
        <v>108.0</v>
      </c>
      <c r="AI46" s="19">
        <v>131.0</v>
      </c>
      <c r="AJ46" s="19">
        <v>169.0</v>
      </c>
      <c r="AK46" s="19">
        <v>141.0</v>
      </c>
      <c r="AL46" s="19">
        <v>125.0</v>
      </c>
      <c r="AM46" s="19">
        <v>134.0</v>
      </c>
      <c r="AN46" s="19">
        <v>141.0</v>
      </c>
      <c r="AO46" s="19">
        <v>131.0</v>
      </c>
      <c r="AP46" s="13">
        <f t="shared" si="15"/>
        <v>4871</v>
      </c>
    </row>
    <row r="47" ht="12.75" customHeight="1">
      <c r="A47" s="45"/>
      <c r="B47" s="47">
        <v>3.0</v>
      </c>
      <c r="C47" s="48" t="s">
        <v>39</v>
      </c>
      <c r="D47" s="16"/>
      <c r="E47" s="19">
        <v>74.0</v>
      </c>
      <c r="F47" s="19">
        <v>43.0</v>
      </c>
      <c r="G47" s="19">
        <v>38.0</v>
      </c>
      <c r="H47" s="19">
        <v>46.0</v>
      </c>
      <c r="I47" s="19">
        <v>46.0</v>
      </c>
      <c r="J47" s="19">
        <v>28.0</v>
      </c>
      <c r="K47" s="19">
        <v>44.0</v>
      </c>
      <c r="L47" s="19">
        <v>26.0</v>
      </c>
      <c r="M47" s="19">
        <v>60.0</v>
      </c>
      <c r="N47" s="19">
        <v>56.0</v>
      </c>
      <c r="O47" s="19">
        <v>54.0</v>
      </c>
      <c r="P47" s="19">
        <v>42.0</v>
      </c>
      <c r="Q47" s="19">
        <v>65.0</v>
      </c>
      <c r="R47" s="19">
        <v>65.0</v>
      </c>
      <c r="S47" s="19">
        <v>92.0</v>
      </c>
      <c r="T47" s="19">
        <v>33.0</v>
      </c>
      <c r="U47" s="19">
        <v>74.0</v>
      </c>
      <c r="V47" s="19">
        <v>58.0</v>
      </c>
      <c r="W47" s="19">
        <v>44.0</v>
      </c>
      <c r="X47" s="19">
        <v>59.0</v>
      </c>
      <c r="Y47" s="19">
        <v>19.0</v>
      </c>
      <c r="Z47" s="19">
        <v>36.0</v>
      </c>
      <c r="AA47" s="19">
        <v>37.0</v>
      </c>
      <c r="AB47" s="19">
        <v>44.0</v>
      </c>
      <c r="AC47" s="19">
        <v>35.0</v>
      </c>
      <c r="AD47" s="19">
        <v>58.0</v>
      </c>
      <c r="AE47" s="19">
        <v>57.0</v>
      </c>
      <c r="AF47" s="19">
        <v>94.0</v>
      </c>
      <c r="AG47" s="19">
        <v>76.0</v>
      </c>
      <c r="AH47" s="19">
        <v>98.0</v>
      </c>
      <c r="AI47" s="19">
        <v>51.0</v>
      </c>
      <c r="AJ47" s="19">
        <v>44.0</v>
      </c>
      <c r="AK47" s="19">
        <v>44.0</v>
      </c>
      <c r="AL47" s="19">
        <v>47.0</v>
      </c>
      <c r="AM47" s="19">
        <v>68.0</v>
      </c>
      <c r="AN47" s="19">
        <v>51.0</v>
      </c>
      <c r="AO47" s="19">
        <v>65.0</v>
      </c>
      <c r="AP47" s="13">
        <f t="shared" si="15"/>
        <v>1971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O50" si="16">SUM(E45:E47)</f>
        <v>216</v>
      </c>
      <c r="F50" s="19">
        <f t="shared" si="16"/>
        <v>199</v>
      </c>
      <c r="G50" s="19">
        <f t="shared" si="16"/>
        <v>177</v>
      </c>
      <c r="H50" s="19">
        <f t="shared" si="16"/>
        <v>206</v>
      </c>
      <c r="I50" s="19">
        <f t="shared" si="16"/>
        <v>214</v>
      </c>
      <c r="J50" s="19">
        <f t="shared" si="16"/>
        <v>172</v>
      </c>
      <c r="K50" s="19">
        <f t="shared" si="16"/>
        <v>181</v>
      </c>
      <c r="L50" s="19">
        <f t="shared" si="16"/>
        <v>158</v>
      </c>
      <c r="M50" s="19">
        <f t="shared" si="16"/>
        <v>226</v>
      </c>
      <c r="N50" s="19">
        <f t="shared" si="16"/>
        <v>232</v>
      </c>
      <c r="O50" s="19">
        <f t="shared" si="16"/>
        <v>203</v>
      </c>
      <c r="P50" s="19">
        <f t="shared" si="16"/>
        <v>174</v>
      </c>
      <c r="Q50" s="19">
        <f t="shared" si="16"/>
        <v>212</v>
      </c>
      <c r="R50" s="19">
        <f t="shared" si="16"/>
        <v>180</v>
      </c>
      <c r="S50" s="19">
        <f t="shared" si="16"/>
        <v>210</v>
      </c>
      <c r="T50" s="19">
        <f t="shared" si="16"/>
        <v>158</v>
      </c>
      <c r="U50" s="19">
        <f t="shared" si="16"/>
        <v>186</v>
      </c>
      <c r="V50" s="19">
        <f t="shared" si="16"/>
        <v>216</v>
      </c>
      <c r="W50" s="19">
        <f t="shared" si="16"/>
        <v>206</v>
      </c>
      <c r="X50" s="19">
        <f t="shared" si="16"/>
        <v>245</v>
      </c>
      <c r="Y50" s="19">
        <f t="shared" si="16"/>
        <v>198</v>
      </c>
      <c r="Z50" s="19">
        <f t="shared" si="16"/>
        <v>197</v>
      </c>
      <c r="AA50" s="19">
        <f t="shared" si="16"/>
        <v>196</v>
      </c>
      <c r="AB50" s="19">
        <f t="shared" si="16"/>
        <v>205</v>
      </c>
      <c r="AC50" s="19">
        <f t="shared" si="16"/>
        <v>211</v>
      </c>
      <c r="AD50" s="19">
        <f t="shared" si="16"/>
        <v>211</v>
      </c>
      <c r="AE50" s="19">
        <f t="shared" si="16"/>
        <v>187</v>
      </c>
      <c r="AF50" s="19">
        <f t="shared" si="16"/>
        <v>221</v>
      </c>
      <c r="AG50" s="19">
        <f t="shared" si="16"/>
        <v>201</v>
      </c>
      <c r="AH50" s="19">
        <f t="shared" si="16"/>
        <v>208</v>
      </c>
      <c r="AI50" s="19">
        <f t="shared" si="16"/>
        <v>218</v>
      </c>
      <c r="AJ50" s="19">
        <f t="shared" si="16"/>
        <v>230</v>
      </c>
      <c r="AK50" s="19">
        <f t="shared" si="16"/>
        <v>194</v>
      </c>
      <c r="AL50" s="19">
        <f t="shared" si="16"/>
        <v>180</v>
      </c>
      <c r="AM50" s="19">
        <f t="shared" si="16"/>
        <v>212</v>
      </c>
      <c r="AN50" s="19">
        <f t="shared" si="16"/>
        <v>199</v>
      </c>
      <c r="AO50" s="19">
        <f t="shared" si="16"/>
        <v>204</v>
      </c>
      <c r="AP50" s="13">
        <f t="shared" ref="AP50:AP52" si="17">SUM(E50:AO50)</f>
        <v>7443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6.0</v>
      </c>
      <c r="G51" s="19">
        <v>2.0</v>
      </c>
      <c r="H51" s="19">
        <v>4.0</v>
      </c>
      <c r="I51" s="19">
        <v>4.0</v>
      </c>
      <c r="J51" s="19">
        <v>2.0</v>
      </c>
      <c r="K51" s="19">
        <v>0.0</v>
      </c>
      <c r="L51" s="19">
        <v>1.0</v>
      </c>
      <c r="M51" s="19">
        <v>4.0</v>
      </c>
      <c r="N51" s="19">
        <v>2.0</v>
      </c>
      <c r="O51" s="19">
        <v>3.0</v>
      </c>
      <c r="P51" s="19">
        <v>2.0</v>
      </c>
      <c r="Q51" s="19">
        <v>12.0</v>
      </c>
      <c r="R51" s="19">
        <v>6.0</v>
      </c>
      <c r="S51" s="19">
        <v>4.0</v>
      </c>
      <c r="T51" s="19">
        <v>2.0</v>
      </c>
      <c r="U51" s="19">
        <v>2.0</v>
      </c>
      <c r="V51" s="19">
        <v>3.0</v>
      </c>
      <c r="W51" s="19">
        <v>0.0</v>
      </c>
      <c r="X51" s="19">
        <v>1.0</v>
      </c>
      <c r="Y51" s="19">
        <v>5.0</v>
      </c>
      <c r="Z51" s="19">
        <v>3.0</v>
      </c>
      <c r="AA51" s="19">
        <v>5.0</v>
      </c>
      <c r="AB51" s="19">
        <v>5.0</v>
      </c>
      <c r="AC51" s="19">
        <v>2.0</v>
      </c>
      <c r="AD51" s="19">
        <v>3.0</v>
      </c>
      <c r="AE51" s="19">
        <v>2.0</v>
      </c>
      <c r="AF51" s="19">
        <v>8.0</v>
      </c>
      <c r="AG51" s="19">
        <v>3.0</v>
      </c>
      <c r="AH51" s="19">
        <v>5.0</v>
      </c>
      <c r="AI51" s="19">
        <v>3.0</v>
      </c>
      <c r="AJ51" s="19">
        <v>3.0</v>
      </c>
      <c r="AK51" s="19">
        <v>4.0</v>
      </c>
      <c r="AL51" s="19">
        <v>1.0</v>
      </c>
      <c r="AM51" s="19">
        <v>1.0</v>
      </c>
      <c r="AN51" s="19">
        <v>5.0</v>
      </c>
      <c r="AO51" s="19">
        <v>4.0</v>
      </c>
      <c r="AP51" s="13">
        <f t="shared" si="17"/>
        <v>125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O52" si="18">SUM(E50:E51)</f>
        <v>219</v>
      </c>
      <c r="F52" s="13">
        <f t="shared" si="18"/>
        <v>205</v>
      </c>
      <c r="G52" s="13">
        <f t="shared" si="18"/>
        <v>179</v>
      </c>
      <c r="H52" s="13">
        <f t="shared" si="18"/>
        <v>210</v>
      </c>
      <c r="I52" s="13">
        <f t="shared" si="18"/>
        <v>218</v>
      </c>
      <c r="J52" s="13">
        <f t="shared" si="18"/>
        <v>174</v>
      </c>
      <c r="K52" s="13">
        <f t="shared" si="18"/>
        <v>181</v>
      </c>
      <c r="L52" s="13">
        <f t="shared" si="18"/>
        <v>159</v>
      </c>
      <c r="M52" s="13">
        <f t="shared" si="18"/>
        <v>230</v>
      </c>
      <c r="N52" s="13">
        <f t="shared" si="18"/>
        <v>234</v>
      </c>
      <c r="O52" s="13">
        <f t="shared" si="18"/>
        <v>206</v>
      </c>
      <c r="P52" s="13">
        <f t="shared" si="18"/>
        <v>176</v>
      </c>
      <c r="Q52" s="13">
        <f t="shared" si="18"/>
        <v>224</v>
      </c>
      <c r="R52" s="13">
        <f t="shared" si="18"/>
        <v>186</v>
      </c>
      <c r="S52" s="13">
        <f t="shared" si="18"/>
        <v>214</v>
      </c>
      <c r="T52" s="13">
        <f t="shared" si="18"/>
        <v>160</v>
      </c>
      <c r="U52" s="13">
        <f t="shared" si="18"/>
        <v>188</v>
      </c>
      <c r="V52" s="13">
        <f t="shared" si="18"/>
        <v>219</v>
      </c>
      <c r="W52" s="13">
        <f t="shared" si="18"/>
        <v>206</v>
      </c>
      <c r="X52" s="13">
        <f t="shared" si="18"/>
        <v>246</v>
      </c>
      <c r="Y52" s="13">
        <f t="shared" si="18"/>
        <v>203</v>
      </c>
      <c r="Z52" s="13">
        <f t="shared" si="18"/>
        <v>200</v>
      </c>
      <c r="AA52" s="13">
        <f t="shared" si="18"/>
        <v>201</v>
      </c>
      <c r="AB52" s="13">
        <f t="shared" si="18"/>
        <v>210</v>
      </c>
      <c r="AC52" s="13">
        <f t="shared" si="18"/>
        <v>213</v>
      </c>
      <c r="AD52" s="13">
        <f t="shared" si="18"/>
        <v>214</v>
      </c>
      <c r="AE52" s="13">
        <f t="shared" si="18"/>
        <v>189</v>
      </c>
      <c r="AF52" s="13">
        <f t="shared" si="18"/>
        <v>229</v>
      </c>
      <c r="AG52" s="13">
        <f t="shared" si="18"/>
        <v>204</v>
      </c>
      <c r="AH52" s="13">
        <f t="shared" si="18"/>
        <v>213</v>
      </c>
      <c r="AI52" s="13">
        <f t="shared" si="18"/>
        <v>221</v>
      </c>
      <c r="AJ52" s="13">
        <f t="shared" si="18"/>
        <v>233</v>
      </c>
      <c r="AK52" s="13">
        <f t="shared" si="18"/>
        <v>198</v>
      </c>
      <c r="AL52" s="13">
        <f t="shared" si="18"/>
        <v>181</v>
      </c>
      <c r="AM52" s="13">
        <f t="shared" si="18"/>
        <v>213</v>
      </c>
      <c r="AN52" s="13">
        <f t="shared" si="18"/>
        <v>204</v>
      </c>
      <c r="AO52" s="13">
        <f t="shared" si="18"/>
        <v>208</v>
      </c>
      <c r="AP52" s="13">
        <f t="shared" si="17"/>
        <v>7568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B12:D12"/>
    <mergeCell ref="E12:L12"/>
    <mergeCell ref="M12:T12"/>
    <mergeCell ref="U12:AB12"/>
    <mergeCell ref="AC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34:D34"/>
    <mergeCell ref="B35:D35"/>
    <mergeCell ref="B36:D36"/>
    <mergeCell ref="A37:D37"/>
    <mergeCell ref="E37:I37"/>
    <mergeCell ref="M37:Q37"/>
    <mergeCell ref="U37:Y37"/>
    <mergeCell ref="AC37:AL37"/>
    <mergeCell ref="B25:B27"/>
    <mergeCell ref="C25:C27"/>
    <mergeCell ref="B28:B30"/>
    <mergeCell ref="C28:C30"/>
    <mergeCell ref="A31:D31"/>
    <mergeCell ref="B32:D32"/>
    <mergeCell ref="B33:D33"/>
    <mergeCell ref="B38:D38"/>
    <mergeCell ref="B39:C41"/>
    <mergeCell ref="A42:D42"/>
    <mergeCell ref="E42:I42"/>
    <mergeCell ref="M42:Q42"/>
    <mergeCell ref="U42:Y42"/>
    <mergeCell ref="AC42:AL42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O15 E45:AO47">
    <cfRule type="containsBlanks" dxfId="1" priority="1">
      <formula>LEN(TRIM(E14))=0</formula>
    </cfRule>
  </conditionalFormatting>
  <conditionalFormatting sqref="E19:AO20">
    <cfRule type="containsBlanks" dxfId="1" priority="2">
      <formula>LEN(TRIM(E19))=0</formula>
    </cfRule>
  </conditionalFormatting>
  <conditionalFormatting sqref="E22:AO23 E25:AJ26 E33:AO33 E35:AO35 E39:AO40 AK26:AO26">
    <cfRule type="containsBlanks" dxfId="1" priority="3">
      <formula>LEN(TRIM(E22))=0</formula>
    </cfRule>
  </conditionalFormatting>
  <conditionalFormatting sqref="E30:AO30">
    <cfRule type="expression" dxfId="0" priority="4">
      <formula>E30&lt;&gt;E46</formula>
    </cfRule>
  </conditionalFormatting>
  <conditionalFormatting sqref="E30:AO30">
    <cfRule type="expression" dxfId="0" priority="5">
      <formula>E30&lt;&gt;E34</formula>
    </cfRule>
  </conditionalFormatting>
  <conditionalFormatting sqref="E34:AO34">
    <cfRule type="expression" dxfId="2" priority="6">
      <formula>E30&lt;&gt;E34</formula>
    </cfRule>
  </conditionalFormatting>
  <conditionalFormatting sqref="E34:AO34">
    <cfRule type="expression" dxfId="3" priority="7">
      <formula>E30=E34</formula>
    </cfRule>
  </conditionalFormatting>
  <conditionalFormatting sqref="E34:AO34">
    <cfRule type="expression" dxfId="0" priority="8">
      <formula>E34&lt;&gt;E30</formula>
    </cfRule>
  </conditionalFormatting>
  <conditionalFormatting sqref="E34:AO34">
    <cfRule type="expression" dxfId="0" priority="9">
      <formula>E34&lt;&gt;#REF!</formula>
    </cfRule>
  </conditionalFormatting>
  <conditionalFormatting sqref="E50:AO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