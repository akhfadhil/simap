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ENCULUK" sheetId="2" r:id="rId5"/>
    <sheet state="visible" name="CLURING" sheetId="3" r:id="rId6"/>
    <sheet state="visible" name="KALIPLOSO" sheetId="4" r:id="rId7"/>
    <sheet state="visible" name="PLAMPANGREJO" sheetId="5" r:id="rId8"/>
    <sheet state="visible" name="SARIMULYO" sheetId="6" r:id="rId9"/>
    <sheet state="visible" name="SEMBULUNG" sheetId="7" r:id="rId10"/>
    <sheet state="visible" name="SRATEN" sheetId="8" r:id="rId11"/>
    <sheet state="visible" name="TAMANAGUNG" sheetId="9" r:id="rId12"/>
    <sheet state="visible" name="TAMPO" sheetId="10" r:id="rId13"/>
  </sheets>
  <definedNames/>
  <calcPr/>
  <extLst>
    <ext uri="GoogleSheetsCustomDataVersion2">
      <go:sheetsCustomData xmlns:go="http://customooxmlschemas.google.com/" r:id="rId14" roundtripDataChecksum="dDraA7ph6tR1BE2DxE8caF8NUYQyuzBRr/xvcJxTba4="/>
    </ext>
  </extLst>
</workbook>
</file>

<file path=xl/sharedStrings.xml><?xml version="1.0" encoding="utf-8"?>
<sst xmlns="http://schemas.openxmlformats.org/spreadsheetml/2006/main" count="880" uniqueCount="97">
  <si>
    <t>Kecamatan</t>
  </si>
  <si>
    <t>CLURING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</si>
  <si>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</si>
  <si>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</si>
  <si>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</si>
  <si>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</si>
  <si>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</si>
  <si>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</si>
  <si>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</si>
  <si>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</si>
  <si>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</si>
  <si>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</si>
  <si>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</si>
  <si>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</si>
  <si>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</si>
  <si>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</si>
  <si>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</si>
  <si>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</si>
  <si>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</si>
  <si>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</si>
  <si>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</si>
  <si>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</si>
  <si>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</si>
  <si>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</si>
  <si>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</si>
  <si>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</si>
  <si>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</si>
  <si>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</si>
  <si>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</si>
  <si>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</si>
  <si>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</si>
  <si>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</si>
  <si>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</si>
  <si>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</si>
  <si>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</si>
  <si>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</si>
  <si>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</si>
  <si>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</si>
  <si>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</si>
  <si>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</si>
  <si>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</si>
  <si>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</si>
  <si>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</si>
  <si>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</si>
  <si>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</si>
  <si>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</si>
  <si>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</si>
  <si>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</si>
  <si>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</si>
  <si>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BENCULUK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</si>
  <si>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</si>
  <si>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</si>
  <si>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</si>
  <si>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</si>
  <si>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</si>
  <si>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</si>
  <si>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</si>
  <si>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</si>
  <si>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</si>
  <si>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</si>
  <si>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</si>
  <si>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</si>
  <si>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</si>
  <si>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</si>
  <si>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</si>
  <si>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</si>
  <si>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</si>
  <si>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</si>
  <si>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</si>
  <si>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</si>
  <si>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</si>
  <si>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</si>
  <si>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</si>
  <si>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</si>
  <si>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</si>
  <si>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</si>
  <si>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</si>
  <si>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</si>
  <si>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</si>
  <si>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</si>
  <si>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</si>
  <si>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</si>
  <si>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</si>
  <si>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</si>
  <si>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</si>
  <si>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</si>
  <si>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</si>
  <si>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</si>
  <si>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</si>
  <si>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</si>
  <si>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KALIPLOSO</t>
  </si>
  <si>
    <t>PLAMPANGREJO</t>
  </si>
  <si>
    <t>SARIMULYO</t>
  </si>
  <si>
    <t>SEMBULUNG</t>
  </si>
  <si>
    <t>SRATEN</t>
  </si>
  <si>
    <t>TAMANAGUNG</t>
  </si>
  <si>
    <t>TAMPO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</si>
</sst>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BENCULUK!AS14+CLURING!AL14+KALIPLOSO!Q14+PLAMPANGREJO!AE14+SARIMULYO!AA14+SEMBULUNG!AC14+SRATEN!AB14+TAMANAGUNG!AH14+TAMPO!AB14</f>
        <v>30610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BENCULUK!AS15+CLURING!AL15+KALIPLOSO!Q15+PLAMPANGREJO!AE15+SARIMULYO!AA15+SEMBULUNG!AC15+SRATEN!AB15+TAMANAGUNG!AH15+TAMPO!AB15</f>
        <v>30796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61406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BENCULUK!AS19+CLURING!AL19+KALIPLOSO!Q19+PLAMPANGREJO!AE19+SARIMULYO!AA19+SEMBULUNG!AC19+SRATEN!AB19+TAMANAGUNG!AH19+TAMPO!AB19</f>
        <v>22875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BENCULUK!AS20+CLURING!AL20+KALIPLOSO!Q20+PLAMPANGREJO!AE20+SARIMULYO!AA20+SEMBULUNG!AC20+SRATEN!AB20+TAMANAGUNG!AH20+TAMPO!AB20</f>
        <v>24376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47251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BENCULUK!AS22+CLURING!AL22+KALIPLOSO!Q22+PLAMPANGREJO!AE22+SARIMULYO!AA22+SEMBULUNG!AC22+SRATEN!AB22+TAMANAGUNG!AH22+TAMPO!AB22</f>
        <v>43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BENCULUK!AS23+CLURING!AL23+KALIPLOSO!Q23+PLAMPANGREJO!AE23+SARIMULYO!AA23+SEMBULUNG!AC23+SRATEN!AB23+TAMANAGUNG!AH23+TAMPO!AB23</f>
        <v>45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88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BENCULUK!AS25+CLURING!AL25+KALIPLOSO!Q25+PLAMPANGREJO!AE25+SARIMULYO!AA25+SEMBULUNG!AC25+SRATEN!AB25+TAMANAGUNG!AH25+TAMPO!AB25</f>
        <v>230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BENCULUK!AS26+CLURING!AL26+KALIPLOSO!Q26+PLAMPANGREJO!AE26+SARIMULYO!AA26+SEMBULUNG!AC26+SRATEN!AB26+TAMANAGUNG!AH26+TAMPO!AB26</f>
        <v>295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525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23148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24716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47864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BENCULUK!AS33+CLURING!AL33+KALIPLOSO!Q33+PLAMPANGREJO!AE33+SARIMULYO!AA33+SEMBULUNG!AC33+SRATEN!AB33+TAMANAGUNG!AH33+TAMPO!AB33</f>
        <v>62836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BENCULUK!AS34+CLURING!AL34+KALIPLOSO!Q34+PLAMPANGREJO!AE34+SARIMULYO!AA34+SEMBULUNG!AC34+SRATEN!AB34+TAMANAGUNG!AH34+TAMPO!AB34</f>
        <v>47864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BENCULUK!AS35+CLURING!AL35+KALIPLOSO!Q35+PLAMPANGREJO!AE35+SARIMULYO!AA35+SEMBULUNG!AC35+SRATEN!AB35+TAMANAGUNG!AH35+TAMPO!AB35</f>
        <v>68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14904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BENCULUK!AS39+CLURING!AL39+KALIPLOSO!Q39+PLAMPANGREJO!AE39+SARIMULYO!AA39+SEMBULUNG!AC39+SRATEN!AB39+TAMANAGUNG!AH39+TAMPO!AB39</f>
        <v>29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BENCULUK!AS40+CLURING!AL40+KALIPLOSO!Q40+PLAMPANGREJO!AE40+SARIMULYO!AA40+SEMBULUNG!AC40+SRATEN!AB40+TAMANAGUNG!AH40+TAMPO!AB40</f>
        <v>41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70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BENCULUK!AS45+CLURING!AL45+KALIPLOSO!Q45+PLAMPANGREJO!AE45+SARIMULYO!AA45+SEMBULUNG!AC45+SRATEN!AB45+TAMANAGUNG!AH45+TAMPO!AB45</f>
        <v>4605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38</v>
      </c>
      <c r="D46" s="16"/>
      <c r="E46" s="24">
        <f>BENCULUK!AS46+CLURING!AL46+KALIPLOSO!Q46+PLAMPANGREJO!AE46+SARIMULYO!AA46+SEMBULUNG!AC46+SRATEN!AB46+TAMANAGUNG!AH46+TAMPO!AB46</f>
        <v>31040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39</v>
      </c>
      <c r="D47" s="16"/>
      <c r="E47" s="24">
        <f>BENCULUK!AS47+CLURING!AL47+KALIPLOSO!Q47+PLAMPANGREJO!AE47+SARIMULYO!AA47+SEMBULUNG!AC47+SRATEN!AB47+TAMANAGUNG!AH47+TAMPO!AB47</f>
        <v>9078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42</v>
      </c>
      <c r="C50" s="55" t="s">
        <v>43</v>
      </c>
      <c r="D50" s="16"/>
      <c r="E50" s="24">
        <f>BENCULUK!AS50+CLURING!AL50+KALIPLOSO!Q50+PLAMPANGREJO!AE50+SARIMULYO!AA50+SEMBULUNG!AC50+SRATEN!AB50+TAMANAGUNG!AH50+TAMPO!AB50</f>
        <v>47147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44</v>
      </c>
      <c r="C51" s="55" t="s">
        <v>45</v>
      </c>
      <c r="D51" s="16"/>
      <c r="E51" s="24">
        <f>BENCULUK!AS51+CLURING!AL51+KALIPLOSO!Q51+PLAMPANGREJO!AE51+SARIMULYO!AA51+SEMBULUNG!AC51+SRATEN!AB51+TAMANAGUNG!AH51+TAMPO!AB51</f>
        <v>717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46</v>
      </c>
      <c r="C52" s="55" t="s">
        <v>47</v>
      </c>
      <c r="D52" s="16"/>
      <c r="E52" s="13">
        <f>SUM(E50:E51)</f>
        <v>47864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8" width="8.71"/>
    <col customWidth="1" min="9" max="9" width="9.14"/>
    <col customWidth="1" min="10" max="44" width="8.71"/>
    <col customWidth="1" min="45" max="45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2"/>
      <c r="AA11" s="1"/>
      <c r="AB11" s="1"/>
      <c r="AC11" s="1"/>
      <c r="AD11" s="1"/>
      <c r="AE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122.0</v>
      </c>
      <c r="G14" s="19">
        <v>131.0</v>
      </c>
      <c r="H14" s="19">
        <v>114.0</v>
      </c>
      <c r="I14" s="19">
        <v>125.0</v>
      </c>
      <c r="J14" s="19">
        <v>123.0</v>
      </c>
      <c r="K14" s="19">
        <v>119.0</v>
      </c>
      <c r="L14" s="19">
        <v>115.0</v>
      </c>
      <c r="M14" s="19">
        <v>138.0</v>
      </c>
      <c r="N14" s="19">
        <v>121.0</v>
      </c>
      <c r="O14" s="19">
        <v>126.0</v>
      </c>
      <c r="P14" s="19">
        <v>124.0</v>
      </c>
      <c r="Q14" s="19">
        <v>141.0</v>
      </c>
      <c r="R14" s="19">
        <v>144.0</v>
      </c>
      <c r="S14" s="19">
        <v>139.0</v>
      </c>
      <c r="T14" s="19">
        <v>124.0</v>
      </c>
      <c r="U14" s="19">
        <v>123.0</v>
      </c>
      <c r="V14" s="19">
        <v>119.0</v>
      </c>
      <c r="W14" s="19">
        <v>123.0</v>
      </c>
      <c r="X14" s="19">
        <v>134.0</v>
      </c>
      <c r="Y14" s="19">
        <v>129.0</v>
      </c>
      <c r="Z14" s="19">
        <v>139.0</v>
      </c>
      <c r="AA14" s="19">
        <v>138.0</v>
      </c>
      <c r="AB14" s="19">
        <v>118.0</v>
      </c>
      <c r="AC14" s="19">
        <v>140.0</v>
      </c>
      <c r="AD14" s="19">
        <v>136.0</v>
      </c>
      <c r="AE14" s="19">
        <v>153.0</v>
      </c>
      <c r="AF14" s="19">
        <v>141.0</v>
      </c>
      <c r="AG14" s="19">
        <v>133.0</v>
      </c>
      <c r="AH14" s="19">
        <v>131.0</v>
      </c>
      <c r="AI14" s="19">
        <v>135.0</v>
      </c>
      <c r="AJ14" s="19">
        <v>127.0</v>
      </c>
      <c r="AK14" s="19">
        <v>141.0</v>
      </c>
      <c r="AL14" s="19">
        <v>127.0</v>
      </c>
      <c r="AM14" s="19">
        <v>130.0</v>
      </c>
      <c r="AN14" s="19">
        <v>132.0</v>
      </c>
      <c r="AO14" s="19">
        <v>125.0</v>
      </c>
      <c r="AP14" s="19">
        <v>143.0</v>
      </c>
      <c r="AQ14" s="19">
        <v>146.0</v>
      </c>
      <c r="AR14" s="19">
        <v>130.0</v>
      </c>
      <c r="AS14" s="13">
        <f t="shared" ref="AS14:AS16" si="1">SUM(E14:AR14)</f>
        <v>5235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131.0</v>
      </c>
      <c r="G15" s="19">
        <v>122.0</v>
      </c>
      <c r="H15" s="19">
        <v>141.0</v>
      </c>
      <c r="I15" s="19">
        <v>121.0</v>
      </c>
      <c r="J15" s="19">
        <v>120.0</v>
      </c>
      <c r="K15" s="19">
        <v>126.0</v>
      </c>
      <c r="L15" s="19">
        <v>120.0</v>
      </c>
      <c r="M15" s="19">
        <v>134.0</v>
      </c>
      <c r="N15" s="19">
        <v>138.0</v>
      </c>
      <c r="O15" s="19">
        <v>125.0</v>
      </c>
      <c r="P15" s="19">
        <v>144.0</v>
      </c>
      <c r="Q15" s="19">
        <v>142.0</v>
      </c>
      <c r="R15" s="19">
        <v>133.0</v>
      </c>
      <c r="S15" s="19">
        <v>141.0</v>
      </c>
      <c r="T15" s="19">
        <v>137.0</v>
      </c>
      <c r="U15" s="19">
        <v>129.0</v>
      </c>
      <c r="V15" s="19">
        <v>113.0</v>
      </c>
      <c r="W15" s="19">
        <v>146.0</v>
      </c>
      <c r="X15" s="19">
        <v>131.0</v>
      </c>
      <c r="Y15" s="19">
        <v>146.0</v>
      </c>
      <c r="Z15" s="19">
        <v>145.0</v>
      </c>
      <c r="AA15" s="19">
        <v>142.0</v>
      </c>
      <c r="AB15" s="19">
        <v>132.0</v>
      </c>
      <c r="AC15" s="19">
        <v>123.0</v>
      </c>
      <c r="AD15" s="19">
        <v>136.0</v>
      </c>
      <c r="AE15" s="19">
        <v>136.0</v>
      </c>
      <c r="AF15" s="19">
        <v>143.0</v>
      </c>
      <c r="AG15" s="19">
        <v>137.0</v>
      </c>
      <c r="AH15" s="19">
        <v>122.0</v>
      </c>
      <c r="AI15" s="19">
        <v>131.0</v>
      </c>
      <c r="AJ15" s="19">
        <v>123.0</v>
      </c>
      <c r="AK15" s="19">
        <v>125.0</v>
      </c>
      <c r="AL15" s="19">
        <v>130.0</v>
      </c>
      <c r="AM15" s="19">
        <v>135.0</v>
      </c>
      <c r="AN15" s="19">
        <v>133.0</v>
      </c>
      <c r="AO15" s="19">
        <v>132.0</v>
      </c>
      <c r="AP15" s="19">
        <v>147.0</v>
      </c>
      <c r="AQ15" s="19">
        <v>126.0</v>
      </c>
      <c r="AR15" s="19">
        <v>140.0</v>
      </c>
      <c r="AS15" s="13">
        <f t="shared" si="1"/>
        <v>5301</v>
      </c>
    </row>
    <row r="16" ht="12.75" customHeight="1">
      <c r="A16" s="25"/>
      <c r="B16" s="21"/>
      <c r="C16" s="28"/>
      <c r="D16" s="13" t="s">
        <v>14</v>
      </c>
      <c r="E16" s="13">
        <f t="shared" ref="E16:AR16" si="2">SUM(E14:E15)</f>
        <v>259</v>
      </c>
      <c r="F16" s="13">
        <f t="shared" si="2"/>
        <v>253</v>
      </c>
      <c r="G16" s="13">
        <f t="shared" si="2"/>
        <v>253</v>
      </c>
      <c r="H16" s="13">
        <f t="shared" si="2"/>
        <v>255</v>
      </c>
      <c r="I16" s="13">
        <f t="shared" si="2"/>
        <v>246</v>
      </c>
      <c r="J16" s="13">
        <f t="shared" si="2"/>
        <v>243</v>
      </c>
      <c r="K16" s="13">
        <f t="shared" si="2"/>
        <v>245</v>
      </c>
      <c r="L16" s="13">
        <f t="shared" si="2"/>
        <v>235</v>
      </c>
      <c r="M16" s="13">
        <f t="shared" si="2"/>
        <v>272</v>
      </c>
      <c r="N16" s="13">
        <f t="shared" si="2"/>
        <v>259</v>
      </c>
      <c r="O16" s="13">
        <f t="shared" si="2"/>
        <v>251</v>
      </c>
      <c r="P16" s="13">
        <f t="shared" si="2"/>
        <v>268</v>
      </c>
      <c r="Q16" s="13">
        <f t="shared" si="2"/>
        <v>283</v>
      </c>
      <c r="R16" s="13">
        <f t="shared" si="2"/>
        <v>277</v>
      </c>
      <c r="S16" s="13">
        <f t="shared" si="2"/>
        <v>280</v>
      </c>
      <c r="T16" s="13">
        <f t="shared" si="2"/>
        <v>261</v>
      </c>
      <c r="U16" s="13">
        <f t="shared" si="2"/>
        <v>252</v>
      </c>
      <c r="V16" s="13">
        <f t="shared" si="2"/>
        <v>232</v>
      </c>
      <c r="W16" s="13">
        <f t="shared" si="2"/>
        <v>269</v>
      </c>
      <c r="X16" s="13">
        <f t="shared" si="2"/>
        <v>265</v>
      </c>
      <c r="Y16" s="13">
        <f t="shared" si="2"/>
        <v>275</v>
      </c>
      <c r="Z16" s="13">
        <f t="shared" si="2"/>
        <v>284</v>
      </c>
      <c r="AA16" s="13">
        <f t="shared" si="2"/>
        <v>280</v>
      </c>
      <c r="AB16" s="13">
        <f t="shared" si="2"/>
        <v>250</v>
      </c>
      <c r="AC16" s="13">
        <f t="shared" si="2"/>
        <v>263</v>
      </c>
      <c r="AD16" s="13">
        <f t="shared" si="2"/>
        <v>272</v>
      </c>
      <c r="AE16" s="13">
        <f t="shared" si="2"/>
        <v>289</v>
      </c>
      <c r="AF16" s="13">
        <f t="shared" si="2"/>
        <v>284</v>
      </c>
      <c r="AG16" s="13">
        <f t="shared" si="2"/>
        <v>270</v>
      </c>
      <c r="AH16" s="13">
        <f t="shared" si="2"/>
        <v>253</v>
      </c>
      <c r="AI16" s="13">
        <f t="shared" si="2"/>
        <v>266</v>
      </c>
      <c r="AJ16" s="13">
        <f t="shared" si="2"/>
        <v>250</v>
      </c>
      <c r="AK16" s="13">
        <f t="shared" si="2"/>
        <v>266</v>
      </c>
      <c r="AL16" s="13">
        <f t="shared" si="2"/>
        <v>257</v>
      </c>
      <c r="AM16" s="13">
        <f t="shared" si="2"/>
        <v>265</v>
      </c>
      <c r="AN16" s="13">
        <f t="shared" si="2"/>
        <v>265</v>
      </c>
      <c r="AO16" s="13">
        <f t="shared" si="2"/>
        <v>257</v>
      </c>
      <c r="AP16" s="13">
        <f t="shared" si="2"/>
        <v>290</v>
      </c>
      <c r="AQ16" s="13">
        <f t="shared" si="2"/>
        <v>272</v>
      </c>
      <c r="AR16" s="13">
        <f t="shared" si="2"/>
        <v>270</v>
      </c>
      <c r="AS16" s="13">
        <f t="shared" si="1"/>
        <v>10536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19"/>
      <c r="AB17" s="19"/>
      <c r="AC17" s="19"/>
      <c r="AD17" s="1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19"/>
      <c r="AB18" s="19"/>
      <c r="AC18" s="19"/>
      <c r="AD18" s="1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98.0</v>
      </c>
      <c r="G19" s="19">
        <v>88.0</v>
      </c>
      <c r="H19" s="19">
        <v>84.0</v>
      </c>
      <c r="I19" s="19">
        <v>89.0</v>
      </c>
      <c r="J19" s="19">
        <v>83.0</v>
      </c>
      <c r="K19" s="19">
        <v>79.0</v>
      </c>
      <c r="L19" s="19">
        <v>92.0</v>
      </c>
      <c r="M19" s="19">
        <v>94.0</v>
      </c>
      <c r="N19" s="19">
        <v>87.0</v>
      </c>
      <c r="O19" s="19">
        <v>92.0</v>
      </c>
      <c r="P19" s="19">
        <v>81.0</v>
      </c>
      <c r="Q19" s="19">
        <v>98.0</v>
      </c>
      <c r="R19" s="19">
        <v>92.0</v>
      </c>
      <c r="S19" s="19">
        <v>102.0</v>
      </c>
      <c r="T19" s="19">
        <v>99.0</v>
      </c>
      <c r="U19" s="19">
        <v>85.0</v>
      </c>
      <c r="V19" s="19">
        <v>77.0</v>
      </c>
      <c r="W19" s="19">
        <v>97.0</v>
      </c>
      <c r="X19" s="19">
        <v>100.0</v>
      </c>
      <c r="Y19" s="19">
        <v>86.0</v>
      </c>
      <c r="Z19" s="19">
        <v>106.0</v>
      </c>
      <c r="AA19" s="19">
        <v>104.0</v>
      </c>
      <c r="AB19" s="19">
        <v>89.0</v>
      </c>
      <c r="AC19" s="19">
        <v>103.0</v>
      </c>
      <c r="AD19" s="19">
        <v>120.0</v>
      </c>
      <c r="AE19" s="19">
        <v>118.0</v>
      </c>
      <c r="AF19" s="19">
        <v>112.0</v>
      </c>
      <c r="AG19" s="19">
        <v>110.0</v>
      </c>
      <c r="AH19" s="19">
        <v>92.0</v>
      </c>
      <c r="AI19" s="19">
        <v>109.0</v>
      </c>
      <c r="AJ19" s="19">
        <v>92.0</v>
      </c>
      <c r="AK19" s="19">
        <v>108.0</v>
      </c>
      <c r="AL19" s="19">
        <v>99.0</v>
      </c>
      <c r="AM19" s="19">
        <v>93.0</v>
      </c>
      <c r="AN19" s="19">
        <v>113.0</v>
      </c>
      <c r="AO19" s="19">
        <v>96.0</v>
      </c>
      <c r="AP19" s="19">
        <v>111.0</v>
      </c>
      <c r="AQ19" s="19">
        <v>92.0</v>
      </c>
      <c r="AR19" s="19">
        <v>90.0</v>
      </c>
      <c r="AS19" s="13">
        <f t="shared" ref="AS19:AS30" si="3">SUM(E19:AR19)</f>
        <v>3866</v>
      </c>
    </row>
    <row r="20" ht="12.75" customHeight="1">
      <c r="A20" s="33"/>
      <c r="B20" s="27"/>
      <c r="C20" s="34"/>
      <c r="D20" s="19" t="s">
        <v>13</v>
      </c>
      <c r="E20" s="19">
        <v>92.0</v>
      </c>
      <c r="F20" s="19">
        <v>93.0</v>
      </c>
      <c r="G20" s="19">
        <v>89.0</v>
      </c>
      <c r="H20" s="19">
        <v>114.0</v>
      </c>
      <c r="I20" s="19">
        <v>98.0</v>
      </c>
      <c r="J20" s="19">
        <v>82.0</v>
      </c>
      <c r="K20" s="19">
        <v>86.0</v>
      </c>
      <c r="L20" s="19">
        <v>87.0</v>
      </c>
      <c r="M20" s="19">
        <v>104.0</v>
      </c>
      <c r="N20" s="19">
        <v>103.0</v>
      </c>
      <c r="O20" s="19">
        <v>97.0</v>
      </c>
      <c r="P20" s="19">
        <v>92.0</v>
      </c>
      <c r="Q20" s="19">
        <v>99.0</v>
      </c>
      <c r="R20" s="19">
        <v>85.0</v>
      </c>
      <c r="S20" s="19">
        <v>119.0</v>
      </c>
      <c r="T20" s="19">
        <v>108.0</v>
      </c>
      <c r="U20" s="19">
        <v>103.0</v>
      </c>
      <c r="V20" s="19">
        <v>79.0</v>
      </c>
      <c r="W20" s="19">
        <v>118.0</v>
      </c>
      <c r="X20" s="19">
        <v>108.0</v>
      </c>
      <c r="Y20" s="19">
        <v>115.0</v>
      </c>
      <c r="Z20" s="19">
        <v>116.0</v>
      </c>
      <c r="AA20" s="19">
        <v>124.0</v>
      </c>
      <c r="AB20" s="19">
        <v>101.0</v>
      </c>
      <c r="AC20" s="19">
        <v>94.0</v>
      </c>
      <c r="AD20" s="19">
        <v>118.0</v>
      </c>
      <c r="AE20" s="19">
        <v>113.0</v>
      </c>
      <c r="AF20" s="19">
        <v>117.0</v>
      </c>
      <c r="AG20" s="19">
        <v>112.0</v>
      </c>
      <c r="AH20" s="19">
        <v>91.0</v>
      </c>
      <c r="AI20" s="19">
        <v>111.0</v>
      </c>
      <c r="AJ20" s="19">
        <v>105.0</v>
      </c>
      <c r="AK20" s="19">
        <v>109.0</v>
      </c>
      <c r="AL20" s="19">
        <v>105.0</v>
      </c>
      <c r="AM20" s="19">
        <v>105.0</v>
      </c>
      <c r="AN20" s="19">
        <v>120.0</v>
      </c>
      <c r="AO20" s="19">
        <v>104.0</v>
      </c>
      <c r="AP20" s="19">
        <v>120.0</v>
      </c>
      <c r="AQ20" s="19">
        <v>101.0</v>
      </c>
      <c r="AR20" s="19">
        <v>106.0</v>
      </c>
      <c r="AS20" s="13">
        <f t="shared" si="3"/>
        <v>4143</v>
      </c>
    </row>
    <row r="21" ht="12.75" customHeight="1">
      <c r="A21" s="35"/>
      <c r="B21" s="28"/>
      <c r="C21" s="36"/>
      <c r="D21" s="13" t="s">
        <v>14</v>
      </c>
      <c r="E21" s="13">
        <f t="shared" ref="E21:AR21" si="4">SUM(E19:E20)</f>
        <v>198</v>
      </c>
      <c r="F21" s="13">
        <f t="shared" si="4"/>
        <v>191</v>
      </c>
      <c r="G21" s="13">
        <f t="shared" si="4"/>
        <v>177</v>
      </c>
      <c r="H21" s="13">
        <f t="shared" si="4"/>
        <v>198</v>
      </c>
      <c r="I21" s="13">
        <f t="shared" si="4"/>
        <v>187</v>
      </c>
      <c r="J21" s="13">
        <f t="shared" si="4"/>
        <v>165</v>
      </c>
      <c r="K21" s="13">
        <f t="shared" si="4"/>
        <v>165</v>
      </c>
      <c r="L21" s="13">
        <f t="shared" si="4"/>
        <v>179</v>
      </c>
      <c r="M21" s="13">
        <f t="shared" si="4"/>
        <v>198</v>
      </c>
      <c r="N21" s="13">
        <f t="shared" si="4"/>
        <v>190</v>
      </c>
      <c r="O21" s="13">
        <f t="shared" si="4"/>
        <v>189</v>
      </c>
      <c r="P21" s="13">
        <f t="shared" si="4"/>
        <v>173</v>
      </c>
      <c r="Q21" s="13">
        <f t="shared" si="4"/>
        <v>197</v>
      </c>
      <c r="R21" s="13">
        <f t="shared" si="4"/>
        <v>177</v>
      </c>
      <c r="S21" s="13">
        <f t="shared" si="4"/>
        <v>221</v>
      </c>
      <c r="T21" s="13">
        <f t="shared" si="4"/>
        <v>207</v>
      </c>
      <c r="U21" s="13">
        <f t="shared" si="4"/>
        <v>188</v>
      </c>
      <c r="V21" s="13">
        <f t="shared" si="4"/>
        <v>156</v>
      </c>
      <c r="W21" s="13">
        <f t="shared" si="4"/>
        <v>215</v>
      </c>
      <c r="X21" s="13">
        <f t="shared" si="4"/>
        <v>208</v>
      </c>
      <c r="Y21" s="13">
        <f t="shared" si="4"/>
        <v>201</v>
      </c>
      <c r="Z21" s="13">
        <f t="shared" si="4"/>
        <v>222</v>
      </c>
      <c r="AA21" s="13">
        <f t="shared" si="4"/>
        <v>228</v>
      </c>
      <c r="AB21" s="13">
        <f t="shared" si="4"/>
        <v>190</v>
      </c>
      <c r="AC21" s="13">
        <f t="shared" si="4"/>
        <v>197</v>
      </c>
      <c r="AD21" s="13">
        <f t="shared" si="4"/>
        <v>238</v>
      </c>
      <c r="AE21" s="13">
        <f t="shared" si="4"/>
        <v>231</v>
      </c>
      <c r="AF21" s="13">
        <f t="shared" si="4"/>
        <v>229</v>
      </c>
      <c r="AG21" s="13">
        <f t="shared" si="4"/>
        <v>222</v>
      </c>
      <c r="AH21" s="13">
        <f t="shared" si="4"/>
        <v>183</v>
      </c>
      <c r="AI21" s="13">
        <f t="shared" si="4"/>
        <v>220</v>
      </c>
      <c r="AJ21" s="13">
        <f t="shared" si="4"/>
        <v>197</v>
      </c>
      <c r="AK21" s="13">
        <f t="shared" si="4"/>
        <v>217</v>
      </c>
      <c r="AL21" s="13">
        <f t="shared" si="4"/>
        <v>204</v>
      </c>
      <c r="AM21" s="13">
        <f t="shared" si="4"/>
        <v>198</v>
      </c>
      <c r="AN21" s="13">
        <f t="shared" si="4"/>
        <v>233</v>
      </c>
      <c r="AO21" s="13">
        <f t="shared" si="4"/>
        <v>200</v>
      </c>
      <c r="AP21" s="13">
        <f t="shared" si="4"/>
        <v>231</v>
      </c>
      <c r="AQ21" s="13">
        <f t="shared" si="4"/>
        <v>193</v>
      </c>
      <c r="AR21" s="13">
        <f t="shared" si="4"/>
        <v>196</v>
      </c>
      <c r="AS21" s="13">
        <f t="shared" si="3"/>
        <v>8009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1.0</v>
      </c>
      <c r="Y22" s="19">
        <v>0.0</v>
      </c>
      <c r="Z22" s="19">
        <v>3.0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R24" si="5">SUM(E22:E23)</f>
        <v>2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3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0.0</v>
      </c>
      <c r="H25" s="19">
        <v>1.0</v>
      </c>
      <c r="I25" s="19">
        <v>0.0</v>
      </c>
      <c r="J25" s="19">
        <v>1.0</v>
      </c>
      <c r="K25" s="19">
        <v>0.0</v>
      </c>
      <c r="L25" s="19">
        <v>0.0</v>
      </c>
      <c r="M25" s="19">
        <v>0.0</v>
      </c>
      <c r="N25" s="19">
        <v>0.0</v>
      </c>
      <c r="O25" s="19">
        <v>2.0</v>
      </c>
      <c r="P25" s="19">
        <v>0.0</v>
      </c>
      <c r="Q25" s="19">
        <v>2.0</v>
      </c>
      <c r="R25" s="19">
        <v>0.0</v>
      </c>
      <c r="S25" s="19">
        <v>0.0</v>
      </c>
      <c r="T25" s="19">
        <v>5.0</v>
      </c>
      <c r="U25" s="19">
        <v>0.0</v>
      </c>
      <c r="V25" s="19">
        <v>0.0</v>
      </c>
      <c r="W25" s="19">
        <v>0.0</v>
      </c>
      <c r="X25" s="19">
        <v>0.0</v>
      </c>
      <c r="Y25" s="19">
        <v>2.0</v>
      </c>
      <c r="Z25" s="19">
        <v>1.0</v>
      </c>
      <c r="AA25" s="19">
        <v>4.0</v>
      </c>
      <c r="AB25" s="19">
        <v>1.0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3.0</v>
      </c>
      <c r="AI25" s="19">
        <v>0.0</v>
      </c>
      <c r="AJ25" s="19">
        <v>0.0</v>
      </c>
      <c r="AK25" s="19">
        <v>0.0</v>
      </c>
      <c r="AL25" s="19">
        <v>1.0</v>
      </c>
      <c r="AM25" s="19">
        <v>1.0</v>
      </c>
      <c r="AN25" s="19">
        <v>1.0</v>
      </c>
      <c r="AO25" s="19">
        <v>0.0</v>
      </c>
      <c r="AP25" s="19">
        <v>1.0</v>
      </c>
      <c r="AQ25" s="19">
        <v>1.0</v>
      </c>
      <c r="AR25" s="19">
        <v>0.0</v>
      </c>
      <c r="AS25" s="13">
        <f t="shared" si="3"/>
        <v>30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9">
        <v>0.0</v>
      </c>
      <c r="O26" s="19">
        <v>4.0</v>
      </c>
      <c r="P26" s="19">
        <v>1.0</v>
      </c>
      <c r="Q26" s="19">
        <v>3.0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3.0</v>
      </c>
      <c r="Z26" s="19">
        <v>0.0</v>
      </c>
      <c r="AA26" s="19">
        <v>1.0</v>
      </c>
      <c r="AB26" s="19">
        <v>2.0</v>
      </c>
      <c r="AC26" s="19">
        <v>2.0</v>
      </c>
      <c r="AD26" s="19">
        <v>0.0</v>
      </c>
      <c r="AE26" s="19">
        <v>0.0</v>
      </c>
      <c r="AF26" s="19">
        <v>0.0</v>
      </c>
      <c r="AG26" s="19">
        <v>0.0</v>
      </c>
      <c r="AH26" s="19">
        <v>1.0</v>
      </c>
      <c r="AI26" s="19">
        <v>1.0</v>
      </c>
      <c r="AJ26" s="19">
        <v>0.0</v>
      </c>
      <c r="AK26" s="19">
        <v>0.0</v>
      </c>
      <c r="AL26" s="19">
        <v>0.0</v>
      </c>
      <c r="AM26" s="19">
        <v>1.0</v>
      </c>
      <c r="AN26" s="19">
        <v>2.0</v>
      </c>
      <c r="AO26" s="19">
        <v>0.0</v>
      </c>
      <c r="AP26" s="19">
        <v>1.0</v>
      </c>
      <c r="AQ26" s="19">
        <v>3.0</v>
      </c>
      <c r="AR26" s="19">
        <v>0.0</v>
      </c>
      <c r="AS26" s="13">
        <f t="shared" si="3"/>
        <v>30</v>
      </c>
    </row>
    <row r="27" ht="12.75" customHeight="1">
      <c r="A27" s="35"/>
      <c r="B27" s="28"/>
      <c r="C27" s="36"/>
      <c r="D27" s="13" t="s">
        <v>14</v>
      </c>
      <c r="E27" s="13">
        <f t="shared" ref="E27:AR27" si="6">SUM(E25:E26)</f>
        <v>6</v>
      </c>
      <c r="F27" s="13">
        <f t="shared" si="6"/>
        <v>0</v>
      </c>
      <c r="G27" s="13">
        <f t="shared" si="6"/>
        <v>0</v>
      </c>
      <c r="H27" s="13">
        <f t="shared" si="6"/>
        <v>2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6</v>
      </c>
      <c r="P27" s="13">
        <f t="shared" si="6"/>
        <v>1</v>
      </c>
      <c r="Q27" s="13">
        <f t="shared" si="6"/>
        <v>5</v>
      </c>
      <c r="R27" s="13">
        <f t="shared" si="6"/>
        <v>0</v>
      </c>
      <c r="S27" s="13">
        <f t="shared" si="6"/>
        <v>0</v>
      </c>
      <c r="T27" s="13">
        <f t="shared" si="6"/>
        <v>5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5</v>
      </c>
      <c r="Z27" s="13">
        <f t="shared" si="6"/>
        <v>1</v>
      </c>
      <c r="AA27" s="13">
        <f t="shared" si="6"/>
        <v>5</v>
      </c>
      <c r="AB27" s="13">
        <f t="shared" si="6"/>
        <v>3</v>
      </c>
      <c r="AC27" s="13">
        <f t="shared" si="6"/>
        <v>2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4</v>
      </c>
      <c r="AI27" s="13">
        <f t="shared" si="6"/>
        <v>1</v>
      </c>
      <c r="AJ27" s="13">
        <f t="shared" si="6"/>
        <v>0</v>
      </c>
      <c r="AK27" s="13">
        <f t="shared" si="6"/>
        <v>0</v>
      </c>
      <c r="AL27" s="13">
        <f t="shared" si="6"/>
        <v>1</v>
      </c>
      <c r="AM27" s="13">
        <f t="shared" si="6"/>
        <v>2</v>
      </c>
      <c r="AN27" s="13">
        <f t="shared" si="6"/>
        <v>3</v>
      </c>
      <c r="AO27" s="13">
        <f t="shared" si="6"/>
        <v>0</v>
      </c>
      <c r="AP27" s="13">
        <f t="shared" si="6"/>
        <v>2</v>
      </c>
      <c r="AQ27" s="13">
        <f t="shared" si="6"/>
        <v>4</v>
      </c>
      <c r="AR27" s="13">
        <f t="shared" si="6"/>
        <v>0</v>
      </c>
      <c r="AS27" s="13">
        <f t="shared" si="3"/>
        <v>60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R28" si="7">SUM(E19,E22,E25)</f>
        <v>110</v>
      </c>
      <c r="F28" s="13">
        <f t="shared" si="7"/>
        <v>98</v>
      </c>
      <c r="G28" s="13">
        <f t="shared" si="7"/>
        <v>89</v>
      </c>
      <c r="H28" s="13">
        <f t="shared" si="7"/>
        <v>85</v>
      </c>
      <c r="I28" s="13">
        <f t="shared" si="7"/>
        <v>89</v>
      </c>
      <c r="J28" s="13">
        <f t="shared" si="7"/>
        <v>84</v>
      </c>
      <c r="K28" s="13">
        <f t="shared" si="7"/>
        <v>79</v>
      </c>
      <c r="L28" s="13">
        <f t="shared" si="7"/>
        <v>92</v>
      </c>
      <c r="M28" s="13">
        <f t="shared" si="7"/>
        <v>94</v>
      </c>
      <c r="N28" s="13">
        <f t="shared" si="7"/>
        <v>87</v>
      </c>
      <c r="O28" s="13">
        <f t="shared" si="7"/>
        <v>94</v>
      </c>
      <c r="P28" s="13">
        <f t="shared" si="7"/>
        <v>81</v>
      </c>
      <c r="Q28" s="13">
        <f t="shared" si="7"/>
        <v>100</v>
      </c>
      <c r="R28" s="13">
        <f t="shared" si="7"/>
        <v>92</v>
      </c>
      <c r="S28" s="13">
        <f t="shared" si="7"/>
        <v>102</v>
      </c>
      <c r="T28" s="13">
        <f t="shared" si="7"/>
        <v>104</v>
      </c>
      <c r="U28" s="13">
        <f t="shared" si="7"/>
        <v>85</v>
      </c>
      <c r="V28" s="13">
        <f t="shared" si="7"/>
        <v>77</v>
      </c>
      <c r="W28" s="13">
        <f t="shared" si="7"/>
        <v>97</v>
      </c>
      <c r="X28" s="13">
        <f t="shared" si="7"/>
        <v>101</v>
      </c>
      <c r="Y28" s="13">
        <f t="shared" si="7"/>
        <v>88</v>
      </c>
      <c r="Z28" s="13">
        <f t="shared" si="7"/>
        <v>110</v>
      </c>
      <c r="AA28" s="13">
        <f t="shared" si="7"/>
        <v>108</v>
      </c>
      <c r="AB28" s="13">
        <f t="shared" si="7"/>
        <v>90</v>
      </c>
      <c r="AC28" s="13">
        <f t="shared" si="7"/>
        <v>103</v>
      </c>
      <c r="AD28" s="13">
        <f t="shared" si="7"/>
        <v>120</v>
      </c>
      <c r="AE28" s="13">
        <f t="shared" si="7"/>
        <v>118</v>
      </c>
      <c r="AF28" s="13">
        <f t="shared" si="7"/>
        <v>112</v>
      </c>
      <c r="AG28" s="13">
        <f t="shared" si="7"/>
        <v>110</v>
      </c>
      <c r="AH28" s="13">
        <f t="shared" si="7"/>
        <v>95</v>
      </c>
      <c r="AI28" s="13">
        <f t="shared" si="7"/>
        <v>109</v>
      </c>
      <c r="AJ28" s="13">
        <f t="shared" si="7"/>
        <v>92</v>
      </c>
      <c r="AK28" s="13">
        <f t="shared" si="7"/>
        <v>108</v>
      </c>
      <c r="AL28" s="13">
        <f t="shared" si="7"/>
        <v>100</v>
      </c>
      <c r="AM28" s="13">
        <f t="shared" si="7"/>
        <v>94</v>
      </c>
      <c r="AN28" s="13">
        <f t="shared" si="7"/>
        <v>114</v>
      </c>
      <c r="AO28" s="13">
        <f t="shared" si="7"/>
        <v>96</v>
      </c>
      <c r="AP28" s="13">
        <f t="shared" si="7"/>
        <v>112</v>
      </c>
      <c r="AQ28" s="13">
        <f t="shared" si="7"/>
        <v>93</v>
      </c>
      <c r="AR28" s="13">
        <f t="shared" si="7"/>
        <v>90</v>
      </c>
      <c r="AS28" s="13">
        <f t="shared" si="3"/>
        <v>3902</v>
      </c>
    </row>
    <row r="29" ht="12.75" customHeight="1">
      <c r="A29" s="35"/>
      <c r="B29" s="27"/>
      <c r="C29" s="34"/>
      <c r="D29" s="13" t="s">
        <v>13</v>
      </c>
      <c r="E29" s="13">
        <f t="shared" ref="E29:AR29" si="8">SUM(E20,E23,E26)</f>
        <v>96</v>
      </c>
      <c r="F29" s="13">
        <f t="shared" si="8"/>
        <v>93</v>
      </c>
      <c r="G29" s="13">
        <f t="shared" si="8"/>
        <v>89</v>
      </c>
      <c r="H29" s="13">
        <f t="shared" si="8"/>
        <v>115</v>
      </c>
      <c r="I29" s="13">
        <f t="shared" si="8"/>
        <v>98</v>
      </c>
      <c r="J29" s="13">
        <f t="shared" si="8"/>
        <v>82</v>
      </c>
      <c r="K29" s="13">
        <f t="shared" si="8"/>
        <v>87</v>
      </c>
      <c r="L29" s="13">
        <f t="shared" si="8"/>
        <v>87</v>
      </c>
      <c r="M29" s="13">
        <f t="shared" si="8"/>
        <v>104</v>
      </c>
      <c r="N29" s="13">
        <f t="shared" si="8"/>
        <v>103</v>
      </c>
      <c r="O29" s="13">
        <f t="shared" si="8"/>
        <v>101</v>
      </c>
      <c r="P29" s="13">
        <f t="shared" si="8"/>
        <v>93</v>
      </c>
      <c r="Q29" s="13">
        <f t="shared" si="8"/>
        <v>102</v>
      </c>
      <c r="R29" s="13">
        <f t="shared" si="8"/>
        <v>85</v>
      </c>
      <c r="S29" s="13">
        <f t="shared" si="8"/>
        <v>119</v>
      </c>
      <c r="T29" s="13">
        <f t="shared" si="8"/>
        <v>108</v>
      </c>
      <c r="U29" s="13">
        <f t="shared" si="8"/>
        <v>103</v>
      </c>
      <c r="V29" s="13">
        <f t="shared" si="8"/>
        <v>79</v>
      </c>
      <c r="W29" s="13">
        <f t="shared" si="8"/>
        <v>118</v>
      </c>
      <c r="X29" s="13">
        <f t="shared" si="8"/>
        <v>108</v>
      </c>
      <c r="Y29" s="13">
        <f t="shared" si="8"/>
        <v>118</v>
      </c>
      <c r="Z29" s="13">
        <f t="shared" si="8"/>
        <v>116</v>
      </c>
      <c r="AA29" s="13">
        <f t="shared" si="8"/>
        <v>125</v>
      </c>
      <c r="AB29" s="13">
        <f t="shared" si="8"/>
        <v>103</v>
      </c>
      <c r="AC29" s="13">
        <f t="shared" si="8"/>
        <v>96</v>
      </c>
      <c r="AD29" s="13">
        <f t="shared" si="8"/>
        <v>118</v>
      </c>
      <c r="AE29" s="13">
        <f t="shared" si="8"/>
        <v>113</v>
      </c>
      <c r="AF29" s="13">
        <f t="shared" si="8"/>
        <v>117</v>
      </c>
      <c r="AG29" s="13">
        <f t="shared" si="8"/>
        <v>112</v>
      </c>
      <c r="AH29" s="13">
        <f t="shared" si="8"/>
        <v>92</v>
      </c>
      <c r="AI29" s="13">
        <f t="shared" si="8"/>
        <v>112</v>
      </c>
      <c r="AJ29" s="13">
        <f t="shared" si="8"/>
        <v>105</v>
      </c>
      <c r="AK29" s="13">
        <f t="shared" si="8"/>
        <v>109</v>
      </c>
      <c r="AL29" s="13">
        <f t="shared" si="8"/>
        <v>105</v>
      </c>
      <c r="AM29" s="13">
        <f t="shared" si="8"/>
        <v>106</v>
      </c>
      <c r="AN29" s="13">
        <f t="shared" si="8"/>
        <v>122</v>
      </c>
      <c r="AO29" s="13">
        <f t="shared" si="8"/>
        <v>104</v>
      </c>
      <c r="AP29" s="13">
        <f t="shared" si="8"/>
        <v>121</v>
      </c>
      <c r="AQ29" s="13">
        <f t="shared" si="8"/>
        <v>104</v>
      </c>
      <c r="AR29" s="13">
        <f t="shared" si="8"/>
        <v>106</v>
      </c>
      <c r="AS29" s="13">
        <f t="shared" si="3"/>
        <v>4174</v>
      </c>
    </row>
    <row r="30" ht="12.75" customHeight="1">
      <c r="A30" s="35"/>
      <c r="B30" s="28"/>
      <c r="C30" s="36"/>
      <c r="D30" s="13" t="s">
        <v>14</v>
      </c>
      <c r="E30" s="13">
        <f t="shared" ref="E30:AR30" si="9">SUM(E28:E29)</f>
        <v>206</v>
      </c>
      <c r="F30" s="13">
        <f t="shared" si="9"/>
        <v>191</v>
      </c>
      <c r="G30" s="13">
        <f t="shared" si="9"/>
        <v>178</v>
      </c>
      <c r="H30" s="13">
        <f t="shared" si="9"/>
        <v>200</v>
      </c>
      <c r="I30" s="13">
        <f t="shared" si="9"/>
        <v>187</v>
      </c>
      <c r="J30" s="13">
        <f t="shared" si="9"/>
        <v>166</v>
      </c>
      <c r="K30" s="13">
        <f t="shared" si="9"/>
        <v>166</v>
      </c>
      <c r="L30" s="13">
        <f t="shared" si="9"/>
        <v>179</v>
      </c>
      <c r="M30" s="13">
        <f t="shared" si="9"/>
        <v>198</v>
      </c>
      <c r="N30" s="13">
        <f t="shared" si="9"/>
        <v>190</v>
      </c>
      <c r="O30" s="13">
        <f t="shared" si="9"/>
        <v>195</v>
      </c>
      <c r="P30" s="13">
        <f t="shared" si="9"/>
        <v>174</v>
      </c>
      <c r="Q30" s="13">
        <f t="shared" si="9"/>
        <v>202</v>
      </c>
      <c r="R30" s="13">
        <f t="shared" si="9"/>
        <v>177</v>
      </c>
      <c r="S30" s="13">
        <f t="shared" si="9"/>
        <v>221</v>
      </c>
      <c r="T30" s="13">
        <f t="shared" si="9"/>
        <v>212</v>
      </c>
      <c r="U30" s="13">
        <f t="shared" si="9"/>
        <v>188</v>
      </c>
      <c r="V30" s="13">
        <f t="shared" si="9"/>
        <v>156</v>
      </c>
      <c r="W30" s="13">
        <f t="shared" si="9"/>
        <v>215</v>
      </c>
      <c r="X30" s="13">
        <f t="shared" si="9"/>
        <v>209</v>
      </c>
      <c r="Y30" s="13">
        <f t="shared" si="9"/>
        <v>206</v>
      </c>
      <c r="Z30" s="13">
        <f t="shared" si="9"/>
        <v>226</v>
      </c>
      <c r="AA30" s="13">
        <f t="shared" si="9"/>
        <v>233</v>
      </c>
      <c r="AB30" s="13">
        <f t="shared" si="9"/>
        <v>193</v>
      </c>
      <c r="AC30" s="13">
        <f t="shared" si="9"/>
        <v>199</v>
      </c>
      <c r="AD30" s="13">
        <f t="shared" si="9"/>
        <v>238</v>
      </c>
      <c r="AE30" s="13">
        <f t="shared" si="9"/>
        <v>231</v>
      </c>
      <c r="AF30" s="13">
        <f t="shared" si="9"/>
        <v>229</v>
      </c>
      <c r="AG30" s="13">
        <f t="shared" si="9"/>
        <v>222</v>
      </c>
      <c r="AH30" s="13">
        <f t="shared" si="9"/>
        <v>187</v>
      </c>
      <c r="AI30" s="13">
        <f t="shared" si="9"/>
        <v>221</v>
      </c>
      <c r="AJ30" s="13">
        <f t="shared" si="9"/>
        <v>197</v>
      </c>
      <c r="AK30" s="13">
        <f t="shared" si="9"/>
        <v>217</v>
      </c>
      <c r="AL30" s="13">
        <f t="shared" si="9"/>
        <v>205</v>
      </c>
      <c r="AM30" s="13">
        <f t="shared" si="9"/>
        <v>200</v>
      </c>
      <c r="AN30" s="13">
        <f t="shared" si="9"/>
        <v>236</v>
      </c>
      <c r="AO30" s="13">
        <f t="shared" si="9"/>
        <v>200</v>
      </c>
      <c r="AP30" s="13">
        <f t="shared" si="9"/>
        <v>233</v>
      </c>
      <c r="AQ30" s="13">
        <f t="shared" si="9"/>
        <v>197</v>
      </c>
      <c r="AR30" s="13">
        <f t="shared" si="9"/>
        <v>196</v>
      </c>
      <c r="AS30" s="13">
        <f t="shared" si="3"/>
        <v>8076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19"/>
      <c r="AB31" s="19"/>
      <c r="AC31" s="19"/>
      <c r="AD31" s="1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13"/>
      <c r="AB32" s="13"/>
      <c r="AC32" s="13"/>
      <c r="AD32" s="13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0"/>
    </row>
    <row r="33" ht="12.75" customHeight="1">
      <c r="A33" s="19">
        <v>1.0</v>
      </c>
      <c r="B33" s="20" t="s">
        <v>27</v>
      </c>
      <c r="C33" s="15"/>
      <c r="D33" s="16"/>
      <c r="E33" s="19">
        <v>265.0</v>
      </c>
      <c r="F33" s="19">
        <v>258.0</v>
      </c>
      <c r="G33" s="19">
        <v>259.0</v>
      </c>
      <c r="H33" s="19">
        <v>261.0</v>
      </c>
      <c r="I33" s="19">
        <v>251.0</v>
      </c>
      <c r="J33" s="19">
        <v>247.0</v>
      </c>
      <c r="K33" s="19">
        <v>249.0</v>
      </c>
      <c r="L33" s="19">
        <v>240.0</v>
      </c>
      <c r="M33" s="19">
        <v>278.0</v>
      </c>
      <c r="N33" s="19">
        <v>265.0</v>
      </c>
      <c r="O33" s="19">
        <v>257.0</v>
      </c>
      <c r="P33" s="19">
        <v>274.0</v>
      </c>
      <c r="Q33" s="19">
        <v>289.0</v>
      </c>
      <c r="R33" s="19">
        <v>283.0</v>
      </c>
      <c r="S33" s="19">
        <v>286.0</v>
      </c>
      <c r="T33" s="19">
        <v>267.0</v>
      </c>
      <c r="U33" s="19">
        <v>258.0</v>
      </c>
      <c r="V33" s="19">
        <v>237.0</v>
      </c>
      <c r="W33" s="19">
        <v>274.0</v>
      </c>
      <c r="X33" s="19">
        <v>272.0</v>
      </c>
      <c r="Y33" s="19">
        <v>281.0</v>
      </c>
      <c r="Z33" s="19">
        <v>290.0</v>
      </c>
      <c r="AA33" s="19">
        <v>286.0</v>
      </c>
      <c r="AB33" s="19">
        <v>255.0</v>
      </c>
      <c r="AC33" s="19">
        <v>271.0</v>
      </c>
      <c r="AD33" s="19">
        <v>278.0</v>
      </c>
      <c r="AE33" s="19">
        <v>295.0</v>
      </c>
      <c r="AF33" s="19">
        <v>289.0</v>
      </c>
      <c r="AG33" s="19">
        <v>277.0</v>
      </c>
      <c r="AH33" s="19">
        <v>261.0</v>
      </c>
      <c r="AI33" s="19">
        <v>277.0</v>
      </c>
      <c r="AJ33" s="19">
        <v>258.0</v>
      </c>
      <c r="AK33" s="19">
        <v>272.0</v>
      </c>
      <c r="AL33" s="19">
        <v>265.0</v>
      </c>
      <c r="AM33" s="19">
        <v>271.0</v>
      </c>
      <c r="AN33" s="19">
        <v>274.0</v>
      </c>
      <c r="AO33" s="19">
        <v>263.0</v>
      </c>
      <c r="AP33" s="19">
        <v>296.0</v>
      </c>
      <c r="AQ33" s="19">
        <v>278.0</v>
      </c>
      <c r="AR33" s="19">
        <v>284.0</v>
      </c>
      <c r="AS33" s="13">
        <f t="shared" ref="AS33:AS36" si="10">SUM(E33:AR33)</f>
        <v>10791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191.0</v>
      </c>
      <c r="G34" s="13">
        <v>178.0</v>
      </c>
      <c r="H34" s="13">
        <v>200.0</v>
      </c>
      <c r="I34" s="13">
        <v>187.0</v>
      </c>
      <c r="J34" s="13">
        <v>166.0</v>
      </c>
      <c r="K34" s="13">
        <v>166.0</v>
      </c>
      <c r="L34" s="13">
        <v>179.0</v>
      </c>
      <c r="M34" s="13">
        <v>198.0</v>
      </c>
      <c r="N34" s="13">
        <v>190.0</v>
      </c>
      <c r="O34" s="13">
        <v>195.0</v>
      </c>
      <c r="P34" s="13">
        <v>174.0</v>
      </c>
      <c r="Q34" s="13">
        <v>202.0</v>
      </c>
      <c r="R34" s="13">
        <v>177.0</v>
      </c>
      <c r="S34" s="13">
        <v>221.0</v>
      </c>
      <c r="T34" s="13">
        <v>212.0</v>
      </c>
      <c r="U34" s="13">
        <v>188.0</v>
      </c>
      <c r="V34" s="13">
        <v>156.0</v>
      </c>
      <c r="W34" s="13">
        <v>215.0</v>
      </c>
      <c r="X34" s="13">
        <v>209.0</v>
      </c>
      <c r="Y34" s="13">
        <v>206.0</v>
      </c>
      <c r="Z34" s="13">
        <v>226.0</v>
      </c>
      <c r="AA34" s="13">
        <v>233.0</v>
      </c>
      <c r="AB34" s="13">
        <v>193.0</v>
      </c>
      <c r="AC34" s="13">
        <v>199.0</v>
      </c>
      <c r="AD34" s="13">
        <v>238.0</v>
      </c>
      <c r="AE34" s="13">
        <v>231.0</v>
      </c>
      <c r="AF34" s="13">
        <v>229.0</v>
      </c>
      <c r="AG34" s="13">
        <v>222.0</v>
      </c>
      <c r="AH34" s="13">
        <v>187.0</v>
      </c>
      <c r="AI34" s="13">
        <v>221.0</v>
      </c>
      <c r="AJ34" s="13">
        <v>197.0</v>
      </c>
      <c r="AK34" s="13">
        <v>217.0</v>
      </c>
      <c r="AL34" s="13">
        <v>205.0</v>
      </c>
      <c r="AM34" s="13">
        <v>200.0</v>
      </c>
      <c r="AN34" s="13">
        <v>236.0</v>
      </c>
      <c r="AO34" s="13">
        <v>200.0</v>
      </c>
      <c r="AP34" s="13">
        <v>233.0</v>
      </c>
      <c r="AQ34" s="13">
        <v>197.0</v>
      </c>
      <c r="AR34" s="13">
        <v>196.0</v>
      </c>
      <c r="AS34" s="13">
        <f t="shared" si="10"/>
        <v>8076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2.0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9">
        <v>1.0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1.0</v>
      </c>
      <c r="AS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R36" si="11">E33-(E34+E35)</f>
        <v>59</v>
      </c>
      <c r="F36" s="13">
        <f t="shared" si="11"/>
        <v>67</v>
      </c>
      <c r="G36" s="13">
        <f t="shared" si="11"/>
        <v>81</v>
      </c>
      <c r="H36" s="13">
        <f t="shared" si="11"/>
        <v>61</v>
      </c>
      <c r="I36" s="13">
        <f t="shared" si="11"/>
        <v>64</v>
      </c>
      <c r="J36" s="13">
        <f t="shared" si="11"/>
        <v>81</v>
      </c>
      <c r="K36" s="13">
        <f t="shared" si="11"/>
        <v>83</v>
      </c>
      <c r="L36" s="13">
        <f t="shared" si="11"/>
        <v>61</v>
      </c>
      <c r="M36" s="13">
        <f t="shared" si="11"/>
        <v>80</v>
      </c>
      <c r="N36" s="13">
        <f t="shared" si="11"/>
        <v>75</v>
      </c>
      <c r="O36" s="13">
        <f t="shared" si="11"/>
        <v>62</v>
      </c>
      <c r="P36" s="13">
        <f t="shared" si="11"/>
        <v>100</v>
      </c>
      <c r="Q36" s="13">
        <f t="shared" si="11"/>
        <v>87</v>
      </c>
      <c r="R36" s="13">
        <f t="shared" si="11"/>
        <v>106</v>
      </c>
      <c r="S36" s="13">
        <f t="shared" si="11"/>
        <v>65</v>
      </c>
      <c r="T36" s="13">
        <f t="shared" si="11"/>
        <v>55</v>
      </c>
      <c r="U36" s="13">
        <f t="shared" si="11"/>
        <v>68</v>
      </c>
      <c r="V36" s="13">
        <f t="shared" si="11"/>
        <v>81</v>
      </c>
      <c r="W36" s="13">
        <f t="shared" si="11"/>
        <v>59</v>
      </c>
      <c r="X36" s="13">
        <f t="shared" si="11"/>
        <v>63</v>
      </c>
      <c r="Y36" s="13">
        <f t="shared" si="11"/>
        <v>75</v>
      </c>
      <c r="Z36" s="13">
        <f t="shared" si="11"/>
        <v>63</v>
      </c>
      <c r="AA36" s="13">
        <f t="shared" si="11"/>
        <v>53</v>
      </c>
      <c r="AB36" s="13">
        <f t="shared" si="11"/>
        <v>62</v>
      </c>
      <c r="AC36" s="13">
        <f t="shared" si="11"/>
        <v>71</v>
      </c>
      <c r="AD36" s="13">
        <f t="shared" si="11"/>
        <v>40</v>
      </c>
      <c r="AE36" s="13">
        <f t="shared" si="11"/>
        <v>64</v>
      </c>
      <c r="AF36" s="13">
        <f t="shared" si="11"/>
        <v>60</v>
      </c>
      <c r="AG36" s="13">
        <f t="shared" si="11"/>
        <v>55</v>
      </c>
      <c r="AH36" s="13">
        <f t="shared" si="11"/>
        <v>73</v>
      </c>
      <c r="AI36" s="13">
        <f t="shared" si="11"/>
        <v>56</v>
      </c>
      <c r="AJ36" s="13">
        <f t="shared" si="11"/>
        <v>61</v>
      </c>
      <c r="AK36" s="13">
        <f t="shared" si="11"/>
        <v>55</v>
      </c>
      <c r="AL36" s="13">
        <f t="shared" si="11"/>
        <v>60</v>
      </c>
      <c r="AM36" s="13">
        <f t="shared" si="11"/>
        <v>71</v>
      </c>
      <c r="AN36" s="13">
        <f t="shared" si="11"/>
        <v>38</v>
      </c>
      <c r="AO36" s="13">
        <f t="shared" si="11"/>
        <v>63</v>
      </c>
      <c r="AP36" s="13">
        <f t="shared" si="11"/>
        <v>63</v>
      </c>
      <c r="AQ36" s="13">
        <f t="shared" si="11"/>
        <v>81</v>
      </c>
      <c r="AR36" s="13">
        <f t="shared" si="11"/>
        <v>87</v>
      </c>
      <c r="AS36" s="13">
        <f t="shared" si="10"/>
        <v>2709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59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19"/>
      <c r="AB37" s="19"/>
      <c r="AC37" s="19"/>
      <c r="AD37" s="19"/>
      <c r="AE37" s="59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13"/>
      <c r="AB38" s="13"/>
      <c r="AC38" s="13"/>
      <c r="AD38" s="13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1.0</v>
      </c>
      <c r="Y39" s="19">
        <v>0.0</v>
      </c>
      <c r="Z39" s="19">
        <v>1.0</v>
      </c>
      <c r="AA39" s="19">
        <v>0.0</v>
      </c>
      <c r="AB39" s="19">
        <v>1.0</v>
      </c>
      <c r="AC39" s="19">
        <v>1.0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9">
        <v>0.0</v>
      </c>
      <c r="AJ39" s="19">
        <v>0.0</v>
      </c>
      <c r="AK39" s="19">
        <v>0.0</v>
      </c>
      <c r="AL39" s="19">
        <v>1.0</v>
      </c>
      <c r="AM39" s="19">
        <v>0.0</v>
      </c>
      <c r="AN39" s="19">
        <v>3.0</v>
      </c>
      <c r="AO39" s="19">
        <v>0.0</v>
      </c>
      <c r="AP39" s="19">
        <v>0.0</v>
      </c>
      <c r="AQ39" s="19">
        <v>0.0</v>
      </c>
      <c r="AR39" s="19">
        <v>0.0</v>
      </c>
      <c r="AS39" s="13">
        <f t="shared" ref="AS39:AS41" si="12">SUM(E39:AR39)</f>
        <v>10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9">
        <v>4.0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1.0</v>
      </c>
      <c r="AM40" s="19">
        <v>0.0</v>
      </c>
      <c r="AN40" s="19">
        <v>9.0</v>
      </c>
      <c r="AO40" s="19">
        <v>0.0</v>
      </c>
      <c r="AP40" s="19">
        <v>0.0</v>
      </c>
      <c r="AQ40" s="19">
        <v>0.0</v>
      </c>
      <c r="AR40" s="19">
        <v>0.0</v>
      </c>
      <c r="AS40" s="13">
        <f t="shared" si="12"/>
        <v>17</v>
      </c>
    </row>
    <row r="41" ht="12.75" customHeight="1">
      <c r="A41" s="41"/>
      <c r="B41" s="44"/>
      <c r="C41" s="28"/>
      <c r="D41" s="13" t="s">
        <v>14</v>
      </c>
      <c r="E41" s="13">
        <f t="shared" ref="E41:AR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5</v>
      </c>
      <c r="AA41" s="13">
        <f t="shared" si="13"/>
        <v>0</v>
      </c>
      <c r="AB41" s="13">
        <f t="shared" si="13"/>
        <v>2</v>
      </c>
      <c r="AC41" s="13">
        <f t="shared" si="13"/>
        <v>1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2</v>
      </c>
      <c r="AM41" s="13">
        <f t="shared" si="13"/>
        <v>0</v>
      </c>
      <c r="AN41" s="13">
        <f t="shared" si="13"/>
        <v>12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2"/>
        <v>27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59"/>
      <c r="N42" s="19"/>
      <c r="O42" s="59"/>
      <c r="P42" s="19"/>
      <c r="Q42" s="59"/>
      <c r="R42" s="19"/>
      <c r="S42" s="59"/>
      <c r="T42" s="19"/>
      <c r="U42" s="59"/>
      <c r="V42" s="19"/>
      <c r="W42" s="59"/>
      <c r="X42" s="19"/>
      <c r="Y42" s="59"/>
      <c r="Z42" s="19"/>
      <c r="AA42" s="19"/>
      <c r="AB42" s="19"/>
      <c r="AC42" s="19"/>
      <c r="AD42" s="19"/>
      <c r="AE42" s="59"/>
      <c r="AF42" s="19"/>
      <c r="AG42" s="59"/>
      <c r="AH42" s="19"/>
      <c r="AI42" s="59"/>
      <c r="AJ42" s="19"/>
      <c r="AK42" s="59"/>
      <c r="AL42" s="19"/>
      <c r="AM42" s="59"/>
      <c r="AN42" s="19"/>
      <c r="AO42" s="59"/>
      <c r="AP42" s="19"/>
      <c r="AQ42" s="59"/>
      <c r="AR42" s="19"/>
      <c r="A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61"/>
      <c r="N43" s="13"/>
      <c r="O43" s="61"/>
      <c r="P43" s="13"/>
      <c r="Q43" s="61"/>
      <c r="R43" s="13"/>
      <c r="S43" s="61"/>
      <c r="T43" s="13"/>
      <c r="U43" s="61"/>
      <c r="V43" s="13"/>
      <c r="W43" s="61"/>
      <c r="X43" s="13"/>
      <c r="Y43" s="61"/>
      <c r="Z43" s="13"/>
      <c r="AA43" s="13"/>
      <c r="AB43" s="13"/>
      <c r="AC43" s="13"/>
      <c r="AD43" s="13"/>
      <c r="AE43" s="61"/>
      <c r="AF43" s="13"/>
      <c r="AG43" s="61"/>
      <c r="AH43" s="13"/>
      <c r="AI43" s="61"/>
      <c r="AJ43" s="13"/>
      <c r="AK43" s="61"/>
      <c r="AL43" s="13"/>
      <c r="AM43" s="61"/>
      <c r="AN43" s="13"/>
      <c r="AO43" s="61"/>
      <c r="AP43" s="13"/>
      <c r="AQ43" s="61"/>
      <c r="AR43" s="13"/>
      <c r="A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59"/>
      <c r="N44" s="19"/>
      <c r="O44" s="59"/>
      <c r="P44" s="19"/>
      <c r="Q44" s="59"/>
      <c r="R44" s="19"/>
      <c r="S44" s="59"/>
      <c r="T44" s="19"/>
      <c r="U44" s="59"/>
      <c r="V44" s="19"/>
      <c r="W44" s="59"/>
      <c r="X44" s="19"/>
      <c r="Y44" s="59"/>
      <c r="Z44" s="19"/>
      <c r="AA44" s="19"/>
      <c r="AB44" s="19"/>
      <c r="AC44" s="19"/>
      <c r="AD44" s="19"/>
      <c r="AE44" s="59"/>
      <c r="AF44" s="19"/>
      <c r="AG44" s="59"/>
      <c r="AH44" s="19"/>
      <c r="AI44" s="59"/>
      <c r="AJ44" s="19"/>
      <c r="AK44" s="59"/>
      <c r="AL44" s="19"/>
      <c r="AM44" s="59"/>
      <c r="AN44" s="19"/>
      <c r="AO44" s="59"/>
      <c r="AP44" s="19"/>
      <c r="AQ44" s="59"/>
      <c r="AR44" s="19"/>
      <c r="AS44" s="13"/>
    </row>
    <row r="45" ht="12.75" customHeight="1">
      <c r="A45" s="63"/>
      <c r="B45" s="47">
        <v>1.0</v>
      </c>
      <c r="C45" s="48" t="s">
        <v>37</v>
      </c>
      <c r="D45" s="16"/>
      <c r="E45" s="19">
        <v>33.0</v>
      </c>
      <c r="F45" s="19">
        <v>14.0</v>
      </c>
      <c r="G45" s="19">
        <v>16.0</v>
      </c>
      <c r="H45" s="19">
        <v>29.0</v>
      </c>
      <c r="I45" s="19">
        <v>22.0</v>
      </c>
      <c r="J45" s="19">
        <v>12.0</v>
      </c>
      <c r="K45" s="19">
        <v>30.0</v>
      </c>
      <c r="L45" s="19">
        <v>14.0</v>
      </c>
      <c r="M45" s="19">
        <v>12.0</v>
      </c>
      <c r="N45" s="19">
        <v>23.0</v>
      </c>
      <c r="O45" s="19">
        <v>20.0</v>
      </c>
      <c r="P45" s="19">
        <v>18.0</v>
      </c>
      <c r="Q45" s="19">
        <v>21.0</v>
      </c>
      <c r="R45" s="19">
        <v>9.0</v>
      </c>
      <c r="S45" s="19">
        <v>16.0</v>
      </c>
      <c r="T45" s="19">
        <v>14.0</v>
      </c>
      <c r="U45" s="19">
        <v>21.0</v>
      </c>
      <c r="V45" s="19">
        <v>12.0</v>
      </c>
      <c r="W45" s="19">
        <v>24.0</v>
      </c>
      <c r="X45" s="19">
        <v>38.0</v>
      </c>
      <c r="Y45" s="19">
        <v>41.0</v>
      </c>
      <c r="Z45" s="19">
        <v>43.0</v>
      </c>
      <c r="AA45" s="19">
        <v>26.0</v>
      </c>
      <c r="AB45" s="19">
        <v>37.0</v>
      </c>
      <c r="AC45" s="19">
        <v>32.0</v>
      </c>
      <c r="AD45" s="19">
        <v>17.0</v>
      </c>
      <c r="AE45" s="19">
        <v>21.0</v>
      </c>
      <c r="AF45" s="19">
        <v>44.0</v>
      </c>
      <c r="AG45" s="19">
        <v>35.0</v>
      </c>
      <c r="AH45" s="19">
        <v>24.0</v>
      </c>
      <c r="AI45" s="19">
        <v>7.0</v>
      </c>
      <c r="AJ45" s="19">
        <v>9.0</v>
      </c>
      <c r="AK45" s="19">
        <v>20.0</v>
      </c>
      <c r="AL45" s="19">
        <v>24.0</v>
      </c>
      <c r="AM45" s="19">
        <v>20.0</v>
      </c>
      <c r="AN45" s="19">
        <v>23.0</v>
      </c>
      <c r="AO45" s="19">
        <v>18.0</v>
      </c>
      <c r="AP45" s="19">
        <v>26.0</v>
      </c>
      <c r="AQ45" s="19">
        <v>17.0</v>
      </c>
      <c r="AR45" s="19">
        <v>25.0</v>
      </c>
      <c r="AS45" s="13">
        <f t="shared" ref="AS45:AS47" si="14">SUM(E45:AR45)</f>
        <v>907</v>
      </c>
    </row>
    <row r="46" ht="12.75" customHeight="1">
      <c r="A46" s="18"/>
      <c r="B46" s="47">
        <v>2.0</v>
      </c>
      <c r="C46" s="48" t="s">
        <v>38</v>
      </c>
      <c r="D46" s="16"/>
      <c r="E46" s="19">
        <v>130.0</v>
      </c>
      <c r="F46" s="19">
        <v>143.0</v>
      </c>
      <c r="G46" s="19">
        <v>145.0</v>
      </c>
      <c r="H46" s="19">
        <v>117.0</v>
      </c>
      <c r="I46" s="19">
        <v>127.0</v>
      </c>
      <c r="J46" s="19">
        <v>130.0</v>
      </c>
      <c r="K46" s="19">
        <v>104.0</v>
      </c>
      <c r="L46" s="19">
        <v>147.0</v>
      </c>
      <c r="M46" s="19">
        <v>147.0</v>
      </c>
      <c r="N46" s="19">
        <v>122.0</v>
      </c>
      <c r="O46" s="19">
        <v>122.0</v>
      </c>
      <c r="P46" s="19">
        <v>103.0</v>
      </c>
      <c r="Q46" s="19">
        <v>100.0</v>
      </c>
      <c r="R46" s="19">
        <v>125.0</v>
      </c>
      <c r="S46" s="19">
        <v>164.0</v>
      </c>
      <c r="T46" s="19">
        <v>161.0</v>
      </c>
      <c r="U46" s="19">
        <v>122.0</v>
      </c>
      <c r="V46" s="19">
        <v>118.0</v>
      </c>
      <c r="W46" s="19">
        <v>137.0</v>
      </c>
      <c r="X46" s="19">
        <v>144.0</v>
      </c>
      <c r="Y46" s="19">
        <v>131.0</v>
      </c>
      <c r="Z46" s="19">
        <v>132.0</v>
      </c>
      <c r="AA46" s="19">
        <v>165.0</v>
      </c>
      <c r="AB46" s="19">
        <v>116.0</v>
      </c>
      <c r="AC46" s="19">
        <v>134.0</v>
      </c>
      <c r="AD46" s="19">
        <v>171.0</v>
      </c>
      <c r="AE46" s="19">
        <v>158.0</v>
      </c>
      <c r="AF46" s="19">
        <v>139.0</v>
      </c>
      <c r="AG46" s="19">
        <v>140.0</v>
      </c>
      <c r="AH46" s="19">
        <v>134.0</v>
      </c>
      <c r="AI46" s="19">
        <v>174.0</v>
      </c>
      <c r="AJ46" s="19">
        <v>164.0</v>
      </c>
      <c r="AK46" s="19">
        <v>144.0</v>
      </c>
      <c r="AL46" s="19">
        <v>132.0</v>
      </c>
      <c r="AM46" s="19">
        <v>143.0</v>
      </c>
      <c r="AN46" s="19">
        <v>158.0</v>
      </c>
      <c r="AO46" s="19">
        <v>145.0</v>
      </c>
      <c r="AP46" s="19">
        <v>173.0</v>
      </c>
      <c r="AQ46" s="19">
        <v>142.0</v>
      </c>
      <c r="AR46" s="19">
        <v>134.0</v>
      </c>
      <c r="AS46" s="13">
        <f t="shared" si="14"/>
        <v>5537</v>
      </c>
    </row>
    <row r="47" ht="12.75" customHeight="1">
      <c r="A47" s="45"/>
      <c r="B47" s="47">
        <v>3.0</v>
      </c>
      <c r="C47" s="48" t="s">
        <v>39</v>
      </c>
      <c r="D47" s="16"/>
      <c r="E47" s="19">
        <v>36.0</v>
      </c>
      <c r="F47" s="19">
        <v>33.0</v>
      </c>
      <c r="G47" s="19">
        <v>17.0</v>
      </c>
      <c r="H47" s="19">
        <v>53.0</v>
      </c>
      <c r="I47" s="19">
        <v>35.0</v>
      </c>
      <c r="J47" s="19">
        <v>22.0</v>
      </c>
      <c r="K47" s="19">
        <v>29.0</v>
      </c>
      <c r="L47" s="19">
        <v>17.0</v>
      </c>
      <c r="M47" s="19">
        <v>36.0</v>
      </c>
      <c r="N47" s="19">
        <v>41.0</v>
      </c>
      <c r="O47" s="19">
        <v>50.0</v>
      </c>
      <c r="P47" s="19">
        <v>52.0</v>
      </c>
      <c r="Q47" s="19">
        <v>75.0</v>
      </c>
      <c r="R47" s="19">
        <v>38.0</v>
      </c>
      <c r="S47" s="19">
        <v>35.0</v>
      </c>
      <c r="T47" s="19">
        <v>33.0</v>
      </c>
      <c r="U47" s="19">
        <v>43.0</v>
      </c>
      <c r="V47" s="19">
        <v>23.0</v>
      </c>
      <c r="W47" s="19">
        <v>48.0</v>
      </c>
      <c r="X47" s="19">
        <v>24.0</v>
      </c>
      <c r="Y47" s="19">
        <v>31.0</v>
      </c>
      <c r="Z47" s="19">
        <v>41.0</v>
      </c>
      <c r="AA47" s="19">
        <v>37.0</v>
      </c>
      <c r="AB47" s="19">
        <v>35.0</v>
      </c>
      <c r="AC47" s="19">
        <v>33.0</v>
      </c>
      <c r="AD47" s="19">
        <v>45.0</v>
      </c>
      <c r="AE47" s="19">
        <v>51.0</v>
      </c>
      <c r="AF47" s="19">
        <v>44.0</v>
      </c>
      <c r="AG47" s="19">
        <v>44.0</v>
      </c>
      <c r="AH47" s="19">
        <v>27.0</v>
      </c>
      <c r="AI47" s="19">
        <v>37.0</v>
      </c>
      <c r="AJ47" s="19">
        <v>23.0</v>
      </c>
      <c r="AK47" s="19">
        <v>48.0</v>
      </c>
      <c r="AL47" s="19">
        <v>45.0</v>
      </c>
      <c r="AM47" s="19">
        <v>37.0</v>
      </c>
      <c r="AN47" s="19">
        <v>55.0</v>
      </c>
      <c r="AO47" s="19">
        <v>33.0</v>
      </c>
      <c r="AP47" s="19">
        <v>30.0</v>
      </c>
      <c r="AQ47" s="19">
        <v>38.0</v>
      </c>
      <c r="AR47" s="19">
        <v>36.0</v>
      </c>
      <c r="AS47" s="13">
        <f t="shared" si="14"/>
        <v>1510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13"/>
      <c r="AB49" s="13"/>
      <c r="AC49" s="13"/>
      <c r="AD49" s="13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R50" si="15">SUM(E45:E47)</f>
        <v>199</v>
      </c>
      <c r="F50" s="19">
        <f t="shared" si="15"/>
        <v>190</v>
      </c>
      <c r="G50" s="19">
        <f t="shared" si="15"/>
        <v>178</v>
      </c>
      <c r="H50" s="19">
        <f t="shared" si="15"/>
        <v>199</v>
      </c>
      <c r="I50" s="19">
        <f t="shared" si="15"/>
        <v>184</v>
      </c>
      <c r="J50" s="19">
        <f t="shared" si="15"/>
        <v>164</v>
      </c>
      <c r="K50" s="19">
        <f t="shared" si="15"/>
        <v>163</v>
      </c>
      <c r="L50" s="19">
        <f t="shared" si="15"/>
        <v>178</v>
      </c>
      <c r="M50" s="19">
        <f t="shared" si="15"/>
        <v>195</v>
      </c>
      <c r="N50" s="19">
        <f t="shared" si="15"/>
        <v>186</v>
      </c>
      <c r="O50" s="19">
        <f t="shared" si="15"/>
        <v>192</v>
      </c>
      <c r="P50" s="19">
        <f t="shared" si="15"/>
        <v>173</v>
      </c>
      <c r="Q50" s="19">
        <f t="shared" si="15"/>
        <v>196</v>
      </c>
      <c r="R50" s="19">
        <f t="shared" si="15"/>
        <v>172</v>
      </c>
      <c r="S50" s="19">
        <f t="shared" si="15"/>
        <v>215</v>
      </c>
      <c r="T50" s="19">
        <f t="shared" si="15"/>
        <v>208</v>
      </c>
      <c r="U50" s="19">
        <f t="shared" si="15"/>
        <v>186</v>
      </c>
      <c r="V50" s="19">
        <f t="shared" si="15"/>
        <v>153</v>
      </c>
      <c r="W50" s="19">
        <f t="shared" si="15"/>
        <v>209</v>
      </c>
      <c r="X50" s="19">
        <f t="shared" si="15"/>
        <v>206</v>
      </c>
      <c r="Y50" s="19">
        <f t="shared" si="15"/>
        <v>203</v>
      </c>
      <c r="Z50" s="19">
        <f t="shared" si="15"/>
        <v>216</v>
      </c>
      <c r="AA50" s="19">
        <f t="shared" si="15"/>
        <v>228</v>
      </c>
      <c r="AB50" s="19">
        <f t="shared" si="15"/>
        <v>188</v>
      </c>
      <c r="AC50" s="19">
        <f t="shared" si="15"/>
        <v>199</v>
      </c>
      <c r="AD50" s="19">
        <f t="shared" si="15"/>
        <v>233</v>
      </c>
      <c r="AE50" s="19">
        <f t="shared" si="15"/>
        <v>230</v>
      </c>
      <c r="AF50" s="19">
        <f t="shared" si="15"/>
        <v>227</v>
      </c>
      <c r="AG50" s="19">
        <f t="shared" si="15"/>
        <v>219</v>
      </c>
      <c r="AH50" s="19">
        <f t="shared" si="15"/>
        <v>185</v>
      </c>
      <c r="AI50" s="19">
        <f t="shared" si="15"/>
        <v>218</v>
      </c>
      <c r="AJ50" s="19">
        <f t="shared" si="15"/>
        <v>196</v>
      </c>
      <c r="AK50" s="19">
        <f t="shared" si="15"/>
        <v>212</v>
      </c>
      <c r="AL50" s="19">
        <f t="shared" si="15"/>
        <v>201</v>
      </c>
      <c r="AM50" s="19">
        <f t="shared" si="15"/>
        <v>200</v>
      </c>
      <c r="AN50" s="19">
        <f t="shared" si="15"/>
        <v>236</v>
      </c>
      <c r="AO50" s="19">
        <f t="shared" si="15"/>
        <v>196</v>
      </c>
      <c r="AP50" s="19">
        <f t="shared" si="15"/>
        <v>229</v>
      </c>
      <c r="AQ50" s="19">
        <f t="shared" si="15"/>
        <v>197</v>
      </c>
      <c r="AR50" s="19">
        <f t="shared" si="15"/>
        <v>195</v>
      </c>
      <c r="AS50" s="13">
        <f t="shared" ref="AS50:AS52" si="16">SUM(E50:AR50)</f>
        <v>7954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7.0</v>
      </c>
      <c r="F51" s="19">
        <v>1.0</v>
      </c>
      <c r="G51" s="19">
        <v>0.0</v>
      </c>
      <c r="H51" s="19">
        <v>1.0</v>
      </c>
      <c r="I51" s="19">
        <v>3.0</v>
      </c>
      <c r="J51" s="19">
        <v>2.0</v>
      </c>
      <c r="K51" s="19">
        <v>3.0</v>
      </c>
      <c r="L51" s="19">
        <v>1.0</v>
      </c>
      <c r="M51" s="19">
        <v>3.0</v>
      </c>
      <c r="N51" s="19">
        <v>4.0</v>
      </c>
      <c r="O51" s="19">
        <v>3.0</v>
      </c>
      <c r="P51" s="19">
        <v>1.0</v>
      </c>
      <c r="Q51" s="19">
        <v>6.0</v>
      </c>
      <c r="R51" s="19">
        <v>5.0</v>
      </c>
      <c r="S51" s="19">
        <v>6.0</v>
      </c>
      <c r="T51" s="19">
        <v>4.0</v>
      </c>
      <c r="U51" s="19">
        <v>2.0</v>
      </c>
      <c r="V51" s="19">
        <v>3.0</v>
      </c>
      <c r="W51" s="19">
        <v>6.0</v>
      </c>
      <c r="X51" s="19">
        <v>3.0</v>
      </c>
      <c r="Y51" s="19">
        <v>3.0</v>
      </c>
      <c r="Z51" s="19">
        <v>10.0</v>
      </c>
      <c r="AA51" s="19">
        <v>5.0</v>
      </c>
      <c r="AB51" s="19">
        <v>5.0</v>
      </c>
      <c r="AC51" s="19">
        <v>0.0</v>
      </c>
      <c r="AD51" s="19">
        <v>5.0</v>
      </c>
      <c r="AE51" s="19">
        <v>1.0</v>
      </c>
      <c r="AF51" s="19">
        <v>2.0</v>
      </c>
      <c r="AG51" s="19">
        <v>3.0</v>
      </c>
      <c r="AH51" s="19">
        <v>2.0</v>
      </c>
      <c r="AI51" s="19">
        <v>3.0</v>
      </c>
      <c r="AJ51" s="19">
        <v>1.0</v>
      </c>
      <c r="AK51" s="19">
        <v>5.0</v>
      </c>
      <c r="AL51" s="19">
        <v>4.0</v>
      </c>
      <c r="AM51" s="19">
        <v>0.0</v>
      </c>
      <c r="AN51" s="19">
        <v>0.0</v>
      </c>
      <c r="AO51" s="19">
        <v>4.0</v>
      </c>
      <c r="AP51" s="19">
        <v>4.0</v>
      </c>
      <c r="AQ51" s="19">
        <v>0.0</v>
      </c>
      <c r="AR51" s="19">
        <v>1.0</v>
      </c>
      <c r="AS51" s="13">
        <f t="shared" si="16"/>
        <v>122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R52" si="17">SUM(E50:E51)</f>
        <v>206</v>
      </c>
      <c r="F52" s="13">
        <f t="shared" si="17"/>
        <v>191</v>
      </c>
      <c r="G52" s="13">
        <f t="shared" si="17"/>
        <v>178</v>
      </c>
      <c r="H52" s="13">
        <f t="shared" si="17"/>
        <v>200</v>
      </c>
      <c r="I52" s="13">
        <f t="shared" si="17"/>
        <v>187</v>
      </c>
      <c r="J52" s="13">
        <f t="shared" si="17"/>
        <v>166</v>
      </c>
      <c r="K52" s="13">
        <f t="shared" si="17"/>
        <v>166</v>
      </c>
      <c r="L52" s="13">
        <f t="shared" si="17"/>
        <v>179</v>
      </c>
      <c r="M52" s="13">
        <f t="shared" si="17"/>
        <v>198</v>
      </c>
      <c r="N52" s="13">
        <f t="shared" si="17"/>
        <v>190</v>
      </c>
      <c r="O52" s="13">
        <f t="shared" si="17"/>
        <v>195</v>
      </c>
      <c r="P52" s="13">
        <f t="shared" si="17"/>
        <v>174</v>
      </c>
      <c r="Q52" s="13">
        <f t="shared" si="17"/>
        <v>202</v>
      </c>
      <c r="R52" s="13">
        <f t="shared" si="17"/>
        <v>177</v>
      </c>
      <c r="S52" s="13">
        <f t="shared" si="17"/>
        <v>221</v>
      </c>
      <c r="T52" s="13">
        <f t="shared" si="17"/>
        <v>212</v>
      </c>
      <c r="U52" s="13">
        <f t="shared" si="17"/>
        <v>188</v>
      </c>
      <c r="V52" s="13">
        <f t="shared" si="17"/>
        <v>156</v>
      </c>
      <c r="W52" s="13">
        <f t="shared" si="17"/>
        <v>215</v>
      </c>
      <c r="X52" s="13">
        <f t="shared" si="17"/>
        <v>209</v>
      </c>
      <c r="Y52" s="13">
        <f t="shared" si="17"/>
        <v>206</v>
      </c>
      <c r="Z52" s="13">
        <f t="shared" si="17"/>
        <v>226</v>
      </c>
      <c r="AA52" s="13">
        <f t="shared" si="17"/>
        <v>233</v>
      </c>
      <c r="AB52" s="13">
        <f t="shared" si="17"/>
        <v>193</v>
      </c>
      <c r="AC52" s="13">
        <f t="shared" si="17"/>
        <v>199</v>
      </c>
      <c r="AD52" s="13">
        <f t="shared" si="17"/>
        <v>238</v>
      </c>
      <c r="AE52" s="13">
        <f t="shared" si="17"/>
        <v>231</v>
      </c>
      <c r="AF52" s="13">
        <f t="shared" si="17"/>
        <v>229</v>
      </c>
      <c r="AG52" s="13">
        <f t="shared" si="17"/>
        <v>222</v>
      </c>
      <c r="AH52" s="13">
        <f t="shared" si="17"/>
        <v>187</v>
      </c>
      <c r="AI52" s="13">
        <f t="shared" si="17"/>
        <v>221</v>
      </c>
      <c r="AJ52" s="13">
        <f t="shared" si="17"/>
        <v>197</v>
      </c>
      <c r="AK52" s="13">
        <f t="shared" si="17"/>
        <v>217</v>
      </c>
      <c r="AL52" s="13">
        <f t="shared" si="17"/>
        <v>205</v>
      </c>
      <c r="AM52" s="13">
        <f t="shared" si="17"/>
        <v>200</v>
      </c>
      <c r="AN52" s="13">
        <f t="shared" si="17"/>
        <v>236</v>
      </c>
      <c r="AO52" s="13">
        <f t="shared" si="17"/>
        <v>200</v>
      </c>
      <c r="AP52" s="13">
        <f t="shared" si="17"/>
        <v>233</v>
      </c>
      <c r="AQ52" s="13">
        <f t="shared" si="17"/>
        <v>197</v>
      </c>
      <c r="AR52" s="13">
        <f t="shared" si="17"/>
        <v>196</v>
      </c>
      <c r="AS52" s="13">
        <f t="shared" si="16"/>
        <v>8076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R12"/>
    <mergeCell ref="AS12:A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S34 AA34:AK34">
    <cfRule type="expression" dxfId="0" priority="1">
      <formula>E34&lt;&gt;#REF!</formula>
    </cfRule>
  </conditionalFormatting>
  <conditionalFormatting sqref="E14:AR15 E45:AR47">
    <cfRule type="containsBlanks" dxfId="1" priority="2">
      <formula>LEN(TRIM(E14))=0</formula>
    </cfRule>
  </conditionalFormatting>
  <conditionalFormatting sqref="E19:AR20">
    <cfRule type="containsBlanks" dxfId="1" priority="3">
      <formula>LEN(TRIM(E19))=0</formula>
    </cfRule>
  </conditionalFormatting>
  <conditionalFormatting sqref="E22:AR23 E25:AR26 E33:AR33 E35:AR35 E39:AR40">
    <cfRule type="containsBlanks" dxfId="1" priority="4">
      <formula>LEN(TRIM(E22))=0</formula>
    </cfRule>
  </conditionalFormatting>
  <conditionalFormatting sqref="E30:AR30">
    <cfRule type="expression" dxfId="0" priority="5">
      <formula>E30&lt;&gt;E46</formula>
    </cfRule>
  </conditionalFormatting>
  <conditionalFormatting sqref="E30:AR30">
    <cfRule type="expression" dxfId="0" priority="6">
      <formula>E30&lt;&gt;E34</formula>
    </cfRule>
  </conditionalFormatting>
  <conditionalFormatting sqref="E34:AR34">
    <cfRule type="expression" dxfId="2" priority="7">
      <formula>E30&lt;&gt;E34</formula>
    </cfRule>
  </conditionalFormatting>
  <conditionalFormatting sqref="E34:AR34">
    <cfRule type="expression" dxfId="3" priority="8">
      <formula>E30=E34</formula>
    </cfRule>
  </conditionalFormatting>
  <conditionalFormatting sqref="E34:AR34">
    <cfRule type="expression" dxfId="0" priority="9">
      <formula>E34&lt;&gt;E30</formula>
    </cfRule>
  </conditionalFormatting>
  <conditionalFormatting sqref="E50:AR51">
    <cfRule type="containsBlanks" dxfId="1" priority="10">
      <formula>LEN(TRIM(E50))=0</formula>
    </cfRule>
  </conditionalFormatting>
  <conditionalFormatting sqref="AL34:AR34">
    <cfRule type="expression" dxfId="0" priority="11">
      <formula>AL34&lt;&gt;AL46</formula>
    </cfRule>
  </conditionalFormatting>
  <conditionalFormatting sqref="T34:Z34">
    <cfRule type="expression" dxfId="0" priority="12">
      <formula>T34&lt;&gt;T46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7" width="8.71"/>
    <col customWidth="1" min="38" max="3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2"/>
      <c r="T11" s="1"/>
      <c r="U11" s="1"/>
      <c r="V11" s="1"/>
      <c r="W11" s="1"/>
      <c r="X11" s="1"/>
      <c r="Y11" s="1"/>
      <c r="Z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136.0</v>
      </c>
      <c r="G14" s="19">
        <v>145.0</v>
      </c>
      <c r="H14" s="19">
        <v>148.0</v>
      </c>
      <c r="I14" s="19">
        <v>114.0</v>
      </c>
      <c r="J14" s="19">
        <v>134.0</v>
      </c>
      <c r="K14" s="19">
        <v>130.0</v>
      </c>
      <c r="L14" s="19">
        <v>136.0</v>
      </c>
      <c r="M14" s="19">
        <v>132.0</v>
      </c>
      <c r="N14" s="19">
        <v>123.0</v>
      </c>
      <c r="O14" s="19">
        <v>117.0</v>
      </c>
      <c r="P14" s="19">
        <v>133.0</v>
      </c>
      <c r="Q14" s="19">
        <v>130.0</v>
      </c>
      <c r="R14" s="19">
        <v>132.0</v>
      </c>
      <c r="S14" s="19">
        <v>145.0</v>
      </c>
      <c r="T14" s="19">
        <v>128.0</v>
      </c>
      <c r="U14" s="19">
        <v>136.0</v>
      </c>
      <c r="V14" s="19">
        <v>122.0</v>
      </c>
      <c r="W14" s="19">
        <v>135.0</v>
      </c>
      <c r="X14" s="19">
        <v>135.0</v>
      </c>
      <c r="Y14" s="19">
        <v>141.0</v>
      </c>
      <c r="Z14" s="19">
        <v>133.0</v>
      </c>
      <c r="AA14" s="19">
        <v>142.0</v>
      </c>
      <c r="AB14" s="19">
        <v>158.0</v>
      </c>
      <c r="AC14" s="19">
        <v>141.0</v>
      </c>
      <c r="AD14" s="19">
        <v>146.0</v>
      </c>
      <c r="AE14" s="19">
        <v>131.0</v>
      </c>
      <c r="AF14" s="19">
        <v>140.0</v>
      </c>
      <c r="AG14" s="19">
        <v>134.0</v>
      </c>
      <c r="AH14" s="19">
        <v>133.0</v>
      </c>
      <c r="AI14" s="19">
        <v>121.0</v>
      </c>
      <c r="AJ14" s="19">
        <v>131.0</v>
      </c>
      <c r="AK14" s="19">
        <v>134.0</v>
      </c>
      <c r="AL14" s="13">
        <f t="shared" ref="AL14:AL16" si="1">SUM(E14:AK14)</f>
        <v>4432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128.0</v>
      </c>
      <c r="G15" s="19">
        <v>154.0</v>
      </c>
      <c r="H15" s="19">
        <v>150.0</v>
      </c>
      <c r="I15" s="19">
        <v>139.0</v>
      </c>
      <c r="J15" s="19">
        <v>132.0</v>
      </c>
      <c r="K15" s="19">
        <v>136.0</v>
      </c>
      <c r="L15" s="19">
        <v>129.0</v>
      </c>
      <c r="M15" s="19">
        <v>126.0</v>
      </c>
      <c r="N15" s="19">
        <v>136.0</v>
      </c>
      <c r="O15" s="19">
        <v>124.0</v>
      </c>
      <c r="P15" s="19">
        <v>141.0</v>
      </c>
      <c r="Q15" s="19">
        <v>129.0</v>
      </c>
      <c r="R15" s="19">
        <v>122.0</v>
      </c>
      <c r="S15" s="19">
        <v>141.0</v>
      </c>
      <c r="T15" s="19">
        <v>122.0</v>
      </c>
      <c r="U15" s="19">
        <v>132.0</v>
      </c>
      <c r="V15" s="19">
        <v>129.0</v>
      </c>
      <c r="W15" s="19">
        <v>134.0</v>
      </c>
      <c r="X15" s="19">
        <v>137.0</v>
      </c>
      <c r="Y15" s="19">
        <v>131.0</v>
      </c>
      <c r="Z15" s="19">
        <v>129.0</v>
      </c>
      <c r="AA15" s="19">
        <v>150.0</v>
      </c>
      <c r="AB15" s="19">
        <v>132.0</v>
      </c>
      <c r="AC15" s="19">
        <v>146.0</v>
      </c>
      <c r="AD15" s="19">
        <v>146.0</v>
      </c>
      <c r="AE15" s="19">
        <v>146.0</v>
      </c>
      <c r="AF15" s="19">
        <v>131.0</v>
      </c>
      <c r="AG15" s="19">
        <v>136.0</v>
      </c>
      <c r="AH15" s="19">
        <v>138.0</v>
      </c>
      <c r="AI15" s="19">
        <v>146.0</v>
      </c>
      <c r="AJ15" s="19">
        <v>140.0</v>
      </c>
      <c r="AK15" s="19">
        <v>132.0</v>
      </c>
      <c r="AL15" s="13">
        <f t="shared" si="1"/>
        <v>4482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274</v>
      </c>
      <c r="F16" s="13">
        <f t="shared" si="2"/>
        <v>264</v>
      </c>
      <c r="G16" s="13">
        <f t="shared" si="2"/>
        <v>299</v>
      </c>
      <c r="H16" s="13">
        <f t="shared" si="2"/>
        <v>298</v>
      </c>
      <c r="I16" s="13">
        <f t="shared" si="2"/>
        <v>253</v>
      </c>
      <c r="J16" s="13">
        <f t="shared" si="2"/>
        <v>266</v>
      </c>
      <c r="K16" s="13">
        <f t="shared" si="2"/>
        <v>266</v>
      </c>
      <c r="L16" s="13">
        <f t="shared" si="2"/>
        <v>265</v>
      </c>
      <c r="M16" s="13">
        <f t="shared" si="2"/>
        <v>258</v>
      </c>
      <c r="N16" s="13">
        <f t="shared" si="2"/>
        <v>259</v>
      </c>
      <c r="O16" s="13">
        <f t="shared" si="2"/>
        <v>241</v>
      </c>
      <c r="P16" s="13">
        <f t="shared" si="2"/>
        <v>274</v>
      </c>
      <c r="Q16" s="13">
        <f t="shared" si="2"/>
        <v>259</v>
      </c>
      <c r="R16" s="13">
        <f t="shared" si="2"/>
        <v>254</v>
      </c>
      <c r="S16" s="13">
        <f t="shared" si="2"/>
        <v>286</v>
      </c>
      <c r="T16" s="13">
        <f t="shared" si="2"/>
        <v>250</v>
      </c>
      <c r="U16" s="13">
        <f t="shared" si="2"/>
        <v>268</v>
      </c>
      <c r="V16" s="13">
        <f t="shared" si="2"/>
        <v>251</v>
      </c>
      <c r="W16" s="13">
        <f t="shared" si="2"/>
        <v>269</v>
      </c>
      <c r="X16" s="13">
        <f t="shared" si="2"/>
        <v>272</v>
      </c>
      <c r="Y16" s="13">
        <f t="shared" si="2"/>
        <v>272</v>
      </c>
      <c r="Z16" s="13">
        <f t="shared" si="2"/>
        <v>262</v>
      </c>
      <c r="AA16" s="13">
        <f t="shared" si="2"/>
        <v>292</v>
      </c>
      <c r="AB16" s="13">
        <f t="shared" si="2"/>
        <v>290</v>
      </c>
      <c r="AC16" s="13">
        <f t="shared" si="2"/>
        <v>287</v>
      </c>
      <c r="AD16" s="13">
        <f t="shared" si="2"/>
        <v>292</v>
      </c>
      <c r="AE16" s="13">
        <f t="shared" si="2"/>
        <v>277</v>
      </c>
      <c r="AF16" s="13">
        <f t="shared" si="2"/>
        <v>271</v>
      </c>
      <c r="AG16" s="13">
        <f t="shared" si="2"/>
        <v>270</v>
      </c>
      <c r="AH16" s="13">
        <f t="shared" si="2"/>
        <v>271</v>
      </c>
      <c r="AI16" s="13">
        <f t="shared" si="2"/>
        <v>267</v>
      </c>
      <c r="AJ16" s="13">
        <f t="shared" si="2"/>
        <v>271</v>
      </c>
      <c r="AK16" s="13">
        <f t="shared" si="2"/>
        <v>266</v>
      </c>
      <c r="AL16" s="13">
        <f t="shared" si="1"/>
        <v>8914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59"/>
      <c r="N17" s="59"/>
      <c r="O17" s="59"/>
      <c r="P17" s="59"/>
      <c r="Q17" s="59"/>
      <c r="R17" s="59"/>
      <c r="S17" s="59"/>
      <c r="T17" s="19"/>
      <c r="U17" s="19"/>
      <c r="V17" s="19"/>
      <c r="W17" s="19"/>
      <c r="X17" s="19"/>
      <c r="Y17" s="1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59"/>
      <c r="N18" s="59"/>
      <c r="O18" s="59"/>
      <c r="P18" s="59"/>
      <c r="Q18" s="59"/>
      <c r="R18" s="59"/>
      <c r="S18" s="59"/>
      <c r="T18" s="19"/>
      <c r="U18" s="19"/>
      <c r="V18" s="19"/>
      <c r="W18" s="19"/>
      <c r="X18" s="19"/>
      <c r="Y18" s="1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91.0</v>
      </c>
      <c r="G19" s="19">
        <v>115.0</v>
      </c>
      <c r="H19" s="19">
        <v>156.0</v>
      </c>
      <c r="I19" s="19">
        <v>75.0</v>
      </c>
      <c r="J19" s="19">
        <v>99.0</v>
      </c>
      <c r="K19" s="19">
        <v>86.0</v>
      </c>
      <c r="L19" s="19">
        <v>95.0</v>
      </c>
      <c r="M19" s="19">
        <v>93.0</v>
      </c>
      <c r="N19" s="19">
        <v>101.0</v>
      </c>
      <c r="O19" s="19">
        <v>68.0</v>
      </c>
      <c r="P19" s="19">
        <v>101.0</v>
      </c>
      <c r="Q19" s="19">
        <v>76.0</v>
      </c>
      <c r="R19" s="19">
        <v>101.0</v>
      </c>
      <c r="S19" s="19">
        <v>96.0</v>
      </c>
      <c r="T19" s="19">
        <v>92.0</v>
      </c>
      <c r="U19" s="19">
        <v>106.0</v>
      </c>
      <c r="V19" s="19">
        <v>95.0</v>
      </c>
      <c r="W19" s="19">
        <v>98.0</v>
      </c>
      <c r="X19" s="19">
        <v>102.0</v>
      </c>
      <c r="Y19" s="19">
        <v>104.0</v>
      </c>
      <c r="Z19" s="19">
        <v>102.0</v>
      </c>
      <c r="AA19" s="19">
        <v>107.0</v>
      </c>
      <c r="AB19" s="19">
        <v>109.0</v>
      </c>
      <c r="AC19" s="19">
        <v>107.0</v>
      </c>
      <c r="AD19" s="19">
        <v>104.0</v>
      </c>
      <c r="AE19" s="19">
        <v>112.0</v>
      </c>
      <c r="AF19" s="19">
        <v>111.0</v>
      </c>
      <c r="AG19" s="19">
        <v>108.0</v>
      </c>
      <c r="AH19" s="19">
        <v>104.0</v>
      </c>
      <c r="AI19" s="19">
        <v>100.0</v>
      </c>
      <c r="AJ19" s="19">
        <v>97.0</v>
      </c>
      <c r="AK19" s="19">
        <v>105.0</v>
      </c>
      <c r="AL19" s="13">
        <f t="shared" ref="AL19:AL30" si="3">SUM(E19:AK19)</f>
        <v>3314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103.0</v>
      </c>
      <c r="G20" s="19">
        <v>123.0</v>
      </c>
      <c r="H20" s="19">
        <v>90.0</v>
      </c>
      <c r="I20" s="19">
        <v>92.0</v>
      </c>
      <c r="J20" s="19">
        <v>103.0</v>
      </c>
      <c r="K20" s="19">
        <v>98.0</v>
      </c>
      <c r="L20" s="19">
        <v>101.0</v>
      </c>
      <c r="M20" s="19">
        <v>98.0</v>
      </c>
      <c r="N20" s="19">
        <v>118.0</v>
      </c>
      <c r="O20" s="19">
        <v>86.0</v>
      </c>
      <c r="P20" s="19">
        <v>115.0</v>
      </c>
      <c r="Q20" s="19">
        <v>92.0</v>
      </c>
      <c r="R20" s="19">
        <v>98.0</v>
      </c>
      <c r="S20" s="19">
        <v>103.0</v>
      </c>
      <c r="T20" s="19">
        <v>95.0</v>
      </c>
      <c r="U20" s="19">
        <v>108.0</v>
      </c>
      <c r="V20" s="19">
        <v>108.0</v>
      </c>
      <c r="W20" s="19">
        <v>101.0</v>
      </c>
      <c r="X20" s="19">
        <v>108.0</v>
      </c>
      <c r="Y20" s="19">
        <v>102.0</v>
      </c>
      <c r="Z20" s="19">
        <v>103.0</v>
      </c>
      <c r="AA20" s="19">
        <v>112.0</v>
      </c>
      <c r="AB20" s="19">
        <v>104.0</v>
      </c>
      <c r="AC20" s="19">
        <v>109.0</v>
      </c>
      <c r="AD20" s="19">
        <v>117.0</v>
      </c>
      <c r="AE20" s="19">
        <v>120.0</v>
      </c>
      <c r="AF20" s="19">
        <v>107.0</v>
      </c>
      <c r="AG20" s="19">
        <v>106.0</v>
      </c>
      <c r="AH20" s="19">
        <v>108.0</v>
      </c>
      <c r="AI20" s="19">
        <v>119.0</v>
      </c>
      <c r="AJ20" s="19">
        <v>118.0</v>
      </c>
      <c r="AK20" s="19">
        <v>106.0</v>
      </c>
      <c r="AL20" s="13">
        <f t="shared" si="3"/>
        <v>3473</v>
      </c>
    </row>
    <row r="21" ht="12.75" customHeight="1">
      <c r="A21" s="35"/>
      <c r="B21" s="28"/>
      <c r="C21" s="36"/>
      <c r="D21" s="13" t="s">
        <v>14</v>
      </c>
      <c r="E21" s="13">
        <f t="shared" ref="E21:AK21" si="4">SUM(E19:E20)</f>
        <v>200</v>
      </c>
      <c r="F21" s="13">
        <f t="shared" si="4"/>
        <v>194</v>
      </c>
      <c r="G21" s="13">
        <f t="shared" si="4"/>
        <v>238</v>
      </c>
      <c r="H21" s="13">
        <f t="shared" si="4"/>
        <v>246</v>
      </c>
      <c r="I21" s="13">
        <f t="shared" si="4"/>
        <v>167</v>
      </c>
      <c r="J21" s="13">
        <f t="shared" si="4"/>
        <v>202</v>
      </c>
      <c r="K21" s="13">
        <f t="shared" si="4"/>
        <v>184</v>
      </c>
      <c r="L21" s="13">
        <f t="shared" si="4"/>
        <v>196</v>
      </c>
      <c r="M21" s="13">
        <f t="shared" si="4"/>
        <v>191</v>
      </c>
      <c r="N21" s="13">
        <f t="shared" si="4"/>
        <v>219</v>
      </c>
      <c r="O21" s="13">
        <f t="shared" si="4"/>
        <v>154</v>
      </c>
      <c r="P21" s="13">
        <f t="shared" si="4"/>
        <v>216</v>
      </c>
      <c r="Q21" s="13">
        <f t="shared" si="4"/>
        <v>168</v>
      </c>
      <c r="R21" s="13">
        <f t="shared" si="4"/>
        <v>199</v>
      </c>
      <c r="S21" s="13">
        <f t="shared" si="4"/>
        <v>199</v>
      </c>
      <c r="T21" s="13">
        <f t="shared" si="4"/>
        <v>187</v>
      </c>
      <c r="U21" s="13">
        <f t="shared" si="4"/>
        <v>214</v>
      </c>
      <c r="V21" s="13">
        <f t="shared" si="4"/>
        <v>203</v>
      </c>
      <c r="W21" s="13">
        <f t="shared" si="4"/>
        <v>199</v>
      </c>
      <c r="X21" s="13">
        <f t="shared" si="4"/>
        <v>210</v>
      </c>
      <c r="Y21" s="13">
        <f t="shared" si="4"/>
        <v>206</v>
      </c>
      <c r="Z21" s="13">
        <f t="shared" si="4"/>
        <v>205</v>
      </c>
      <c r="AA21" s="13">
        <f t="shared" si="4"/>
        <v>219</v>
      </c>
      <c r="AB21" s="13">
        <f t="shared" si="4"/>
        <v>213</v>
      </c>
      <c r="AC21" s="13">
        <f t="shared" si="4"/>
        <v>216</v>
      </c>
      <c r="AD21" s="13">
        <f t="shared" si="4"/>
        <v>221</v>
      </c>
      <c r="AE21" s="13">
        <f t="shared" si="4"/>
        <v>232</v>
      </c>
      <c r="AF21" s="13">
        <f t="shared" si="4"/>
        <v>218</v>
      </c>
      <c r="AG21" s="13">
        <f t="shared" si="4"/>
        <v>214</v>
      </c>
      <c r="AH21" s="13">
        <f t="shared" si="4"/>
        <v>212</v>
      </c>
      <c r="AI21" s="13">
        <f t="shared" si="4"/>
        <v>219</v>
      </c>
      <c r="AJ21" s="13">
        <f t="shared" si="4"/>
        <v>215</v>
      </c>
      <c r="AK21" s="13">
        <f t="shared" si="4"/>
        <v>211</v>
      </c>
      <c r="AL21" s="13">
        <f t="shared" si="3"/>
        <v>6787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3.0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2.0</v>
      </c>
      <c r="P22" s="19">
        <v>0.0</v>
      </c>
      <c r="Q22" s="19">
        <v>0.0</v>
      </c>
      <c r="R22" s="19">
        <v>1.0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3">
        <f t="shared" si="3"/>
        <v>10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3.0</v>
      </c>
      <c r="H23" s="19">
        <v>2.0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2.0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1.0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AK24" si="5">SUM(E22:E23)</f>
        <v>0</v>
      </c>
      <c r="F24" s="13">
        <f t="shared" si="5"/>
        <v>3</v>
      </c>
      <c r="G24" s="13">
        <f t="shared" si="5"/>
        <v>6</v>
      </c>
      <c r="H24" s="13">
        <f t="shared" si="5"/>
        <v>3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4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3"/>
        <v>22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3.0</v>
      </c>
      <c r="I25" s="19">
        <v>0.0</v>
      </c>
      <c r="J25" s="19">
        <v>4.0</v>
      </c>
      <c r="K25" s="19">
        <v>1.0</v>
      </c>
      <c r="L25" s="19">
        <v>1.0</v>
      </c>
      <c r="M25" s="19">
        <v>1.0</v>
      </c>
      <c r="N25" s="19">
        <v>3.0</v>
      </c>
      <c r="O25" s="19">
        <v>1.0</v>
      </c>
      <c r="P25" s="19">
        <v>2.0</v>
      </c>
      <c r="Q25" s="19">
        <v>1.0</v>
      </c>
      <c r="R25" s="19">
        <v>4.0</v>
      </c>
      <c r="S25" s="19">
        <v>2.0</v>
      </c>
      <c r="T25" s="19">
        <v>1.0</v>
      </c>
      <c r="U25" s="19">
        <v>0.0</v>
      </c>
      <c r="V25" s="19">
        <v>1.0</v>
      </c>
      <c r="W25" s="19">
        <v>0.0</v>
      </c>
      <c r="X25" s="19">
        <v>0.0</v>
      </c>
      <c r="Y25" s="19">
        <v>1.0</v>
      </c>
      <c r="Z25" s="19">
        <v>1.0</v>
      </c>
      <c r="AA25" s="19">
        <v>0.0</v>
      </c>
      <c r="AB25" s="19">
        <v>1.0</v>
      </c>
      <c r="AC25" s="19">
        <v>2.0</v>
      </c>
      <c r="AD25" s="19">
        <v>1.0</v>
      </c>
      <c r="AE25" s="19">
        <v>2.0</v>
      </c>
      <c r="AF25" s="19">
        <v>5.0</v>
      </c>
      <c r="AG25" s="19">
        <v>3.0</v>
      </c>
      <c r="AH25" s="19">
        <v>0.0</v>
      </c>
      <c r="AI25" s="19">
        <v>3.0</v>
      </c>
      <c r="AJ25" s="19">
        <v>2.0</v>
      </c>
      <c r="AK25" s="19">
        <v>3.0</v>
      </c>
      <c r="AL25" s="13">
        <f t="shared" si="3"/>
        <v>49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2.0</v>
      </c>
      <c r="H26" s="19">
        <v>3.0</v>
      </c>
      <c r="I26" s="19">
        <v>1.0</v>
      </c>
      <c r="J26" s="19">
        <v>2.0</v>
      </c>
      <c r="K26" s="19">
        <v>2.0</v>
      </c>
      <c r="L26" s="19">
        <v>4.0</v>
      </c>
      <c r="M26" s="19">
        <v>1.0</v>
      </c>
      <c r="N26" s="19">
        <v>3.0</v>
      </c>
      <c r="O26" s="19">
        <v>2.0</v>
      </c>
      <c r="P26" s="19">
        <v>3.0</v>
      </c>
      <c r="Q26" s="19">
        <v>4.0</v>
      </c>
      <c r="R26" s="19">
        <v>1.0</v>
      </c>
      <c r="S26" s="19">
        <v>0.0</v>
      </c>
      <c r="T26" s="19">
        <v>0.0</v>
      </c>
      <c r="U26" s="19">
        <v>2.0</v>
      </c>
      <c r="V26" s="19">
        <v>1.0</v>
      </c>
      <c r="W26" s="19">
        <v>0.0</v>
      </c>
      <c r="X26" s="19">
        <v>0.0</v>
      </c>
      <c r="Y26" s="19">
        <v>1.0</v>
      </c>
      <c r="Z26" s="19">
        <v>5.0</v>
      </c>
      <c r="AA26" s="19">
        <v>1.0</v>
      </c>
      <c r="AB26" s="19">
        <v>3.0</v>
      </c>
      <c r="AC26" s="19">
        <v>1.0</v>
      </c>
      <c r="AD26" s="19">
        <v>4.0</v>
      </c>
      <c r="AE26" s="19">
        <v>3.0</v>
      </c>
      <c r="AF26" s="19">
        <v>3.0</v>
      </c>
      <c r="AG26" s="19">
        <v>2.0</v>
      </c>
      <c r="AH26" s="19">
        <v>0.0</v>
      </c>
      <c r="AI26" s="19">
        <v>3.0</v>
      </c>
      <c r="AJ26" s="19">
        <v>4.0</v>
      </c>
      <c r="AK26" s="19">
        <v>5.0</v>
      </c>
      <c r="AL26" s="13">
        <f t="shared" si="3"/>
        <v>69</v>
      </c>
    </row>
    <row r="27" ht="12.75" customHeight="1">
      <c r="A27" s="35"/>
      <c r="B27" s="28"/>
      <c r="C27" s="36"/>
      <c r="D27" s="13" t="s">
        <v>14</v>
      </c>
      <c r="E27" s="13">
        <f t="shared" ref="E27:AK27" si="6">SUM(E25:E26)</f>
        <v>2</v>
      </c>
      <c r="F27" s="13">
        <f t="shared" si="6"/>
        <v>1</v>
      </c>
      <c r="G27" s="13">
        <f t="shared" si="6"/>
        <v>2</v>
      </c>
      <c r="H27" s="13">
        <f t="shared" si="6"/>
        <v>6</v>
      </c>
      <c r="I27" s="13">
        <f t="shared" si="6"/>
        <v>1</v>
      </c>
      <c r="J27" s="13">
        <f t="shared" si="6"/>
        <v>6</v>
      </c>
      <c r="K27" s="13">
        <f t="shared" si="6"/>
        <v>3</v>
      </c>
      <c r="L27" s="13">
        <f t="shared" si="6"/>
        <v>5</v>
      </c>
      <c r="M27" s="13">
        <f t="shared" si="6"/>
        <v>2</v>
      </c>
      <c r="N27" s="13">
        <f t="shared" si="6"/>
        <v>6</v>
      </c>
      <c r="O27" s="13">
        <f t="shared" si="6"/>
        <v>3</v>
      </c>
      <c r="P27" s="13">
        <f t="shared" si="6"/>
        <v>5</v>
      </c>
      <c r="Q27" s="13">
        <f t="shared" si="6"/>
        <v>5</v>
      </c>
      <c r="R27" s="13">
        <f t="shared" si="6"/>
        <v>5</v>
      </c>
      <c r="S27" s="13">
        <f t="shared" si="6"/>
        <v>2</v>
      </c>
      <c r="T27" s="13">
        <f t="shared" si="6"/>
        <v>1</v>
      </c>
      <c r="U27" s="13">
        <f t="shared" si="6"/>
        <v>2</v>
      </c>
      <c r="V27" s="13">
        <f t="shared" si="6"/>
        <v>2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6</v>
      </c>
      <c r="AA27" s="13">
        <f t="shared" si="6"/>
        <v>1</v>
      </c>
      <c r="AB27" s="13">
        <f t="shared" si="6"/>
        <v>4</v>
      </c>
      <c r="AC27" s="13">
        <f t="shared" si="6"/>
        <v>3</v>
      </c>
      <c r="AD27" s="13">
        <f t="shared" si="6"/>
        <v>5</v>
      </c>
      <c r="AE27" s="13">
        <f t="shared" si="6"/>
        <v>5</v>
      </c>
      <c r="AF27" s="13">
        <f t="shared" si="6"/>
        <v>8</v>
      </c>
      <c r="AG27" s="13">
        <f t="shared" si="6"/>
        <v>5</v>
      </c>
      <c r="AH27" s="13">
        <f t="shared" si="6"/>
        <v>0</v>
      </c>
      <c r="AI27" s="13">
        <f t="shared" si="6"/>
        <v>6</v>
      </c>
      <c r="AJ27" s="13">
        <f t="shared" si="6"/>
        <v>6</v>
      </c>
      <c r="AK27" s="13">
        <f t="shared" si="6"/>
        <v>8</v>
      </c>
      <c r="AL27" s="13">
        <f t="shared" si="3"/>
        <v>118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K28" si="7">SUM(E19,E22,E25)</f>
        <v>98</v>
      </c>
      <c r="F28" s="13">
        <f t="shared" si="7"/>
        <v>92</v>
      </c>
      <c r="G28" s="13">
        <f t="shared" si="7"/>
        <v>118</v>
      </c>
      <c r="H28" s="13">
        <f t="shared" si="7"/>
        <v>160</v>
      </c>
      <c r="I28" s="13">
        <f t="shared" si="7"/>
        <v>75</v>
      </c>
      <c r="J28" s="13">
        <f t="shared" si="7"/>
        <v>103</v>
      </c>
      <c r="K28" s="13">
        <f t="shared" si="7"/>
        <v>87</v>
      </c>
      <c r="L28" s="13">
        <f t="shared" si="7"/>
        <v>96</v>
      </c>
      <c r="M28" s="13">
        <f t="shared" si="7"/>
        <v>94</v>
      </c>
      <c r="N28" s="13">
        <f t="shared" si="7"/>
        <v>105</v>
      </c>
      <c r="O28" s="13">
        <f t="shared" si="7"/>
        <v>71</v>
      </c>
      <c r="P28" s="13">
        <f t="shared" si="7"/>
        <v>103</v>
      </c>
      <c r="Q28" s="13">
        <f t="shared" si="7"/>
        <v>77</v>
      </c>
      <c r="R28" s="13">
        <f t="shared" si="7"/>
        <v>106</v>
      </c>
      <c r="S28" s="13">
        <f t="shared" si="7"/>
        <v>98</v>
      </c>
      <c r="T28" s="13">
        <f t="shared" si="7"/>
        <v>94</v>
      </c>
      <c r="U28" s="13">
        <f t="shared" si="7"/>
        <v>106</v>
      </c>
      <c r="V28" s="13">
        <f t="shared" si="7"/>
        <v>96</v>
      </c>
      <c r="W28" s="13">
        <f t="shared" si="7"/>
        <v>98</v>
      </c>
      <c r="X28" s="13">
        <f t="shared" si="7"/>
        <v>102</v>
      </c>
      <c r="Y28" s="13">
        <f t="shared" si="7"/>
        <v>105</v>
      </c>
      <c r="Z28" s="13">
        <f t="shared" si="7"/>
        <v>103</v>
      </c>
      <c r="AA28" s="13">
        <f t="shared" si="7"/>
        <v>107</v>
      </c>
      <c r="AB28" s="13">
        <f t="shared" si="7"/>
        <v>110</v>
      </c>
      <c r="AC28" s="13">
        <f t="shared" si="7"/>
        <v>109</v>
      </c>
      <c r="AD28" s="13">
        <f t="shared" si="7"/>
        <v>105</v>
      </c>
      <c r="AE28" s="13">
        <f t="shared" si="7"/>
        <v>114</v>
      </c>
      <c r="AF28" s="13">
        <f t="shared" si="7"/>
        <v>116</v>
      </c>
      <c r="AG28" s="13">
        <f t="shared" si="7"/>
        <v>111</v>
      </c>
      <c r="AH28" s="13">
        <f t="shared" si="7"/>
        <v>104</v>
      </c>
      <c r="AI28" s="13">
        <f t="shared" si="7"/>
        <v>103</v>
      </c>
      <c r="AJ28" s="13">
        <f t="shared" si="7"/>
        <v>99</v>
      </c>
      <c r="AK28" s="13">
        <f t="shared" si="7"/>
        <v>108</v>
      </c>
      <c r="AL28" s="13">
        <f t="shared" si="3"/>
        <v>3373</v>
      </c>
    </row>
    <row r="29" ht="12.75" customHeight="1">
      <c r="A29" s="35"/>
      <c r="B29" s="27"/>
      <c r="C29" s="34"/>
      <c r="D29" s="13" t="s">
        <v>13</v>
      </c>
      <c r="E29" s="13">
        <f t="shared" ref="E29:AK29" si="8">SUM(E20,E23,E26)</f>
        <v>104</v>
      </c>
      <c r="F29" s="13">
        <f t="shared" si="8"/>
        <v>106</v>
      </c>
      <c r="G29" s="13">
        <f t="shared" si="8"/>
        <v>128</v>
      </c>
      <c r="H29" s="13">
        <f t="shared" si="8"/>
        <v>95</v>
      </c>
      <c r="I29" s="13">
        <f t="shared" si="8"/>
        <v>93</v>
      </c>
      <c r="J29" s="13">
        <f t="shared" si="8"/>
        <v>105</v>
      </c>
      <c r="K29" s="13">
        <f t="shared" si="8"/>
        <v>100</v>
      </c>
      <c r="L29" s="13">
        <f t="shared" si="8"/>
        <v>105</v>
      </c>
      <c r="M29" s="13">
        <f t="shared" si="8"/>
        <v>99</v>
      </c>
      <c r="N29" s="13">
        <f t="shared" si="8"/>
        <v>122</v>
      </c>
      <c r="O29" s="13">
        <f t="shared" si="8"/>
        <v>90</v>
      </c>
      <c r="P29" s="13">
        <f t="shared" si="8"/>
        <v>118</v>
      </c>
      <c r="Q29" s="13">
        <f t="shared" si="8"/>
        <v>96</v>
      </c>
      <c r="R29" s="13">
        <f t="shared" si="8"/>
        <v>99</v>
      </c>
      <c r="S29" s="13">
        <f t="shared" si="8"/>
        <v>103</v>
      </c>
      <c r="T29" s="13">
        <f t="shared" si="8"/>
        <v>96</v>
      </c>
      <c r="U29" s="13">
        <f t="shared" si="8"/>
        <v>110</v>
      </c>
      <c r="V29" s="13">
        <f t="shared" si="8"/>
        <v>109</v>
      </c>
      <c r="W29" s="13">
        <f t="shared" si="8"/>
        <v>101</v>
      </c>
      <c r="X29" s="13">
        <f t="shared" si="8"/>
        <v>108</v>
      </c>
      <c r="Y29" s="13">
        <f t="shared" si="8"/>
        <v>103</v>
      </c>
      <c r="Z29" s="13">
        <f t="shared" si="8"/>
        <v>108</v>
      </c>
      <c r="AA29" s="13">
        <f t="shared" si="8"/>
        <v>113</v>
      </c>
      <c r="AB29" s="13">
        <f t="shared" si="8"/>
        <v>107</v>
      </c>
      <c r="AC29" s="13">
        <f t="shared" si="8"/>
        <v>110</v>
      </c>
      <c r="AD29" s="13">
        <f t="shared" si="8"/>
        <v>122</v>
      </c>
      <c r="AE29" s="13">
        <f t="shared" si="8"/>
        <v>123</v>
      </c>
      <c r="AF29" s="13">
        <f t="shared" si="8"/>
        <v>110</v>
      </c>
      <c r="AG29" s="13">
        <f t="shared" si="8"/>
        <v>108</v>
      </c>
      <c r="AH29" s="13">
        <f t="shared" si="8"/>
        <v>108</v>
      </c>
      <c r="AI29" s="13">
        <f t="shared" si="8"/>
        <v>122</v>
      </c>
      <c r="AJ29" s="13">
        <f t="shared" si="8"/>
        <v>122</v>
      </c>
      <c r="AK29" s="13">
        <f t="shared" si="8"/>
        <v>111</v>
      </c>
      <c r="AL29" s="13">
        <f t="shared" si="3"/>
        <v>3554</v>
      </c>
    </row>
    <row r="30" ht="12.75" customHeight="1">
      <c r="A30" s="35"/>
      <c r="B30" s="28"/>
      <c r="C30" s="36"/>
      <c r="D30" s="13" t="s">
        <v>14</v>
      </c>
      <c r="E30" s="13">
        <f t="shared" ref="E30:AK30" si="9">SUM(E28:E29)</f>
        <v>202</v>
      </c>
      <c r="F30" s="13">
        <f t="shared" si="9"/>
        <v>198</v>
      </c>
      <c r="G30" s="13">
        <f t="shared" si="9"/>
        <v>246</v>
      </c>
      <c r="H30" s="13">
        <f t="shared" si="9"/>
        <v>255</v>
      </c>
      <c r="I30" s="13">
        <f t="shared" si="9"/>
        <v>168</v>
      </c>
      <c r="J30" s="13">
        <f t="shared" si="9"/>
        <v>208</v>
      </c>
      <c r="K30" s="13">
        <f t="shared" si="9"/>
        <v>187</v>
      </c>
      <c r="L30" s="13">
        <f t="shared" si="9"/>
        <v>201</v>
      </c>
      <c r="M30" s="13">
        <f t="shared" si="9"/>
        <v>193</v>
      </c>
      <c r="N30" s="13">
        <f t="shared" si="9"/>
        <v>227</v>
      </c>
      <c r="O30" s="13">
        <f t="shared" si="9"/>
        <v>161</v>
      </c>
      <c r="P30" s="13">
        <f t="shared" si="9"/>
        <v>221</v>
      </c>
      <c r="Q30" s="13">
        <f t="shared" si="9"/>
        <v>173</v>
      </c>
      <c r="R30" s="13">
        <f t="shared" si="9"/>
        <v>205</v>
      </c>
      <c r="S30" s="13">
        <f t="shared" si="9"/>
        <v>201</v>
      </c>
      <c r="T30" s="13">
        <f t="shared" si="9"/>
        <v>190</v>
      </c>
      <c r="U30" s="13">
        <f t="shared" si="9"/>
        <v>216</v>
      </c>
      <c r="V30" s="13">
        <f t="shared" si="9"/>
        <v>205</v>
      </c>
      <c r="W30" s="13">
        <f t="shared" si="9"/>
        <v>199</v>
      </c>
      <c r="X30" s="13">
        <f t="shared" si="9"/>
        <v>210</v>
      </c>
      <c r="Y30" s="13">
        <f t="shared" si="9"/>
        <v>208</v>
      </c>
      <c r="Z30" s="13">
        <f t="shared" si="9"/>
        <v>211</v>
      </c>
      <c r="AA30" s="13">
        <f t="shared" si="9"/>
        <v>220</v>
      </c>
      <c r="AB30" s="13">
        <f t="shared" si="9"/>
        <v>217</v>
      </c>
      <c r="AC30" s="13">
        <f t="shared" si="9"/>
        <v>219</v>
      </c>
      <c r="AD30" s="13">
        <f t="shared" si="9"/>
        <v>227</v>
      </c>
      <c r="AE30" s="13">
        <f t="shared" si="9"/>
        <v>237</v>
      </c>
      <c r="AF30" s="13">
        <f t="shared" si="9"/>
        <v>226</v>
      </c>
      <c r="AG30" s="13">
        <f t="shared" si="9"/>
        <v>219</v>
      </c>
      <c r="AH30" s="13">
        <f t="shared" si="9"/>
        <v>212</v>
      </c>
      <c r="AI30" s="13">
        <f t="shared" si="9"/>
        <v>225</v>
      </c>
      <c r="AJ30" s="13">
        <f t="shared" si="9"/>
        <v>221</v>
      </c>
      <c r="AK30" s="13">
        <f t="shared" si="9"/>
        <v>219</v>
      </c>
      <c r="AL30" s="13">
        <f t="shared" si="3"/>
        <v>6927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59"/>
      <c r="N31" s="59"/>
      <c r="O31" s="59"/>
      <c r="P31" s="59"/>
      <c r="Q31" s="59"/>
      <c r="R31" s="59"/>
      <c r="S31" s="59"/>
      <c r="T31" s="19"/>
      <c r="U31" s="19"/>
      <c r="V31" s="19"/>
      <c r="W31" s="19"/>
      <c r="X31" s="19"/>
      <c r="Y31" s="1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1"/>
      <c r="N32" s="61"/>
      <c r="O32" s="61"/>
      <c r="P32" s="61"/>
      <c r="Q32" s="61"/>
      <c r="R32" s="61"/>
      <c r="S32" s="61"/>
      <c r="T32" s="13"/>
      <c r="U32" s="13"/>
      <c r="V32" s="13"/>
      <c r="W32" s="13"/>
      <c r="X32" s="13"/>
      <c r="Y32" s="13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0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273.0</v>
      </c>
      <c r="G33" s="19">
        <v>305.0</v>
      </c>
      <c r="H33" s="19">
        <v>296.0</v>
      </c>
      <c r="I33" s="19">
        <v>258.0</v>
      </c>
      <c r="J33" s="19">
        <v>271.0</v>
      </c>
      <c r="K33" s="19">
        <v>272.0</v>
      </c>
      <c r="L33" s="19">
        <v>273.0</v>
      </c>
      <c r="M33" s="19">
        <v>264.0</v>
      </c>
      <c r="N33" s="19">
        <v>289.0</v>
      </c>
      <c r="O33" s="19">
        <v>246.0</v>
      </c>
      <c r="P33" s="19">
        <v>280.0</v>
      </c>
      <c r="Q33" s="19">
        <v>265.0</v>
      </c>
      <c r="R33" s="19">
        <v>259.0</v>
      </c>
      <c r="S33" s="19">
        <v>294.0</v>
      </c>
      <c r="T33" s="19">
        <v>255.0</v>
      </c>
      <c r="U33" s="19">
        <v>274.0</v>
      </c>
      <c r="V33" s="19">
        <v>258.0</v>
      </c>
      <c r="W33" s="19">
        <v>275.0</v>
      </c>
      <c r="X33" s="19">
        <v>277.0</v>
      </c>
      <c r="Y33" s="19">
        <v>278.0</v>
      </c>
      <c r="Z33" s="19">
        <v>269.0</v>
      </c>
      <c r="AA33" s="19">
        <v>299.0</v>
      </c>
      <c r="AB33" s="19">
        <v>299.0</v>
      </c>
      <c r="AC33" s="19">
        <v>293.0</v>
      </c>
      <c r="AD33" s="19">
        <v>298.0</v>
      </c>
      <c r="AE33" s="19">
        <v>283.0</v>
      </c>
      <c r="AF33" s="19">
        <v>288.0</v>
      </c>
      <c r="AG33" s="19">
        <v>277.0</v>
      </c>
      <c r="AH33" s="19">
        <v>277.0</v>
      </c>
      <c r="AI33" s="19">
        <v>273.0</v>
      </c>
      <c r="AJ33" s="19">
        <v>287.0</v>
      </c>
      <c r="AK33" s="19">
        <v>272.0</v>
      </c>
      <c r="AL33" s="13">
        <f t="shared" ref="AL33:AL36" si="10">SUM(E33:AK33)</f>
        <v>9157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198.0</v>
      </c>
      <c r="G34" s="13">
        <v>246.0</v>
      </c>
      <c r="H34" s="13">
        <v>255.0</v>
      </c>
      <c r="I34" s="13">
        <v>168.0</v>
      </c>
      <c r="J34" s="13">
        <v>208.0</v>
      </c>
      <c r="K34" s="13">
        <v>187.0</v>
      </c>
      <c r="L34" s="13">
        <v>201.0</v>
      </c>
      <c r="M34" s="13">
        <v>193.0</v>
      </c>
      <c r="N34" s="13">
        <v>227.0</v>
      </c>
      <c r="O34" s="13">
        <v>161.0</v>
      </c>
      <c r="P34" s="13">
        <v>221.0</v>
      </c>
      <c r="Q34" s="13">
        <v>173.0</v>
      </c>
      <c r="R34" s="13">
        <v>205.0</v>
      </c>
      <c r="S34" s="13">
        <v>201.0</v>
      </c>
      <c r="T34" s="13">
        <v>190.0</v>
      </c>
      <c r="U34" s="13">
        <v>216.0</v>
      </c>
      <c r="V34" s="13">
        <v>205.0</v>
      </c>
      <c r="W34" s="13">
        <v>199.0</v>
      </c>
      <c r="X34" s="13">
        <v>210.0</v>
      </c>
      <c r="Y34" s="13">
        <v>208.0</v>
      </c>
      <c r="Z34" s="13">
        <v>211.0</v>
      </c>
      <c r="AA34" s="13">
        <v>220.0</v>
      </c>
      <c r="AB34" s="13">
        <v>217.0</v>
      </c>
      <c r="AC34" s="13">
        <v>219.0</v>
      </c>
      <c r="AD34" s="13">
        <v>227.0</v>
      </c>
      <c r="AE34" s="13">
        <v>237.0</v>
      </c>
      <c r="AF34" s="13">
        <v>226.0</v>
      </c>
      <c r="AG34" s="13">
        <v>219.0</v>
      </c>
      <c r="AH34" s="13">
        <v>212.0</v>
      </c>
      <c r="AI34" s="13">
        <v>225.0</v>
      </c>
      <c r="AJ34" s="13">
        <v>221.0</v>
      </c>
      <c r="AK34" s="13">
        <v>219.0</v>
      </c>
      <c r="AL34" s="13">
        <f t="shared" si="10"/>
        <v>6927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4.0</v>
      </c>
      <c r="T35" s="19">
        <v>2.0</v>
      </c>
      <c r="U35" s="19">
        <v>0.0</v>
      </c>
      <c r="V35" s="19">
        <v>2.0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1.0</v>
      </c>
      <c r="AC35" s="19">
        <v>3.0</v>
      </c>
      <c r="AD35" s="19">
        <v>0.0</v>
      </c>
      <c r="AE35" s="19">
        <v>1.0</v>
      </c>
      <c r="AF35" s="19">
        <v>3.0</v>
      </c>
      <c r="AG35" s="19">
        <v>0.0</v>
      </c>
      <c r="AH35" s="19">
        <v>0.0</v>
      </c>
      <c r="AI35" s="19">
        <v>2.0</v>
      </c>
      <c r="AJ35" s="19">
        <v>0.0</v>
      </c>
      <c r="AK35" s="19">
        <v>0.0</v>
      </c>
      <c r="AL35" s="13">
        <f t="shared" si="10"/>
        <v>21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77</v>
      </c>
      <c r="F36" s="13">
        <f t="shared" si="11"/>
        <v>75</v>
      </c>
      <c r="G36" s="13">
        <f t="shared" si="11"/>
        <v>59</v>
      </c>
      <c r="H36" s="13">
        <f t="shared" si="11"/>
        <v>41</v>
      </c>
      <c r="I36" s="13">
        <f t="shared" si="11"/>
        <v>90</v>
      </c>
      <c r="J36" s="13">
        <f t="shared" si="11"/>
        <v>62</v>
      </c>
      <c r="K36" s="13">
        <f t="shared" si="11"/>
        <v>85</v>
      </c>
      <c r="L36" s="13">
        <f t="shared" si="11"/>
        <v>72</v>
      </c>
      <c r="M36" s="13">
        <f t="shared" si="11"/>
        <v>71</v>
      </c>
      <c r="N36" s="13">
        <f t="shared" si="11"/>
        <v>62</v>
      </c>
      <c r="O36" s="13">
        <f t="shared" si="11"/>
        <v>85</v>
      </c>
      <c r="P36" s="13">
        <f t="shared" si="11"/>
        <v>59</v>
      </c>
      <c r="Q36" s="13">
        <f t="shared" si="11"/>
        <v>92</v>
      </c>
      <c r="R36" s="13">
        <f t="shared" si="11"/>
        <v>54</v>
      </c>
      <c r="S36" s="13">
        <f t="shared" si="11"/>
        <v>89</v>
      </c>
      <c r="T36" s="13">
        <f t="shared" si="11"/>
        <v>63</v>
      </c>
      <c r="U36" s="13">
        <f t="shared" si="11"/>
        <v>58</v>
      </c>
      <c r="V36" s="13">
        <f t="shared" si="11"/>
        <v>51</v>
      </c>
      <c r="W36" s="13">
        <f t="shared" si="11"/>
        <v>76</v>
      </c>
      <c r="X36" s="13">
        <f t="shared" si="11"/>
        <v>67</v>
      </c>
      <c r="Y36" s="13">
        <f t="shared" si="11"/>
        <v>70</v>
      </c>
      <c r="Z36" s="13">
        <f t="shared" si="11"/>
        <v>57</v>
      </c>
      <c r="AA36" s="13">
        <f t="shared" si="11"/>
        <v>79</v>
      </c>
      <c r="AB36" s="13">
        <f t="shared" si="11"/>
        <v>81</v>
      </c>
      <c r="AC36" s="13">
        <f t="shared" si="11"/>
        <v>71</v>
      </c>
      <c r="AD36" s="13">
        <f t="shared" si="11"/>
        <v>71</v>
      </c>
      <c r="AE36" s="13">
        <f t="shared" si="11"/>
        <v>45</v>
      </c>
      <c r="AF36" s="13">
        <f t="shared" si="11"/>
        <v>59</v>
      </c>
      <c r="AG36" s="13">
        <f t="shared" si="11"/>
        <v>58</v>
      </c>
      <c r="AH36" s="13">
        <f t="shared" si="11"/>
        <v>65</v>
      </c>
      <c r="AI36" s="13">
        <f t="shared" si="11"/>
        <v>46</v>
      </c>
      <c r="AJ36" s="13">
        <f t="shared" si="11"/>
        <v>66</v>
      </c>
      <c r="AK36" s="13">
        <f t="shared" si="11"/>
        <v>53</v>
      </c>
      <c r="AL36" s="13">
        <f t="shared" si="10"/>
        <v>2209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9"/>
      <c r="W37" s="19"/>
      <c r="X37" s="19"/>
      <c r="Y37" s="19"/>
      <c r="Z37" s="59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1"/>
      <c r="N38" s="61"/>
      <c r="O38" s="61"/>
      <c r="P38" s="61"/>
      <c r="Q38" s="61"/>
      <c r="R38" s="61"/>
      <c r="S38" s="61"/>
      <c r="T38" s="13"/>
      <c r="U38" s="13"/>
      <c r="V38" s="13"/>
      <c r="W38" s="13"/>
      <c r="X38" s="13"/>
      <c r="Y38" s="13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2.0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2.0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3">
        <f t="shared" ref="AL39:AL41" si="12">SUM(E39:AK39)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1.0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K41" si="13">SUM(E39:E40)</f>
        <v>0</v>
      </c>
      <c r="F41" s="13">
        <f t="shared" si="13"/>
        <v>0</v>
      </c>
      <c r="G41" s="13">
        <f t="shared" si="13"/>
        <v>2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3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1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19"/>
      <c r="W42" s="19"/>
      <c r="X42" s="19"/>
      <c r="Y42" s="19"/>
      <c r="Z42" s="59"/>
      <c r="AA42" s="19"/>
      <c r="AB42" s="59"/>
      <c r="AC42" s="19"/>
      <c r="AD42" s="59"/>
      <c r="AE42" s="19"/>
      <c r="AF42" s="59"/>
      <c r="AG42" s="59"/>
      <c r="AH42" s="19"/>
      <c r="AI42" s="59"/>
      <c r="AJ42" s="19"/>
      <c r="AK42" s="59"/>
      <c r="A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61"/>
      <c r="N43" s="13"/>
      <c r="O43" s="61"/>
      <c r="P43" s="13"/>
      <c r="Q43" s="61"/>
      <c r="R43" s="13"/>
      <c r="S43" s="61"/>
      <c r="T43" s="13"/>
      <c r="U43" s="13"/>
      <c r="V43" s="13"/>
      <c r="W43" s="13"/>
      <c r="X43" s="13"/>
      <c r="Y43" s="13"/>
      <c r="Z43" s="61"/>
      <c r="AA43" s="13"/>
      <c r="AB43" s="61"/>
      <c r="AC43" s="13"/>
      <c r="AD43" s="61"/>
      <c r="AE43" s="13"/>
      <c r="AF43" s="61"/>
      <c r="AG43" s="61"/>
      <c r="AH43" s="13"/>
      <c r="AI43" s="61"/>
      <c r="AJ43" s="13"/>
      <c r="AK43" s="61"/>
      <c r="A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59"/>
      <c r="N44" s="19"/>
      <c r="O44" s="59"/>
      <c r="P44" s="19"/>
      <c r="Q44" s="59"/>
      <c r="R44" s="19"/>
      <c r="S44" s="59"/>
      <c r="T44" s="19"/>
      <c r="U44" s="19"/>
      <c r="V44" s="19"/>
      <c r="W44" s="19"/>
      <c r="X44" s="19"/>
      <c r="Y44" s="19"/>
      <c r="Z44" s="59"/>
      <c r="AA44" s="19"/>
      <c r="AB44" s="59"/>
      <c r="AC44" s="19"/>
      <c r="AD44" s="59"/>
      <c r="AE44" s="19"/>
      <c r="AF44" s="59"/>
      <c r="AG44" s="59"/>
      <c r="AH44" s="19"/>
      <c r="AI44" s="59"/>
      <c r="AJ44" s="19"/>
      <c r="AK44" s="59"/>
      <c r="AL44" s="13"/>
    </row>
    <row r="45" ht="12.75" customHeight="1">
      <c r="A45" s="63"/>
      <c r="B45" s="47">
        <v>1.0</v>
      </c>
      <c r="C45" s="48" t="s">
        <v>37</v>
      </c>
      <c r="D45" s="16"/>
      <c r="E45" s="19">
        <v>26.0</v>
      </c>
      <c r="F45" s="19">
        <v>27.0</v>
      </c>
      <c r="G45" s="19">
        <v>17.0</v>
      </c>
      <c r="H45" s="19">
        <v>22.0</v>
      </c>
      <c r="I45" s="19">
        <v>11.0</v>
      </c>
      <c r="J45" s="19">
        <v>16.0</v>
      </c>
      <c r="K45" s="19">
        <v>19.0</v>
      </c>
      <c r="L45" s="19">
        <v>17.0</v>
      </c>
      <c r="M45" s="19">
        <v>13.0</v>
      </c>
      <c r="N45" s="19">
        <v>11.0</v>
      </c>
      <c r="O45" s="19">
        <v>18.0</v>
      </c>
      <c r="P45" s="19">
        <v>12.0</v>
      </c>
      <c r="Q45" s="19">
        <v>12.0</v>
      </c>
      <c r="R45" s="19">
        <v>12.0</v>
      </c>
      <c r="S45" s="19">
        <v>30.0</v>
      </c>
      <c r="T45" s="19">
        <v>28.0</v>
      </c>
      <c r="U45" s="19">
        <v>16.0</v>
      </c>
      <c r="V45" s="19">
        <v>16.0</v>
      </c>
      <c r="W45" s="19">
        <v>17.0</v>
      </c>
      <c r="X45" s="19">
        <v>8.0</v>
      </c>
      <c r="Y45" s="19">
        <v>18.0</v>
      </c>
      <c r="Z45" s="19">
        <v>8.0</v>
      </c>
      <c r="AA45" s="19">
        <v>12.0</v>
      </c>
      <c r="AB45" s="19">
        <v>20.0</v>
      </c>
      <c r="AC45" s="19">
        <v>12.0</v>
      </c>
      <c r="AD45" s="19">
        <v>16.0</v>
      </c>
      <c r="AE45" s="19">
        <v>22.0</v>
      </c>
      <c r="AF45" s="19">
        <v>5.0</v>
      </c>
      <c r="AG45" s="19">
        <v>18.0</v>
      </c>
      <c r="AH45" s="19">
        <v>9.0</v>
      </c>
      <c r="AI45" s="19">
        <v>10.0</v>
      </c>
      <c r="AJ45" s="19">
        <v>11.0</v>
      </c>
      <c r="AK45" s="19">
        <v>21.0</v>
      </c>
      <c r="AL45" s="13">
        <f t="shared" ref="AL45:AL47" si="14">SUM(E45:AK45)</f>
        <v>530</v>
      </c>
    </row>
    <row r="46" ht="12.75" customHeight="1">
      <c r="A46" s="18"/>
      <c r="B46" s="47">
        <v>2.0</v>
      </c>
      <c r="C46" s="48" t="s">
        <v>38</v>
      </c>
      <c r="D46" s="16"/>
      <c r="E46" s="19">
        <v>126.0</v>
      </c>
      <c r="F46" s="19">
        <v>139.0</v>
      </c>
      <c r="G46" s="19">
        <v>185.0</v>
      </c>
      <c r="H46" s="19">
        <v>168.0</v>
      </c>
      <c r="I46" s="19">
        <v>113.0</v>
      </c>
      <c r="J46" s="19">
        <v>133.0</v>
      </c>
      <c r="K46" s="19">
        <v>122.0</v>
      </c>
      <c r="L46" s="19">
        <v>140.0</v>
      </c>
      <c r="M46" s="19">
        <v>155.0</v>
      </c>
      <c r="N46" s="19">
        <v>190.0</v>
      </c>
      <c r="O46" s="19">
        <v>110.0</v>
      </c>
      <c r="P46" s="19">
        <v>148.0</v>
      </c>
      <c r="Q46" s="19">
        <v>125.0</v>
      </c>
      <c r="R46" s="19">
        <v>124.0</v>
      </c>
      <c r="S46" s="19">
        <v>142.0</v>
      </c>
      <c r="T46" s="19">
        <v>119.0</v>
      </c>
      <c r="U46" s="19">
        <v>143.0</v>
      </c>
      <c r="V46" s="19">
        <v>114.0</v>
      </c>
      <c r="W46" s="19">
        <v>113.0</v>
      </c>
      <c r="X46" s="19">
        <v>91.0</v>
      </c>
      <c r="Y46" s="19">
        <v>107.0</v>
      </c>
      <c r="Z46" s="19">
        <v>104.0</v>
      </c>
      <c r="AA46" s="19">
        <v>138.0</v>
      </c>
      <c r="AB46" s="19">
        <v>145.0</v>
      </c>
      <c r="AC46" s="19">
        <v>154.0</v>
      </c>
      <c r="AD46" s="19">
        <v>139.0</v>
      </c>
      <c r="AE46" s="19">
        <v>176.0</v>
      </c>
      <c r="AF46" s="19">
        <v>172.0</v>
      </c>
      <c r="AG46" s="19">
        <v>142.0</v>
      </c>
      <c r="AH46" s="19">
        <v>155.0</v>
      </c>
      <c r="AI46" s="19">
        <v>163.0</v>
      </c>
      <c r="AJ46" s="19">
        <v>159.0</v>
      </c>
      <c r="AK46" s="19">
        <v>140.0</v>
      </c>
      <c r="AL46" s="13">
        <f t="shared" si="14"/>
        <v>4594</v>
      </c>
    </row>
    <row r="47" ht="12.75" customHeight="1">
      <c r="A47" s="45"/>
      <c r="B47" s="47">
        <v>3.0</v>
      </c>
      <c r="C47" s="48" t="s">
        <v>39</v>
      </c>
      <c r="D47" s="16"/>
      <c r="E47" s="19">
        <v>47.0</v>
      </c>
      <c r="F47" s="19">
        <v>32.0</v>
      </c>
      <c r="G47" s="19">
        <v>43.0</v>
      </c>
      <c r="H47" s="19">
        <v>59.0</v>
      </c>
      <c r="I47" s="19">
        <v>40.0</v>
      </c>
      <c r="J47" s="19">
        <v>57.0</v>
      </c>
      <c r="K47" s="19">
        <v>45.0</v>
      </c>
      <c r="L47" s="19">
        <v>39.0</v>
      </c>
      <c r="M47" s="19">
        <v>22.0</v>
      </c>
      <c r="N47" s="19">
        <v>21.0</v>
      </c>
      <c r="O47" s="19">
        <v>31.0</v>
      </c>
      <c r="P47" s="19">
        <v>56.0</v>
      </c>
      <c r="Q47" s="19">
        <v>34.0</v>
      </c>
      <c r="R47" s="19">
        <v>65.0</v>
      </c>
      <c r="S47" s="19">
        <v>25.0</v>
      </c>
      <c r="T47" s="19">
        <v>38.0</v>
      </c>
      <c r="U47" s="19">
        <v>51.0</v>
      </c>
      <c r="V47" s="19">
        <v>75.0</v>
      </c>
      <c r="W47" s="19">
        <v>64.0</v>
      </c>
      <c r="X47" s="19">
        <v>100.0</v>
      </c>
      <c r="Y47" s="19">
        <v>81.0</v>
      </c>
      <c r="Z47" s="19">
        <v>97.0</v>
      </c>
      <c r="AA47" s="19">
        <v>63.0</v>
      </c>
      <c r="AB47" s="19">
        <v>43.0</v>
      </c>
      <c r="AC47" s="19">
        <v>48.0</v>
      </c>
      <c r="AD47" s="19">
        <v>70.0</v>
      </c>
      <c r="AE47" s="19">
        <v>34.0</v>
      </c>
      <c r="AF47" s="19">
        <v>44.0</v>
      </c>
      <c r="AG47" s="19">
        <v>54.0</v>
      </c>
      <c r="AH47" s="19">
        <v>47.0</v>
      </c>
      <c r="AI47" s="19">
        <v>50.0</v>
      </c>
      <c r="AJ47" s="19">
        <v>49.0</v>
      </c>
      <c r="AK47" s="19">
        <v>56.0</v>
      </c>
      <c r="AL47" s="13">
        <f t="shared" si="14"/>
        <v>1680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61"/>
      <c r="N49" s="61"/>
      <c r="O49" s="61"/>
      <c r="P49" s="61"/>
      <c r="Q49" s="61"/>
      <c r="R49" s="61"/>
      <c r="S49" s="61"/>
      <c r="T49" s="13"/>
      <c r="U49" s="13"/>
      <c r="V49" s="13"/>
      <c r="W49" s="13"/>
      <c r="X49" s="13"/>
      <c r="Y49" s="13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K50" si="15">SUM(E45:E47)</f>
        <v>199</v>
      </c>
      <c r="F50" s="19">
        <f t="shared" si="15"/>
        <v>198</v>
      </c>
      <c r="G50" s="19">
        <f t="shared" si="15"/>
        <v>245</v>
      </c>
      <c r="H50" s="19">
        <f t="shared" si="15"/>
        <v>249</v>
      </c>
      <c r="I50" s="19">
        <f t="shared" si="15"/>
        <v>164</v>
      </c>
      <c r="J50" s="19">
        <f t="shared" si="15"/>
        <v>206</v>
      </c>
      <c r="K50" s="19">
        <f t="shared" si="15"/>
        <v>186</v>
      </c>
      <c r="L50" s="19">
        <f t="shared" si="15"/>
        <v>196</v>
      </c>
      <c r="M50" s="19">
        <f t="shared" si="15"/>
        <v>190</v>
      </c>
      <c r="N50" s="19">
        <f t="shared" si="15"/>
        <v>222</v>
      </c>
      <c r="O50" s="19">
        <f t="shared" si="15"/>
        <v>159</v>
      </c>
      <c r="P50" s="19">
        <f t="shared" si="15"/>
        <v>216</v>
      </c>
      <c r="Q50" s="19">
        <f t="shared" si="15"/>
        <v>171</v>
      </c>
      <c r="R50" s="19">
        <f t="shared" si="15"/>
        <v>201</v>
      </c>
      <c r="S50" s="19">
        <f t="shared" si="15"/>
        <v>197</v>
      </c>
      <c r="T50" s="19">
        <f t="shared" si="15"/>
        <v>185</v>
      </c>
      <c r="U50" s="19">
        <f t="shared" si="15"/>
        <v>210</v>
      </c>
      <c r="V50" s="19">
        <f t="shared" si="15"/>
        <v>205</v>
      </c>
      <c r="W50" s="19">
        <f t="shared" si="15"/>
        <v>194</v>
      </c>
      <c r="X50" s="19">
        <f t="shared" si="15"/>
        <v>199</v>
      </c>
      <c r="Y50" s="19">
        <f t="shared" si="15"/>
        <v>206</v>
      </c>
      <c r="Z50" s="19">
        <f t="shared" si="15"/>
        <v>209</v>
      </c>
      <c r="AA50" s="19">
        <f t="shared" si="15"/>
        <v>213</v>
      </c>
      <c r="AB50" s="19">
        <f t="shared" si="15"/>
        <v>208</v>
      </c>
      <c r="AC50" s="19">
        <f t="shared" si="15"/>
        <v>214</v>
      </c>
      <c r="AD50" s="19">
        <f t="shared" si="15"/>
        <v>225</v>
      </c>
      <c r="AE50" s="19">
        <f t="shared" si="15"/>
        <v>232</v>
      </c>
      <c r="AF50" s="19">
        <f t="shared" si="15"/>
        <v>221</v>
      </c>
      <c r="AG50" s="19">
        <f t="shared" si="15"/>
        <v>214</v>
      </c>
      <c r="AH50" s="19">
        <f t="shared" si="15"/>
        <v>211</v>
      </c>
      <c r="AI50" s="19">
        <f t="shared" si="15"/>
        <v>223</v>
      </c>
      <c r="AJ50" s="19">
        <f t="shared" si="15"/>
        <v>219</v>
      </c>
      <c r="AK50" s="19">
        <f t="shared" si="15"/>
        <v>217</v>
      </c>
      <c r="AL50" s="13">
        <f t="shared" ref="AL50:AL52" si="16">SUM(E50:AK50)</f>
        <v>6804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3.0</v>
      </c>
      <c r="F51" s="19">
        <v>0.0</v>
      </c>
      <c r="G51" s="19">
        <v>1.0</v>
      </c>
      <c r="H51" s="19">
        <v>6.0</v>
      </c>
      <c r="I51" s="19">
        <v>4.0</v>
      </c>
      <c r="J51" s="19">
        <v>2.0</v>
      </c>
      <c r="K51" s="19">
        <v>1.0</v>
      </c>
      <c r="L51" s="19">
        <v>5.0</v>
      </c>
      <c r="M51" s="19">
        <v>3.0</v>
      </c>
      <c r="N51" s="19">
        <v>5.0</v>
      </c>
      <c r="O51" s="19">
        <v>2.0</v>
      </c>
      <c r="P51" s="19">
        <v>5.0</v>
      </c>
      <c r="Q51" s="19">
        <v>2.0</v>
      </c>
      <c r="R51" s="19">
        <v>4.0</v>
      </c>
      <c r="S51" s="19">
        <v>4.0</v>
      </c>
      <c r="T51" s="19">
        <v>5.0</v>
      </c>
      <c r="U51" s="19">
        <v>6.0</v>
      </c>
      <c r="V51" s="19">
        <v>0.0</v>
      </c>
      <c r="W51" s="19">
        <v>5.0</v>
      </c>
      <c r="X51" s="19">
        <v>11.0</v>
      </c>
      <c r="Y51" s="19">
        <v>2.0</v>
      </c>
      <c r="Z51" s="19">
        <v>2.0</v>
      </c>
      <c r="AA51" s="19">
        <v>7.0</v>
      </c>
      <c r="AB51" s="19">
        <v>9.0</v>
      </c>
      <c r="AC51" s="19">
        <v>5.0</v>
      </c>
      <c r="AD51" s="19">
        <v>2.0</v>
      </c>
      <c r="AE51" s="19">
        <v>5.0</v>
      </c>
      <c r="AF51" s="19">
        <v>5.0</v>
      </c>
      <c r="AG51" s="19">
        <v>5.0</v>
      </c>
      <c r="AH51" s="19">
        <v>1.0</v>
      </c>
      <c r="AI51" s="19">
        <v>2.0</v>
      </c>
      <c r="AJ51" s="19">
        <v>2.0</v>
      </c>
      <c r="AK51" s="19">
        <v>2.0</v>
      </c>
      <c r="AL51" s="13">
        <f t="shared" si="16"/>
        <v>123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K52" si="17">SUM(E50:E51)</f>
        <v>202</v>
      </c>
      <c r="F52" s="13">
        <f t="shared" si="17"/>
        <v>198</v>
      </c>
      <c r="G52" s="13">
        <f t="shared" si="17"/>
        <v>246</v>
      </c>
      <c r="H52" s="13">
        <f t="shared" si="17"/>
        <v>255</v>
      </c>
      <c r="I52" s="13">
        <f t="shared" si="17"/>
        <v>168</v>
      </c>
      <c r="J52" s="13">
        <f t="shared" si="17"/>
        <v>208</v>
      </c>
      <c r="K52" s="13">
        <f t="shared" si="17"/>
        <v>187</v>
      </c>
      <c r="L52" s="13">
        <f t="shared" si="17"/>
        <v>201</v>
      </c>
      <c r="M52" s="13">
        <f t="shared" si="17"/>
        <v>193</v>
      </c>
      <c r="N52" s="13">
        <f t="shared" si="17"/>
        <v>227</v>
      </c>
      <c r="O52" s="13">
        <f t="shared" si="17"/>
        <v>161</v>
      </c>
      <c r="P52" s="13">
        <f t="shared" si="17"/>
        <v>221</v>
      </c>
      <c r="Q52" s="13">
        <f t="shared" si="17"/>
        <v>173</v>
      </c>
      <c r="R52" s="13">
        <f t="shared" si="17"/>
        <v>205</v>
      </c>
      <c r="S52" s="13">
        <f t="shared" si="17"/>
        <v>201</v>
      </c>
      <c r="T52" s="13">
        <f t="shared" si="17"/>
        <v>190</v>
      </c>
      <c r="U52" s="13">
        <f t="shared" si="17"/>
        <v>216</v>
      </c>
      <c r="V52" s="13">
        <f t="shared" si="17"/>
        <v>205</v>
      </c>
      <c r="W52" s="13">
        <f t="shared" si="17"/>
        <v>199</v>
      </c>
      <c r="X52" s="13">
        <f t="shared" si="17"/>
        <v>210</v>
      </c>
      <c r="Y52" s="13">
        <f t="shared" si="17"/>
        <v>208</v>
      </c>
      <c r="Z52" s="13">
        <f t="shared" si="17"/>
        <v>211</v>
      </c>
      <c r="AA52" s="13">
        <f t="shared" si="17"/>
        <v>220</v>
      </c>
      <c r="AB52" s="13">
        <f t="shared" si="17"/>
        <v>217</v>
      </c>
      <c r="AC52" s="13">
        <f t="shared" si="17"/>
        <v>219</v>
      </c>
      <c r="AD52" s="13">
        <f t="shared" si="17"/>
        <v>227</v>
      </c>
      <c r="AE52" s="13">
        <f t="shared" si="17"/>
        <v>237</v>
      </c>
      <c r="AF52" s="13">
        <f t="shared" si="17"/>
        <v>226</v>
      </c>
      <c r="AG52" s="13">
        <f t="shared" si="17"/>
        <v>219</v>
      </c>
      <c r="AH52" s="13">
        <f t="shared" si="17"/>
        <v>212</v>
      </c>
      <c r="AI52" s="13">
        <f t="shared" si="17"/>
        <v>225</v>
      </c>
      <c r="AJ52" s="13">
        <f t="shared" si="17"/>
        <v>221</v>
      </c>
      <c r="AK52" s="13">
        <f t="shared" si="17"/>
        <v>219</v>
      </c>
      <c r="AL52" s="13">
        <f t="shared" si="16"/>
        <v>6927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U42"/>
    <mergeCell ref="B43:D43"/>
    <mergeCell ref="A44:D44"/>
    <mergeCell ref="C45:D45"/>
  </mergeCells>
  <conditionalFormatting sqref="E14:AK15 E45:AK47">
    <cfRule type="containsBlanks" dxfId="1" priority="1">
      <formula>LEN(TRIM(E14))=0</formula>
    </cfRule>
  </conditionalFormatting>
  <conditionalFormatting sqref="E19:AK20">
    <cfRule type="containsBlanks" dxfId="1" priority="2">
      <formula>LEN(TRIM(E19))=0</formula>
    </cfRule>
  </conditionalFormatting>
  <conditionalFormatting sqref="E22:AK23 E25:AK26 E33:AK33 E35:AK35 E39:AK40">
    <cfRule type="containsBlanks" dxfId="1" priority="3">
      <formula>LEN(TRIM(E22))=0</formula>
    </cfRule>
  </conditionalFormatting>
  <conditionalFormatting sqref="E30:AK30">
    <cfRule type="expression" dxfId="0" priority="4">
      <formula>E30&lt;&gt;E46</formula>
    </cfRule>
  </conditionalFormatting>
  <conditionalFormatting sqref="E30:AK30">
    <cfRule type="expression" dxfId="0" priority="5">
      <formula>E30&lt;&gt;E34</formula>
    </cfRule>
  </conditionalFormatting>
  <conditionalFormatting sqref="E34:AK34">
    <cfRule type="expression" dxfId="2" priority="6">
      <formula>E30&lt;&gt;E34</formula>
    </cfRule>
  </conditionalFormatting>
  <conditionalFormatting sqref="E34:AK34">
    <cfRule type="expression" dxfId="3" priority="7">
      <formula>E30=E34</formula>
    </cfRule>
  </conditionalFormatting>
  <conditionalFormatting sqref="E34:AK34">
    <cfRule type="expression" dxfId="0" priority="8">
      <formula>E34&lt;&gt;E30</formula>
    </cfRule>
  </conditionalFormatting>
  <conditionalFormatting sqref="E34:AK34">
    <cfRule type="expression" dxfId="0" priority="9">
      <formula>E34&lt;&gt;#REF!</formula>
    </cfRule>
  </conditionalFormatting>
  <conditionalFormatting sqref="E50:AK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152.0</v>
      </c>
      <c r="G14" s="19">
        <v>135.0</v>
      </c>
      <c r="H14" s="19">
        <v>160.0</v>
      </c>
      <c r="I14" s="19">
        <v>142.0</v>
      </c>
      <c r="J14" s="19">
        <v>143.0</v>
      </c>
      <c r="K14" s="19">
        <v>128.0</v>
      </c>
      <c r="L14" s="19">
        <v>122.0</v>
      </c>
      <c r="M14" s="19">
        <v>107.0</v>
      </c>
      <c r="N14" s="19">
        <v>132.0</v>
      </c>
      <c r="O14" s="19">
        <v>142.0</v>
      </c>
      <c r="P14" s="19">
        <v>144.0</v>
      </c>
      <c r="Q14" s="13">
        <f t="shared" ref="Q14:Q16" si="1">SUM(E14:P14)</f>
        <v>1644</v>
      </c>
    </row>
    <row r="15" ht="12.75" customHeight="1">
      <c r="A15" s="18"/>
      <c r="B15" s="26"/>
      <c r="C15" s="27"/>
      <c r="D15" s="19" t="s">
        <v>13</v>
      </c>
      <c r="E15" s="19">
        <v>149.0</v>
      </c>
      <c r="F15" s="19">
        <v>144.0</v>
      </c>
      <c r="G15" s="19">
        <v>156.0</v>
      </c>
      <c r="H15" s="19">
        <v>137.0</v>
      </c>
      <c r="I15" s="19">
        <v>149.0</v>
      </c>
      <c r="J15" s="19">
        <v>143.0</v>
      </c>
      <c r="K15" s="19">
        <v>117.0</v>
      </c>
      <c r="L15" s="19">
        <v>122.0</v>
      </c>
      <c r="M15" s="19">
        <v>98.0</v>
      </c>
      <c r="N15" s="19">
        <v>124.0</v>
      </c>
      <c r="O15" s="19">
        <v>147.0</v>
      </c>
      <c r="P15" s="19">
        <v>150.0</v>
      </c>
      <c r="Q15" s="13">
        <f t="shared" si="1"/>
        <v>1636</v>
      </c>
    </row>
    <row r="16" ht="12.75" customHeight="1">
      <c r="A16" s="25"/>
      <c r="B16" s="21"/>
      <c r="C16" s="28"/>
      <c r="D16" s="13" t="s">
        <v>14</v>
      </c>
      <c r="E16" s="13">
        <v>286.0</v>
      </c>
      <c r="F16" s="13">
        <v>296.0</v>
      </c>
      <c r="G16" s="13">
        <v>291.0</v>
      </c>
      <c r="H16" s="13">
        <v>297.0</v>
      </c>
      <c r="I16" s="13">
        <v>291.0</v>
      </c>
      <c r="J16" s="13">
        <v>286.0</v>
      </c>
      <c r="K16" s="13">
        <v>245.0</v>
      </c>
      <c r="L16" s="13">
        <v>244.0</v>
      </c>
      <c r="M16" s="13">
        <v>205.0</v>
      </c>
      <c r="N16" s="13">
        <v>256.0</v>
      </c>
      <c r="O16" s="13">
        <v>289.0</v>
      </c>
      <c r="P16" s="13">
        <v>294.0</v>
      </c>
      <c r="Q16" s="13">
        <f t="shared" si="1"/>
        <v>3280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81.0</v>
      </c>
      <c r="F19" s="19">
        <v>107.0</v>
      </c>
      <c r="G19" s="19">
        <v>100.0</v>
      </c>
      <c r="H19" s="19">
        <v>113.0</v>
      </c>
      <c r="I19" s="19">
        <v>121.0</v>
      </c>
      <c r="J19" s="19">
        <v>113.0</v>
      </c>
      <c r="K19" s="19">
        <v>103.0</v>
      </c>
      <c r="L19" s="19">
        <v>97.0</v>
      </c>
      <c r="M19" s="19">
        <v>75.0</v>
      </c>
      <c r="N19" s="19">
        <v>114.0</v>
      </c>
      <c r="O19" s="19">
        <v>116.0</v>
      </c>
      <c r="P19" s="19">
        <v>112.0</v>
      </c>
      <c r="Q19" s="13">
        <f t="shared" ref="Q19:Q30" si="2">SUM(E19:P19)</f>
        <v>1252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117.0</v>
      </c>
      <c r="G20" s="19">
        <v>124.0</v>
      </c>
      <c r="H20" s="19">
        <v>127.0</v>
      </c>
      <c r="I20" s="19">
        <v>121.0</v>
      </c>
      <c r="J20" s="19">
        <v>117.0</v>
      </c>
      <c r="K20" s="19">
        <v>94.0</v>
      </c>
      <c r="L20" s="19">
        <v>95.0</v>
      </c>
      <c r="M20" s="19">
        <v>71.0</v>
      </c>
      <c r="N20" s="19">
        <v>87.0</v>
      </c>
      <c r="O20" s="19">
        <v>127.0</v>
      </c>
      <c r="P20" s="19">
        <v>123.0</v>
      </c>
      <c r="Q20" s="13">
        <f t="shared" si="2"/>
        <v>1315</v>
      </c>
    </row>
    <row r="21" ht="12.75" customHeight="1">
      <c r="A21" s="35"/>
      <c r="B21" s="28"/>
      <c r="C21" s="36"/>
      <c r="D21" s="13" t="s">
        <v>14</v>
      </c>
      <c r="E21" s="13">
        <v>193.0</v>
      </c>
      <c r="F21" s="13">
        <v>224.0</v>
      </c>
      <c r="G21" s="13">
        <v>224.0</v>
      </c>
      <c r="H21" s="13">
        <v>240.0</v>
      </c>
      <c r="I21" s="13">
        <v>242.0</v>
      </c>
      <c r="J21" s="13">
        <v>230.0</v>
      </c>
      <c r="K21" s="13">
        <v>197.0</v>
      </c>
      <c r="L21" s="13">
        <v>192.0</v>
      </c>
      <c r="M21" s="13">
        <v>146.0</v>
      </c>
      <c r="N21" s="13">
        <v>201.0</v>
      </c>
      <c r="O21" s="13">
        <v>243.0</v>
      </c>
      <c r="P21" s="13">
        <v>235.0</v>
      </c>
      <c r="Q21" s="13">
        <f t="shared" si="2"/>
        <v>2567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3">
        <f t="shared" si="2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3">
        <f t="shared" si="2"/>
        <v>4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3.0</v>
      </c>
      <c r="G24" s="13">
        <v>0.0</v>
      </c>
      <c r="H24" s="13">
        <v>0.0</v>
      </c>
      <c r="I24" s="13">
        <v>1.0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1.0</v>
      </c>
      <c r="Q24" s="13">
        <f t="shared" si="2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0.0</v>
      </c>
      <c r="I25" s="19">
        <v>1.0</v>
      </c>
      <c r="J25" s="19">
        <v>1.0</v>
      </c>
      <c r="K25" s="19">
        <v>1.0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3">
        <f t="shared" si="2"/>
        <v>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2.0</v>
      </c>
      <c r="H26" s="19">
        <v>0.0</v>
      </c>
      <c r="I26" s="19">
        <v>2.0</v>
      </c>
      <c r="J26" s="19">
        <v>3.0</v>
      </c>
      <c r="K26" s="19">
        <v>2.0</v>
      </c>
      <c r="L26" s="19">
        <v>0.0</v>
      </c>
      <c r="M26" s="19">
        <v>2.0</v>
      </c>
      <c r="N26" s="19">
        <v>0.0</v>
      </c>
      <c r="O26" s="19">
        <v>0.0</v>
      </c>
      <c r="P26" s="19">
        <v>0.0</v>
      </c>
      <c r="Q26" s="13">
        <f t="shared" si="2"/>
        <v>14</v>
      </c>
    </row>
    <row r="27" ht="12.75" customHeight="1">
      <c r="A27" s="35"/>
      <c r="B27" s="28"/>
      <c r="C27" s="36"/>
      <c r="D27" s="13" t="s">
        <v>14</v>
      </c>
      <c r="E27" s="13">
        <v>3.0</v>
      </c>
      <c r="F27" s="13">
        <v>2.0</v>
      </c>
      <c r="G27" s="13">
        <v>2.0</v>
      </c>
      <c r="H27" s="13">
        <v>0.0</v>
      </c>
      <c r="I27" s="13">
        <v>3.0</v>
      </c>
      <c r="J27" s="13">
        <v>4.0</v>
      </c>
      <c r="K27" s="13">
        <v>3.0</v>
      </c>
      <c r="L27" s="13">
        <v>0.0</v>
      </c>
      <c r="M27" s="13">
        <v>3.0</v>
      </c>
      <c r="N27" s="13">
        <v>0.0</v>
      </c>
      <c r="O27" s="13">
        <v>0.0</v>
      </c>
      <c r="P27" s="13">
        <v>0.0</v>
      </c>
      <c r="Q27" s="13">
        <f t="shared" si="2"/>
        <v>20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82.0</v>
      </c>
      <c r="F28" s="13">
        <v>109.0</v>
      </c>
      <c r="G28" s="13">
        <v>100.0</v>
      </c>
      <c r="H28" s="13">
        <v>113.0</v>
      </c>
      <c r="I28" s="13">
        <v>122.0</v>
      </c>
      <c r="J28" s="13">
        <v>114.0</v>
      </c>
      <c r="K28" s="13">
        <v>104.0</v>
      </c>
      <c r="L28" s="13">
        <v>97.0</v>
      </c>
      <c r="M28" s="13">
        <v>76.0</v>
      </c>
      <c r="N28" s="13">
        <v>114.0</v>
      </c>
      <c r="O28" s="13">
        <v>116.0</v>
      </c>
      <c r="P28" s="13">
        <v>112.0</v>
      </c>
      <c r="Q28" s="13">
        <f t="shared" si="2"/>
        <v>1259</v>
      </c>
    </row>
    <row r="29" ht="12.75" customHeight="1">
      <c r="A29" s="35"/>
      <c r="B29" s="27"/>
      <c r="C29" s="34"/>
      <c r="D29" s="13" t="s">
        <v>13</v>
      </c>
      <c r="E29" s="13">
        <v>114.0</v>
      </c>
      <c r="F29" s="13">
        <v>120.0</v>
      </c>
      <c r="G29" s="13">
        <v>126.0</v>
      </c>
      <c r="H29" s="13">
        <v>127.0</v>
      </c>
      <c r="I29" s="13">
        <v>124.0</v>
      </c>
      <c r="J29" s="13">
        <v>120.0</v>
      </c>
      <c r="K29" s="13">
        <v>96.0</v>
      </c>
      <c r="L29" s="13">
        <v>95.0</v>
      </c>
      <c r="M29" s="13">
        <v>73.0</v>
      </c>
      <c r="N29" s="13">
        <v>87.0</v>
      </c>
      <c r="O29" s="13">
        <v>127.0</v>
      </c>
      <c r="P29" s="13">
        <v>124.0</v>
      </c>
      <c r="Q29" s="13">
        <f t="shared" si="2"/>
        <v>1333</v>
      </c>
    </row>
    <row r="30" ht="12.75" customHeight="1">
      <c r="A30" s="35"/>
      <c r="B30" s="28"/>
      <c r="C30" s="36"/>
      <c r="D30" s="13" t="s">
        <v>14</v>
      </c>
      <c r="E30" s="13">
        <v>196.0</v>
      </c>
      <c r="F30" s="13">
        <v>229.0</v>
      </c>
      <c r="G30" s="13">
        <v>226.0</v>
      </c>
      <c r="H30" s="13">
        <v>240.0</v>
      </c>
      <c r="I30" s="13">
        <v>246.0</v>
      </c>
      <c r="J30" s="13">
        <v>234.0</v>
      </c>
      <c r="K30" s="13">
        <v>200.0</v>
      </c>
      <c r="L30" s="13">
        <v>192.0</v>
      </c>
      <c r="M30" s="13">
        <v>149.0</v>
      </c>
      <c r="N30" s="13">
        <v>201.0</v>
      </c>
      <c r="O30" s="13">
        <v>243.0</v>
      </c>
      <c r="P30" s="13">
        <v>236.0</v>
      </c>
      <c r="Q30" s="13">
        <f t="shared" si="2"/>
        <v>2592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0"/>
    </row>
    <row r="33" ht="12.75" customHeight="1">
      <c r="A33" s="19">
        <v>1.0</v>
      </c>
      <c r="B33" s="20" t="s">
        <v>27</v>
      </c>
      <c r="C33" s="15"/>
      <c r="D33" s="16"/>
      <c r="E33" s="19">
        <v>292.0</v>
      </c>
      <c r="F33" s="19">
        <v>302.0</v>
      </c>
      <c r="G33" s="19">
        <v>297.0</v>
      </c>
      <c r="H33" s="19">
        <v>303.0</v>
      </c>
      <c r="I33" s="19">
        <v>297.0</v>
      </c>
      <c r="J33" s="19">
        <v>292.0</v>
      </c>
      <c r="K33" s="19">
        <v>251.0</v>
      </c>
      <c r="L33" s="19">
        <v>249.0</v>
      </c>
      <c r="M33" s="19">
        <v>211.0</v>
      </c>
      <c r="N33" s="19">
        <v>264.0</v>
      </c>
      <c r="O33" s="19">
        <v>293.0</v>
      </c>
      <c r="P33" s="19">
        <v>300.0</v>
      </c>
      <c r="Q33" s="13">
        <f t="shared" ref="Q33:Q36" si="3">SUM(E33:P33)</f>
        <v>3351</v>
      </c>
    </row>
    <row r="34" ht="12.75" customHeight="1">
      <c r="A34" s="19">
        <v>2.0</v>
      </c>
      <c r="B34" s="20" t="s">
        <v>28</v>
      </c>
      <c r="C34" s="15"/>
      <c r="D34" s="16"/>
      <c r="E34" s="13">
        <v>196.0</v>
      </c>
      <c r="F34" s="13">
        <v>229.0</v>
      </c>
      <c r="G34" s="13">
        <v>226.0</v>
      </c>
      <c r="H34" s="13">
        <v>240.0</v>
      </c>
      <c r="I34" s="13">
        <v>246.0</v>
      </c>
      <c r="J34" s="13">
        <v>234.0</v>
      </c>
      <c r="K34" s="13">
        <v>200.0</v>
      </c>
      <c r="L34" s="13">
        <v>192.0</v>
      </c>
      <c r="M34" s="13">
        <v>149.0</v>
      </c>
      <c r="N34" s="13">
        <v>201.0</v>
      </c>
      <c r="O34" s="13">
        <v>243.0</v>
      </c>
      <c r="P34" s="13">
        <v>236.0</v>
      </c>
      <c r="Q34" s="13">
        <f t="shared" si="3"/>
        <v>2592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2.0</v>
      </c>
      <c r="H35" s="19">
        <v>1.0</v>
      </c>
      <c r="I35" s="19">
        <v>0.0</v>
      </c>
      <c r="J35" s="19">
        <v>0.0</v>
      </c>
      <c r="K35" s="19">
        <v>2.0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3">
        <f t="shared" si="3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v>94.0</v>
      </c>
      <c r="F36" s="13">
        <v>73.0</v>
      </c>
      <c r="G36" s="13">
        <v>69.0</v>
      </c>
      <c r="H36" s="13">
        <v>62.0</v>
      </c>
      <c r="I36" s="13">
        <v>51.0</v>
      </c>
      <c r="J36" s="13">
        <v>58.0</v>
      </c>
      <c r="K36" s="13">
        <v>49.0</v>
      </c>
      <c r="L36" s="13">
        <v>57.0</v>
      </c>
      <c r="M36" s="13">
        <v>62.0</v>
      </c>
      <c r="N36" s="13">
        <v>63.0</v>
      </c>
      <c r="O36" s="13">
        <v>50.0</v>
      </c>
      <c r="P36" s="13">
        <v>64.0</v>
      </c>
      <c r="Q36" s="13">
        <f t="shared" si="3"/>
        <v>752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3">
        <f t="shared" ref="Q39:Q41" si="4">SUM(E39:P39)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3">
        <f t="shared" si="4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P41" si="5">SUM(E39:E40)</f>
        <v>0</v>
      </c>
      <c r="F41" s="13">
        <f t="shared" si="5"/>
        <v>0</v>
      </c>
      <c r="G41" s="13">
        <f t="shared" si="5"/>
        <v>0</v>
      </c>
      <c r="H41" s="13">
        <f t="shared" si="5"/>
        <v>0</v>
      </c>
      <c r="I41" s="13">
        <f t="shared" si="5"/>
        <v>0</v>
      </c>
      <c r="J41" s="13">
        <f t="shared" si="5"/>
        <v>0</v>
      </c>
      <c r="K41" s="13">
        <f t="shared" si="5"/>
        <v>0</v>
      </c>
      <c r="L41" s="13">
        <f t="shared" si="5"/>
        <v>0</v>
      </c>
      <c r="M41" s="13">
        <f t="shared" si="5"/>
        <v>0</v>
      </c>
      <c r="N41" s="13">
        <f t="shared" si="5"/>
        <v>0</v>
      </c>
      <c r="O41" s="13">
        <f t="shared" si="5"/>
        <v>0</v>
      </c>
      <c r="P41" s="13">
        <f t="shared" si="5"/>
        <v>0</v>
      </c>
      <c r="Q41" s="13">
        <f t="shared" si="4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3"/>
    </row>
    <row r="45" ht="12.75" customHeight="1">
      <c r="A45" s="63"/>
      <c r="B45" s="47">
        <v>1.0</v>
      </c>
      <c r="C45" s="48" t="s">
        <v>37</v>
      </c>
      <c r="D45" s="16"/>
      <c r="E45" s="19">
        <v>14.0</v>
      </c>
      <c r="F45" s="19">
        <v>20.0</v>
      </c>
      <c r="G45" s="19">
        <v>18.0</v>
      </c>
      <c r="H45" s="19">
        <v>7.0</v>
      </c>
      <c r="I45" s="19">
        <v>21.0</v>
      </c>
      <c r="J45" s="19">
        <v>18.0</v>
      </c>
      <c r="K45" s="19">
        <v>12.0</v>
      </c>
      <c r="L45" s="19">
        <v>8.0</v>
      </c>
      <c r="M45" s="19">
        <v>4.0</v>
      </c>
      <c r="N45" s="19">
        <v>12.0</v>
      </c>
      <c r="O45" s="19">
        <v>13.0</v>
      </c>
      <c r="P45" s="19">
        <v>47.0</v>
      </c>
      <c r="Q45" s="13">
        <v>11.0</v>
      </c>
    </row>
    <row r="46" ht="12.75" customHeight="1">
      <c r="A46" s="18"/>
      <c r="B46" s="47">
        <v>2.0</v>
      </c>
      <c r="C46" s="48" t="s">
        <v>38</v>
      </c>
      <c r="D46" s="16"/>
      <c r="E46" s="19">
        <v>159.0</v>
      </c>
      <c r="F46" s="19">
        <v>175.0</v>
      </c>
      <c r="G46" s="19">
        <v>167.0</v>
      </c>
      <c r="H46" s="19">
        <v>184.0</v>
      </c>
      <c r="I46" s="19">
        <v>184.0</v>
      </c>
      <c r="J46" s="19">
        <v>177.0</v>
      </c>
      <c r="K46" s="19">
        <v>171.0</v>
      </c>
      <c r="L46" s="19">
        <v>158.0</v>
      </c>
      <c r="M46" s="19">
        <v>121.0</v>
      </c>
      <c r="N46" s="19">
        <v>141.0</v>
      </c>
      <c r="O46" s="19">
        <v>186.0</v>
      </c>
      <c r="P46" s="19">
        <v>138.0</v>
      </c>
      <c r="Q46" s="13">
        <v>105.0</v>
      </c>
    </row>
    <row r="47" ht="12.75" customHeight="1">
      <c r="A47" s="45"/>
      <c r="B47" s="47">
        <v>3.0</v>
      </c>
      <c r="C47" s="48" t="s">
        <v>39</v>
      </c>
      <c r="D47" s="16"/>
      <c r="E47" s="19">
        <v>21.0</v>
      </c>
      <c r="F47" s="19">
        <v>32.0</v>
      </c>
      <c r="G47" s="19">
        <v>39.0</v>
      </c>
      <c r="H47" s="19">
        <v>48.0</v>
      </c>
      <c r="I47" s="19">
        <v>39.0</v>
      </c>
      <c r="J47" s="19">
        <v>37.0</v>
      </c>
      <c r="K47" s="19">
        <v>17.0</v>
      </c>
      <c r="L47" s="19">
        <v>24.0</v>
      </c>
      <c r="M47" s="19">
        <v>24.0</v>
      </c>
      <c r="N47" s="19">
        <v>47.0</v>
      </c>
      <c r="O47" s="19">
        <v>40.0</v>
      </c>
      <c r="P47" s="19">
        <v>49.0</v>
      </c>
      <c r="Q47" s="13">
        <v>32.0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P50" si="6">SUM(E45:E47)</f>
        <v>194</v>
      </c>
      <c r="F50" s="19">
        <f t="shared" si="6"/>
        <v>227</v>
      </c>
      <c r="G50" s="19">
        <f t="shared" si="6"/>
        <v>224</v>
      </c>
      <c r="H50" s="19">
        <f t="shared" si="6"/>
        <v>239</v>
      </c>
      <c r="I50" s="19">
        <f t="shared" si="6"/>
        <v>244</v>
      </c>
      <c r="J50" s="19">
        <f t="shared" si="6"/>
        <v>232</v>
      </c>
      <c r="K50" s="19">
        <f t="shared" si="6"/>
        <v>200</v>
      </c>
      <c r="L50" s="19">
        <f t="shared" si="6"/>
        <v>190</v>
      </c>
      <c r="M50" s="19">
        <f t="shared" si="6"/>
        <v>149</v>
      </c>
      <c r="N50" s="19">
        <f t="shared" si="6"/>
        <v>200</v>
      </c>
      <c r="O50" s="19">
        <f t="shared" si="6"/>
        <v>239</v>
      </c>
      <c r="P50" s="19">
        <f t="shared" si="6"/>
        <v>234</v>
      </c>
      <c r="Q50" s="13">
        <f t="shared" ref="Q50:Q52" si="7">SUM(E50:P50)</f>
        <v>2572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2.0</v>
      </c>
      <c r="F51" s="19">
        <v>2.0</v>
      </c>
      <c r="G51" s="19">
        <v>2.0</v>
      </c>
      <c r="H51" s="19">
        <v>1.0</v>
      </c>
      <c r="I51" s="19">
        <v>2.0</v>
      </c>
      <c r="J51" s="19">
        <v>2.0</v>
      </c>
      <c r="K51" s="19">
        <v>0.0</v>
      </c>
      <c r="L51" s="19">
        <v>2.0</v>
      </c>
      <c r="M51" s="19">
        <v>0.0</v>
      </c>
      <c r="N51" s="19">
        <v>1.0</v>
      </c>
      <c r="O51" s="19">
        <v>4.0</v>
      </c>
      <c r="P51" s="19">
        <v>2.0</v>
      </c>
      <c r="Q51" s="13">
        <f t="shared" si="7"/>
        <v>20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P52" si="8">SUM(E50:E51)</f>
        <v>196</v>
      </c>
      <c r="F52" s="13">
        <f t="shared" si="8"/>
        <v>229</v>
      </c>
      <c r="G52" s="13">
        <f t="shared" si="8"/>
        <v>226</v>
      </c>
      <c r="H52" s="13">
        <f t="shared" si="8"/>
        <v>240</v>
      </c>
      <c r="I52" s="13">
        <f t="shared" si="8"/>
        <v>246</v>
      </c>
      <c r="J52" s="13">
        <f t="shared" si="8"/>
        <v>234</v>
      </c>
      <c r="K52" s="13">
        <f t="shared" si="8"/>
        <v>200</v>
      </c>
      <c r="L52" s="13">
        <f t="shared" si="8"/>
        <v>192</v>
      </c>
      <c r="M52" s="13">
        <f t="shared" si="8"/>
        <v>149</v>
      </c>
      <c r="N52" s="13">
        <f t="shared" si="8"/>
        <v>201</v>
      </c>
      <c r="O52" s="13">
        <f t="shared" si="8"/>
        <v>243</v>
      </c>
      <c r="P52" s="13">
        <f t="shared" si="8"/>
        <v>236</v>
      </c>
      <c r="Q52" s="13">
        <f t="shared" si="7"/>
        <v>2592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P34">
    <cfRule type="expression" dxfId="0" priority="1">
      <formula>E34&lt;&gt;#REF!</formula>
    </cfRule>
  </conditionalFormatting>
  <conditionalFormatting sqref="E14:P15 E45:P47">
    <cfRule type="containsBlanks" dxfId="1" priority="2">
      <formula>LEN(TRIM(E14))=0</formula>
    </cfRule>
  </conditionalFormatting>
  <conditionalFormatting sqref="E19:P20">
    <cfRule type="containsBlanks" dxfId="1" priority="3">
      <formula>LEN(TRIM(E19))=0</formula>
    </cfRule>
  </conditionalFormatting>
  <conditionalFormatting sqref="E22:P23 E25:P26 E33:P33 E35:P35 E39:P40">
    <cfRule type="containsBlanks" dxfId="1" priority="4">
      <formula>LEN(TRIM(E22))=0</formula>
    </cfRule>
  </conditionalFormatting>
  <conditionalFormatting sqref="E30:P30">
    <cfRule type="expression" dxfId="0" priority="5">
      <formula>E30&lt;&gt;E46</formula>
    </cfRule>
  </conditionalFormatting>
  <conditionalFormatting sqref="E30:P30">
    <cfRule type="expression" dxfId="0" priority="6">
      <formula>E30&lt;&gt;E34</formula>
    </cfRule>
  </conditionalFormatting>
  <conditionalFormatting sqref="E34:P34">
    <cfRule type="expression" dxfId="2" priority="7">
      <formula>E30&lt;&gt;E34</formula>
    </cfRule>
  </conditionalFormatting>
  <conditionalFormatting sqref="E34:P34">
    <cfRule type="expression" dxfId="3" priority="8">
      <formula>E30=E34</formula>
    </cfRule>
  </conditionalFormatting>
  <conditionalFormatting sqref="E34:P34">
    <cfRule type="expression" dxfId="0" priority="9">
      <formula>E34&lt;&gt;E30</formula>
    </cfRule>
  </conditionalFormatting>
  <conditionalFormatting sqref="E50:P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141.0</v>
      </c>
      <c r="G14" s="19">
        <v>138.0</v>
      </c>
      <c r="H14" s="19">
        <v>130.0</v>
      </c>
      <c r="I14" s="19">
        <v>137.0</v>
      </c>
      <c r="J14" s="19">
        <v>101.0</v>
      </c>
      <c r="K14" s="19">
        <v>144.0</v>
      </c>
      <c r="L14" s="19">
        <v>119.0</v>
      </c>
      <c r="M14" s="19">
        <v>133.0</v>
      </c>
      <c r="N14" s="19">
        <v>116.0</v>
      </c>
      <c r="O14" s="19">
        <v>121.0</v>
      </c>
      <c r="P14" s="19">
        <v>145.0</v>
      </c>
      <c r="Q14" s="19">
        <v>148.0</v>
      </c>
      <c r="R14" s="19">
        <v>147.0</v>
      </c>
      <c r="S14" s="19">
        <v>130.0</v>
      </c>
      <c r="T14" s="19">
        <v>136.0</v>
      </c>
      <c r="U14" s="19">
        <v>150.0</v>
      </c>
      <c r="V14" s="19">
        <v>157.0</v>
      </c>
      <c r="W14" s="19">
        <v>148.0</v>
      </c>
      <c r="X14" s="19">
        <v>143.0</v>
      </c>
      <c r="Y14" s="19">
        <v>152.0</v>
      </c>
      <c r="Z14" s="19">
        <v>138.0</v>
      </c>
      <c r="AA14" s="19">
        <v>120.0</v>
      </c>
      <c r="AB14" s="19">
        <v>109.0</v>
      </c>
      <c r="AC14" s="19">
        <v>130.0</v>
      </c>
      <c r="AD14" s="19">
        <v>107.0</v>
      </c>
      <c r="AE14" s="13">
        <f t="shared" ref="AE14:AE16" si="1">SUM(E14:AD14)</f>
        <v>3468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137.0</v>
      </c>
      <c r="G15" s="19">
        <v>148.0</v>
      </c>
      <c r="H15" s="19">
        <v>121.0</v>
      </c>
      <c r="I15" s="19">
        <v>128.0</v>
      </c>
      <c r="J15" s="19">
        <v>105.0</v>
      </c>
      <c r="K15" s="19">
        <v>140.0</v>
      </c>
      <c r="L15" s="19">
        <v>128.0</v>
      </c>
      <c r="M15" s="19">
        <v>134.0</v>
      </c>
      <c r="N15" s="19">
        <v>125.0</v>
      </c>
      <c r="O15" s="19">
        <v>122.0</v>
      </c>
      <c r="P15" s="19">
        <v>133.0</v>
      </c>
      <c r="Q15" s="19">
        <v>150.0</v>
      </c>
      <c r="R15" s="19">
        <v>145.0</v>
      </c>
      <c r="S15" s="19">
        <v>134.0</v>
      </c>
      <c r="T15" s="19">
        <v>141.0</v>
      </c>
      <c r="U15" s="19">
        <v>134.0</v>
      </c>
      <c r="V15" s="19">
        <v>141.0</v>
      </c>
      <c r="W15" s="19">
        <v>143.0</v>
      </c>
      <c r="X15" s="19">
        <v>151.0</v>
      </c>
      <c r="Y15" s="19">
        <v>143.0</v>
      </c>
      <c r="Z15" s="19">
        <v>150.0</v>
      </c>
      <c r="AA15" s="19">
        <v>128.0</v>
      </c>
      <c r="AB15" s="19">
        <v>109.0</v>
      </c>
      <c r="AC15" s="19">
        <v>139.0</v>
      </c>
      <c r="AD15" s="19">
        <v>119.0</v>
      </c>
      <c r="AE15" s="13">
        <f t="shared" si="1"/>
        <v>3478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258</v>
      </c>
      <c r="F16" s="13">
        <f t="shared" si="2"/>
        <v>278</v>
      </c>
      <c r="G16" s="13">
        <f t="shared" si="2"/>
        <v>286</v>
      </c>
      <c r="H16" s="13">
        <f t="shared" si="2"/>
        <v>251</v>
      </c>
      <c r="I16" s="13">
        <f t="shared" si="2"/>
        <v>265</v>
      </c>
      <c r="J16" s="13">
        <f t="shared" si="2"/>
        <v>206</v>
      </c>
      <c r="K16" s="13">
        <f t="shared" si="2"/>
        <v>284</v>
      </c>
      <c r="L16" s="13">
        <f t="shared" si="2"/>
        <v>247</v>
      </c>
      <c r="M16" s="13">
        <f t="shared" si="2"/>
        <v>267</v>
      </c>
      <c r="N16" s="13">
        <f t="shared" si="2"/>
        <v>241</v>
      </c>
      <c r="O16" s="13">
        <f t="shared" si="2"/>
        <v>243</v>
      </c>
      <c r="P16" s="13">
        <f t="shared" si="2"/>
        <v>278</v>
      </c>
      <c r="Q16" s="13">
        <f t="shared" si="2"/>
        <v>298</v>
      </c>
      <c r="R16" s="13">
        <f t="shared" si="2"/>
        <v>292</v>
      </c>
      <c r="S16" s="13">
        <f t="shared" si="2"/>
        <v>264</v>
      </c>
      <c r="T16" s="13">
        <f t="shared" si="2"/>
        <v>277</v>
      </c>
      <c r="U16" s="13">
        <f t="shared" si="2"/>
        <v>284</v>
      </c>
      <c r="V16" s="13">
        <f t="shared" si="2"/>
        <v>298</v>
      </c>
      <c r="W16" s="13">
        <f t="shared" si="2"/>
        <v>291</v>
      </c>
      <c r="X16" s="13">
        <f t="shared" si="2"/>
        <v>294</v>
      </c>
      <c r="Y16" s="13">
        <f t="shared" si="2"/>
        <v>295</v>
      </c>
      <c r="Z16" s="13">
        <f t="shared" si="2"/>
        <v>288</v>
      </c>
      <c r="AA16" s="13">
        <f t="shared" si="2"/>
        <v>248</v>
      </c>
      <c r="AB16" s="13">
        <f t="shared" si="2"/>
        <v>218</v>
      </c>
      <c r="AC16" s="13">
        <f t="shared" si="2"/>
        <v>269</v>
      </c>
      <c r="AD16" s="13">
        <f t="shared" si="2"/>
        <v>226</v>
      </c>
      <c r="AE16" s="13">
        <f t="shared" si="1"/>
        <v>6946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106.0</v>
      </c>
      <c r="G19" s="19">
        <v>117.0</v>
      </c>
      <c r="H19" s="19">
        <v>94.0</v>
      </c>
      <c r="I19" s="19">
        <v>103.0</v>
      </c>
      <c r="J19" s="19">
        <v>80.0</v>
      </c>
      <c r="K19" s="19">
        <v>116.0</v>
      </c>
      <c r="L19" s="19">
        <v>89.0</v>
      </c>
      <c r="M19" s="19">
        <v>90.0</v>
      </c>
      <c r="N19" s="19">
        <v>93.0</v>
      </c>
      <c r="O19" s="19">
        <v>93.0</v>
      </c>
      <c r="P19" s="19">
        <v>109.0</v>
      </c>
      <c r="Q19" s="19">
        <v>114.0</v>
      </c>
      <c r="R19" s="19">
        <v>118.0</v>
      </c>
      <c r="S19" s="19">
        <v>96.0</v>
      </c>
      <c r="T19" s="19">
        <v>102.0</v>
      </c>
      <c r="U19" s="19">
        <v>106.0</v>
      </c>
      <c r="V19" s="19">
        <v>125.0</v>
      </c>
      <c r="W19" s="19">
        <v>119.0</v>
      </c>
      <c r="X19" s="19">
        <v>113.0</v>
      </c>
      <c r="Y19" s="19">
        <v>112.0</v>
      </c>
      <c r="Z19" s="19">
        <v>96.0</v>
      </c>
      <c r="AA19" s="19">
        <v>91.0</v>
      </c>
      <c r="AB19" s="19">
        <v>88.0</v>
      </c>
      <c r="AC19" s="19">
        <v>107.0</v>
      </c>
      <c r="AD19" s="19">
        <v>84.0</v>
      </c>
      <c r="AE19" s="13">
        <f t="shared" ref="AE19:AE25" si="3">SUM(E19:AD19)</f>
        <v>2661</v>
      </c>
    </row>
    <row r="20" ht="12.75" customHeight="1">
      <c r="A20" s="33"/>
      <c r="B20" s="27"/>
      <c r="C20" s="34"/>
      <c r="D20" s="19" t="s">
        <v>13</v>
      </c>
      <c r="E20" s="19">
        <v>108.0</v>
      </c>
      <c r="F20" s="19">
        <v>106.0</v>
      </c>
      <c r="G20" s="19">
        <v>117.0</v>
      </c>
      <c r="H20" s="19">
        <v>98.0</v>
      </c>
      <c r="I20" s="19">
        <v>105.0</v>
      </c>
      <c r="J20" s="19">
        <v>85.0</v>
      </c>
      <c r="K20" s="19">
        <v>119.0</v>
      </c>
      <c r="L20" s="19">
        <v>107.0</v>
      </c>
      <c r="M20" s="19">
        <v>110.0</v>
      </c>
      <c r="N20" s="19">
        <v>98.0</v>
      </c>
      <c r="O20" s="19">
        <v>100.0</v>
      </c>
      <c r="P20" s="19">
        <v>102.0</v>
      </c>
      <c r="Q20" s="19">
        <v>126.0</v>
      </c>
      <c r="R20" s="19">
        <v>114.0</v>
      </c>
      <c r="S20" s="19">
        <v>106.0</v>
      </c>
      <c r="T20" s="19">
        <v>106.0</v>
      </c>
      <c r="U20" s="19">
        <v>116.0</v>
      </c>
      <c r="V20" s="19">
        <v>110.0</v>
      </c>
      <c r="W20" s="19">
        <v>113.0</v>
      </c>
      <c r="X20" s="19">
        <v>107.0</v>
      </c>
      <c r="Y20" s="19">
        <v>101.0</v>
      </c>
      <c r="Z20" s="19">
        <v>113.0</v>
      </c>
      <c r="AA20" s="19">
        <v>97.0</v>
      </c>
      <c r="AB20" s="19">
        <v>87.0</v>
      </c>
      <c r="AC20" s="19">
        <v>112.0</v>
      </c>
      <c r="AD20" s="19">
        <v>96.0</v>
      </c>
      <c r="AE20" s="13">
        <f t="shared" si="3"/>
        <v>2759</v>
      </c>
    </row>
    <row r="21" ht="12.75" customHeight="1">
      <c r="A21" s="35"/>
      <c r="B21" s="28"/>
      <c r="C21" s="36"/>
      <c r="D21" s="13" t="s">
        <v>14</v>
      </c>
      <c r="E21" s="13">
        <f t="shared" ref="E21:AD21" si="4">SUM(E19:E20)</f>
        <v>208</v>
      </c>
      <c r="F21" s="13">
        <f t="shared" si="4"/>
        <v>212</v>
      </c>
      <c r="G21" s="13">
        <f t="shared" si="4"/>
        <v>234</v>
      </c>
      <c r="H21" s="13">
        <f t="shared" si="4"/>
        <v>192</v>
      </c>
      <c r="I21" s="13">
        <f t="shared" si="4"/>
        <v>208</v>
      </c>
      <c r="J21" s="13">
        <f t="shared" si="4"/>
        <v>165</v>
      </c>
      <c r="K21" s="13">
        <f t="shared" si="4"/>
        <v>235</v>
      </c>
      <c r="L21" s="13">
        <f t="shared" si="4"/>
        <v>196</v>
      </c>
      <c r="M21" s="13">
        <f t="shared" si="4"/>
        <v>200</v>
      </c>
      <c r="N21" s="13">
        <f t="shared" si="4"/>
        <v>191</v>
      </c>
      <c r="O21" s="13">
        <f t="shared" si="4"/>
        <v>193</v>
      </c>
      <c r="P21" s="13">
        <f t="shared" si="4"/>
        <v>211</v>
      </c>
      <c r="Q21" s="13">
        <f t="shared" si="4"/>
        <v>240</v>
      </c>
      <c r="R21" s="13">
        <f t="shared" si="4"/>
        <v>232</v>
      </c>
      <c r="S21" s="13">
        <f t="shared" si="4"/>
        <v>202</v>
      </c>
      <c r="T21" s="13">
        <f t="shared" si="4"/>
        <v>208</v>
      </c>
      <c r="U21" s="13">
        <f t="shared" si="4"/>
        <v>222</v>
      </c>
      <c r="V21" s="13">
        <f t="shared" si="4"/>
        <v>235</v>
      </c>
      <c r="W21" s="13">
        <f t="shared" si="4"/>
        <v>232</v>
      </c>
      <c r="X21" s="13">
        <f t="shared" si="4"/>
        <v>220</v>
      </c>
      <c r="Y21" s="13">
        <f t="shared" si="4"/>
        <v>213</v>
      </c>
      <c r="Z21" s="13">
        <f t="shared" si="4"/>
        <v>209</v>
      </c>
      <c r="AA21" s="13">
        <f t="shared" si="4"/>
        <v>188</v>
      </c>
      <c r="AB21" s="13">
        <f t="shared" si="4"/>
        <v>175</v>
      </c>
      <c r="AC21" s="13">
        <f t="shared" si="4"/>
        <v>219</v>
      </c>
      <c r="AD21" s="13">
        <f t="shared" si="4"/>
        <v>180</v>
      </c>
      <c r="AE21" s="13">
        <f t="shared" si="3"/>
        <v>5420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1.0</v>
      </c>
      <c r="T22" s="19">
        <v>0.0</v>
      </c>
      <c r="U22" s="19">
        <v>2.0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1.0</v>
      </c>
      <c r="O23" s="19">
        <v>1.0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1.0</v>
      </c>
      <c r="W23" s="19">
        <v>1.0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2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2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1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4.0</v>
      </c>
      <c r="N25" s="19">
        <v>1.0</v>
      </c>
      <c r="O25" s="19">
        <v>0.0</v>
      </c>
      <c r="P25" s="19">
        <v>1.0</v>
      </c>
      <c r="Q25" s="19">
        <v>0.0</v>
      </c>
      <c r="R25" s="19">
        <v>2.0</v>
      </c>
      <c r="S25" s="19">
        <v>2.0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2.0</v>
      </c>
      <c r="AA25" s="19">
        <v>0.0</v>
      </c>
      <c r="AB25" s="19">
        <v>0.0</v>
      </c>
      <c r="AC25" s="19">
        <v>1.0</v>
      </c>
      <c r="AD25" s="19">
        <v>0.0</v>
      </c>
      <c r="AE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1.0</v>
      </c>
      <c r="H26" s="19">
        <v>0.0</v>
      </c>
      <c r="I26" s="19">
        <v>2.0</v>
      </c>
      <c r="J26" s="19">
        <v>0.0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0.0</v>
      </c>
      <c r="Q26" s="19">
        <v>0.0</v>
      </c>
      <c r="R26" s="19">
        <v>0.0</v>
      </c>
      <c r="S26" s="19">
        <v>4.0</v>
      </c>
      <c r="T26" s="19">
        <v>1.0</v>
      </c>
      <c r="U26" s="19">
        <v>0.0</v>
      </c>
      <c r="V26" s="19">
        <v>1.0</v>
      </c>
      <c r="W26" s="19">
        <v>0.0</v>
      </c>
      <c r="X26" s="19">
        <v>0.0</v>
      </c>
      <c r="Y26" s="19">
        <v>1.0</v>
      </c>
      <c r="Z26" s="19">
        <v>2.0</v>
      </c>
      <c r="AA26" s="19">
        <v>0.0</v>
      </c>
      <c r="AB26" s="19">
        <v>0.0</v>
      </c>
      <c r="AC26" s="19">
        <v>0.0</v>
      </c>
      <c r="AD26" s="19">
        <v>1.0</v>
      </c>
      <c r="AE26" s="13">
        <v>17.0</v>
      </c>
    </row>
    <row r="27" ht="12.75" customHeight="1">
      <c r="A27" s="35"/>
      <c r="B27" s="28"/>
      <c r="C27" s="36"/>
      <c r="D27" s="13" t="s">
        <v>14</v>
      </c>
      <c r="E27" s="13">
        <f t="shared" ref="E27:AD27" si="6">SUM(E25:E26)</f>
        <v>2</v>
      </c>
      <c r="F27" s="13">
        <f t="shared" si="6"/>
        <v>2</v>
      </c>
      <c r="G27" s="13">
        <f t="shared" si="6"/>
        <v>2</v>
      </c>
      <c r="H27" s="13">
        <f t="shared" si="6"/>
        <v>0</v>
      </c>
      <c r="I27" s="13">
        <f t="shared" si="6"/>
        <v>3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5</v>
      </c>
      <c r="N27" s="13">
        <f t="shared" si="6"/>
        <v>1</v>
      </c>
      <c r="O27" s="13">
        <f t="shared" si="6"/>
        <v>1</v>
      </c>
      <c r="P27" s="13">
        <f t="shared" si="6"/>
        <v>1</v>
      </c>
      <c r="Q27" s="13">
        <f t="shared" si="6"/>
        <v>0</v>
      </c>
      <c r="R27" s="13">
        <f t="shared" si="6"/>
        <v>2</v>
      </c>
      <c r="S27" s="13">
        <f t="shared" si="6"/>
        <v>6</v>
      </c>
      <c r="T27" s="13">
        <f t="shared" si="6"/>
        <v>1</v>
      </c>
      <c r="U27" s="13">
        <f t="shared" si="6"/>
        <v>0</v>
      </c>
      <c r="V27" s="13">
        <f t="shared" si="6"/>
        <v>1</v>
      </c>
      <c r="W27" s="13">
        <f t="shared" si="6"/>
        <v>1</v>
      </c>
      <c r="X27" s="13">
        <f t="shared" si="6"/>
        <v>0</v>
      </c>
      <c r="Y27" s="13">
        <f t="shared" si="6"/>
        <v>1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1</v>
      </c>
      <c r="AE27" s="13">
        <f t="shared" ref="AE27:AE30" si="8">SUM(E27:AD27)</f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D28" si="7">SUM(E19,E22,E25)</f>
        <v>101</v>
      </c>
      <c r="F28" s="13">
        <f t="shared" si="7"/>
        <v>107</v>
      </c>
      <c r="G28" s="13">
        <f t="shared" si="7"/>
        <v>118</v>
      </c>
      <c r="H28" s="13">
        <f t="shared" si="7"/>
        <v>94</v>
      </c>
      <c r="I28" s="13">
        <f t="shared" si="7"/>
        <v>104</v>
      </c>
      <c r="J28" s="13">
        <f t="shared" si="7"/>
        <v>81</v>
      </c>
      <c r="K28" s="13">
        <f t="shared" si="7"/>
        <v>117</v>
      </c>
      <c r="L28" s="13">
        <f t="shared" si="7"/>
        <v>89</v>
      </c>
      <c r="M28" s="13">
        <f t="shared" si="7"/>
        <v>94</v>
      </c>
      <c r="N28" s="13">
        <f t="shared" si="7"/>
        <v>94</v>
      </c>
      <c r="O28" s="13">
        <f t="shared" si="7"/>
        <v>93</v>
      </c>
      <c r="P28" s="13">
        <f t="shared" si="7"/>
        <v>110</v>
      </c>
      <c r="Q28" s="13">
        <f t="shared" si="7"/>
        <v>114</v>
      </c>
      <c r="R28" s="13">
        <f t="shared" si="7"/>
        <v>121</v>
      </c>
      <c r="S28" s="13">
        <f t="shared" si="7"/>
        <v>99</v>
      </c>
      <c r="T28" s="13">
        <f t="shared" si="7"/>
        <v>102</v>
      </c>
      <c r="U28" s="13">
        <f t="shared" si="7"/>
        <v>108</v>
      </c>
      <c r="V28" s="13">
        <f t="shared" si="7"/>
        <v>125</v>
      </c>
      <c r="W28" s="13">
        <f t="shared" si="7"/>
        <v>120</v>
      </c>
      <c r="X28" s="13">
        <f t="shared" si="7"/>
        <v>113</v>
      </c>
      <c r="Y28" s="13">
        <f t="shared" si="7"/>
        <v>112</v>
      </c>
      <c r="Z28" s="13">
        <f t="shared" si="7"/>
        <v>98</v>
      </c>
      <c r="AA28" s="13">
        <f t="shared" si="7"/>
        <v>91</v>
      </c>
      <c r="AB28" s="13">
        <f t="shared" si="7"/>
        <v>88</v>
      </c>
      <c r="AC28" s="13">
        <f t="shared" si="7"/>
        <v>108</v>
      </c>
      <c r="AD28" s="13">
        <f t="shared" si="7"/>
        <v>84</v>
      </c>
      <c r="AE28" s="13">
        <f t="shared" si="8"/>
        <v>2685</v>
      </c>
    </row>
    <row r="29" ht="12.75" customHeight="1">
      <c r="A29" s="35"/>
      <c r="B29" s="27"/>
      <c r="C29" s="34"/>
      <c r="D29" s="13" t="s">
        <v>13</v>
      </c>
      <c r="E29" s="13">
        <f t="shared" ref="E29:AD29" si="9">SUM(E20,E23,E26)</f>
        <v>109</v>
      </c>
      <c r="F29" s="13">
        <f t="shared" si="9"/>
        <v>107</v>
      </c>
      <c r="G29" s="13">
        <f t="shared" si="9"/>
        <v>118</v>
      </c>
      <c r="H29" s="13">
        <f t="shared" si="9"/>
        <v>98</v>
      </c>
      <c r="I29" s="13">
        <f t="shared" si="9"/>
        <v>107</v>
      </c>
      <c r="J29" s="13">
        <f t="shared" si="9"/>
        <v>85</v>
      </c>
      <c r="K29" s="13">
        <f t="shared" si="9"/>
        <v>120</v>
      </c>
      <c r="L29" s="13">
        <f t="shared" si="9"/>
        <v>107</v>
      </c>
      <c r="M29" s="13">
        <f t="shared" si="9"/>
        <v>111</v>
      </c>
      <c r="N29" s="13">
        <f t="shared" si="9"/>
        <v>99</v>
      </c>
      <c r="O29" s="13">
        <f t="shared" si="9"/>
        <v>102</v>
      </c>
      <c r="P29" s="13">
        <f t="shared" si="9"/>
        <v>102</v>
      </c>
      <c r="Q29" s="13">
        <f t="shared" si="9"/>
        <v>126</v>
      </c>
      <c r="R29" s="13">
        <f t="shared" si="9"/>
        <v>115</v>
      </c>
      <c r="S29" s="13">
        <f t="shared" si="9"/>
        <v>110</v>
      </c>
      <c r="T29" s="13">
        <f t="shared" si="9"/>
        <v>107</v>
      </c>
      <c r="U29" s="13">
        <f t="shared" si="9"/>
        <v>116</v>
      </c>
      <c r="V29" s="13">
        <f t="shared" si="9"/>
        <v>112</v>
      </c>
      <c r="W29" s="13">
        <f t="shared" si="9"/>
        <v>114</v>
      </c>
      <c r="X29" s="13">
        <f t="shared" si="9"/>
        <v>107</v>
      </c>
      <c r="Y29" s="13">
        <f t="shared" si="9"/>
        <v>102</v>
      </c>
      <c r="Z29" s="13">
        <f t="shared" si="9"/>
        <v>115</v>
      </c>
      <c r="AA29" s="13">
        <f t="shared" si="9"/>
        <v>97</v>
      </c>
      <c r="AB29" s="13">
        <f t="shared" si="9"/>
        <v>87</v>
      </c>
      <c r="AC29" s="13">
        <f t="shared" si="9"/>
        <v>112</v>
      </c>
      <c r="AD29" s="13">
        <f t="shared" si="9"/>
        <v>97</v>
      </c>
      <c r="AE29" s="13">
        <f t="shared" si="8"/>
        <v>2782</v>
      </c>
    </row>
    <row r="30" ht="12.75" customHeight="1">
      <c r="A30" s="35"/>
      <c r="B30" s="28"/>
      <c r="C30" s="36"/>
      <c r="D30" s="13" t="s">
        <v>14</v>
      </c>
      <c r="E30" s="13">
        <f t="shared" ref="E30:AD30" si="10">SUM(E28:E29)</f>
        <v>210</v>
      </c>
      <c r="F30" s="13">
        <f t="shared" si="10"/>
        <v>214</v>
      </c>
      <c r="G30" s="13">
        <f t="shared" si="10"/>
        <v>236</v>
      </c>
      <c r="H30" s="13">
        <f t="shared" si="10"/>
        <v>192</v>
      </c>
      <c r="I30" s="13">
        <f t="shared" si="10"/>
        <v>211</v>
      </c>
      <c r="J30" s="13">
        <f t="shared" si="10"/>
        <v>166</v>
      </c>
      <c r="K30" s="13">
        <f t="shared" si="10"/>
        <v>237</v>
      </c>
      <c r="L30" s="13">
        <f t="shared" si="10"/>
        <v>196</v>
      </c>
      <c r="M30" s="13">
        <f t="shared" si="10"/>
        <v>205</v>
      </c>
      <c r="N30" s="13">
        <f t="shared" si="10"/>
        <v>193</v>
      </c>
      <c r="O30" s="13">
        <f t="shared" si="10"/>
        <v>195</v>
      </c>
      <c r="P30" s="13">
        <f t="shared" si="10"/>
        <v>212</v>
      </c>
      <c r="Q30" s="13">
        <f t="shared" si="10"/>
        <v>240</v>
      </c>
      <c r="R30" s="13">
        <f t="shared" si="10"/>
        <v>236</v>
      </c>
      <c r="S30" s="13">
        <f t="shared" si="10"/>
        <v>209</v>
      </c>
      <c r="T30" s="13">
        <f t="shared" si="10"/>
        <v>209</v>
      </c>
      <c r="U30" s="13">
        <f t="shared" si="10"/>
        <v>224</v>
      </c>
      <c r="V30" s="13">
        <f t="shared" si="10"/>
        <v>237</v>
      </c>
      <c r="W30" s="13">
        <f t="shared" si="10"/>
        <v>234</v>
      </c>
      <c r="X30" s="13">
        <f t="shared" si="10"/>
        <v>220</v>
      </c>
      <c r="Y30" s="13">
        <f t="shared" si="10"/>
        <v>214</v>
      </c>
      <c r="Z30" s="13">
        <f t="shared" si="10"/>
        <v>213</v>
      </c>
      <c r="AA30" s="13">
        <f t="shared" si="10"/>
        <v>188</v>
      </c>
      <c r="AB30" s="13">
        <f t="shared" si="10"/>
        <v>175</v>
      </c>
      <c r="AC30" s="13">
        <f t="shared" si="10"/>
        <v>220</v>
      </c>
      <c r="AD30" s="13">
        <f t="shared" si="10"/>
        <v>181</v>
      </c>
      <c r="AE30" s="13">
        <f t="shared" si="8"/>
        <v>5467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0"/>
    </row>
    <row r="33" ht="12.75" customHeight="1">
      <c r="A33" s="19">
        <v>1.0</v>
      </c>
      <c r="B33" s="20" t="s">
        <v>27</v>
      </c>
      <c r="C33" s="15"/>
      <c r="D33" s="16"/>
      <c r="E33" s="19">
        <v>265.0</v>
      </c>
      <c r="F33" s="19">
        <v>284.0</v>
      </c>
      <c r="G33" s="19">
        <v>292.0</v>
      </c>
      <c r="H33" s="19">
        <v>259.0</v>
      </c>
      <c r="I33" s="19">
        <v>274.0</v>
      </c>
      <c r="J33" s="19">
        <v>211.0</v>
      </c>
      <c r="K33" s="19">
        <v>290.0</v>
      </c>
      <c r="L33" s="19">
        <v>252.0</v>
      </c>
      <c r="M33" s="19">
        <v>273.0</v>
      </c>
      <c r="N33" s="19">
        <v>246.0</v>
      </c>
      <c r="O33" s="19">
        <v>248.0</v>
      </c>
      <c r="P33" s="19">
        <v>285.0</v>
      </c>
      <c r="Q33" s="19">
        <v>308.0</v>
      </c>
      <c r="R33" s="19">
        <v>301.0</v>
      </c>
      <c r="S33" s="19">
        <v>272.0</v>
      </c>
      <c r="T33" s="19">
        <v>283.0</v>
      </c>
      <c r="U33" s="19">
        <v>290.0</v>
      </c>
      <c r="V33" s="19">
        <v>304.0</v>
      </c>
      <c r="W33" s="19">
        <v>297.0</v>
      </c>
      <c r="X33" s="19">
        <v>300.0</v>
      </c>
      <c r="Y33" s="19">
        <v>301.0</v>
      </c>
      <c r="Z33" s="19">
        <v>294.0</v>
      </c>
      <c r="AA33" s="19">
        <v>253.0</v>
      </c>
      <c r="AB33" s="19">
        <v>223.0</v>
      </c>
      <c r="AC33" s="19">
        <v>275.0</v>
      </c>
      <c r="AD33" s="19">
        <v>258.0</v>
      </c>
      <c r="AE33" s="13">
        <f t="shared" ref="AE33:AE36" si="11">SUM(E33:AD33)</f>
        <v>7138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214.0</v>
      </c>
      <c r="G34" s="13">
        <v>236.0</v>
      </c>
      <c r="H34" s="13">
        <v>192.0</v>
      </c>
      <c r="I34" s="13">
        <v>211.0</v>
      </c>
      <c r="J34" s="13">
        <v>166.0</v>
      </c>
      <c r="K34" s="13">
        <v>237.0</v>
      </c>
      <c r="L34" s="13">
        <v>196.0</v>
      </c>
      <c r="M34" s="13">
        <v>205.0</v>
      </c>
      <c r="N34" s="13">
        <v>193.0</v>
      </c>
      <c r="O34" s="13">
        <v>195.0</v>
      </c>
      <c r="P34" s="13">
        <v>212.0</v>
      </c>
      <c r="Q34" s="13">
        <v>240.0</v>
      </c>
      <c r="R34" s="13">
        <v>236.0</v>
      </c>
      <c r="S34" s="13">
        <v>209.0</v>
      </c>
      <c r="T34" s="13">
        <v>209.0</v>
      </c>
      <c r="U34" s="13">
        <v>224.0</v>
      </c>
      <c r="V34" s="13">
        <v>237.0</v>
      </c>
      <c r="W34" s="13">
        <v>234.0</v>
      </c>
      <c r="X34" s="13">
        <v>220.0</v>
      </c>
      <c r="Y34" s="13">
        <v>214.0</v>
      </c>
      <c r="Z34" s="13">
        <v>213.0</v>
      </c>
      <c r="AA34" s="13">
        <v>188.0</v>
      </c>
      <c r="AB34" s="13">
        <v>175.0</v>
      </c>
      <c r="AC34" s="13">
        <v>220.0</v>
      </c>
      <c r="AD34" s="13">
        <v>181.0</v>
      </c>
      <c r="AE34" s="13">
        <f t="shared" si="11"/>
        <v>5467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3">
        <f t="shared" si="11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D36" si="12">E33-(E34+E35)</f>
        <v>55</v>
      </c>
      <c r="F36" s="13">
        <f t="shared" si="12"/>
        <v>70</v>
      </c>
      <c r="G36" s="13">
        <f t="shared" si="12"/>
        <v>56</v>
      </c>
      <c r="H36" s="13">
        <f t="shared" si="12"/>
        <v>67</v>
      </c>
      <c r="I36" s="13">
        <f t="shared" si="12"/>
        <v>63</v>
      </c>
      <c r="J36" s="13">
        <f t="shared" si="12"/>
        <v>45</v>
      </c>
      <c r="K36" s="13">
        <f t="shared" si="12"/>
        <v>52</v>
      </c>
      <c r="L36" s="13">
        <f t="shared" si="12"/>
        <v>56</v>
      </c>
      <c r="M36" s="13">
        <f t="shared" si="12"/>
        <v>67</v>
      </c>
      <c r="N36" s="13">
        <f t="shared" si="12"/>
        <v>53</v>
      </c>
      <c r="O36" s="13">
        <f t="shared" si="12"/>
        <v>53</v>
      </c>
      <c r="P36" s="13">
        <f t="shared" si="12"/>
        <v>73</v>
      </c>
      <c r="Q36" s="13">
        <f t="shared" si="12"/>
        <v>67</v>
      </c>
      <c r="R36" s="13">
        <f t="shared" si="12"/>
        <v>65</v>
      </c>
      <c r="S36" s="13">
        <f t="shared" si="12"/>
        <v>63</v>
      </c>
      <c r="T36" s="13">
        <f t="shared" si="12"/>
        <v>74</v>
      </c>
      <c r="U36" s="13">
        <f t="shared" si="12"/>
        <v>66</v>
      </c>
      <c r="V36" s="13">
        <f t="shared" si="12"/>
        <v>67</v>
      </c>
      <c r="W36" s="13">
        <f t="shared" si="12"/>
        <v>63</v>
      </c>
      <c r="X36" s="13">
        <f t="shared" si="12"/>
        <v>80</v>
      </c>
      <c r="Y36" s="13">
        <f t="shared" si="12"/>
        <v>87</v>
      </c>
      <c r="Z36" s="13">
        <f t="shared" si="12"/>
        <v>81</v>
      </c>
      <c r="AA36" s="13">
        <f t="shared" si="12"/>
        <v>65</v>
      </c>
      <c r="AB36" s="13">
        <f t="shared" si="12"/>
        <v>48</v>
      </c>
      <c r="AC36" s="13">
        <f t="shared" si="12"/>
        <v>55</v>
      </c>
      <c r="AD36" s="13">
        <f t="shared" si="12"/>
        <v>77</v>
      </c>
      <c r="AE36" s="13">
        <f t="shared" si="11"/>
        <v>1668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0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1.0</v>
      </c>
      <c r="AC39" s="19">
        <v>0.0</v>
      </c>
      <c r="AD39" s="19">
        <v>0.0</v>
      </c>
      <c r="AE39" s="13">
        <f t="shared" ref="AE39:AE41" si="13">SUM(E39:AD39)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3.0</v>
      </c>
      <c r="AC40" s="19">
        <v>0.0</v>
      </c>
      <c r="AD40" s="19">
        <v>0.0</v>
      </c>
      <c r="AE40" s="13">
        <f t="shared" si="13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D41" si="14">SUM(E39:E40)</f>
        <v>1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0</v>
      </c>
      <c r="W41" s="13">
        <f t="shared" si="14"/>
        <v>0</v>
      </c>
      <c r="X41" s="13">
        <f t="shared" si="14"/>
        <v>0</v>
      </c>
      <c r="Y41" s="13">
        <f t="shared" si="14"/>
        <v>0</v>
      </c>
      <c r="Z41" s="13">
        <f t="shared" si="14"/>
        <v>0</v>
      </c>
      <c r="AA41" s="13">
        <f t="shared" si="14"/>
        <v>0</v>
      </c>
      <c r="AB41" s="13">
        <f t="shared" si="14"/>
        <v>4</v>
      </c>
      <c r="AC41" s="13">
        <f t="shared" si="14"/>
        <v>0</v>
      </c>
      <c r="AD41" s="13">
        <f t="shared" si="14"/>
        <v>0</v>
      </c>
      <c r="AE41" s="13">
        <f t="shared" si="13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19"/>
      <c r="AA42" s="59"/>
      <c r="AB42" s="19"/>
      <c r="AC42" s="59"/>
      <c r="AD42" s="19"/>
      <c r="AE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13"/>
      <c r="AA43" s="61"/>
      <c r="AB43" s="13"/>
      <c r="AC43" s="61"/>
      <c r="AD43" s="13"/>
      <c r="AE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19"/>
      <c r="AA44" s="59"/>
      <c r="AB44" s="19"/>
      <c r="AC44" s="59"/>
      <c r="AD44" s="19"/>
      <c r="AE44" s="13"/>
    </row>
    <row r="45" ht="12.75" customHeight="1">
      <c r="A45" s="63"/>
      <c r="B45" s="47">
        <v>1.0</v>
      </c>
      <c r="C45" s="48" t="s">
        <v>37</v>
      </c>
      <c r="D45" s="16"/>
      <c r="E45" s="19">
        <v>11.0</v>
      </c>
      <c r="F45" s="19">
        <v>7.0</v>
      </c>
      <c r="G45" s="19">
        <v>18.0</v>
      </c>
      <c r="H45" s="19">
        <v>6.0</v>
      </c>
      <c r="I45" s="19">
        <v>13.0</v>
      </c>
      <c r="J45" s="19">
        <v>6.0</v>
      </c>
      <c r="K45" s="19">
        <v>24.0</v>
      </c>
      <c r="L45" s="19">
        <v>33.0</v>
      </c>
      <c r="M45" s="19">
        <v>49.0</v>
      </c>
      <c r="N45" s="19">
        <v>46.0</v>
      </c>
      <c r="O45" s="19">
        <v>24.0</v>
      </c>
      <c r="P45" s="19">
        <v>9.0</v>
      </c>
      <c r="Q45" s="19">
        <v>2.0</v>
      </c>
      <c r="R45" s="19">
        <v>21.0</v>
      </c>
      <c r="S45" s="19">
        <v>37.0</v>
      </c>
      <c r="T45" s="19">
        <v>41.0</v>
      </c>
      <c r="U45" s="19">
        <v>46.0</v>
      </c>
      <c r="V45" s="19">
        <v>15.0</v>
      </c>
      <c r="W45" s="19">
        <v>9.0</v>
      </c>
      <c r="X45" s="19">
        <v>6.0</v>
      </c>
      <c r="Y45" s="19">
        <v>14.0</v>
      </c>
      <c r="Z45" s="19">
        <v>28.0</v>
      </c>
      <c r="AA45" s="19">
        <v>47.0</v>
      </c>
      <c r="AB45" s="19">
        <v>17.0</v>
      </c>
      <c r="AC45" s="19">
        <v>36.0</v>
      </c>
      <c r="AD45" s="19">
        <v>31.0</v>
      </c>
      <c r="AE45" s="13">
        <f t="shared" ref="AE45:AE47" si="15">SUM(E45:AD45)</f>
        <v>596</v>
      </c>
    </row>
    <row r="46" ht="12.75" customHeight="1">
      <c r="A46" s="18"/>
      <c r="B46" s="47">
        <v>2.0</v>
      </c>
      <c r="C46" s="48" t="s">
        <v>38</v>
      </c>
      <c r="D46" s="16"/>
      <c r="E46" s="19">
        <v>121.0</v>
      </c>
      <c r="F46" s="19">
        <v>129.0</v>
      </c>
      <c r="G46" s="19">
        <v>134.0</v>
      </c>
      <c r="H46" s="19">
        <v>132.0</v>
      </c>
      <c r="I46" s="19">
        <v>158.0</v>
      </c>
      <c r="J46" s="19">
        <v>106.0</v>
      </c>
      <c r="K46" s="19">
        <v>161.0</v>
      </c>
      <c r="L46" s="19">
        <v>132.0</v>
      </c>
      <c r="M46" s="19">
        <v>110.0</v>
      </c>
      <c r="N46" s="19">
        <v>109.0</v>
      </c>
      <c r="O46" s="19">
        <v>120.0</v>
      </c>
      <c r="P46" s="19">
        <v>140.0</v>
      </c>
      <c r="Q46" s="19">
        <v>141.0</v>
      </c>
      <c r="R46" s="19">
        <v>162.0</v>
      </c>
      <c r="S46" s="19">
        <v>115.0</v>
      </c>
      <c r="T46" s="19">
        <v>138.0</v>
      </c>
      <c r="U46" s="19">
        <v>161.0</v>
      </c>
      <c r="V46" s="19">
        <v>187.0</v>
      </c>
      <c r="W46" s="19">
        <v>197.0</v>
      </c>
      <c r="X46" s="19">
        <v>177.0</v>
      </c>
      <c r="Y46" s="19">
        <v>127.0</v>
      </c>
      <c r="Z46" s="19">
        <v>150.0</v>
      </c>
      <c r="AA46" s="19">
        <v>114.0</v>
      </c>
      <c r="AB46" s="19">
        <v>87.0</v>
      </c>
      <c r="AC46" s="19">
        <v>143.0</v>
      </c>
      <c r="AD46" s="19">
        <v>115.0</v>
      </c>
      <c r="AE46" s="13">
        <f t="shared" si="15"/>
        <v>3566</v>
      </c>
    </row>
    <row r="47" ht="12.75" customHeight="1">
      <c r="A47" s="45"/>
      <c r="B47" s="47">
        <v>3.0</v>
      </c>
      <c r="C47" s="48" t="s">
        <v>39</v>
      </c>
      <c r="D47" s="16"/>
      <c r="E47" s="19">
        <v>78.0</v>
      </c>
      <c r="F47" s="19">
        <v>77.0</v>
      </c>
      <c r="G47" s="19">
        <v>80.0</v>
      </c>
      <c r="H47" s="19">
        <v>54.0</v>
      </c>
      <c r="I47" s="19">
        <v>40.0</v>
      </c>
      <c r="J47" s="19">
        <v>52.0</v>
      </c>
      <c r="K47" s="19">
        <v>52.0</v>
      </c>
      <c r="L47" s="19">
        <v>31.0</v>
      </c>
      <c r="M47" s="19">
        <v>45.0</v>
      </c>
      <c r="N47" s="19">
        <v>37.0</v>
      </c>
      <c r="O47" s="19">
        <v>45.0</v>
      </c>
      <c r="P47" s="19">
        <v>58.0</v>
      </c>
      <c r="Q47" s="19">
        <v>93.0</v>
      </c>
      <c r="R47" s="19">
        <v>41.0</v>
      </c>
      <c r="S47" s="19">
        <v>52.0</v>
      </c>
      <c r="T47" s="19">
        <v>26.0</v>
      </c>
      <c r="U47" s="19">
        <v>15.0</v>
      </c>
      <c r="V47" s="19">
        <v>31.0</v>
      </c>
      <c r="W47" s="19">
        <v>24.0</v>
      </c>
      <c r="X47" s="19">
        <v>36.0</v>
      </c>
      <c r="Y47" s="19">
        <v>66.0</v>
      </c>
      <c r="Z47" s="19">
        <v>34.0</v>
      </c>
      <c r="AA47" s="19">
        <v>22.0</v>
      </c>
      <c r="AB47" s="19">
        <v>68.0</v>
      </c>
      <c r="AC47" s="19">
        <v>40.0</v>
      </c>
      <c r="AD47" s="19">
        <v>32.0</v>
      </c>
      <c r="AE47" s="13">
        <f t="shared" si="15"/>
        <v>1229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D50" si="16">SUM(E45:E47)</f>
        <v>210</v>
      </c>
      <c r="F50" s="19">
        <f t="shared" si="16"/>
        <v>213</v>
      </c>
      <c r="G50" s="19">
        <f t="shared" si="16"/>
        <v>232</v>
      </c>
      <c r="H50" s="19">
        <f t="shared" si="16"/>
        <v>192</v>
      </c>
      <c r="I50" s="19">
        <f t="shared" si="16"/>
        <v>211</v>
      </c>
      <c r="J50" s="19">
        <f t="shared" si="16"/>
        <v>164</v>
      </c>
      <c r="K50" s="19">
        <f t="shared" si="16"/>
        <v>237</v>
      </c>
      <c r="L50" s="19">
        <f t="shared" si="16"/>
        <v>196</v>
      </c>
      <c r="M50" s="19">
        <f t="shared" si="16"/>
        <v>204</v>
      </c>
      <c r="N50" s="19">
        <f t="shared" si="16"/>
        <v>192</v>
      </c>
      <c r="O50" s="19">
        <f t="shared" si="16"/>
        <v>189</v>
      </c>
      <c r="P50" s="19">
        <f t="shared" si="16"/>
        <v>207</v>
      </c>
      <c r="Q50" s="19">
        <f t="shared" si="16"/>
        <v>236</v>
      </c>
      <c r="R50" s="19">
        <f t="shared" si="16"/>
        <v>224</v>
      </c>
      <c r="S50" s="19">
        <f t="shared" si="16"/>
        <v>204</v>
      </c>
      <c r="T50" s="19">
        <f t="shared" si="16"/>
        <v>205</v>
      </c>
      <c r="U50" s="19">
        <f t="shared" si="16"/>
        <v>222</v>
      </c>
      <c r="V50" s="19">
        <f t="shared" si="16"/>
        <v>233</v>
      </c>
      <c r="W50" s="19">
        <f t="shared" si="16"/>
        <v>230</v>
      </c>
      <c r="X50" s="19">
        <f t="shared" si="16"/>
        <v>219</v>
      </c>
      <c r="Y50" s="19">
        <f t="shared" si="16"/>
        <v>207</v>
      </c>
      <c r="Z50" s="19">
        <f t="shared" si="16"/>
        <v>212</v>
      </c>
      <c r="AA50" s="19">
        <f t="shared" si="16"/>
        <v>183</v>
      </c>
      <c r="AB50" s="19">
        <f t="shared" si="16"/>
        <v>172</v>
      </c>
      <c r="AC50" s="19">
        <f t="shared" si="16"/>
        <v>219</v>
      </c>
      <c r="AD50" s="19">
        <f t="shared" si="16"/>
        <v>178</v>
      </c>
      <c r="AE50" s="13">
        <f t="shared" ref="AE50:AE52" si="17">SUM(E50:AD50)</f>
        <v>5391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0.0</v>
      </c>
      <c r="F51" s="19">
        <v>1.0</v>
      </c>
      <c r="G51" s="19">
        <v>4.0</v>
      </c>
      <c r="H51" s="19">
        <v>0.0</v>
      </c>
      <c r="I51" s="19">
        <v>0.0</v>
      </c>
      <c r="J51" s="19">
        <v>2.0</v>
      </c>
      <c r="K51" s="19">
        <v>0.0</v>
      </c>
      <c r="L51" s="19">
        <v>0.0</v>
      </c>
      <c r="M51" s="19">
        <v>1.0</v>
      </c>
      <c r="N51" s="19">
        <v>1.0</v>
      </c>
      <c r="O51" s="19">
        <v>6.0</v>
      </c>
      <c r="P51" s="19">
        <v>5.0</v>
      </c>
      <c r="Q51" s="19">
        <v>4.0</v>
      </c>
      <c r="R51" s="19">
        <v>12.0</v>
      </c>
      <c r="S51" s="19">
        <v>5.0</v>
      </c>
      <c r="T51" s="19">
        <v>4.0</v>
      </c>
      <c r="U51" s="19">
        <v>2.0</v>
      </c>
      <c r="V51" s="19">
        <v>4.0</v>
      </c>
      <c r="W51" s="19">
        <v>4.0</v>
      </c>
      <c r="X51" s="19">
        <v>1.0</v>
      </c>
      <c r="Y51" s="19">
        <v>7.0</v>
      </c>
      <c r="Z51" s="19">
        <v>1.0</v>
      </c>
      <c r="AA51" s="19">
        <v>5.0</v>
      </c>
      <c r="AB51" s="19">
        <v>3.0</v>
      </c>
      <c r="AC51" s="19">
        <v>1.0</v>
      </c>
      <c r="AD51" s="19">
        <v>3.0</v>
      </c>
      <c r="AE51" s="13">
        <f t="shared" si="17"/>
        <v>76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D52" si="18">SUM(E50:E51)</f>
        <v>210</v>
      </c>
      <c r="F52" s="13">
        <f t="shared" si="18"/>
        <v>214</v>
      </c>
      <c r="G52" s="13">
        <f t="shared" si="18"/>
        <v>236</v>
      </c>
      <c r="H52" s="13">
        <f t="shared" si="18"/>
        <v>192</v>
      </c>
      <c r="I52" s="13">
        <f t="shared" si="18"/>
        <v>211</v>
      </c>
      <c r="J52" s="13">
        <f t="shared" si="18"/>
        <v>166</v>
      </c>
      <c r="K52" s="13">
        <f t="shared" si="18"/>
        <v>237</v>
      </c>
      <c r="L52" s="13">
        <f t="shared" si="18"/>
        <v>196</v>
      </c>
      <c r="M52" s="13">
        <f t="shared" si="18"/>
        <v>205</v>
      </c>
      <c r="N52" s="13">
        <f t="shared" si="18"/>
        <v>193</v>
      </c>
      <c r="O52" s="13">
        <f t="shared" si="18"/>
        <v>195</v>
      </c>
      <c r="P52" s="13">
        <f t="shared" si="18"/>
        <v>212</v>
      </c>
      <c r="Q52" s="13">
        <f t="shared" si="18"/>
        <v>240</v>
      </c>
      <c r="R52" s="13">
        <f t="shared" si="18"/>
        <v>236</v>
      </c>
      <c r="S52" s="13">
        <f t="shared" si="18"/>
        <v>209</v>
      </c>
      <c r="T52" s="13">
        <f t="shared" si="18"/>
        <v>209</v>
      </c>
      <c r="U52" s="13">
        <f t="shared" si="18"/>
        <v>224</v>
      </c>
      <c r="V52" s="13">
        <f t="shared" si="18"/>
        <v>237</v>
      </c>
      <c r="W52" s="13">
        <f t="shared" si="18"/>
        <v>234</v>
      </c>
      <c r="X52" s="13">
        <f t="shared" si="18"/>
        <v>220</v>
      </c>
      <c r="Y52" s="13">
        <f t="shared" si="18"/>
        <v>214</v>
      </c>
      <c r="Z52" s="13">
        <f t="shared" si="18"/>
        <v>213</v>
      </c>
      <c r="AA52" s="13">
        <f t="shared" si="18"/>
        <v>188</v>
      </c>
      <c r="AB52" s="13">
        <f t="shared" si="18"/>
        <v>175</v>
      </c>
      <c r="AC52" s="13">
        <f t="shared" si="18"/>
        <v>220</v>
      </c>
      <c r="AD52" s="13">
        <f t="shared" si="18"/>
        <v>181</v>
      </c>
      <c r="AE52" s="13">
        <f t="shared" si="17"/>
        <v>5467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D15 E45:AD47">
    <cfRule type="containsBlanks" dxfId="1" priority="2">
      <formula>LEN(TRIM(E14))=0</formula>
    </cfRule>
  </conditionalFormatting>
  <conditionalFormatting sqref="E19:AD20">
    <cfRule type="containsBlanks" dxfId="1" priority="3">
      <formula>LEN(TRIM(E19))=0</formula>
    </cfRule>
  </conditionalFormatting>
  <conditionalFormatting sqref="E22:AD23 E25:AD26 E33:AD33 E35:AD35 E39:AD40">
    <cfRule type="containsBlanks" dxfId="1" priority="4">
      <formula>LEN(TRIM(E22))=0</formula>
    </cfRule>
  </conditionalFormatting>
  <conditionalFormatting sqref="E30:AD30">
    <cfRule type="expression" dxfId="0" priority="5">
      <formula>E30&lt;&gt;E46</formula>
    </cfRule>
  </conditionalFormatting>
  <conditionalFormatting sqref="E30:AD30">
    <cfRule type="expression" dxfId="0" priority="6">
      <formula>E30&lt;&gt;E34</formula>
    </cfRule>
  </conditionalFormatting>
  <conditionalFormatting sqref="E34:AD34">
    <cfRule type="expression" dxfId="2" priority="7">
      <formula>E30&lt;&gt;E34</formula>
    </cfRule>
  </conditionalFormatting>
  <conditionalFormatting sqref="E34:AD34">
    <cfRule type="expression" dxfId="3" priority="8">
      <formula>E30=E34</formula>
    </cfRule>
  </conditionalFormatting>
  <conditionalFormatting sqref="E34:AD34">
    <cfRule type="expression" dxfId="0" priority="9">
      <formula>E34&lt;&gt;E30</formula>
    </cfRule>
  </conditionalFormatting>
  <conditionalFormatting sqref="E50:AD51">
    <cfRule type="containsBlanks" dxfId="1" priority="10">
      <formula>LEN(TRIM(E50))=0</formula>
    </cfRule>
  </conditionalFormatting>
  <conditionalFormatting sqref="U34:AD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1"/>
      <c r="V11" s="1"/>
      <c r="W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64">
        <v>143.0</v>
      </c>
      <c r="F14" s="19">
        <v>119.0</v>
      </c>
      <c r="G14" s="19">
        <v>113.0</v>
      </c>
      <c r="H14" s="19">
        <v>127.0</v>
      </c>
      <c r="I14" s="19">
        <v>135.0</v>
      </c>
      <c r="J14" s="19">
        <v>129.0</v>
      </c>
      <c r="K14" s="19">
        <v>128.0</v>
      </c>
      <c r="L14" s="19">
        <v>102.0</v>
      </c>
      <c r="M14" s="19">
        <v>122.0</v>
      </c>
      <c r="N14" s="19">
        <v>114.0</v>
      </c>
      <c r="O14" s="19">
        <v>136.0</v>
      </c>
      <c r="P14" s="19">
        <v>113.0</v>
      </c>
      <c r="Q14" s="19">
        <v>124.0</v>
      </c>
      <c r="R14" s="19">
        <v>135.0</v>
      </c>
      <c r="S14" s="19">
        <v>125.0</v>
      </c>
      <c r="T14" s="19">
        <v>110.0</v>
      </c>
      <c r="U14" s="19">
        <v>115.0</v>
      </c>
      <c r="V14" s="19">
        <v>126.0</v>
      </c>
      <c r="W14" s="19">
        <v>143.0</v>
      </c>
      <c r="X14" s="19">
        <v>155.0</v>
      </c>
      <c r="Y14" s="19">
        <v>143.0</v>
      </c>
      <c r="Z14" s="19">
        <v>137.0</v>
      </c>
      <c r="AA14" s="13">
        <f t="shared" ref="AA14:AA16" si="1">SUM(E14:Z14)</f>
        <v>2794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134.0</v>
      </c>
      <c r="G15" s="19">
        <v>114.0</v>
      </c>
      <c r="H15" s="19">
        <v>133.0</v>
      </c>
      <c r="I15" s="19">
        <v>137.0</v>
      </c>
      <c r="J15" s="19">
        <v>152.0</v>
      </c>
      <c r="K15" s="19">
        <v>136.0</v>
      </c>
      <c r="L15" s="19">
        <v>110.0</v>
      </c>
      <c r="M15" s="19">
        <v>120.0</v>
      </c>
      <c r="N15" s="19">
        <v>117.0</v>
      </c>
      <c r="O15" s="19">
        <v>129.0</v>
      </c>
      <c r="P15" s="19">
        <v>135.0</v>
      </c>
      <c r="Q15" s="19">
        <v>118.0</v>
      </c>
      <c r="R15" s="19">
        <v>137.0</v>
      </c>
      <c r="S15" s="19">
        <v>122.0</v>
      </c>
      <c r="T15" s="19">
        <v>115.0</v>
      </c>
      <c r="U15" s="19">
        <v>114.0</v>
      </c>
      <c r="V15" s="19">
        <v>139.0</v>
      </c>
      <c r="W15" s="19">
        <v>137.0</v>
      </c>
      <c r="X15" s="19">
        <v>142.0</v>
      </c>
      <c r="Y15" s="19">
        <v>149.0</v>
      </c>
      <c r="Z15" s="19">
        <v>132.0</v>
      </c>
      <c r="AA15" s="13">
        <f t="shared" si="1"/>
        <v>2847</v>
      </c>
    </row>
    <row r="16" ht="12.75" customHeight="1">
      <c r="A16" s="25"/>
      <c r="B16" s="21"/>
      <c r="C16" s="28"/>
      <c r="D16" s="13" t="s">
        <v>14</v>
      </c>
      <c r="E16" s="13">
        <v>268.0</v>
      </c>
      <c r="F16" s="13">
        <v>253.0</v>
      </c>
      <c r="G16" s="13">
        <v>227.0</v>
      </c>
      <c r="H16" s="13">
        <v>260.0</v>
      </c>
      <c r="I16" s="13">
        <v>272.0</v>
      </c>
      <c r="J16" s="13">
        <v>281.0</v>
      </c>
      <c r="K16" s="13">
        <v>264.0</v>
      </c>
      <c r="L16" s="13">
        <v>212.0</v>
      </c>
      <c r="M16" s="13">
        <v>242.0</v>
      </c>
      <c r="N16" s="13">
        <v>231.0</v>
      </c>
      <c r="O16" s="13">
        <v>265.0</v>
      </c>
      <c r="P16" s="13">
        <v>248.0</v>
      </c>
      <c r="Q16" s="13">
        <v>242.0</v>
      </c>
      <c r="R16" s="13">
        <v>272.0</v>
      </c>
      <c r="S16" s="13">
        <v>247.0</v>
      </c>
      <c r="T16" s="13">
        <v>225.0</v>
      </c>
      <c r="U16" s="13">
        <v>229.0</v>
      </c>
      <c r="V16" s="13">
        <v>265.0</v>
      </c>
      <c r="W16" s="13">
        <v>280.0</v>
      </c>
      <c r="X16" s="13">
        <v>297.0</v>
      </c>
      <c r="Y16" s="13">
        <v>292.0</v>
      </c>
      <c r="Z16" s="13">
        <v>269.0</v>
      </c>
      <c r="AA16" s="13">
        <f t="shared" si="1"/>
        <v>5641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19"/>
      <c r="S17" s="19"/>
      <c r="T17" s="19"/>
      <c r="U17" s="19"/>
      <c r="V17" s="19"/>
      <c r="W17" s="59"/>
      <c r="X17" s="59"/>
      <c r="Y17" s="59"/>
      <c r="Z17" s="59"/>
      <c r="AA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19"/>
      <c r="S18" s="19"/>
      <c r="T18" s="19"/>
      <c r="U18" s="19"/>
      <c r="V18" s="19"/>
      <c r="W18" s="59"/>
      <c r="X18" s="59"/>
      <c r="Y18" s="59"/>
      <c r="Z18" s="59"/>
      <c r="AA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93.0</v>
      </c>
      <c r="G19" s="19">
        <v>79.0</v>
      </c>
      <c r="H19" s="19">
        <v>82.0</v>
      </c>
      <c r="I19" s="19">
        <v>98.0</v>
      </c>
      <c r="J19" s="19">
        <v>95.0</v>
      </c>
      <c r="K19" s="19">
        <v>91.0</v>
      </c>
      <c r="L19" s="19">
        <v>71.0</v>
      </c>
      <c r="M19" s="19">
        <v>92.0</v>
      </c>
      <c r="N19" s="19">
        <v>78.0</v>
      </c>
      <c r="O19" s="19">
        <v>103.0</v>
      </c>
      <c r="P19" s="19">
        <v>94.0</v>
      </c>
      <c r="Q19" s="19">
        <v>96.0</v>
      </c>
      <c r="R19" s="19">
        <v>96.0</v>
      </c>
      <c r="S19" s="19">
        <v>88.0</v>
      </c>
      <c r="T19" s="19">
        <v>78.0</v>
      </c>
      <c r="U19" s="19">
        <v>94.0</v>
      </c>
      <c r="V19" s="19">
        <v>85.0</v>
      </c>
      <c r="W19" s="19">
        <v>85.0</v>
      </c>
      <c r="X19" s="19">
        <v>119.0</v>
      </c>
      <c r="Y19" s="19">
        <v>103.0</v>
      </c>
      <c r="Z19" s="19">
        <v>115.0</v>
      </c>
      <c r="AA19" s="13">
        <f t="shared" ref="AA19:AA30" si="2">SUM(E19:Z19)</f>
        <v>2038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113.0</v>
      </c>
      <c r="G20" s="19">
        <v>88.0</v>
      </c>
      <c r="H20" s="19">
        <v>106.0</v>
      </c>
      <c r="I20" s="19">
        <v>104.0</v>
      </c>
      <c r="J20" s="19">
        <v>124.0</v>
      </c>
      <c r="K20" s="19">
        <v>107.0</v>
      </c>
      <c r="L20" s="19">
        <v>74.0</v>
      </c>
      <c r="M20" s="19">
        <v>101.0</v>
      </c>
      <c r="N20" s="19">
        <v>84.0</v>
      </c>
      <c r="O20" s="19">
        <v>103.0</v>
      </c>
      <c r="P20" s="19">
        <v>113.0</v>
      </c>
      <c r="Q20" s="19">
        <v>97.0</v>
      </c>
      <c r="R20" s="19">
        <v>111.0</v>
      </c>
      <c r="S20" s="19">
        <v>94.0</v>
      </c>
      <c r="T20" s="19">
        <v>87.0</v>
      </c>
      <c r="U20" s="19">
        <v>87.0</v>
      </c>
      <c r="V20" s="19">
        <v>118.0</v>
      </c>
      <c r="W20" s="19">
        <v>118.0</v>
      </c>
      <c r="X20" s="19">
        <v>122.0</v>
      </c>
      <c r="Y20" s="19">
        <v>122.0</v>
      </c>
      <c r="Z20" s="19">
        <v>113.0</v>
      </c>
      <c r="AA20" s="13">
        <f t="shared" si="2"/>
        <v>2290</v>
      </c>
    </row>
    <row r="21" ht="12.75" customHeight="1">
      <c r="A21" s="35"/>
      <c r="B21" s="28"/>
      <c r="C21" s="36"/>
      <c r="D21" s="13" t="s">
        <v>14</v>
      </c>
      <c r="E21" s="13">
        <v>207.0</v>
      </c>
      <c r="F21" s="13">
        <v>206.0</v>
      </c>
      <c r="G21" s="13">
        <v>167.0</v>
      </c>
      <c r="H21" s="13">
        <v>188.0</v>
      </c>
      <c r="I21" s="13">
        <v>202.0</v>
      </c>
      <c r="J21" s="13">
        <v>219.0</v>
      </c>
      <c r="K21" s="13">
        <v>198.0</v>
      </c>
      <c r="L21" s="13">
        <v>145.0</v>
      </c>
      <c r="M21" s="13">
        <v>193.0</v>
      </c>
      <c r="N21" s="13">
        <v>162.0</v>
      </c>
      <c r="O21" s="13">
        <v>206.0</v>
      </c>
      <c r="P21" s="13">
        <v>207.0</v>
      </c>
      <c r="Q21" s="13">
        <v>193.0</v>
      </c>
      <c r="R21" s="13">
        <v>207.0</v>
      </c>
      <c r="S21" s="13">
        <v>182.0</v>
      </c>
      <c r="T21" s="13">
        <v>165.0</v>
      </c>
      <c r="U21" s="13">
        <v>181.0</v>
      </c>
      <c r="V21" s="13">
        <v>203.0</v>
      </c>
      <c r="W21" s="13">
        <v>203.0</v>
      </c>
      <c r="X21" s="13">
        <v>241.0</v>
      </c>
      <c r="Y21" s="13">
        <v>225.0</v>
      </c>
      <c r="Z21" s="13">
        <v>228.0</v>
      </c>
      <c r="AA21" s="13">
        <f t="shared" si="2"/>
        <v>4328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1.0</v>
      </c>
      <c r="N22" s="19">
        <v>5.0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1.0</v>
      </c>
      <c r="Y22" s="19">
        <v>0.0</v>
      </c>
      <c r="Z22" s="19">
        <v>0.0</v>
      </c>
      <c r="AA22" s="13">
        <f t="shared" si="2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4.0</v>
      </c>
      <c r="N23" s="19">
        <v>7.0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3">
        <f t="shared" si="2"/>
        <v>12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1.0</v>
      </c>
      <c r="L24" s="13">
        <v>0.0</v>
      </c>
      <c r="M24" s="13">
        <v>5.0</v>
      </c>
      <c r="N24" s="13">
        <v>12.0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2.0</v>
      </c>
      <c r="Y24" s="13">
        <v>0.0</v>
      </c>
      <c r="Z24" s="13">
        <v>0.0</v>
      </c>
      <c r="AA24" s="13">
        <f t="shared" si="2"/>
        <v>20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1.0</v>
      </c>
      <c r="G25" s="19">
        <v>2.0</v>
      </c>
      <c r="H25" s="19">
        <v>0.0</v>
      </c>
      <c r="I25" s="19">
        <v>2.0</v>
      </c>
      <c r="J25" s="19">
        <v>3.0</v>
      </c>
      <c r="K25" s="19">
        <v>1.0</v>
      </c>
      <c r="L25" s="19">
        <v>1.0</v>
      </c>
      <c r="M25" s="19">
        <v>1.0</v>
      </c>
      <c r="N25" s="19">
        <v>2.0</v>
      </c>
      <c r="O25" s="19">
        <v>0.0</v>
      </c>
      <c r="P25" s="19">
        <v>0.0</v>
      </c>
      <c r="Q25" s="19">
        <v>2.0</v>
      </c>
      <c r="R25" s="19">
        <v>3.0</v>
      </c>
      <c r="S25" s="19">
        <v>2.0</v>
      </c>
      <c r="T25" s="19">
        <v>0.0</v>
      </c>
      <c r="U25" s="19">
        <v>1.0</v>
      </c>
      <c r="V25" s="19">
        <v>2.0</v>
      </c>
      <c r="W25" s="19">
        <v>2.0</v>
      </c>
      <c r="X25" s="19">
        <v>0.0</v>
      </c>
      <c r="Y25" s="19">
        <v>0.0</v>
      </c>
      <c r="Z25" s="19">
        <v>0.0</v>
      </c>
      <c r="AA25" s="13">
        <f t="shared" si="2"/>
        <v>28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3.0</v>
      </c>
      <c r="G26" s="19">
        <v>2.0</v>
      </c>
      <c r="H26" s="19">
        <v>1.0</v>
      </c>
      <c r="I26" s="19">
        <v>2.0</v>
      </c>
      <c r="J26" s="19">
        <v>2.0</v>
      </c>
      <c r="K26" s="19">
        <v>0.0</v>
      </c>
      <c r="L26" s="19">
        <v>3.0</v>
      </c>
      <c r="M26" s="19">
        <v>4.0</v>
      </c>
      <c r="N26" s="19">
        <v>3.0</v>
      </c>
      <c r="O26" s="19">
        <v>3.0</v>
      </c>
      <c r="P26" s="19">
        <v>3.0</v>
      </c>
      <c r="Q26" s="19">
        <v>2.0</v>
      </c>
      <c r="R26" s="19">
        <v>3.0</v>
      </c>
      <c r="S26" s="19">
        <v>4.0</v>
      </c>
      <c r="T26" s="19">
        <v>0.0</v>
      </c>
      <c r="U26" s="19">
        <v>4.0</v>
      </c>
      <c r="V26" s="19">
        <v>2.0</v>
      </c>
      <c r="W26" s="19">
        <v>2.0</v>
      </c>
      <c r="X26" s="19">
        <v>0.0</v>
      </c>
      <c r="Y26" s="19">
        <v>0.0</v>
      </c>
      <c r="Z26" s="19">
        <v>0.0</v>
      </c>
      <c r="AA26" s="13">
        <f t="shared" si="2"/>
        <v>45</v>
      </c>
    </row>
    <row r="27" ht="12.75" customHeight="1">
      <c r="A27" s="35"/>
      <c r="B27" s="28"/>
      <c r="C27" s="36"/>
      <c r="D27" s="13" t="s">
        <v>14</v>
      </c>
      <c r="E27" s="13">
        <v>5.0</v>
      </c>
      <c r="F27" s="13">
        <v>4.0</v>
      </c>
      <c r="G27" s="13">
        <v>4.0</v>
      </c>
      <c r="H27" s="13">
        <v>1.0</v>
      </c>
      <c r="I27" s="13">
        <v>4.0</v>
      </c>
      <c r="J27" s="13">
        <v>5.0</v>
      </c>
      <c r="K27" s="13">
        <v>1.0</v>
      </c>
      <c r="L27" s="13">
        <v>4.0</v>
      </c>
      <c r="M27" s="13">
        <v>5.0</v>
      </c>
      <c r="N27" s="13">
        <v>5.0</v>
      </c>
      <c r="O27" s="13">
        <v>3.0</v>
      </c>
      <c r="P27" s="13">
        <v>3.0</v>
      </c>
      <c r="Q27" s="13">
        <v>4.0</v>
      </c>
      <c r="R27" s="13">
        <v>6.0</v>
      </c>
      <c r="S27" s="13">
        <v>6.0</v>
      </c>
      <c r="T27" s="13">
        <v>0.0</v>
      </c>
      <c r="U27" s="13">
        <v>5.0</v>
      </c>
      <c r="V27" s="13">
        <v>4.0</v>
      </c>
      <c r="W27" s="13">
        <v>4.0</v>
      </c>
      <c r="X27" s="13">
        <v>0.0</v>
      </c>
      <c r="Y27" s="13">
        <v>0.0</v>
      </c>
      <c r="Z27" s="13">
        <v>0.0</v>
      </c>
      <c r="AA27" s="13">
        <f t="shared" si="2"/>
        <v>73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106.0</v>
      </c>
      <c r="F28" s="13">
        <v>94.0</v>
      </c>
      <c r="G28" s="13">
        <v>81.0</v>
      </c>
      <c r="H28" s="13">
        <v>82.0</v>
      </c>
      <c r="I28" s="13">
        <v>100.0</v>
      </c>
      <c r="J28" s="13">
        <v>98.0</v>
      </c>
      <c r="K28" s="13">
        <v>93.0</v>
      </c>
      <c r="L28" s="13">
        <v>72.0</v>
      </c>
      <c r="M28" s="13">
        <v>94.0</v>
      </c>
      <c r="N28" s="13">
        <v>85.0</v>
      </c>
      <c r="O28" s="13">
        <v>103.0</v>
      </c>
      <c r="P28" s="13">
        <v>94.0</v>
      </c>
      <c r="Q28" s="13">
        <v>98.0</v>
      </c>
      <c r="R28" s="13">
        <v>99.0</v>
      </c>
      <c r="S28" s="13">
        <v>90.0</v>
      </c>
      <c r="T28" s="13">
        <v>78.0</v>
      </c>
      <c r="U28" s="13">
        <v>95.0</v>
      </c>
      <c r="V28" s="13">
        <v>87.0</v>
      </c>
      <c r="W28" s="13">
        <v>87.0</v>
      </c>
      <c r="X28" s="13">
        <v>120.0</v>
      </c>
      <c r="Y28" s="13">
        <v>103.0</v>
      </c>
      <c r="Z28" s="13">
        <v>115.0</v>
      </c>
      <c r="AA28" s="13">
        <f t="shared" si="2"/>
        <v>2074</v>
      </c>
    </row>
    <row r="29" ht="12.75" customHeight="1">
      <c r="A29" s="35"/>
      <c r="B29" s="27"/>
      <c r="C29" s="34"/>
      <c r="D29" s="13" t="s">
        <v>13</v>
      </c>
      <c r="E29" s="13">
        <v>106.0</v>
      </c>
      <c r="F29" s="13">
        <v>116.0</v>
      </c>
      <c r="G29" s="13">
        <v>90.0</v>
      </c>
      <c r="H29" s="13">
        <v>107.0</v>
      </c>
      <c r="I29" s="13">
        <v>106.0</v>
      </c>
      <c r="J29" s="13">
        <v>126.0</v>
      </c>
      <c r="K29" s="13">
        <v>107.0</v>
      </c>
      <c r="L29" s="13">
        <v>77.0</v>
      </c>
      <c r="M29" s="13">
        <v>109.0</v>
      </c>
      <c r="N29" s="13">
        <v>94.0</v>
      </c>
      <c r="O29" s="13">
        <v>106.0</v>
      </c>
      <c r="P29" s="13">
        <v>116.0</v>
      </c>
      <c r="Q29" s="13">
        <v>99.0</v>
      </c>
      <c r="R29" s="13">
        <v>114.0</v>
      </c>
      <c r="S29" s="13">
        <v>98.0</v>
      </c>
      <c r="T29" s="13">
        <v>87.0</v>
      </c>
      <c r="U29" s="13">
        <v>91.0</v>
      </c>
      <c r="V29" s="13">
        <v>120.0</v>
      </c>
      <c r="W29" s="13">
        <v>120.0</v>
      </c>
      <c r="X29" s="13">
        <v>123.0</v>
      </c>
      <c r="Y29" s="13">
        <v>122.0</v>
      </c>
      <c r="Z29" s="13">
        <v>113.0</v>
      </c>
      <c r="AA29" s="13">
        <f t="shared" si="2"/>
        <v>2347</v>
      </c>
    </row>
    <row r="30" ht="12.75" customHeight="1">
      <c r="A30" s="35"/>
      <c r="B30" s="28"/>
      <c r="C30" s="36"/>
      <c r="D30" s="13" t="s">
        <v>14</v>
      </c>
      <c r="E30" s="13">
        <v>212.0</v>
      </c>
      <c r="F30" s="13">
        <v>210.0</v>
      </c>
      <c r="G30" s="13">
        <v>171.0</v>
      </c>
      <c r="H30" s="13">
        <v>189.0</v>
      </c>
      <c r="I30" s="13">
        <v>206.0</v>
      </c>
      <c r="J30" s="13">
        <v>224.0</v>
      </c>
      <c r="K30" s="13">
        <v>200.0</v>
      </c>
      <c r="L30" s="13">
        <v>149.0</v>
      </c>
      <c r="M30" s="13">
        <v>203.0</v>
      </c>
      <c r="N30" s="13">
        <v>179.0</v>
      </c>
      <c r="O30" s="13">
        <v>209.0</v>
      </c>
      <c r="P30" s="13">
        <v>210.0</v>
      </c>
      <c r="Q30" s="13">
        <v>197.0</v>
      </c>
      <c r="R30" s="13">
        <v>213.0</v>
      </c>
      <c r="S30" s="13">
        <v>188.0</v>
      </c>
      <c r="T30" s="13">
        <v>165.0</v>
      </c>
      <c r="U30" s="13">
        <v>186.0</v>
      </c>
      <c r="V30" s="13">
        <v>207.0</v>
      </c>
      <c r="W30" s="13">
        <v>207.0</v>
      </c>
      <c r="X30" s="13">
        <v>243.0</v>
      </c>
      <c r="Y30" s="13">
        <v>225.0</v>
      </c>
      <c r="Z30" s="13">
        <v>228.0</v>
      </c>
      <c r="AA30" s="13">
        <f t="shared" si="2"/>
        <v>4421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19"/>
      <c r="S31" s="19"/>
      <c r="T31" s="19"/>
      <c r="U31" s="19"/>
      <c r="V31" s="19"/>
      <c r="W31" s="59"/>
      <c r="X31" s="59"/>
      <c r="Y31" s="59"/>
      <c r="Z31" s="59"/>
      <c r="AA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13"/>
      <c r="S32" s="13"/>
      <c r="T32" s="13"/>
      <c r="U32" s="13"/>
      <c r="V32" s="13"/>
      <c r="W32" s="61"/>
      <c r="X32" s="61"/>
      <c r="Y32" s="61"/>
      <c r="Z32" s="61"/>
      <c r="AA32" s="60"/>
    </row>
    <row r="33" ht="12.75" customHeight="1">
      <c r="A33" s="19">
        <v>1.0</v>
      </c>
      <c r="B33" s="20" t="s">
        <v>27</v>
      </c>
      <c r="C33" s="15"/>
      <c r="D33" s="16"/>
      <c r="E33" s="19">
        <v>274.0</v>
      </c>
      <c r="F33" s="19">
        <v>264.0</v>
      </c>
      <c r="G33" s="19">
        <v>232.0</v>
      </c>
      <c r="H33" s="19">
        <v>267.0</v>
      </c>
      <c r="I33" s="19">
        <v>278.0</v>
      </c>
      <c r="J33" s="19">
        <v>312.0</v>
      </c>
      <c r="K33" s="19">
        <v>270.0</v>
      </c>
      <c r="L33" s="19">
        <v>217.0</v>
      </c>
      <c r="M33" s="19">
        <v>249.0</v>
      </c>
      <c r="N33" s="19">
        <v>238.0</v>
      </c>
      <c r="O33" s="19">
        <v>257.0</v>
      </c>
      <c r="P33" s="19">
        <v>253.0</v>
      </c>
      <c r="Q33" s="19">
        <v>247.0</v>
      </c>
      <c r="R33" s="19">
        <v>280.0</v>
      </c>
      <c r="S33" s="19">
        <v>252.0</v>
      </c>
      <c r="T33" s="19">
        <v>231.0</v>
      </c>
      <c r="U33" s="19">
        <v>234.0</v>
      </c>
      <c r="V33" s="19">
        <v>270.0</v>
      </c>
      <c r="W33" s="19">
        <v>270.0</v>
      </c>
      <c r="X33" s="19">
        <v>303.0</v>
      </c>
      <c r="Y33" s="19">
        <v>298.0</v>
      </c>
      <c r="Z33" s="19">
        <v>275.0</v>
      </c>
      <c r="AA33" s="13">
        <f t="shared" ref="AA33:AA36" si="3">SUM(E33:Z33)</f>
        <v>5771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210.0</v>
      </c>
      <c r="G34" s="13">
        <v>171.0</v>
      </c>
      <c r="H34" s="13">
        <v>189.0</v>
      </c>
      <c r="I34" s="13">
        <v>206.0</v>
      </c>
      <c r="J34" s="13">
        <v>224.0</v>
      </c>
      <c r="K34" s="13">
        <v>200.0</v>
      </c>
      <c r="L34" s="13">
        <v>149.0</v>
      </c>
      <c r="M34" s="13">
        <v>203.0</v>
      </c>
      <c r="N34" s="13">
        <v>179.0</v>
      </c>
      <c r="O34" s="13">
        <v>209.0</v>
      </c>
      <c r="P34" s="13">
        <v>210.0</v>
      </c>
      <c r="Q34" s="13">
        <v>197.0</v>
      </c>
      <c r="R34" s="13">
        <v>213.0</v>
      </c>
      <c r="S34" s="13">
        <v>188.0</v>
      </c>
      <c r="T34" s="13">
        <v>165.0</v>
      </c>
      <c r="U34" s="13">
        <v>186.0</v>
      </c>
      <c r="V34" s="13">
        <v>207.0</v>
      </c>
      <c r="W34" s="13">
        <v>207.0</v>
      </c>
      <c r="X34" s="13">
        <v>243.0</v>
      </c>
      <c r="Y34" s="13">
        <v>225.0</v>
      </c>
      <c r="Z34" s="13">
        <v>228.0</v>
      </c>
      <c r="AA34" s="13">
        <f t="shared" si="3"/>
        <v>4421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2.0</v>
      </c>
      <c r="S35" s="19">
        <v>0.0</v>
      </c>
      <c r="T35" s="19">
        <v>0.0</v>
      </c>
      <c r="U35" s="19">
        <v>0.0</v>
      </c>
      <c r="V35" s="19">
        <v>2.0</v>
      </c>
      <c r="W35" s="19">
        <v>2.0</v>
      </c>
      <c r="X35" s="19">
        <v>0.0</v>
      </c>
      <c r="Y35" s="19">
        <v>0.0</v>
      </c>
      <c r="Z35" s="19">
        <v>0.0</v>
      </c>
      <c r="AA35" s="13">
        <f t="shared" si="3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v>62.0</v>
      </c>
      <c r="F36" s="13">
        <v>54.0</v>
      </c>
      <c r="G36" s="13">
        <v>61.0</v>
      </c>
      <c r="H36" s="13">
        <v>78.0</v>
      </c>
      <c r="I36" s="13">
        <v>71.0</v>
      </c>
      <c r="J36" s="13">
        <v>88.0</v>
      </c>
      <c r="K36" s="13">
        <v>70.0</v>
      </c>
      <c r="L36" s="13">
        <v>68.0</v>
      </c>
      <c r="M36" s="13">
        <v>46.0</v>
      </c>
      <c r="N36" s="13">
        <v>59.0</v>
      </c>
      <c r="O36" s="13">
        <v>48.0</v>
      </c>
      <c r="P36" s="13">
        <v>43.0</v>
      </c>
      <c r="Q36" s="13">
        <v>50.0</v>
      </c>
      <c r="R36" s="13">
        <v>65.0</v>
      </c>
      <c r="S36" s="13">
        <v>64.0</v>
      </c>
      <c r="T36" s="13">
        <v>66.0</v>
      </c>
      <c r="U36" s="13">
        <v>48.0</v>
      </c>
      <c r="V36" s="13">
        <v>61.0</v>
      </c>
      <c r="W36" s="13">
        <v>61.0</v>
      </c>
      <c r="X36" s="13">
        <v>60.0</v>
      </c>
      <c r="Y36" s="13">
        <v>73.0</v>
      </c>
      <c r="Z36" s="13">
        <v>47.0</v>
      </c>
      <c r="AA36" s="13">
        <f t="shared" si="3"/>
        <v>1343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6"/>
      <c r="S37" s="19"/>
      <c r="T37" s="19"/>
      <c r="U37" s="19"/>
      <c r="V37" s="19"/>
      <c r="W37" s="59"/>
      <c r="X37" s="62"/>
      <c r="Y37" s="62"/>
      <c r="Z37" s="62"/>
      <c r="AA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13"/>
      <c r="S38" s="13"/>
      <c r="T38" s="13"/>
      <c r="U38" s="13"/>
      <c r="V38" s="13"/>
      <c r="W38" s="61"/>
      <c r="X38" s="61"/>
      <c r="Y38" s="61"/>
      <c r="Z38" s="61"/>
      <c r="AA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4">SUM(E39:Z39)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4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Z41" si="5">SUM(E39:E40)</f>
        <v>0</v>
      </c>
      <c r="F41" s="13">
        <f t="shared" si="5"/>
        <v>0</v>
      </c>
      <c r="G41" s="13">
        <f t="shared" si="5"/>
        <v>0</v>
      </c>
      <c r="H41" s="13">
        <f t="shared" si="5"/>
        <v>0</v>
      </c>
      <c r="I41" s="13">
        <f t="shared" si="5"/>
        <v>0</v>
      </c>
      <c r="J41" s="13">
        <f t="shared" si="5"/>
        <v>0</v>
      </c>
      <c r="K41" s="13">
        <f t="shared" si="5"/>
        <v>0</v>
      </c>
      <c r="L41" s="13">
        <f t="shared" si="5"/>
        <v>0</v>
      </c>
      <c r="M41" s="13">
        <f t="shared" si="5"/>
        <v>0</v>
      </c>
      <c r="N41" s="13">
        <f t="shared" si="5"/>
        <v>0</v>
      </c>
      <c r="O41" s="13">
        <f t="shared" si="5"/>
        <v>0</v>
      </c>
      <c r="P41" s="13">
        <f t="shared" si="5"/>
        <v>0</v>
      </c>
      <c r="Q41" s="13">
        <f t="shared" si="5"/>
        <v>0</v>
      </c>
      <c r="R41" s="13">
        <f t="shared" si="5"/>
        <v>0</v>
      </c>
      <c r="S41" s="13">
        <f t="shared" si="5"/>
        <v>0</v>
      </c>
      <c r="T41" s="13">
        <f t="shared" si="5"/>
        <v>0</v>
      </c>
      <c r="U41" s="13">
        <f t="shared" si="5"/>
        <v>0</v>
      </c>
      <c r="V41" s="13">
        <f t="shared" si="5"/>
        <v>0</v>
      </c>
      <c r="W41" s="13">
        <f t="shared" si="5"/>
        <v>0</v>
      </c>
      <c r="X41" s="13">
        <f t="shared" si="5"/>
        <v>0</v>
      </c>
      <c r="Y41" s="13">
        <f t="shared" si="5"/>
        <v>0</v>
      </c>
      <c r="Z41" s="13">
        <f t="shared" si="5"/>
        <v>0</v>
      </c>
      <c r="AA41" s="13">
        <f t="shared" si="4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/>
      <c r="S42" s="19"/>
      <c r="T42" s="19"/>
      <c r="U42" s="19"/>
      <c r="V42" s="19"/>
      <c r="W42" s="59"/>
      <c r="X42" s="19"/>
      <c r="Y42" s="5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13"/>
      <c r="S43" s="13"/>
      <c r="T43" s="13"/>
      <c r="U43" s="13"/>
      <c r="V43" s="13"/>
      <c r="W43" s="61"/>
      <c r="X43" s="13"/>
      <c r="Y43" s="61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19"/>
      <c r="S44" s="19"/>
      <c r="T44" s="19"/>
      <c r="U44" s="19"/>
      <c r="V44" s="19"/>
      <c r="W44" s="59"/>
      <c r="X44" s="19"/>
      <c r="Y44" s="59"/>
      <c r="Z44" s="19"/>
      <c r="AA44" s="13"/>
    </row>
    <row r="45" ht="12.75" customHeight="1">
      <c r="A45" s="63"/>
      <c r="B45" s="47">
        <v>1.0</v>
      </c>
      <c r="C45" s="48" t="s">
        <v>37</v>
      </c>
      <c r="D45" s="16"/>
      <c r="E45" s="19">
        <v>34.0</v>
      </c>
      <c r="F45" s="19">
        <v>29.0</v>
      </c>
      <c r="G45" s="19">
        <v>25.0</v>
      </c>
      <c r="H45" s="19">
        <v>22.0</v>
      </c>
      <c r="I45" s="19">
        <v>17.0</v>
      </c>
      <c r="J45" s="19">
        <v>24.0</v>
      </c>
      <c r="K45" s="19">
        <v>33.0</v>
      </c>
      <c r="L45" s="19">
        <v>4.0</v>
      </c>
      <c r="M45" s="19">
        <v>14.0</v>
      </c>
      <c r="N45" s="19">
        <v>15.0</v>
      </c>
      <c r="O45" s="19">
        <v>26.0</v>
      </c>
      <c r="P45" s="19">
        <v>19.0</v>
      </c>
      <c r="Q45" s="19">
        <v>11.0</v>
      </c>
      <c r="R45" s="19">
        <v>12.0</v>
      </c>
      <c r="S45" s="19">
        <v>13.0</v>
      </c>
      <c r="T45" s="19">
        <v>8.0</v>
      </c>
      <c r="U45" s="19">
        <v>28.0</v>
      </c>
      <c r="V45" s="19">
        <v>32.0</v>
      </c>
      <c r="W45" s="19">
        <v>32.0</v>
      </c>
      <c r="X45" s="19">
        <v>24.0</v>
      </c>
      <c r="Y45" s="19">
        <v>10.0</v>
      </c>
      <c r="Z45" s="19">
        <v>7.0</v>
      </c>
      <c r="AA45" s="13">
        <f t="shared" ref="AA45:AA47" si="6">SUM(E45:Z45)</f>
        <v>439</v>
      </c>
    </row>
    <row r="46" ht="12.75" customHeight="1">
      <c r="A46" s="18"/>
      <c r="B46" s="47">
        <v>2.0</v>
      </c>
      <c r="C46" s="48" t="s">
        <v>38</v>
      </c>
      <c r="D46" s="16"/>
      <c r="E46" s="19">
        <v>138.0</v>
      </c>
      <c r="F46" s="19">
        <v>143.0</v>
      </c>
      <c r="G46" s="19">
        <v>122.0</v>
      </c>
      <c r="H46" s="19">
        <v>135.0</v>
      </c>
      <c r="I46" s="19">
        <v>153.0</v>
      </c>
      <c r="J46" s="19">
        <v>162.0</v>
      </c>
      <c r="K46" s="19">
        <v>128.0</v>
      </c>
      <c r="L46" s="19">
        <v>125.0</v>
      </c>
      <c r="M46" s="19">
        <v>164.0</v>
      </c>
      <c r="N46" s="19">
        <v>143.0</v>
      </c>
      <c r="O46" s="19">
        <v>149.0</v>
      </c>
      <c r="P46" s="19">
        <v>150.0</v>
      </c>
      <c r="Q46" s="19">
        <v>114.0</v>
      </c>
      <c r="R46" s="19">
        <v>144.0</v>
      </c>
      <c r="S46" s="19">
        <v>136.0</v>
      </c>
      <c r="T46" s="19">
        <v>123.0</v>
      </c>
      <c r="U46" s="19">
        <v>109.0</v>
      </c>
      <c r="V46" s="19">
        <v>143.0</v>
      </c>
      <c r="W46" s="19">
        <v>143.0</v>
      </c>
      <c r="X46" s="19">
        <v>162.0</v>
      </c>
      <c r="Y46" s="19">
        <v>175.0</v>
      </c>
      <c r="Z46" s="19">
        <v>171.0</v>
      </c>
      <c r="AA46" s="13">
        <f t="shared" si="6"/>
        <v>3132</v>
      </c>
    </row>
    <row r="47" ht="12.75" customHeight="1">
      <c r="A47" s="45"/>
      <c r="B47" s="47">
        <v>3.0</v>
      </c>
      <c r="C47" s="48" t="s">
        <v>39</v>
      </c>
      <c r="D47" s="16"/>
      <c r="E47" s="19">
        <v>29.0</v>
      </c>
      <c r="F47" s="19">
        <v>34.0</v>
      </c>
      <c r="G47" s="19">
        <v>21.0</v>
      </c>
      <c r="H47" s="19">
        <v>32.0</v>
      </c>
      <c r="I47" s="19">
        <v>31.0</v>
      </c>
      <c r="J47" s="19">
        <v>36.0</v>
      </c>
      <c r="K47" s="19">
        <v>36.0</v>
      </c>
      <c r="L47" s="19">
        <v>17.0</v>
      </c>
      <c r="M47" s="19">
        <v>18.0</v>
      </c>
      <c r="N47" s="19">
        <v>19.0</v>
      </c>
      <c r="O47" s="19">
        <v>25.0</v>
      </c>
      <c r="P47" s="19">
        <v>38.0</v>
      </c>
      <c r="Q47" s="19">
        <v>68.0</v>
      </c>
      <c r="R47" s="19">
        <v>52.0</v>
      </c>
      <c r="S47" s="19">
        <v>32.0</v>
      </c>
      <c r="T47" s="19">
        <v>33.0</v>
      </c>
      <c r="U47" s="19">
        <v>46.0</v>
      </c>
      <c r="V47" s="19">
        <v>30.0</v>
      </c>
      <c r="W47" s="19">
        <v>30.0</v>
      </c>
      <c r="X47" s="19">
        <v>54.0</v>
      </c>
      <c r="Y47" s="19">
        <v>35.0</v>
      </c>
      <c r="Z47" s="19">
        <v>45.0</v>
      </c>
      <c r="AA47" s="13">
        <f t="shared" si="6"/>
        <v>761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13"/>
      <c r="S49" s="13"/>
      <c r="T49" s="13"/>
      <c r="U49" s="13"/>
      <c r="V49" s="13"/>
      <c r="W49" s="61"/>
      <c r="X49" s="61"/>
      <c r="Y49" s="61"/>
      <c r="Z49" s="61"/>
      <c r="AA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Z50" si="7">SUM(E45:E47)</f>
        <v>201</v>
      </c>
      <c r="F50" s="19">
        <f t="shared" si="7"/>
        <v>206</v>
      </c>
      <c r="G50" s="19">
        <f t="shared" si="7"/>
        <v>168</v>
      </c>
      <c r="H50" s="19">
        <f t="shared" si="7"/>
        <v>189</v>
      </c>
      <c r="I50" s="19">
        <f t="shared" si="7"/>
        <v>201</v>
      </c>
      <c r="J50" s="19">
        <f t="shared" si="7"/>
        <v>222</v>
      </c>
      <c r="K50" s="19">
        <f t="shared" si="7"/>
        <v>197</v>
      </c>
      <c r="L50" s="19">
        <f t="shared" si="7"/>
        <v>146</v>
      </c>
      <c r="M50" s="19">
        <f t="shared" si="7"/>
        <v>196</v>
      </c>
      <c r="N50" s="19">
        <f t="shared" si="7"/>
        <v>177</v>
      </c>
      <c r="O50" s="19">
        <f t="shared" si="7"/>
        <v>200</v>
      </c>
      <c r="P50" s="19">
        <f t="shared" si="7"/>
        <v>207</v>
      </c>
      <c r="Q50" s="19">
        <f t="shared" si="7"/>
        <v>193</v>
      </c>
      <c r="R50" s="19">
        <f t="shared" si="7"/>
        <v>208</v>
      </c>
      <c r="S50" s="19">
        <f t="shared" si="7"/>
        <v>181</v>
      </c>
      <c r="T50" s="19">
        <f t="shared" si="7"/>
        <v>164</v>
      </c>
      <c r="U50" s="19">
        <f t="shared" si="7"/>
        <v>183</v>
      </c>
      <c r="V50" s="19">
        <f t="shared" si="7"/>
        <v>205</v>
      </c>
      <c r="W50" s="19">
        <f t="shared" si="7"/>
        <v>205</v>
      </c>
      <c r="X50" s="19">
        <f t="shared" si="7"/>
        <v>240</v>
      </c>
      <c r="Y50" s="19">
        <f t="shared" si="7"/>
        <v>220</v>
      </c>
      <c r="Z50" s="19">
        <f t="shared" si="7"/>
        <v>223</v>
      </c>
      <c r="AA50" s="13">
        <f t="shared" ref="AA50:AA52" si="8">SUM(E50:Z50)</f>
        <v>4332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11.0</v>
      </c>
      <c r="F51" s="19">
        <v>4.0</v>
      </c>
      <c r="G51" s="19">
        <v>3.0</v>
      </c>
      <c r="H51" s="19">
        <v>0.0</v>
      </c>
      <c r="I51" s="19">
        <v>5.0</v>
      </c>
      <c r="J51" s="19">
        <v>2.0</v>
      </c>
      <c r="K51" s="19">
        <v>3.0</v>
      </c>
      <c r="L51" s="19">
        <v>3.0</v>
      </c>
      <c r="M51" s="19">
        <v>7.0</v>
      </c>
      <c r="N51" s="19">
        <v>2.0</v>
      </c>
      <c r="O51" s="19">
        <v>9.0</v>
      </c>
      <c r="P51" s="19">
        <v>3.0</v>
      </c>
      <c r="Q51" s="19">
        <v>4.0</v>
      </c>
      <c r="R51" s="19">
        <v>5.0</v>
      </c>
      <c r="S51" s="19">
        <v>7.0</v>
      </c>
      <c r="T51" s="19">
        <v>1.0</v>
      </c>
      <c r="U51" s="19">
        <v>3.0</v>
      </c>
      <c r="V51" s="19">
        <v>2.0</v>
      </c>
      <c r="W51" s="19">
        <v>2.0</v>
      </c>
      <c r="X51" s="19">
        <v>3.0</v>
      </c>
      <c r="Y51" s="19">
        <v>5.0</v>
      </c>
      <c r="Z51" s="19">
        <v>5.0</v>
      </c>
      <c r="AA51" s="13">
        <f t="shared" si="8"/>
        <v>89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Z52" si="9">SUM(E50:E51)</f>
        <v>212</v>
      </c>
      <c r="F52" s="13">
        <f t="shared" si="9"/>
        <v>210</v>
      </c>
      <c r="G52" s="13">
        <f t="shared" si="9"/>
        <v>171</v>
      </c>
      <c r="H52" s="13">
        <f t="shared" si="9"/>
        <v>189</v>
      </c>
      <c r="I52" s="13">
        <f t="shared" si="9"/>
        <v>206</v>
      </c>
      <c r="J52" s="13">
        <f t="shared" si="9"/>
        <v>224</v>
      </c>
      <c r="K52" s="13">
        <f t="shared" si="9"/>
        <v>200</v>
      </c>
      <c r="L52" s="13">
        <f t="shared" si="9"/>
        <v>149</v>
      </c>
      <c r="M52" s="13">
        <f t="shared" si="9"/>
        <v>203</v>
      </c>
      <c r="N52" s="13">
        <f t="shared" si="9"/>
        <v>179</v>
      </c>
      <c r="O52" s="13">
        <f t="shared" si="9"/>
        <v>209</v>
      </c>
      <c r="P52" s="13">
        <f t="shared" si="9"/>
        <v>210</v>
      </c>
      <c r="Q52" s="13">
        <f t="shared" si="9"/>
        <v>197</v>
      </c>
      <c r="R52" s="13">
        <f t="shared" si="9"/>
        <v>213</v>
      </c>
      <c r="S52" s="13">
        <f t="shared" si="9"/>
        <v>188</v>
      </c>
      <c r="T52" s="13">
        <f t="shared" si="9"/>
        <v>165</v>
      </c>
      <c r="U52" s="13">
        <f t="shared" si="9"/>
        <v>186</v>
      </c>
      <c r="V52" s="13">
        <f t="shared" si="9"/>
        <v>207</v>
      </c>
      <c r="W52" s="13">
        <f t="shared" si="9"/>
        <v>207</v>
      </c>
      <c r="X52" s="13">
        <f t="shared" si="9"/>
        <v>243</v>
      </c>
      <c r="Y52" s="13">
        <f t="shared" si="9"/>
        <v>225</v>
      </c>
      <c r="Z52" s="13">
        <f t="shared" si="9"/>
        <v>228</v>
      </c>
      <c r="AA52" s="13">
        <f t="shared" si="8"/>
        <v>4421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R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R42"/>
    <mergeCell ref="B43:D43"/>
    <mergeCell ref="A44:D44"/>
    <mergeCell ref="C45:D45"/>
  </mergeCells>
  <conditionalFormatting sqref="E14:Z15 E45:Z47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E30&lt;&gt;E46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E34&lt;&gt;#REF!</formula>
    </cfRule>
  </conditionalFormatting>
  <conditionalFormatting sqref="E50:Z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123.0</v>
      </c>
      <c r="F14" s="19">
        <v>126.0</v>
      </c>
      <c r="G14" s="19">
        <v>140.0</v>
      </c>
      <c r="H14" s="19">
        <v>149.0</v>
      </c>
      <c r="I14" s="19">
        <v>141.0</v>
      </c>
      <c r="J14" s="19">
        <v>133.0</v>
      </c>
      <c r="K14" s="19">
        <v>140.0</v>
      </c>
      <c r="L14" s="19">
        <v>143.0</v>
      </c>
      <c r="M14" s="19">
        <v>128.0</v>
      </c>
      <c r="N14" s="19">
        <v>131.0</v>
      </c>
      <c r="O14" s="19">
        <v>126.0</v>
      </c>
      <c r="P14" s="19">
        <v>120.0</v>
      </c>
      <c r="Q14" s="19">
        <v>133.0</v>
      </c>
      <c r="R14" s="19">
        <v>139.0</v>
      </c>
      <c r="S14" s="19">
        <v>136.0</v>
      </c>
      <c r="T14" s="19">
        <v>139.0</v>
      </c>
      <c r="U14" s="19">
        <v>134.0</v>
      </c>
      <c r="V14" s="19">
        <v>136.0</v>
      </c>
      <c r="W14" s="19">
        <v>146.0</v>
      </c>
      <c r="X14" s="19">
        <v>127.0</v>
      </c>
      <c r="Y14" s="19">
        <v>128.0</v>
      </c>
      <c r="Z14" s="19">
        <v>132.0</v>
      </c>
      <c r="AA14" s="19">
        <v>133.0</v>
      </c>
      <c r="AB14" s="19">
        <v>122.0</v>
      </c>
      <c r="AC14" s="13">
        <f t="shared" ref="AC14:AC16" si="1">SUM(E14:AB14)</f>
        <v>3205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131.0</v>
      </c>
      <c r="G15" s="19">
        <v>129.0</v>
      </c>
      <c r="H15" s="19">
        <v>138.0</v>
      </c>
      <c r="I15" s="19">
        <v>132.0</v>
      </c>
      <c r="J15" s="19">
        <v>144.0</v>
      </c>
      <c r="K15" s="19">
        <v>136.0</v>
      </c>
      <c r="L15" s="19">
        <v>148.0</v>
      </c>
      <c r="M15" s="19">
        <v>127.0</v>
      </c>
      <c r="N15" s="19">
        <v>123.0</v>
      </c>
      <c r="O15" s="19">
        <v>129.0</v>
      </c>
      <c r="P15" s="19">
        <v>117.0</v>
      </c>
      <c r="Q15" s="19">
        <v>120.0</v>
      </c>
      <c r="R15" s="19">
        <v>153.0</v>
      </c>
      <c r="S15" s="19">
        <v>135.0</v>
      </c>
      <c r="T15" s="19">
        <v>142.0</v>
      </c>
      <c r="U15" s="19">
        <v>130.0</v>
      </c>
      <c r="V15" s="19">
        <v>157.0</v>
      </c>
      <c r="W15" s="19">
        <v>133.0</v>
      </c>
      <c r="X15" s="19">
        <v>162.0</v>
      </c>
      <c r="Y15" s="19">
        <v>127.0</v>
      </c>
      <c r="Z15" s="19">
        <v>145.0</v>
      </c>
      <c r="AA15" s="19">
        <v>124.0</v>
      </c>
      <c r="AB15" s="19">
        <v>112.0</v>
      </c>
      <c r="AC15" s="13">
        <f t="shared" si="1"/>
        <v>3240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269</v>
      </c>
      <c r="F16" s="13">
        <f t="shared" si="2"/>
        <v>257</v>
      </c>
      <c r="G16" s="13">
        <f t="shared" si="2"/>
        <v>269</v>
      </c>
      <c r="H16" s="13">
        <f t="shared" si="2"/>
        <v>287</v>
      </c>
      <c r="I16" s="13">
        <f t="shared" si="2"/>
        <v>273</v>
      </c>
      <c r="J16" s="13">
        <f t="shared" si="2"/>
        <v>277</v>
      </c>
      <c r="K16" s="13">
        <f t="shared" si="2"/>
        <v>276</v>
      </c>
      <c r="L16" s="13">
        <f t="shared" si="2"/>
        <v>291</v>
      </c>
      <c r="M16" s="13">
        <f t="shared" si="2"/>
        <v>255</v>
      </c>
      <c r="N16" s="13">
        <f t="shared" si="2"/>
        <v>254</v>
      </c>
      <c r="O16" s="13">
        <f t="shared" si="2"/>
        <v>255</v>
      </c>
      <c r="P16" s="13">
        <f t="shared" si="2"/>
        <v>237</v>
      </c>
      <c r="Q16" s="13">
        <f t="shared" si="2"/>
        <v>253</v>
      </c>
      <c r="R16" s="13">
        <f t="shared" si="2"/>
        <v>292</v>
      </c>
      <c r="S16" s="13">
        <f t="shared" si="2"/>
        <v>271</v>
      </c>
      <c r="T16" s="13">
        <f t="shared" si="2"/>
        <v>281</v>
      </c>
      <c r="U16" s="13">
        <f t="shared" si="2"/>
        <v>264</v>
      </c>
      <c r="V16" s="13">
        <f t="shared" si="2"/>
        <v>293</v>
      </c>
      <c r="W16" s="13">
        <f t="shared" si="2"/>
        <v>279</v>
      </c>
      <c r="X16" s="13">
        <f t="shared" si="2"/>
        <v>289</v>
      </c>
      <c r="Y16" s="13">
        <f t="shared" si="2"/>
        <v>255</v>
      </c>
      <c r="Z16" s="13">
        <f t="shared" si="2"/>
        <v>277</v>
      </c>
      <c r="AA16" s="13">
        <f t="shared" si="2"/>
        <v>257</v>
      </c>
      <c r="AB16" s="13">
        <f t="shared" si="2"/>
        <v>234</v>
      </c>
      <c r="AC16" s="13">
        <f t="shared" si="1"/>
        <v>6445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100.0</v>
      </c>
      <c r="G19" s="19">
        <v>104.0</v>
      </c>
      <c r="H19" s="19">
        <v>110.0</v>
      </c>
      <c r="I19" s="19">
        <v>120.0</v>
      </c>
      <c r="J19" s="19">
        <v>101.0</v>
      </c>
      <c r="K19" s="19">
        <v>105.0</v>
      </c>
      <c r="L19" s="19">
        <v>112.0</v>
      </c>
      <c r="M19" s="19">
        <v>104.0</v>
      </c>
      <c r="N19" s="19">
        <v>99.0</v>
      </c>
      <c r="O19" s="19">
        <v>95.0</v>
      </c>
      <c r="P19" s="19">
        <v>92.0</v>
      </c>
      <c r="Q19" s="19">
        <v>91.0</v>
      </c>
      <c r="R19" s="19">
        <v>106.0</v>
      </c>
      <c r="S19" s="19">
        <v>91.0</v>
      </c>
      <c r="T19" s="19">
        <v>100.0</v>
      </c>
      <c r="U19" s="19">
        <v>102.0</v>
      </c>
      <c r="V19" s="19">
        <v>104.0</v>
      </c>
      <c r="W19" s="19">
        <v>116.0</v>
      </c>
      <c r="X19" s="19">
        <v>106.0</v>
      </c>
      <c r="Y19" s="19">
        <v>93.0</v>
      </c>
      <c r="Z19" s="19">
        <v>102.0</v>
      </c>
      <c r="AA19" s="19">
        <v>101.0</v>
      </c>
      <c r="AB19" s="19">
        <v>97.0</v>
      </c>
      <c r="AC19" s="13">
        <f t="shared" ref="AC19:AC30" si="3">SUM(E19:AB19)</f>
        <v>2440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107.0</v>
      </c>
      <c r="G20" s="19">
        <v>103.0</v>
      </c>
      <c r="H20" s="19">
        <v>110.0</v>
      </c>
      <c r="I20" s="19">
        <v>114.0</v>
      </c>
      <c r="J20" s="19">
        <v>116.0</v>
      </c>
      <c r="K20" s="19">
        <v>112.0</v>
      </c>
      <c r="L20" s="19">
        <v>123.0</v>
      </c>
      <c r="M20" s="19">
        <v>110.0</v>
      </c>
      <c r="N20" s="19">
        <v>98.0</v>
      </c>
      <c r="O20" s="19">
        <v>102.0</v>
      </c>
      <c r="P20" s="19">
        <v>93.0</v>
      </c>
      <c r="Q20" s="19">
        <v>86.0</v>
      </c>
      <c r="R20" s="19">
        <v>121.0</v>
      </c>
      <c r="S20" s="19">
        <v>107.0</v>
      </c>
      <c r="T20" s="19">
        <v>109.0</v>
      </c>
      <c r="U20" s="19">
        <v>106.0</v>
      </c>
      <c r="V20" s="19">
        <v>119.0</v>
      </c>
      <c r="W20" s="19">
        <v>110.0</v>
      </c>
      <c r="X20" s="19">
        <v>133.0</v>
      </c>
      <c r="Y20" s="19">
        <v>99.0</v>
      </c>
      <c r="Z20" s="19">
        <v>107.0</v>
      </c>
      <c r="AA20" s="19">
        <v>110.0</v>
      </c>
      <c r="AB20" s="19">
        <v>87.0</v>
      </c>
      <c r="AC20" s="13">
        <f t="shared" si="3"/>
        <v>2597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204</v>
      </c>
      <c r="F21" s="13">
        <f t="shared" si="4"/>
        <v>207</v>
      </c>
      <c r="G21" s="13">
        <f t="shared" si="4"/>
        <v>207</v>
      </c>
      <c r="H21" s="13">
        <f t="shared" si="4"/>
        <v>220</v>
      </c>
      <c r="I21" s="13">
        <f t="shared" si="4"/>
        <v>234</v>
      </c>
      <c r="J21" s="13">
        <f t="shared" si="4"/>
        <v>217</v>
      </c>
      <c r="K21" s="13">
        <f t="shared" si="4"/>
        <v>217</v>
      </c>
      <c r="L21" s="13">
        <f t="shared" si="4"/>
        <v>235</v>
      </c>
      <c r="M21" s="13">
        <f t="shared" si="4"/>
        <v>214</v>
      </c>
      <c r="N21" s="13">
        <f t="shared" si="4"/>
        <v>197</v>
      </c>
      <c r="O21" s="13">
        <f t="shared" si="4"/>
        <v>197</v>
      </c>
      <c r="P21" s="13">
        <f t="shared" si="4"/>
        <v>185</v>
      </c>
      <c r="Q21" s="13">
        <f t="shared" si="4"/>
        <v>177</v>
      </c>
      <c r="R21" s="13">
        <f t="shared" si="4"/>
        <v>227</v>
      </c>
      <c r="S21" s="13">
        <f t="shared" si="4"/>
        <v>198</v>
      </c>
      <c r="T21" s="13">
        <f t="shared" si="4"/>
        <v>209</v>
      </c>
      <c r="U21" s="13">
        <f t="shared" si="4"/>
        <v>208</v>
      </c>
      <c r="V21" s="13">
        <f t="shared" si="4"/>
        <v>223</v>
      </c>
      <c r="W21" s="13">
        <f t="shared" si="4"/>
        <v>226</v>
      </c>
      <c r="X21" s="13">
        <f t="shared" si="4"/>
        <v>239</v>
      </c>
      <c r="Y21" s="13">
        <f t="shared" si="4"/>
        <v>192</v>
      </c>
      <c r="Z21" s="13">
        <f t="shared" si="4"/>
        <v>209</v>
      </c>
      <c r="AA21" s="13">
        <f t="shared" si="4"/>
        <v>211</v>
      </c>
      <c r="AB21" s="13">
        <f t="shared" si="4"/>
        <v>184</v>
      </c>
      <c r="AC21" s="13">
        <f t="shared" si="3"/>
        <v>5037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v>0.0</v>
      </c>
      <c r="U24" s="13">
        <f t="shared" ref="U24:AB24" si="6">SUM(U22:U23)</f>
        <v>0</v>
      </c>
      <c r="V24" s="13">
        <f t="shared" si="6"/>
        <v>0</v>
      </c>
      <c r="W24" s="13">
        <f t="shared" si="6"/>
        <v>0</v>
      </c>
      <c r="X24" s="13">
        <f t="shared" si="6"/>
        <v>0</v>
      </c>
      <c r="Y24" s="13">
        <f t="shared" si="6"/>
        <v>0</v>
      </c>
      <c r="Z24" s="13">
        <f t="shared" si="6"/>
        <v>0</v>
      </c>
      <c r="AA24" s="13">
        <f t="shared" si="6"/>
        <v>0</v>
      </c>
      <c r="AB24" s="13">
        <f t="shared" si="6"/>
        <v>1</v>
      </c>
      <c r="AC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1.0</v>
      </c>
      <c r="H25" s="19">
        <v>1.0</v>
      </c>
      <c r="I25" s="19">
        <v>0.0</v>
      </c>
      <c r="J25" s="19">
        <v>0.0</v>
      </c>
      <c r="K25" s="19">
        <v>0.0</v>
      </c>
      <c r="L25" s="19">
        <v>1.0</v>
      </c>
      <c r="M25" s="19">
        <v>0.0</v>
      </c>
      <c r="N25" s="19">
        <v>0.0</v>
      </c>
      <c r="O25" s="19">
        <v>3.0</v>
      </c>
      <c r="P25" s="19">
        <v>1.0</v>
      </c>
      <c r="Q25" s="19">
        <v>2.0</v>
      </c>
      <c r="R25" s="19">
        <v>3.0</v>
      </c>
      <c r="S25" s="19">
        <v>0.0</v>
      </c>
      <c r="T25" s="19">
        <v>0.0</v>
      </c>
      <c r="U25" s="19">
        <v>0.0</v>
      </c>
      <c r="V25" s="19">
        <v>1.0</v>
      </c>
      <c r="W25" s="19">
        <v>0.0</v>
      </c>
      <c r="X25" s="19">
        <v>0.0</v>
      </c>
      <c r="Y25" s="19">
        <v>0.0</v>
      </c>
      <c r="Z25" s="19">
        <v>0.0</v>
      </c>
      <c r="AA25" s="19">
        <v>1.0</v>
      </c>
      <c r="AB25" s="19">
        <v>0.0</v>
      </c>
      <c r="AC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1.0</v>
      </c>
      <c r="I26" s="19">
        <v>0.0</v>
      </c>
      <c r="J26" s="19">
        <v>2.0</v>
      </c>
      <c r="K26" s="19">
        <v>0.0</v>
      </c>
      <c r="L26" s="19">
        <v>0.0</v>
      </c>
      <c r="M26" s="19">
        <v>0.0</v>
      </c>
      <c r="N26" s="19">
        <v>0.0</v>
      </c>
      <c r="O26" s="19">
        <v>1.0</v>
      </c>
      <c r="P26" s="19">
        <v>0.0</v>
      </c>
      <c r="Q26" s="19">
        <v>1.0</v>
      </c>
      <c r="R26" s="19">
        <v>0.0</v>
      </c>
      <c r="S26" s="19">
        <v>0.0</v>
      </c>
      <c r="T26" s="19">
        <v>1.0</v>
      </c>
      <c r="U26" s="19">
        <v>0.0</v>
      </c>
      <c r="V26" s="19">
        <v>0.0</v>
      </c>
      <c r="W26" s="19">
        <v>1.0</v>
      </c>
      <c r="X26" s="19">
        <v>0.0</v>
      </c>
      <c r="Y26" s="19">
        <v>0.0</v>
      </c>
      <c r="Z26" s="19">
        <v>1.0</v>
      </c>
      <c r="AA26" s="19">
        <v>1.0</v>
      </c>
      <c r="AB26" s="19">
        <v>2.0</v>
      </c>
      <c r="AC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AB27" si="7">SUM(E25:E26)</f>
        <v>0</v>
      </c>
      <c r="F27" s="13">
        <f t="shared" si="7"/>
        <v>2</v>
      </c>
      <c r="G27" s="13">
        <f t="shared" si="7"/>
        <v>1</v>
      </c>
      <c r="H27" s="13">
        <f t="shared" si="7"/>
        <v>2</v>
      </c>
      <c r="I27" s="13">
        <f t="shared" si="7"/>
        <v>0</v>
      </c>
      <c r="J27" s="13">
        <f t="shared" si="7"/>
        <v>2</v>
      </c>
      <c r="K27" s="13">
        <f t="shared" si="7"/>
        <v>0</v>
      </c>
      <c r="L27" s="13">
        <f t="shared" si="7"/>
        <v>1</v>
      </c>
      <c r="M27" s="13">
        <f t="shared" si="7"/>
        <v>0</v>
      </c>
      <c r="N27" s="13">
        <f t="shared" si="7"/>
        <v>0</v>
      </c>
      <c r="O27" s="13">
        <f t="shared" si="7"/>
        <v>4</v>
      </c>
      <c r="P27" s="13">
        <f t="shared" si="7"/>
        <v>1</v>
      </c>
      <c r="Q27" s="13">
        <f t="shared" si="7"/>
        <v>3</v>
      </c>
      <c r="R27" s="13">
        <f t="shared" si="7"/>
        <v>3</v>
      </c>
      <c r="S27" s="13">
        <f t="shared" si="7"/>
        <v>0</v>
      </c>
      <c r="T27" s="13">
        <f t="shared" si="7"/>
        <v>1</v>
      </c>
      <c r="U27" s="13">
        <f t="shared" si="7"/>
        <v>0</v>
      </c>
      <c r="V27" s="13">
        <f t="shared" si="7"/>
        <v>1</v>
      </c>
      <c r="W27" s="13">
        <f t="shared" si="7"/>
        <v>1</v>
      </c>
      <c r="X27" s="13">
        <f t="shared" si="7"/>
        <v>0</v>
      </c>
      <c r="Y27" s="13">
        <f t="shared" si="7"/>
        <v>0</v>
      </c>
      <c r="Z27" s="13">
        <f t="shared" si="7"/>
        <v>1</v>
      </c>
      <c r="AA27" s="13">
        <f t="shared" si="7"/>
        <v>2</v>
      </c>
      <c r="AB27" s="13">
        <f t="shared" si="7"/>
        <v>2</v>
      </c>
      <c r="AC27" s="13">
        <f t="shared" si="3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8">SUM(E19,E22,E25)</f>
        <v>89</v>
      </c>
      <c r="F28" s="13">
        <f t="shared" si="8"/>
        <v>101</v>
      </c>
      <c r="G28" s="13">
        <f t="shared" si="8"/>
        <v>105</v>
      </c>
      <c r="H28" s="13">
        <f t="shared" si="8"/>
        <v>111</v>
      </c>
      <c r="I28" s="13">
        <f t="shared" si="8"/>
        <v>120</v>
      </c>
      <c r="J28" s="13">
        <f t="shared" si="8"/>
        <v>101</v>
      </c>
      <c r="K28" s="13">
        <f t="shared" si="8"/>
        <v>105</v>
      </c>
      <c r="L28" s="13">
        <f t="shared" si="8"/>
        <v>113</v>
      </c>
      <c r="M28" s="13">
        <f t="shared" si="8"/>
        <v>104</v>
      </c>
      <c r="N28" s="13">
        <f t="shared" si="8"/>
        <v>99</v>
      </c>
      <c r="O28" s="13">
        <f t="shared" si="8"/>
        <v>98</v>
      </c>
      <c r="P28" s="13">
        <f t="shared" si="8"/>
        <v>93</v>
      </c>
      <c r="Q28" s="13">
        <f t="shared" si="8"/>
        <v>93</v>
      </c>
      <c r="R28" s="13">
        <f t="shared" si="8"/>
        <v>109</v>
      </c>
      <c r="S28" s="13">
        <f t="shared" si="8"/>
        <v>91</v>
      </c>
      <c r="T28" s="13">
        <f t="shared" si="8"/>
        <v>100</v>
      </c>
      <c r="U28" s="13">
        <f t="shared" si="8"/>
        <v>102</v>
      </c>
      <c r="V28" s="13">
        <f t="shared" si="8"/>
        <v>105</v>
      </c>
      <c r="W28" s="13">
        <f t="shared" si="8"/>
        <v>116</v>
      </c>
      <c r="X28" s="13">
        <f t="shared" si="8"/>
        <v>106</v>
      </c>
      <c r="Y28" s="13">
        <f t="shared" si="8"/>
        <v>93</v>
      </c>
      <c r="Z28" s="13">
        <f t="shared" si="8"/>
        <v>102</v>
      </c>
      <c r="AA28" s="13">
        <f t="shared" si="8"/>
        <v>102</v>
      </c>
      <c r="AB28" s="13">
        <f t="shared" si="8"/>
        <v>98</v>
      </c>
      <c r="AC28" s="13">
        <f t="shared" si="3"/>
        <v>2456</v>
      </c>
    </row>
    <row r="29" ht="12.75" customHeight="1">
      <c r="A29" s="35"/>
      <c r="B29" s="27"/>
      <c r="C29" s="34"/>
      <c r="D29" s="13" t="s">
        <v>13</v>
      </c>
      <c r="E29" s="13">
        <f t="shared" ref="E29:AB29" si="9">SUM(E20,E23,E26)</f>
        <v>115</v>
      </c>
      <c r="F29" s="13">
        <f t="shared" si="9"/>
        <v>109</v>
      </c>
      <c r="G29" s="13">
        <f t="shared" si="9"/>
        <v>103</v>
      </c>
      <c r="H29" s="13">
        <f t="shared" si="9"/>
        <v>111</v>
      </c>
      <c r="I29" s="13">
        <f t="shared" si="9"/>
        <v>114</v>
      </c>
      <c r="J29" s="13">
        <f t="shared" si="9"/>
        <v>118</v>
      </c>
      <c r="K29" s="13">
        <f t="shared" si="9"/>
        <v>112</v>
      </c>
      <c r="L29" s="13">
        <f t="shared" si="9"/>
        <v>123</v>
      </c>
      <c r="M29" s="13">
        <f t="shared" si="9"/>
        <v>110</v>
      </c>
      <c r="N29" s="13">
        <f t="shared" si="9"/>
        <v>98</v>
      </c>
      <c r="O29" s="13">
        <f t="shared" si="9"/>
        <v>103</v>
      </c>
      <c r="P29" s="13">
        <f t="shared" si="9"/>
        <v>93</v>
      </c>
      <c r="Q29" s="13">
        <f t="shared" si="9"/>
        <v>87</v>
      </c>
      <c r="R29" s="13">
        <f t="shared" si="9"/>
        <v>122</v>
      </c>
      <c r="S29" s="13">
        <f t="shared" si="9"/>
        <v>107</v>
      </c>
      <c r="T29" s="13">
        <f t="shared" si="9"/>
        <v>110</v>
      </c>
      <c r="U29" s="13">
        <f t="shared" si="9"/>
        <v>106</v>
      </c>
      <c r="V29" s="13">
        <f t="shared" si="9"/>
        <v>119</v>
      </c>
      <c r="W29" s="13">
        <f t="shared" si="9"/>
        <v>111</v>
      </c>
      <c r="X29" s="13">
        <f t="shared" si="9"/>
        <v>133</v>
      </c>
      <c r="Y29" s="13">
        <f t="shared" si="9"/>
        <v>99</v>
      </c>
      <c r="Z29" s="13">
        <f t="shared" si="9"/>
        <v>108</v>
      </c>
      <c r="AA29" s="13">
        <f t="shared" si="9"/>
        <v>111</v>
      </c>
      <c r="AB29" s="13">
        <f t="shared" si="9"/>
        <v>89</v>
      </c>
      <c r="AC29" s="13">
        <f t="shared" si="3"/>
        <v>2611</v>
      </c>
    </row>
    <row r="30" ht="12.75" customHeight="1">
      <c r="A30" s="35"/>
      <c r="B30" s="28"/>
      <c r="C30" s="36"/>
      <c r="D30" s="13" t="s">
        <v>14</v>
      </c>
      <c r="E30" s="13">
        <f t="shared" ref="E30:AB30" si="10">SUM(E28:E29)</f>
        <v>204</v>
      </c>
      <c r="F30" s="13">
        <f t="shared" si="10"/>
        <v>210</v>
      </c>
      <c r="G30" s="13">
        <f t="shared" si="10"/>
        <v>208</v>
      </c>
      <c r="H30" s="13">
        <f t="shared" si="10"/>
        <v>222</v>
      </c>
      <c r="I30" s="13">
        <f t="shared" si="10"/>
        <v>234</v>
      </c>
      <c r="J30" s="13">
        <f t="shared" si="10"/>
        <v>219</v>
      </c>
      <c r="K30" s="13">
        <f t="shared" si="10"/>
        <v>217</v>
      </c>
      <c r="L30" s="13">
        <f t="shared" si="10"/>
        <v>236</v>
      </c>
      <c r="M30" s="13">
        <f t="shared" si="10"/>
        <v>214</v>
      </c>
      <c r="N30" s="13">
        <f t="shared" si="10"/>
        <v>197</v>
      </c>
      <c r="O30" s="13">
        <f t="shared" si="10"/>
        <v>201</v>
      </c>
      <c r="P30" s="13">
        <f t="shared" si="10"/>
        <v>186</v>
      </c>
      <c r="Q30" s="13">
        <f t="shared" si="10"/>
        <v>180</v>
      </c>
      <c r="R30" s="13">
        <f t="shared" si="10"/>
        <v>231</v>
      </c>
      <c r="S30" s="13">
        <f t="shared" si="10"/>
        <v>198</v>
      </c>
      <c r="T30" s="13">
        <f t="shared" si="10"/>
        <v>210</v>
      </c>
      <c r="U30" s="13">
        <f t="shared" si="10"/>
        <v>208</v>
      </c>
      <c r="V30" s="13">
        <f t="shared" si="10"/>
        <v>224</v>
      </c>
      <c r="W30" s="13">
        <f t="shared" si="10"/>
        <v>227</v>
      </c>
      <c r="X30" s="13">
        <f t="shared" si="10"/>
        <v>239</v>
      </c>
      <c r="Y30" s="13">
        <f t="shared" si="10"/>
        <v>192</v>
      </c>
      <c r="Z30" s="13">
        <f t="shared" si="10"/>
        <v>210</v>
      </c>
      <c r="AA30" s="13">
        <f t="shared" si="10"/>
        <v>213</v>
      </c>
      <c r="AB30" s="13">
        <f t="shared" si="10"/>
        <v>187</v>
      </c>
      <c r="AC30" s="13">
        <f t="shared" si="3"/>
        <v>5067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60"/>
    </row>
    <row r="33" ht="12.75" customHeight="1">
      <c r="A33" s="19">
        <v>1.0</v>
      </c>
      <c r="B33" s="20" t="s">
        <v>27</v>
      </c>
      <c r="C33" s="15"/>
      <c r="D33" s="16"/>
      <c r="E33" s="19">
        <v>275.0</v>
      </c>
      <c r="F33" s="19">
        <v>263.0</v>
      </c>
      <c r="G33" s="19">
        <v>275.0</v>
      </c>
      <c r="H33" s="19">
        <v>294.0</v>
      </c>
      <c r="I33" s="19">
        <v>279.0</v>
      </c>
      <c r="J33" s="19">
        <v>283.0</v>
      </c>
      <c r="K33" s="19">
        <v>282.0</v>
      </c>
      <c r="L33" s="19">
        <v>299.0</v>
      </c>
      <c r="M33" s="19">
        <v>262.0</v>
      </c>
      <c r="N33" s="19">
        <v>261.0</v>
      </c>
      <c r="O33" s="19">
        <v>261.0</v>
      </c>
      <c r="P33" s="19">
        <v>241.0</v>
      </c>
      <c r="Q33" s="19">
        <v>254.0</v>
      </c>
      <c r="R33" s="19">
        <v>298.0</v>
      </c>
      <c r="S33" s="19">
        <v>279.0</v>
      </c>
      <c r="T33" s="19">
        <v>288.0</v>
      </c>
      <c r="U33" s="19">
        <v>270.0</v>
      </c>
      <c r="V33" s="19">
        <v>294.0</v>
      </c>
      <c r="W33" s="19">
        <v>285.0</v>
      </c>
      <c r="X33" s="19">
        <v>295.0</v>
      </c>
      <c r="Y33" s="19">
        <v>261.0</v>
      </c>
      <c r="Z33" s="19">
        <v>279.0</v>
      </c>
      <c r="AA33" s="19">
        <v>263.0</v>
      </c>
      <c r="AB33" s="19">
        <v>239.0</v>
      </c>
      <c r="AC33" s="13">
        <f t="shared" ref="AC33:AC36" si="11">SUM(E33:AB33)</f>
        <v>6580</v>
      </c>
    </row>
    <row r="34" ht="12.75" customHeight="1">
      <c r="A34" s="19">
        <v>2.0</v>
      </c>
      <c r="B34" s="20" t="s">
        <v>28</v>
      </c>
      <c r="C34" s="15"/>
      <c r="D34" s="16"/>
      <c r="E34" s="13">
        <v>204.0</v>
      </c>
      <c r="F34" s="13">
        <v>210.0</v>
      </c>
      <c r="G34" s="13">
        <v>208.0</v>
      </c>
      <c r="H34" s="13">
        <v>222.0</v>
      </c>
      <c r="I34" s="13">
        <v>234.0</v>
      </c>
      <c r="J34" s="13">
        <v>219.0</v>
      </c>
      <c r="K34" s="13">
        <v>217.0</v>
      </c>
      <c r="L34" s="13">
        <v>236.0</v>
      </c>
      <c r="M34" s="13">
        <v>214.0</v>
      </c>
      <c r="N34" s="13">
        <v>197.0</v>
      </c>
      <c r="O34" s="13">
        <v>201.0</v>
      </c>
      <c r="P34" s="13">
        <v>186.0</v>
      </c>
      <c r="Q34" s="13">
        <v>180.0</v>
      </c>
      <c r="R34" s="13">
        <v>231.0</v>
      </c>
      <c r="S34" s="13">
        <v>198.0</v>
      </c>
      <c r="T34" s="13">
        <v>210.0</v>
      </c>
      <c r="U34" s="13">
        <v>208.0</v>
      </c>
      <c r="V34" s="13">
        <v>224.0</v>
      </c>
      <c r="W34" s="13">
        <v>227.0</v>
      </c>
      <c r="X34" s="13">
        <v>239.0</v>
      </c>
      <c r="Y34" s="13">
        <v>192.0</v>
      </c>
      <c r="Z34" s="13">
        <v>210.0</v>
      </c>
      <c r="AA34" s="13">
        <v>213.0</v>
      </c>
      <c r="AB34" s="13">
        <v>187.0</v>
      </c>
      <c r="AC34" s="13">
        <f t="shared" si="11"/>
        <v>5067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3">
        <f t="shared" si="11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2">E33-(E34+E35)</f>
        <v>71</v>
      </c>
      <c r="F36" s="13">
        <f t="shared" si="12"/>
        <v>53</v>
      </c>
      <c r="G36" s="13">
        <f t="shared" si="12"/>
        <v>67</v>
      </c>
      <c r="H36" s="13">
        <f t="shared" si="12"/>
        <v>71</v>
      </c>
      <c r="I36" s="13">
        <f t="shared" si="12"/>
        <v>45</v>
      </c>
      <c r="J36" s="13">
        <f t="shared" si="12"/>
        <v>64</v>
      </c>
      <c r="K36" s="13">
        <f t="shared" si="12"/>
        <v>65</v>
      </c>
      <c r="L36" s="13">
        <f t="shared" si="12"/>
        <v>63</v>
      </c>
      <c r="M36" s="13">
        <f t="shared" si="12"/>
        <v>48</v>
      </c>
      <c r="N36" s="13">
        <f t="shared" si="12"/>
        <v>64</v>
      </c>
      <c r="O36" s="13">
        <f t="shared" si="12"/>
        <v>60</v>
      </c>
      <c r="P36" s="13">
        <f t="shared" si="12"/>
        <v>55</v>
      </c>
      <c r="Q36" s="13">
        <f t="shared" si="12"/>
        <v>74</v>
      </c>
      <c r="R36" s="13">
        <f t="shared" si="12"/>
        <v>67</v>
      </c>
      <c r="S36" s="13">
        <f t="shared" si="12"/>
        <v>81</v>
      </c>
      <c r="T36" s="13">
        <f t="shared" si="12"/>
        <v>78</v>
      </c>
      <c r="U36" s="13">
        <f t="shared" si="12"/>
        <v>62</v>
      </c>
      <c r="V36" s="13">
        <f t="shared" si="12"/>
        <v>69</v>
      </c>
      <c r="W36" s="13">
        <f t="shared" si="12"/>
        <v>58</v>
      </c>
      <c r="X36" s="13">
        <f t="shared" si="12"/>
        <v>56</v>
      </c>
      <c r="Y36" s="13">
        <f t="shared" si="12"/>
        <v>69</v>
      </c>
      <c r="Z36" s="13">
        <f t="shared" si="12"/>
        <v>69</v>
      </c>
      <c r="AA36" s="13">
        <f t="shared" si="12"/>
        <v>50</v>
      </c>
      <c r="AB36" s="13">
        <f t="shared" si="12"/>
        <v>52</v>
      </c>
      <c r="AC36" s="13">
        <f t="shared" si="11"/>
        <v>1511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19"/>
      <c r="AA37" s="19"/>
      <c r="AB37" s="19"/>
      <c r="AC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2.0</v>
      </c>
      <c r="X39" s="19">
        <v>0.0</v>
      </c>
      <c r="Y39" s="19">
        <v>1.0</v>
      </c>
      <c r="Z39" s="19">
        <v>0.0</v>
      </c>
      <c r="AA39" s="19">
        <v>0.0</v>
      </c>
      <c r="AB39" s="19">
        <v>0.0</v>
      </c>
      <c r="AC39" s="13">
        <f t="shared" ref="AC39:AC41" si="13">SUM(E39:AB39)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1.0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3">
        <f t="shared" si="13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B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1</v>
      </c>
      <c r="W41" s="13">
        <f t="shared" si="14"/>
        <v>3</v>
      </c>
      <c r="X41" s="13">
        <f t="shared" si="14"/>
        <v>0</v>
      </c>
      <c r="Y41" s="13">
        <f t="shared" si="14"/>
        <v>1</v>
      </c>
      <c r="Z41" s="13">
        <f t="shared" si="14"/>
        <v>0</v>
      </c>
      <c r="AA41" s="13">
        <f t="shared" si="14"/>
        <v>0</v>
      </c>
      <c r="AB41" s="13">
        <f t="shared" si="14"/>
        <v>0</v>
      </c>
      <c r="AC41" s="13">
        <f t="shared" si="13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  <c r="Z42" s="19"/>
      <c r="AA42" s="19"/>
      <c r="AB42" s="19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63"/>
      <c r="B45" s="47">
        <v>1.0</v>
      </c>
      <c r="C45" s="48" t="s">
        <v>37</v>
      </c>
      <c r="D45" s="16"/>
      <c r="E45" s="19">
        <v>16.0</v>
      </c>
      <c r="F45" s="19">
        <v>20.0</v>
      </c>
      <c r="G45" s="19">
        <v>32.0</v>
      </c>
      <c r="H45" s="19">
        <v>43.0</v>
      </c>
      <c r="I45" s="19">
        <v>20.0</v>
      </c>
      <c r="J45" s="19">
        <v>40.0</v>
      </c>
      <c r="K45" s="19">
        <v>24.0</v>
      </c>
      <c r="L45" s="19">
        <v>20.0</v>
      </c>
      <c r="M45" s="19">
        <v>12.0</v>
      </c>
      <c r="N45" s="19">
        <v>14.0</v>
      </c>
      <c r="O45" s="19">
        <v>8.0</v>
      </c>
      <c r="P45" s="19">
        <v>28.0</v>
      </c>
      <c r="Q45" s="19">
        <v>11.0</v>
      </c>
      <c r="R45" s="19">
        <v>15.0</v>
      </c>
      <c r="S45" s="19">
        <v>27.0</v>
      </c>
      <c r="T45" s="19">
        <v>28.0</v>
      </c>
      <c r="U45" s="19">
        <v>24.0</v>
      </c>
      <c r="V45" s="19">
        <v>32.0</v>
      </c>
      <c r="W45" s="19">
        <v>21.0</v>
      </c>
      <c r="X45" s="19">
        <v>11.0</v>
      </c>
      <c r="Y45" s="19">
        <v>12.0</v>
      </c>
      <c r="Z45" s="19">
        <v>22.0</v>
      </c>
      <c r="AA45" s="19">
        <v>15.0</v>
      </c>
      <c r="AB45" s="19">
        <v>30.0</v>
      </c>
      <c r="AC45" s="13">
        <f t="shared" ref="AC45:AC47" si="15">SUM(E45:AB45)</f>
        <v>525</v>
      </c>
    </row>
    <row r="46" ht="12.75" customHeight="1">
      <c r="A46" s="18"/>
      <c r="B46" s="47">
        <v>2.0</v>
      </c>
      <c r="C46" s="48" t="s">
        <v>38</v>
      </c>
      <c r="D46" s="16"/>
      <c r="E46" s="19">
        <v>130.0</v>
      </c>
      <c r="F46" s="19">
        <v>144.0</v>
      </c>
      <c r="G46" s="19">
        <v>118.0</v>
      </c>
      <c r="H46" s="19">
        <v>129.0</v>
      </c>
      <c r="I46" s="19">
        <v>165.0</v>
      </c>
      <c r="J46" s="19">
        <v>140.0</v>
      </c>
      <c r="K46" s="19">
        <v>144.0</v>
      </c>
      <c r="L46" s="19">
        <v>145.0</v>
      </c>
      <c r="M46" s="19">
        <v>162.0</v>
      </c>
      <c r="N46" s="19">
        <v>125.0</v>
      </c>
      <c r="O46" s="19">
        <v>135.0</v>
      </c>
      <c r="P46" s="19">
        <v>114.0</v>
      </c>
      <c r="Q46" s="19">
        <v>120.0</v>
      </c>
      <c r="R46" s="19">
        <v>142.0</v>
      </c>
      <c r="S46" s="19">
        <v>142.0</v>
      </c>
      <c r="T46" s="19">
        <v>159.0</v>
      </c>
      <c r="U46" s="19">
        <v>156.0</v>
      </c>
      <c r="V46" s="19">
        <v>162.0</v>
      </c>
      <c r="W46" s="19">
        <v>156.0</v>
      </c>
      <c r="X46" s="19">
        <v>180.0</v>
      </c>
      <c r="Y46" s="19">
        <v>145.0</v>
      </c>
      <c r="Z46" s="19">
        <v>144.0</v>
      </c>
      <c r="AA46" s="19">
        <v>146.0</v>
      </c>
      <c r="AB46" s="19">
        <v>134.0</v>
      </c>
      <c r="AC46" s="13">
        <f t="shared" si="15"/>
        <v>3437</v>
      </c>
    </row>
    <row r="47" ht="12.75" customHeight="1">
      <c r="A47" s="45"/>
      <c r="B47" s="47">
        <v>3.0</v>
      </c>
      <c r="C47" s="48" t="s">
        <v>39</v>
      </c>
      <c r="D47" s="16"/>
      <c r="E47" s="19">
        <v>55.0</v>
      </c>
      <c r="F47" s="19">
        <v>44.0</v>
      </c>
      <c r="G47" s="19">
        <v>56.0</v>
      </c>
      <c r="H47" s="19">
        <v>49.0</v>
      </c>
      <c r="I47" s="19">
        <v>47.0</v>
      </c>
      <c r="J47" s="19">
        <v>37.0</v>
      </c>
      <c r="K47" s="19">
        <v>41.0</v>
      </c>
      <c r="L47" s="19">
        <v>64.0</v>
      </c>
      <c r="M47" s="19">
        <v>37.0</v>
      </c>
      <c r="N47" s="19">
        <v>54.0</v>
      </c>
      <c r="O47" s="19">
        <v>49.0</v>
      </c>
      <c r="P47" s="19">
        <v>39.0</v>
      </c>
      <c r="Q47" s="19">
        <v>45.0</v>
      </c>
      <c r="R47" s="19">
        <v>71.0</v>
      </c>
      <c r="S47" s="19">
        <v>24.0</v>
      </c>
      <c r="T47" s="19">
        <v>21.0</v>
      </c>
      <c r="U47" s="19">
        <v>28.0</v>
      </c>
      <c r="V47" s="19">
        <v>27.0</v>
      </c>
      <c r="W47" s="19">
        <v>46.0</v>
      </c>
      <c r="X47" s="19">
        <v>44.0</v>
      </c>
      <c r="Y47" s="19">
        <v>35.0</v>
      </c>
      <c r="Z47" s="19">
        <v>44.0</v>
      </c>
      <c r="AA47" s="19">
        <v>48.0</v>
      </c>
      <c r="AB47" s="19">
        <v>18.0</v>
      </c>
      <c r="AC47" s="13">
        <f t="shared" si="15"/>
        <v>1023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B50" si="16">SUM(E45:E47)</f>
        <v>201</v>
      </c>
      <c r="F50" s="19">
        <f t="shared" si="16"/>
        <v>208</v>
      </c>
      <c r="G50" s="19">
        <f t="shared" si="16"/>
        <v>206</v>
      </c>
      <c r="H50" s="19">
        <f t="shared" si="16"/>
        <v>221</v>
      </c>
      <c r="I50" s="19">
        <f t="shared" si="16"/>
        <v>232</v>
      </c>
      <c r="J50" s="19">
        <f t="shared" si="16"/>
        <v>217</v>
      </c>
      <c r="K50" s="19">
        <f t="shared" si="16"/>
        <v>209</v>
      </c>
      <c r="L50" s="19">
        <f t="shared" si="16"/>
        <v>229</v>
      </c>
      <c r="M50" s="19">
        <f t="shared" si="16"/>
        <v>211</v>
      </c>
      <c r="N50" s="19">
        <f t="shared" si="16"/>
        <v>193</v>
      </c>
      <c r="O50" s="19">
        <f t="shared" si="16"/>
        <v>192</v>
      </c>
      <c r="P50" s="19">
        <f t="shared" si="16"/>
        <v>181</v>
      </c>
      <c r="Q50" s="19">
        <f t="shared" si="16"/>
        <v>176</v>
      </c>
      <c r="R50" s="19">
        <f t="shared" si="16"/>
        <v>228</v>
      </c>
      <c r="S50" s="19">
        <f t="shared" si="16"/>
        <v>193</v>
      </c>
      <c r="T50" s="19">
        <f t="shared" si="16"/>
        <v>208</v>
      </c>
      <c r="U50" s="19">
        <f t="shared" si="16"/>
        <v>208</v>
      </c>
      <c r="V50" s="19">
        <f t="shared" si="16"/>
        <v>221</v>
      </c>
      <c r="W50" s="19">
        <f t="shared" si="16"/>
        <v>223</v>
      </c>
      <c r="X50" s="19">
        <f t="shared" si="16"/>
        <v>235</v>
      </c>
      <c r="Y50" s="19">
        <f t="shared" si="16"/>
        <v>192</v>
      </c>
      <c r="Z50" s="19">
        <f t="shared" si="16"/>
        <v>210</v>
      </c>
      <c r="AA50" s="19">
        <f t="shared" si="16"/>
        <v>209</v>
      </c>
      <c r="AB50" s="19">
        <f t="shared" si="16"/>
        <v>182</v>
      </c>
      <c r="AC50" s="13">
        <f t="shared" ref="AC50:AC52" si="17">SUM(E50:AB50)</f>
        <v>4985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3.0</v>
      </c>
      <c r="F51" s="19">
        <v>2.0</v>
      </c>
      <c r="G51" s="19">
        <v>2.0</v>
      </c>
      <c r="H51" s="19">
        <v>1.0</v>
      </c>
      <c r="I51" s="19">
        <v>2.0</v>
      </c>
      <c r="J51" s="19">
        <v>2.0</v>
      </c>
      <c r="K51" s="19">
        <v>8.0</v>
      </c>
      <c r="L51" s="19">
        <v>7.0</v>
      </c>
      <c r="M51" s="19">
        <v>3.0</v>
      </c>
      <c r="N51" s="19">
        <v>4.0</v>
      </c>
      <c r="O51" s="19">
        <v>9.0</v>
      </c>
      <c r="P51" s="19">
        <v>5.0</v>
      </c>
      <c r="Q51" s="19">
        <v>4.0</v>
      </c>
      <c r="R51" s="19">
        <v>3.0</v>
      </c>
      <c r="S51" s="19">
        <v>5.0</v>
      </c>
      <c r="T51" s="19">
        <v>2.0</v>
      </c>
      <c r="U51" s="19">
        <v>0.0</v>
      </c>
      <c r="V51" s="19">
        <v>3.0</v>
      </c>
      <c r="W51" s="19">
        <v>4.0</v>
      </c>
      <c r="X51" s="19">
        <v>4.0</v>
      </c>
      <c r="Y51" s="19">
        <v>0.0</v>
      </c>
      <c r="Z51" s="19">
        <v>0.0</v>
      </c>
      <c r="AA51" s="19">
        <v>4.0</v>
      </c>
      <c r="AB51" s="19">
        <v>5.0</v>
      </c>
      <c r="AC51" s="13">
        <f t="shared" si="17"/>
        <v>82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B52" si="18">SUM(E50:E51)</f>
        <v>204</v>
      </c>
      <c r="F52" s="13">
        <f t="shared" si="18"/>
        <v>210</v>
      </c>
      <c r="G52" s="13">
        <f t="shared" si="18"/>
        <v>208</v>
      </c>
      <c r="H52" s="13">
        <f t="shared" si="18"/>
        <v>222</v>
      </c>
      <c r="I52" s="13">
        <f t="shared" si="18"/>
        <v>234</v>
      </c>
      <c r="J52" s="13">
        <f t="shared" si="18"/>
        <v>219</v>
      </c>
      <c r="K52" s="13">
        <f t="shared" si="18"/>
        <v>217</v>
      </c>
      <c r="L52" s="13">
        <f t="shared" si="18"/>
        <v>236</v>
      </c>
      <c r="M52" s="13">
        <f t="shared" si="18"/>
        <v>214</v>
      </c>
      <c r="N52" s="13">
        <f t="shared" si="18"/>
        <v>197</v>
      </c>
      <c r="O52" s="13">
        <f t="shared" si="18"/>
        <v>201</v>
      </c>
      <c r="P52" s="13">
        <f t="shared" si="18"/>
        <v>186</v>
      </c>
      <c r="Q52" s="13">
        <f t="shared" si="18"/>
        <v>180</v>
      </c>
      <c r="R52" s="13">
        <f t="shared" si="18"/>
        <v>231</v>
      </c>
      <c r="S52" s="13">
        <f t="shared" si="18"/>
        <v>198</v>
      </c>
      <c r="T52" s="13">
        <f t="shared" si="18"/>
        <v>210</v>
      </c>
      <c r="U52" s="13">
        <f t="shared" si="18"/>
        <v>208</v>
      </c>
      <c r="V52" s="13">
        <f t="shared" si="18"/>
        <v>224</v>
      </c>
      <c r="W52" s="13">
        <f t="shared" si="18"/>
        <v>227</v>
      </c>
      <c r="X52" s="13">
        <f t="shared" si="18"/>
        <v>239</v>
      </c>
      <c r="Y52" s="13">
        <f t="shared" si="18"/>
        <v>192</v>
      </c>
      <c r="Z52" s="13">
        <f t="shared" si="18"/>
        <v>210</v>
      </c>
      <c r="AA52" s="13">
        <f t="shared" si="18"/>
        <v>213</v>
      </c>
      <c r="AB52" s="13">
        <f t="shared" si="18"/>
        <v>187</v>
      </c>
      <c r="AC52" s="13">
        <f t="shared" si="17"/>
        <v>5067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Y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Y42"/>
    <mergeCell ref="B43:D43"/>
    <mergeCell ref="A44:D44"/>
    <mergeCell ref="C45:D45"/>
  </mergeCells>
  <conditionalFormatting sqref="E14:AB15 E45:AB47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E30&lt;&gt;E46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E34&lt;&gt;#REF!</formula>
    </cfRule>
  </conditionalFormatting>
  <conditionalFormatting sqref="E50:AB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P11" s="1"/>
      <c r="Q11" s="1"/>
      <c r="R11" s="1"/>
      <c r="S11" s="1"/>
      <c r="T11" s="1"/>
      <c r="U11" s="2"/>
      <c r="W11" s="1"/>
      <c r="X11" s="1"/>
      <c r="Y11" s="1"/>
      <c r="Z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130.0</v>
      </c>
      <c r="G14" s="19">
        <v>151.0</v>
      </c>
      <c r="H14" s="19">
        <v>136.0</v>
      </c>
      <c r="I14" s="19">
        <v>149.0</v>
      </c>
      <c r="J14" s="19">
        <v>146.0</v>
      </c>
      <c r="K14" s="19">
        <v>143.0</v>
      </c>
      <c r="L14" s="19">
        <v>132.0</v>
      </c>
      <c r="M14" s="19">
        <v>144.0</v>
      </c>
      <c r="N14" s="19">
        <v>119.0</v>
      </c>
      <c r="O14" s="19">
        <v>124.0</v>
      </c>
      <c r="P14" s="19">
        <v>100.0</v>
      </c>
      <c r="Q14" s="19">
        <v>136.0</v>
      </c>
      <c r="R14" s="19">
        <v>142.0</v>
      </c>
      <c r="S14" s="19">
        <v>139.0</v>
      </c>
      <c r="T14" s="19">
        <v>156.0</v>
      </c>
      <c r="U14" s="19">
        <v>104.0</v>
      </c>
      <c r="V14" s="19">
        <v>146.0</v>
      </c>
      <c r="W14" s="19">
        <v>124.0</v>
      </c>
      <c r="X14" s="19">
        <v>153.0</v>
      </c>
      <c r="Y14" s="19">
        <v>155.0</v>
      </c>
      <c r="Z14" s="19">
        <v>136.0</v>
      </c>
      <c r="AA14" s="19">
        <v>141.0</v>
      </c>
      <c r="AB14" s="13">
        <f t="shared" ref="AB14:AB16" si="1">SUM(E14:AA14)</f>
        <v>3141</v>
      </c>
    </row>
    <row r="15" ht="12.75" customHeight="1">
      <c r="A15" s="18"/>
      <c r="B15" s="26"/>
      <c r="C15" s="27"/>
      <c r="D15" s="19" t="s">
        <v>13</v>
      </c>
      <c r="E15" s="19">
        <v>150.0</v>
      </c>
      <c r="F15" s="19">
        <v>148.0</v>
      </c>
      <c r="G15" s="19">
        <v>128.0</v>
      </c>
      <c r="H15" s="19">
        <v>141.0</v>
      </c>
      <c r="I15" s="19">
        <v>138.0</v>
      </c>
      <c r="J15" s="19">
        <v>142.0</v>
      </c>
      <c r="K15" s="19">
        <v>152.0</v>
      </c>
      <c r="L15" s="19">
        <v>164.0</v>
      </c>
      <c r="M15" s="19">
        <v>128.0</v>
      </c>
      <c r="N15" s="19">
        <v>111.0</v>
      </c>
      <c r="O15" s="19">
        <v>123.0</v>
      </c>
      <c r="P15" s="19">
        <v>96.0</v>
      </c>
      <c r="Q15" s="19">
        <v>121.0</v>
      </c>
      <c r="R15" s="19">
        <v>153.0</v>
      </c>
      <c r="S15" s="19">
        <v>152.0</v>
      </c>
      <c r="T15" s="19">
        <v>138.0</v>
      </c>
      <c r="U15" s="19">
        <v>108.0</v>
      </c>
      <c r="V15" s="19">
        <v>137.0</v>
      </c>
      <c r="W15" s="19">
        <v>130.0</v>
      </c>
      <c r="X15" s="19">
        <v>143.0</v>
      </c>
      <c r="Y15" s="19">
        <v>134.0</v>
      </c>
      <c r="Z15" s="19">
        <v>153.0</v>
      </c>
      <c r="AA15" s="19">
        <v>150.0</v>
      </c>
      <c r="AB15" s="13">
        <f t="shared" si="1"/>
        <v>3140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285</v>
      </c>
      <c r="F16" s="13">
        <f t="shared" si="2"/>
        <v>278</v>
      </c>
      <c r="G16" s="13">
        <f t="shared" si="2"/>
        <v>279</v>
      </c>
      <c r="H16" s="13">
        <f t="shared" si="2"/>
        <v>277</v>
      </c>
      <c r="I16" s="13">
        <f t="shared" si="2"/>
        <v>287</v>
      </c>
      <c r="J16" s="13">
        <f t="shared" si="2"/>
        <v>288</v>
      </c>
      <c r="K16" s="13">
        <f t="shared" si="2"/>
        <v>295</v>
      </c>
      <c r="L16" s="13">
        <f t="shared" si="2"/>
        <v>296</v>
      </c>
      <c r="M16" s="13">
        <f t="shared" si="2"/>
        <v>272</v>
      </c>
      <c r="N16" s="13">
        <f t="shared" si="2"/>
        <v>230</v>
      </c>
      <c r="O16" s="13">
        <f t="shared" si="2"/>
        <v>247</v>
      </c>
      <c r="P16" s="13">
        <f t="shared" si="2"/>
        <v>196</v>
      </c>
      <c r="Q16" s="13">
        <f t="shared" si="2"/>
        <v>257</v>
      </c>
      <c r="R16" s="13">
        <f t="shared" si="2"/>
        <v>295</v>
      </c>
      <c r="S16" s="13">
        <f t="shared" si="2"/>
        <v>291</v>
      </c>
      <c r="T16" s="13">
        <f t="shared" si="2"/>
        <v>294</v>
      </c>
      <c r="U16" s="13">
        <f t="shared" si="2"/>
        <v>212</v>
      </c>
      <c r="V16" s="13">
        <f t="shared" si="2"/>
        <v>283</v>
      </c>
      <c r="W16" s="13">
        <f t="shared" si="2"/>
        <v>254</v>
      </c>
      <c r="X16" s="13">
        <f t="shared" si="2"/>
        <v>296</v>
      </c>
      <c r="Y16" s="13">
        <f t="shared" si="2"/>
        <v>289</v>
      </c>
      <c r="Z16" s="13">
        <f t="shared" si="2"/>
        <v>289</v>
      </c>
      <c r="AA16" s="13">
        <f t="shared" si="2"/>
        <v>291</v>
      </c>
      <c r="AB16" s="13">
        <f t="shared" si="1"/>
        <v>6281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19"/>
      <c r="Q17" s="19"/>
      <c r="R17" s="19"/>
      <c r="S17" s="19"/>
      <c r="T17" s="19"/>
      <c r="U17" s="59"/>
      <c r="V17" s="59"/>
      <c r="W17" s="19"/>
      <c r="X17" s="19"/>
      <c r="Y17" s="19"/>
      <c r="Z17" s="59"/>
      <c r="AA17" s="59"/>
      <c r="AB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19"/>
      <c r="Q18" s="19"/>
      <c r="R18" s="19"/>
      <c r="S18" s="19"/>
      <c r="T18" s="19"/>
      <c r="U18" s="59"/>
      <c r="V18" s="59"/>
      <c r="W18" s="19"/>
      <c r="X18" s="19"/>
      <c r="Y18" s="19"/>
      <c r="Z18" s="59"/>
      <c r="AA18" s="59"/>
      <c r="AB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96.0</v>
      </c>
      <c r="G19" s="19">
        <v>113.0</v>
      </c>
      <c r="H19" s="19">
        <v>97.0</v>
      </c>
      <c r="I19" s="19">
        <v>109.0</v>
      </c>
      <c r="J19" s="19">
        <v>95.0</v>
      </c>
      <c r="K19" s="19">
        <v>94.0</v>
      </c>
      <c r="L19" s="19">
        <v>88.0</v>
      </c>
      <c r="M19" s="19">
        <v>99.0</v>
      </c>
      <c r="N19" s="19">
        <v>87.0</v>
      </c>
      <c r="O19" s="19">
        <v>90.0</v>
      </c>
      <c r="P19" s="19">
        <v>68.0</v>
      </c>
      <c r="Q19" s="19">
        <v>100.0</v>
      </c>
      <c r="R19" s="19">
        <v>110.0</v>
      </c>
      <c r="S19" s="19">
        <v>106.0</v>
      </c>
      <c r="T19" s="19">
        <v>108.0</v>
      </c>
      <c r="U19" s="19">
        <v>86.0</v>
      </c>
      <c r="V19" s="19">
        <v>119.0</v>
      </c>
      <c r="W19" s="19">
        <v>94.0</v>
      </c>
      <c r="X19" s="19">
        <v>113.0</v>
      </c>
      <c r="Y19" s="19">
        <v>113.0</v>
      </c>
      <c r="Z19" s="19">
        <v>101.0</v>
      </c>
      <c r="AA19" s="19">
        <v>100.0</v>
      </c>
      <c r="AB19" s="13">
        <f t="shared" ref="AB19:AB30" si="3">SUM(E19:AA19)</f>
        <v>2294</v>
      </c>
    </row>
    <row r="20" ht="12.75" customHeight="1">
      <c r="A20" s="33"/>
      <c r="B20" s="27"/>
      <c r="C20" s="34"/>
      <c r="D20" s="19" t="s">
        <v>13</v>
      </c>
      <c r="E20" s="19">
        <v>123.0</v>
      </c>
      <c r="F20" s="19">
        <v>122.0</v>
      </c>
      <c r="G20" s="19">
        <v>97.0</v>
      </c>
      <c r="H20" s="19">
        <v>113.0</v>
      </c>
      <c r="I20" s="19">
        <v>116.0</v>
      </c>
      <c r="J20" s="19">
        <v>111.0</v>
      </c>
      <c r="K20" s="19">
        <v>115.0</v>
      </c>
      <c r="L20" s="19">
        <v>125.0</v>
      </c>
      <c r="M20" s="19">
        <v>90.0</v>
      </c>
      <c r="N20" s="19">
        <v>81.0</v>
      </c>
      <c r="O20" s="19">
        <v>105.0</v>
      </c>
      <c r="P20" s="19">
        <v>73.0</v>
      </c>
      <c r="Q20" s="19">
        <v>101.0</v>
      </c>
      <c r="R20" s="19">
        <v>126.0</v>
      </c>
      <c r="S20" s="19">
        <v>127.0</v>
      </c>
      <c r="T20" s="19">
        <v>113.0</v>
      </c>
      <c r="U20" s="19">
        <v>90.0</v>
      </c>
      <c r="V20" s="19">
        <v>119.0</v>
      </c>
      <c r="W20" s="19">
        <v>112.0</v>
      </c>
      <c r="X20" s="19">
        <v>124.0</v>
      </c>
      <c r="Y20" s="19">
        <v>103.0</v>
      </c>
      <c r="Z20" s="19">
        <v>110.0</v>
      </c>
      <c r="AA20" s="19">
        <v>121.0</v>
      </c>
      <c r="AB20" s="13">
        <f t="shared" si="3"/>
        <v>2517</v>
      </c>
    </row>
    <row r="21" ht="12.75" customHeight="1">
      <c r="A21" s="35"/>
      <c r="B21" s="28"/>
      <c r="C21" s="36"/>
      <c r="D21" s="13" t="s">
        <v>14</v>
      </c>
      <c r="E21" s="13">
        <v>231.0</v>
      </c>
      <c r="F21" s="13">
        <v>218.0</v>
      </c>
      <c r="G21" s="13">
        <v>210.0</v>
      </c>
      <c r="H21" s="13">
        <v>210.0</v>
      </c>
      <c r="I21" s="13">
        <v>225.0</v>
      </c>
      <c r="J21" s="13">
        <v>206.0</v>
      </c>
      <c r="K21" s="13">
        <v>209.0</v>
      </c>
      <c r="L21" s="13">
        <v>213.0</v>
      </c>
      <c r="M21" s="13">
        <v>189.0</v>
      </c>
      <c r="N21" s="13">
        <v>168.0</v>
      </c>
      <c r="O21" s="13">
        <v>195.0</v>
      </c>
      <c r="P21" s="13">
        <v>141.0</v>
      </c>
      <c r="Q21" s="13">
        <v>201.0</v>
      </c>
      <c r="R21" s="13">
        <v>236.0</v>
      </c>
      <c r="S21" s="13">
        <v>233.0</v>
      </c>
      <c r="T21" s="13">
        <v>221.0</v>
      </c>
      <c r="U21" s="13">
        <v>176.0</v>
      </c>
      <c r="V21" s="13">
        <v>238.0</v>
      </c>
      <c r="W21" s="13">
        <v>206.0</v>
      </c>
      <c r="X21" s="13">
        <v>237.0</v>
      </c>
      <c r="Y21" s="13">
        <v>216.0</v>
      </c>
      <c r="Z21" s="13">
        <v>211.0</v>
      </c>
      <c r="AA21" s="13">
        <v>221.0</v>
      </c>
      <c r="AB21" s="13">
        <f t="shared" si="3"/>
        <v>4811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1.0</v>
      </c>
      <c r="I22" s="19">
        <v>2.0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v>1.0</v>
      </c>
      <c r="F24" s="13">
        <v>0.0</v>
      </c>
      <c r="G24" s="13">
        <v>0.0</v>
      </c>
      <c r="H24" s="13">
        <v>1.0</v>
      </c>
      <c r="I24" s="13">
        <v>2.0</v>
      </c>
      <c r="J24" s="13">
        <v>0.0</v>
      </c>
      <c r="K24" s="13">
        <v>0.0</v>
      </c>
      <c r="L24" s="13">
        <v>0.0</v>
      </c>
      <c r="M24" s="13">
        <v>1.0</v>
      </c>
      <c r="N24" s="13">
        <v>0.0</v>
      </c>
      <c r="O24" s="13">
        <v>0.0</v>
      </c>
      <c r="P24" s="13">
        <v>0.0</v>
      </c>
      <c r="Q24" s="13">
        <v>0.0</v>
      </c>
      <c r="R24" s="13">
        <v>2.0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5.0</v>
      </c>
      <c r="F25" s="19">
        <v>2.0</v>
      </c>
      <c r="G25" s="19">
        <v>2.0</v>
      </c>
      <c r="H25" s="19">
        <v>4.0</v>
      </c>
      <c r="I25" s="19">
        <v>0.0</v>
      </c>
      <c r="J25" s="19">
        <v>2.0</v>
      </c>
      <c r="K25" s="19">
        <v>0.0</v>
      </c>
      <c r="L25" s="19">
        <v>1.0</v>
      </c>
      <c r="M25" s="19">
        <v>1.0</v>
      </c>
      <c r="N25" s="19">
        <v>1.0</v>
      </c>
      <c r="O25" s="19">
        <v>0.0</v>
      </c>
      <c r="P25" s="19">
        <v>0.0</v>
      </c>
      <c r="Q25" s="19">
        <v>0.0</v>
      </c>
      <c r="R25" s="19">
        <v>1.0</v>
      </c>
      <c r="S25" s="19">
        <v>0.0</v>
      </c>
      <c r="T25" s="19">
        <v>3.0</v>
      </c>
      <c r="U25" s="19">
        <v>0.0</v>
      </c>
      <c r="V25" s="19">
        <v>2.0</v>
      </c>
      <c r="W25" s="19">
        <v>0.0</v>
      </c>
      <c r="X25" s="19">
        <v>1.0</v>
      </c>
      <c r="Y25" s="19">
        <v>0.0</v>
      </c>
      <c r="Z25" s="19">
        <v>0.0</v>
      </c>
      <c r="AA25" s="19">
        <v>0.0</v>
      </c>
      <c r="AB25" s="13">
        <f t="shared" si="3"/>
        <v>25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5.0</v>
      </c>
      <c r="G26" s="19">
        <v>4.0</v>
      </c>
      <c r="H26" s="19">
        <v>4.0</v>
      </c>
      <c r="I26" s="19">
        <v>4.0</v>
      </c>
      <c r="J26" s="19">
        <v>2.0</v>
      </c>
      <c r="K26" s="19">
        <v>0.0</v>
      </c>
      <c r="L26" s="19">
        <v>0.0</v>
      </c>
      <c r="M26" s="19">
        <v>1.0</v>
      </c>
      <c r="N26" s="19">
        <v>4.0</v>
      </c>
      <c r="O26" s="19">
        <v>0.0</v>
      </c>
      <c r="P26" s="19">
        <v>0.0</v>
      </c>
      <c r="Q26" s="19">
        <v>1.0</v>
      </c>
      <c r="R26" s="19">
        <v>0.0</v>
      </c>
      <c r="S26" s="19">
        <v>0.0</v>
      </c>
      <c r="T26" s="19">
        <v>3.0</v>
      </c>
      <c r="U26" s="19">
        <v>0.0</v>
      </c>
      <c r="V26" s="19">
        <v>1.0</v>
      </c>
      <c r="W26" s="19">
        <v>1.0</v>
      </c>
      <c r="X26" s="19">
        <v>0.0</v>
      </c>
      <c r="Y26" s="19">
        <v>0.0</v>
      </c>
      <c r="Z26" s="19">
        <v>0.0</v>
      </c>
      <c r="AA26" s="19">
        <v>0.0</v>
      </c>
      <c r="AB26" s="13">
        <f t="shared" si="3"/>
        <v>34</v>
      </c>
    </row>
    <row r="27" ht="12.75" customHeight="1">
      <c r="A27" s="35"/>
      <c r="B27" s="28"/>
      <c r="C27" s="36"/>
      <c r="D27" s="13" t="s">
        <v>14</v>
      </c>
      <c r="E27" s="13">
        <v>9.0</v>
      </c>
      <c r="F27" s="13">
        <v>7.0</v>
      </c>
      <c r="G27" s="13">
        <v>6.0</v>
      </c>
      <c r="H27" s="13">
        <v>8.0</v>
      </c>
      <c r="I27" s="13">
        <v>4.0</v>
      </c>
      <c r="J27" s="13">
        <v>4.0</v>
      </c>
      <c r="K27" s="13">
        <v>0.0</v>
      </c>
      <c r="L27" s="13">
        <v>1.0</v>
      </c>
      <c r="M27" s="13">
        <v>2.0</v>
      </c>
      <c r="N27" s="13">
        <v>5.0</v>
      </c>
      <c r="O27" s="13">
        <v>0.0</v>
      </c>
      <c r="P27" s="13">
        <v>0.0</v>
      </c>
      <c r="Q27" s="13">
        <v>1.0</v>
      </c>
      <c r="R27" s="13">
        <v>1.0</v>
      </c>
      <c r="S27" s="13">
        <v>0.0</v>
      </c>
      <c r="T27" s="13">
        <v>6.0</v>
      </c>
      <c r="U27" s="13">
        <v>0.0</v>
      </c>
      <c r="V27" s="13">
        <v>3.0</v>
      </c>
      <c r="W27" s="13">
        <v>1.0</v>
      </c>
      <c r="X27" s="13">
        <v>1.0</v>
      </c>
      <c r="Y27" s="13">
        <v>0.0</v>
      </c>
      <c r="Z27" s="13">
        <v>0.0</v>
      </c>
      <c r="AA27" s="13">
        <v>0.0</v>
      </c>
      <c r="AB27" s="13">
        <f t="shared" si="3"/>
        <v>59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114.0</v>
      </c>
      <c r="F28" s="13">
        <v>98.0</v>
      </c>
      <c r="G28" s="13">
        <v>115.0</v>
      </c>
      <c r="H28" s="13">
        <v>102.0</v>
      </c>
      <c r="I28" s="13">
        <v>111.0</v>
      </c>
      <c r="J28" s="13">
        <v>97.0</v>
      </c>
      <c r="K28" s="13">
        <v>94.0</v>
      </c>
      <c r="L28" s="13">
        <v>89.0</v>
      </c>
      <c r="M28" s="13">
        <v>100.0</v>
      </c>
      <c r="N28" s="13">
        <v>88.0</v>
      </c>
      <c r="O28" s="13">
        <v>90.0</v>
      </c>
      <c r="P28" s="13">
        <v>68.0</v>
      </c>
      <c r="Q28" s="13">
        <v>100.0</v>
      </c>
      <c r="R28" s="13">
        <v>112.0</v>
      </c>
      <c r="S28" s="13">
        <v>106.0</v>
      </c>
      <c r="T28" s="13">
        <v>111.0</v>
      </c>
      <c r="U28" s="13">
        <v>86.0</v>
      </c>
      <c r="V28" s="13">
        <v>121.0</v>
      </c>
      <c r="W28" s="13">
        <v>94.0</v>
      </c>
      <c r="X28" s="13">
        <v>114.0</v>
      </c>
      <c r="Y28" s="13">
        <v>113.0</v>
      </c>
      <c r="Z28" s="13">
        <v>101.0</v>
      </c>
      <c r="AA28" s="13">
        <v>100.0</v>
      </c>
      <c r="AB28" s="13">
        <f t="shared" si="3"/>
        <v>2324</v>
      </c>
    </row>
    <row r="29" ht="12.75" customHeight="1">
      <c r="A29" s="35"/>
      <c r="B29" s="27"/>
      <c r="C29" s="34"/>
      <c r="D29" s="13" t="s">
        <v>13</v>
      </c>
      <c r="E29" s="13">
        <v>127.0</v>
      </c>
      <c r="F29" s="13">
        <v>127.0</v>
      </c>
      <c r="G29" s="13">
        <v>101.0</v>
      </c>
      <c r="H29" s="13">
        <v>117.0</v>
      </c>
      <c r="I29" s="13">
        <v>120.0</v>
      </c>
      <c r="J29" s="13">
        <v>113.0</v>
      </c>
      <c r="K29" s="13">
        <v>115.0</v>
      </c>
      <c r="L29" s="13">
        <v>125.0</v>
      </c>
      <c r="M29" s="13">
        <v>92.0</v>
      </c>
      <c r="N29" s="13">
        <v>85.0</v>
      </c>
      <c r="O29" s="13">
        <v>105.0</v>
      </c>
      <c r="P29" s="13">
        <v>73.0</v>
      </c>
      <c r="Q29" s="13">
        <v>102.0</v>
      </c>
      <c r="R29" s="13">
        <v>127.0</v>
      </c>
      <c r="S29" s="13">
        <v>127.0</v>
      </c>
      <c r="T29" s="13">
        <v>116.0</v>
      </c>
      <c r="U29" s="13">
        <v>90.0</v>
      </c>
      <c r="V29" s="13">
        <v>120.0</v>
      </c>
      <c r="W29" s="13">
        <v>113.0</v>
      </c>
      <c r="X29" s="13">
        <v>124.0</v>
      </c>
      <c r="Y29" s="13">
        <v>103.0</v>
      </c>
      <c r="Z29" s="13">
        <v>110.0</v>
      </c>
      <c r="AA29" s="13">
        <v>121.0</v>
      </c>
      <c r="AB29" s="13">
        <f t="shared" si="3"/>
        <v>2553</v>
      </c>
    </row>
    <row r="30" ht="12.75" customHeight="1">
      <c r="A30" s="35"/>
      <c r="B30" s="28"/>
      <c r="C30" s="36"/>
      <c r="D30" s="13" t="s">
        <v>14</v>
      </c>
      <c r="E30" s="13">
        <v>241.0</v>
      </c>
      <c r="F30" s="13">
        <v>225.0</v>
      </c>
      <c r="G30" s="13">
        <v>216.0</v>
      </c>
      <c r="H30" s="13">
        <v>219.0</v>
      </c>
      <c r="I30" s="13">
        <v>231.0</v>
      </c>
      <c r="J30" s="13">
        <v>210.0</v>
      </c>
      <c r="K30" s="13">
        <v>209.0</v>
      </c>
      <c r="L30" s="13">
        <v>214.0</v>
      </c>
      <c r="M30" s="13">
        <v>192.0</v>
      </c>
      <c r="N30" s="13">
        <v>173.0</v>
      </c>
      <c r="O30" s="13">
        <v>195.0</v>
      </c>
      <c r="P30" s="13">
        <v>141.0</v>
      </c>
      <c r="Q30" s="13">
        <v>202.0</v>
      </c>
      <c r="R30" s="13">
        <v>239.0</v>
      </c>
      <c r="S30" s="13">
        <v>233.0</v>
      </c>
      <c r="T30" s="13">
        <v>227.0</v>
      </c>
      <c r="U30" s="13">
        <v>176.0</v>
      </c>
      <c r="V30" s="13">
        <v>241.0</v>
      </c>
      <c r="W30" s="13">
        <v>207.0</v>
      </c>
      <c r="X30" s="13">
        <v>238.0</v>
      </c>
      <c r="Y30" s="13">
        <v>216.0</v>
      </c>
      <c r="Z30" s="13">
        <v>211.0</v>
      </c>
      <c r="AA30" s="13">
        <v>221.0</v>
      </c>
      <c r="AB30" s="13">
        <f t="shared" si="3"/>
        <v>4877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19"/>
      <c r="Q31" s="19"/>
      <c r="R31" s="19"/>
      <c r="S31" s="19"/>
      <c r="T31" s="19"/>
      <c r="U31" s="59"/>
      <c r="V31" s="59"/>
      <c r="W31" s="19"/>
      <c r="X31" s="19"/>
      <c r="Y31" s="19"/>
      <c r="Z31" s="59"/>
      <c r="AA31" s="59"/>
      <c r="AB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13"/>
      <c r="Q32" s="13"/>
      <c r="R32" s="13"/>
      <c r="S32" s="13"/>
      <c r="T32" s="13"/>
      <c r="U32" s="61"/>
      <c r="V32" s="61"/>
      <c r="W32" s="13"/>
      <c r="X32" s="13"/>
      <c r="Y32" s="13"/>
      <c r="Z32" s="61"/>
      <c r="AA32" s="61"/>
      <c r="AB32" s="60"/>
    </row>
    <row r="33" ht="12.75" customHeight="1">
      <c r="A33" s="19">
        <v>1.0</v>
      </c>
      <c r="B33" s="20" t="s">
        <v>27</v>
      </c>
      <c r="C33" s="15"/>
      <c r="D33" s="16"/>
      <c r="E33" s="19">
        <v>290.0</v>
      </c>
      <c r="F33" s="19">
        <v>284.0</v>
      </c>
      <c r="G33" s="19">
        <v>288.0</v>
      </c>
      <c r="H33" s="19">
        <v>284.0</v>
      </c>
      <c r="I33" s="19">
        <v>293.0</v>
      </c>
      <c r="J33" s="19">
        <v>295.0</v>
      </c>
      <c r="K33" s="19">
        <v>303.0</v>
      </c>
      <c r="L33" s="19">
        <v>304.0</v>
      </c>
      <c r="M33" s="19">
        <v>279.0</v>
      </c>
      <c r="N33" s="19">
        <v>235.0</v>
      </c>
      <c r="O33" s="19">
        <v>252.0</v>
      </c>
      <c r="P33" s="19">
        <v>200.0</v>
      </c>
      <c r="Q33" s="19">
        <v>265.0</v>
      </c>
      <c r="R33" s="19">
        <v>301.0</v>
      </c>
      <c r="S33" s="19">
        <v>300.0</v>
      </c>
      <c r="T33" s="19">
        <v>299.0</v>
      </c>
      <c r="U33" s="19">
        <v>219.0</v>
      </c>
      <c r="V33" s="19">
        <v>289.0</v>
      </c>
      <c r="W33" s="19">
        <v>259.0</v>
      </c>
      <c r="X33" s="19">
        <v>302.0</v>
      </c>
      <c r="Y33" s="19">
        <v>295.0</v>
      </c>
      <c r="Z33" s="19">
        <v>297.0</v>
      </c>
      <c r="AA33" s="19">
        <v>298.0</v>
      </c>
      <c r="AB33" s="13">
        <f t="shared" ref="AB33:AB36" si="4">SUM(E33:AA33)</f>
        <v>6431</v>
      </c>
    </row>
    <row r="34" ht="12.75" customHeight="1">
      <c r="A34" s="19">
        <v>2.0</v>
      </c>
      <c r="B34" s="20" t="s">
        <v>28</v>
      </c>
      <c r="C34" s="15"/>
      <c r="D34" s="16"/>
      <c r="E34" s="13">
        <v>241.0</v>
      </c>
      <c r="F34" s="13">
        <v>225.0</v>
      </c>
      <c r="G34" s="13">
        <v>216.0</v>
      </c>
      <c r="H34" s="13">
        <v>219.0</v>
      </c>
      <c r="I34" s="13">
        <v>231.0</v>
      </c>
      <c r="J34" s="13">
        <v>210.0</v>
      </c>
      <c r="K34" s="13">
        <v>209.0</v>
      </c>
      <c r="L34" s="13">
        <v>214.0</v>
      </c>
      <c r="M34" s="13">
        <v>192.0</v>
      </c>
      <c r="N34" s="13">
        <v>173.0</v>
      </c>
      <c r="O34" s="13">
        <v>195.0</v>
      </c>
      <c r="P34" s="13">
        <v>141.0</v>
      </c>
      <c r="Q34" s="13">
        <v>202.0</v>
      </c>
      <c r="R34" s="13">
        <v>239.0</v>
      </c>
      <c r="S34" s="13">
        <v>233.0</v>
      </c>
      <c r="T34" s="13">
        <v>227.0</v>
      </c>
      <c r="U34" s="13">
        <v>176.0</v>
      </c>
      <c r="V34" s="13">
        <v>241.0</v>
      </c>
      <c r="W34" s="13">
        <v>207.0</v>
      </c>
      <c r="X34" s="13">
        <v>238.0</v>
      </c>
      <c r="Y34" s="13">
        <v>216.0</v>
      </c>
      <c r="Z34" s="13">
        <v>211.0</v>
      </c>
      <c r="AA34" s="13">
        <v>221.0</v>
      </c>
      <c r="AB34" s="13">
        <f t="shared" si="4"/>
        <v>4877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4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v>49.0</v>
      </c>
      <c r="F36" s="13">
        <v>59.0</v>
      </c>
      <c r="G36" s="13">
        <v>72.0</v>
      </c>
      <c r="H36" s="13">
        <v>64.0</v>
      </c>
      <c r="I36" s="13">
        <v>62.0</v>
      </c>
      <c r="J36" s="13">
        <v>85.0</v>
      </c>
      <c r="K36" s="13">
        <v>94.0</v>
      </c>
      <c r="L36" s="13">
        <v>90.0</v>
      </c>
      <c r="M36" s="13">
        <v>87.0</v>
      </c>
      <c r="N36" s="13">
        <v>62.0</v>
      </c>
      <c r="O36" s="13">
        <v>57.0</v>
      </c>
      <c r="P36" s="13">
        <v>59.0</v>
      </c>
      <c r="Q36" s="13">
        <v>63.0</v>
      </c>
      <c r="R36" s="13">
        <v>62.0</v>
      </c>
      <c r="S36" s="13">
        <v>67.0</v>
      </c>
      <c r="T36" s="13">
        <v>72.0</v>
      </c>
      <c r="U36" s="13">
        <v>43.0</v>
      </c>
      <c r="V36" s="13">
        <v>48.0</v>
      </c>
      <c r="W36" s="13">
        <v>52.0</v>
      </c>
      <c r="X36" s="13">
        <v>64.0</v>
      </c>
      <c r="Y36" s="13">
        <v>79.0</v>
      </c>
      <c r="Z36" s="13">
        <v>86.0</v>
      </c>
      <c r="AA36" s="13">
        <v>77.0</v>
      </c>
      <c r="AB36" s="13">
        <f t="shared" si="4"/>
        <v>1553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6"/>
      <c r="Q37" s="19"/>
      <c r="R37" s="19"/>
      <c r="S37" s="19"/>
      <c r="T37" s="19"/>
      <c r="U37" s="59"/>
      <c r="V37" s="62"/>
      <c r="W37" s="19"/>
      <c r="X37" s="19"/>
      <c r="Y37" s="19"/>
      <c r="Z37" s="59"/>
      <c r="AA37" s="62"/>
      <c r="AB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13"/>
      <c r="Q38" s="13"/>
      <c r="R38" s="13"/>
      <c r="S38" s="13"/>
      <c r="T38" s="13"/>
      <c r="U38" s="61"/>
      <c r="V38" s="61"/>
      <c r="W38" s="13"/>
      <c r="X38" s="13"/>
      <c r="Y38" s="13"/>
      <c r="Z38" s="61"/>
      <c r="AA38" s="61"/>
      <c r="AB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3">
        <f t="shared" ref="AB39:AB41" si="5">SUM(E39:AA39)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4.0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3">
        <f t="shared" si="5"/>
        <v>5</v>
      </c>
    </row>
    <row r="41" ht="12.75" customHeight="1">
      <c r="A41" s="41"/>
      <c r="B41" s="44"/>
      <c r="C41" s="28"/>
      <c r="D41" s="13" t="s">
        <v>14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1.0</v>
      </c>
      <c r="K41" s="13">
        <v>5.0</v>
      </c>
      <c r="L41" s="13">
        <v>0.0</v>
      </c>
      <c r="M41" s="13">
        <v>1.0</v>
      </c>
      <c r="N41" s="13">
        <v>0.0</v>
      </c>
      <c r="O41" s="13">
        <v>0.0</v>
      </c>
      <c r="P41" s="13">
        <v>0.0</v>
      </c>
      <c r="Q41" s="13">
        <v>0.0</v>
      </c>
      <c r="R41" s="13">
        <v>0.0</v>
      </c>
      <c r="S41" s="13">
        <v>0.0</v>
      </c>
      <c r="T41" s="13">
        <v>0.0</v>
      </c>
      <c r="U41" s="13">
        <v>0.0</v>
      </c>
      <c r="V41" s="13">
        <v>1.0</v>
      </c>
      <c r="W41" s="13">
        <v>0.0</v>
      </c>
      <c r="X41" s="13">
        <v>0.0</v>
      </c>
      <c r="Y41" s="13">
        <v>0.0</v>
      </c>
      <c r="Z41" s="13">
        <v>0.0</v>
      </c>
      <c r="AA41" s="13">
        <v>0.0</v>
      </c>
      <c r="AB41" s="13">
        <f t="shared" si="5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6"/>
      <c r="Q42" s="19"/>
      <c r="R42" s="19"/>
      <c r="S42" s="19"/>
      <c r="T42" s="19"/>
      <c r="U42" s="59"/>
      <c r="V42" s="19"/>
      <c r="W42" s="19"/>
      <c r="X42" s="19"/>
      <c r="Y42" s="19"/>
      <c r="Z42" s="5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13"/>
      <c r="T43" s="13"/>
      <c r="U43" s="61"/>
      <c r="V43" s="13"/>
      <c r="W43" s="13"/>
      <c r="X43" s="13"/>
      <c r="Y43" s="13"/>
      <c r="Z43" s="61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19"/>
      <c r="T44" s="19"/>
      <c r="U44" s="59"/>
      <c r="V44" s="19"/>
      <c r="W44" s="19"/>
      <c r="X44" s="19"/>
      <c r="Y44" s="19"/>
      <c r="Z44" s="59"/>
      <c r="AA44" s="19"/>
      <c r="AB44" s="13"/>
    </row>
    <row r="45" ht="12.75" customHeight="1">
      <c r="A45" s="63"/>
      <c r="B45" s="47">
        <v>1.0</v>
      </c>
      <c r="C45" s="48" t="s">
        <v>37</v>
      </c>
      <c r="D45" s="16"/>
      <c r="E45" s="19">
        <v>12.0</v>
      </c>
      <c r="F45" s="19">
        <v>11.0</v>
      </c>
      <c r="G45" s="19">
        <v>22.0</v>
      </c>
      <c r="H45" s="19">
        <v>31.0</v>
      </c>
      <c r="I45" s="19">
        <v>31.0</v>
      </c>
      <c r="J45" s="19">
        <v>17.0</v>
      </c>
      <c r="K45" s="19">
        <v>19.0</v>
      </c>
      <c r="L45" s="19">
        <v>14.0</v>
      </c>
      <c r="M45" s="19">
        <v>37.0</v>
      </c>
      <c r="N45" s="19">
        <v>13.0</v>
      </c>
      <c r="O45" s="19">
        <v>32.0</v>
      </c>
      <c r="P45" s="19">
        <v>27.0</v>
      </c>
      <c r="Q45" s="19">
        <v>16.0</v>
      </c>
      <c r="R45" s="19">
        <v>19.0</v>
      </c>
      <c r="S45" s="19">
        <v>16.0</v>
      </c>
      <c r="T45" s="19">
        <v>10.0</v>
      </c>
      <c r="U45" s="19">
        <v>7.0</v>
      </c>
      <c r="V45" s="19">
        <v>10.0</v>
      </c>
      <c r="W45" s="19">
        <v>20.0</v>
      </c>
      <c r="X45" s="19">
        <v>16.0</v>
      </c>
      <c r="Y45" s="19">
        <v>26.0</v>
      </c>
      <c r="Z45" s="19">
        <v>37.0</v>
      </c>
      <c r="AA45" s="19">
        <v>19.0</v>
      </c>
      <c r="AB45" s="13">
        <f t="shared" ref="AB45:AB47" si="6">SUM(E45:AA45)</f>
        <v>462</v>
      </c>
    </row>
    <row r="46" ht="12.75" customHeight="1">
      <c r="A46" s="18"/>
      <c r="B46" s="47">
        <v>2.0</v>
      </c>
      <c r="C46" s="48" t="s">
        <v>38</v>
      </c>
      <c r="D46" s="16"/>
      <c r="E46" s="19">
        <v>194.0</v>
      </c>
      <c r="F46" s="19">
        <v>151.0</v>
      </c>
      <c r="G46" s="19">
        <v>156.0</v>
      </c>
      <c r="H46" s="19">
        <v>154.0</v>
      </c>
      <c r="I46" s="19">
        <v>172.0</v>
      </c>
      <c r="J46" s="19">
        <v>148.0</v>
      </c>
      <c r="K46" s="19">
        <v>138.0</v>
      </c>
      <c r="L46" s="19">
        <v>165.0</v>
      </c>
      <c r="M46" s="19">
        <v>126.0</v>
      </c>
      <c r="N46" s="19">
        <v>130.0</v>
      </c>
      <c r="O46" s="19">
        <v>133.0</v>
      </c>
      <c r="P46" s="19">
        <v>88.0</v>
      </c>
      <c r="Q46" s="19">
        <v>154.0</v>
      </c>
      <c r="R46" s="19">
        <v>174.0</v>
      </c>
      <c r="S46" s="19">
        <v>160.0</v>
      </c>
      <c r="T46" s="19">
        <v>152.0</v>
      </c>
      <c r="U46" s="19">
        <v>137.0</v>
      </c>
      <c r="V46" s="19">
        <v>195.0</v>
      </c>
      <c r="W46" s="19">
        <v>154.0</v>
      </c>
      <c r="X46" s="19">
        <v>176.0</v>
      </c>
      <c r="Y46" s="19">
        <v>158.0</v>
      </c>
      <c r="Z46" s="19">
        <v>146.0</v>
      </c>
      <c r="AA46" s="19">
        <v>180.0</v>
      </c>
      <c r="AB46" s="13">
        <f t="shared" si="6"/>
        <v>3541</v>
      </c>
    </row>
    <row r="47" ht="12.75" customHeight="1">
      <c r="A47" s="45"/>
      <c r="B47" s="47">
        <v>3.0</v>
      </c>
      <c r="C47" s="48" t="s">
        <v>39</v>
      </c>
      <c r="D47" s="16"/>
      <c r="E47" s="19">
        <v>34.0</v>
      </c>
      <c r="F47" s="19">
        <v>58.0</v>
      </c>
      <c r="G47" s="19">
        <v>36.0</v>
      </c>
      <c r="H47" s="19">
        <v>32.0</v>
      </c>
      <c r="I47" s="19">
        <v>27.0</v>
      </c>
      <c r="J47" s="19">
        <v>40.0</v>
      </c>
      <c r="K47" s="19">
        <v>49.0</v>
      </c>
      <c r="L47" s="19">
        <v>32.0</v>
      </c>
      <c r="M47" s="19">
        <v>23.0</v>
      </c>
      <c r="N47" s="19">
        <v>27.0</v>
      </c>
      <c r="O47" s="19">
        <v>28.0</v>
      </c>
      <c r="P47" s="19">
        <v>24.0</v>
      </c>
      <c r="Q47" s="19">
        <v>32.0</v>
      </c>
      <c r="R47" s="19">
        <v>39.0</v>
      </c>
      <c r="S47" s="19">
        <v>52.0</v>
      </c>
      <c r="T47" s="19">
        <v>56.0</v>
      </c>
      <c r="U47" s="19">
        <v>30.0</v>
      </c>
      <c r="V47" s="19">
        <v>34.0</v>
      </c>
      <c r="W47" s="19">
        <v>31.0</v>
      </c>
      <c r="X47" s="19">
        <v>43.0</v>
      </c>
      <c r="Y47" s="19">
        <v>29.0</v>
      </c>
      <c r="Z47" s="19">
        <v>21.0</v>
      </c>
      <c r="AA47" s="19">
        <v>18.0</v>
      </c>
      <c r="AB47" s="13">
        <f t="shared" si="6"/>
        <v>795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13"/>
      <c r="Q49" s="13"/>
      <c r="R49" s="13"/>
      <c r="S49" s="13"/>
      <c r="T49" s="13"/>
      <c r="U49" s="61"/>
      <c r="V49" s="61"/>
      <c r="W49" s="13"/>
      <c r="X49" s="13"/>
      <c r="Y49" s="13"/>
      <c r="Z49" s="61"/>
      <c r="AA49" s="61"/>
      <c r="AB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A50" si="7">SUM(E45:E47)</f>
        <v>240</v>
      </c>
      <c r="F50" s="19">
        <f t="shared" si="7"/>
        <v>220</v>
      </c>
      <c r="G50" s="19">
        <f t="shared" si="7"/>
        <v>214</v>
      </c>
      <c r="H50" s="19">
        <f t="shared" si="7"/>
        <v>217</v>
      </c>
      <c r="I50" s="19">
        <f t="shared" si="7"/>
        <v>230</v>
      </c>
      <c r="J50" s="19">
        <f t="shared" si="7"/>
        <v>205</v>
      </c>
      <c r="K50" s="19">
        <f t="shared" si="7"/>
        <v>206</v>
      </c>
      <c r="L50" s="19">
        <f t="shared" si="7"/>
        <v>211</v>
      </c>
      <c r="M50" s="19">
        <f t="shared" si="7"/>
        <v>186</v>
      </c>
      <c r="N50" s="19">
        <f t="shared" si="7"/>
        <v>170</v>
      </c>
      <c r="O50" s="19">
        <f t="shared" si="7"/>
        <v>193</v>
      </c>
      <c r="P50" s="19">
        <f t="shared" si="7"/>
        <v>139</v>
      </c>
      <c r="Q50" s="19">
        <f t="shared" si="7"/>
        <v>202</v>
      </c>
      <c r="R50" s="19">
        <f t="shared" si="7"/>
        <v>232</v>
      </c>
      <c r="S50" s="19">
        <f t="shared" si="7"/>
        <v>228</v>
      </c>
      <c r="T50" s="19">
        <f t="shared" si="7"/>
        <v>218</v>
      </c>
      <c r="U50" s="19">
        <f t="shared" si="7"/>
        <v>174</v>
      </c>
      <c r="V50" s="19">
        <f t="shared" si="7"/>
        <v>239</v>
      </c>
      <c r="W50" s="19">
        <f t="shared" si="7"/>
        <v>205</v>
      </c>
      <c r="X50" s="19">
        <f t="shared" si="7"/>
        <v>235</v>
      </c>
      <c r="Y50" s="19">
        <f t="shared" si="7"/>
        <v>213</v>
      </c>
      <c r="Z50" s="19">
        <f t="shared" si="7"/>
        <v>204</v>
      </c>
      <c r="AA50" s="19">
        <f t="shared" si="7"/>
        <v>217</v>
      </c>
      <c r="AB50" s="13">
        <f t="shared" ref="AB50:AB52" si="8">SUM(E50:AA50)</f>
        <v>4798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1.0</v>
      </c>
      <c r="F51" s="19">
        <v>5.0</v>
      </c>
      <c r="G51" s="19">
        <v>2.0</v>
      </c>
      <c r="H51" s="19">
        <v>2.0</v>
      </c>
      <c r="I51" s="19">
        <v>1.0</v>
      </c>
      <c r="J51" s="19">
        <v>5.0</v>
      </c>
      <c r="K51" s="19">
        <v>3.0</v>
      </c>
      <c r="L51" s="19">
        <v>3.0</v>
      </c>
      <c r="M51" s="19">
        <v>6.0</v>
      </c>
      <c r="N51" s="19">
        <v>3.0</v>
      </c>
      <c r="O51" s="19">
        <v>2.0</v>
      </c>
      <c r="P51" s="19">
        <v>2.0</v>
      </c>
      <c r="Q51" s="19">
        <v>0.0</v>
      </c>
      <c r="R51" s="19">
        <v>7.0</v>
      </c>
      <c r="S51" s="19">
        <v>5.0</v>
      </c>
      <c r="T51" s="19">
        <v>9.0</v>
      </c>
      <c r="U51" s="19">
        <v>2.0</v>
      </c>
      <c r="V51" s="19">
        <v>2.0</v>
      </c>
      <c r="W51" s="19">
        <v>2.0</v>
      </c>
      <c r="X51" s="19">
        <v>3.0</v>
      </c>
      <c r="Y51" s="19">
        <v>3.0</v>
      </c>
      <c r="Z51" s="19">
        <v>7.0</v>
      </c>
      <c r="AA51" s="19">
        <v>4.0</v>
      </c>
      <c r="AB51" s="13">
        <f t="shared" si="8"/>
        <v>79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A52" si="9">SUM(E50:E51)</f>
        <v>241</v>
      </c>
      <c r="F52" s="13">
        <f t="shared" si="9"/>
        <v>225</v>
      </c>
      <c r="G52" s="13">
        <f t="shared" si="9"/>
        <v>216</v>
      </c>
      <c r="H52" s="13">
        <f t="shared" si="9"/>
        <v>219</v>
      </c>
      <c r="I52" s="13">
        <f t="shared" si="9"/>
        <v>231</v>
      </c>
      <c r="J52" s="13">
        <f t="shared" si="9"/>
        <v>210</v>
      </c>
      <c r="K52" s="13">
        <f t="shared" si="9"/>
        <v>209</v>
      </c>
      <c r="L52" s="13">
        <f t="shared" si="9"/>
        <v>214</v>
      </c>
      <c r="M52" s="13">
        <f t="shared" si="9"/>
        <v>192</v>
      </c>
      <c r="N52" s="13">
        <f t="shared" si="9"/>
        <v>173</v>
      </c>
      <c r="O52" s="13">
        <f t="shared" si="9"/>
        <v>195</v>
      </c>
      <c r="P52" s="13">
        <f t="shared" si="9"/>
        <v>141</v>
      </c>
      <c r="Q52" s="13">
        <f t="shared" si="9"/>
        <v>202</v>
      </c>
      <c r="R52" s="13">
        <f t="shared" si="9"/>
        <v>239</v>
      </c>
      <c r="S52" s="13">
        <f t="shared" si="9"/>
        <v>233</v>
      </c>
      <c r="T52" s="13">
        <f t="shared" si="9"/>
        <v>227</v>
      </c>
      <c r="U52" s="13">
        <f t="shared" si="9"/>
        <v>176</v>
      </c>
      <c r="V52" s="13">
        <f t="shared" si="9"/>
        <v>241</v>
      </c>
      <c r="W52" s="13">
        <f t="shared" si="9"/>
        <v>207</v>
      </c>
      <c r="X52" s="13">
        <f t="shared" si="9"/>
        <v>238</v>
      </c>
      <c r="Y52" s="13">
        <f t="shared" si="9"/>
        <v>216</v>
      </c>
      <c r="Z52" s="13">
        <f t="shared" si="9"/>
        <v>211</v>
      </c>
      <c r="AA52" s="13">
        <f t="shared" si="9"/>
        <v>221</v>
      </c>
      <c r="AB52" s="13">
        <f t="shared" si="8"/>
        <v>4877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P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P42"/>
    <mergeCell ref="B43:D43"/>
    <mergeCell ref="A44:D44"/>
    <mergeCell ref="C45:D45"/>
  </mergeCells>
  <conditionalFormatting sqref="E14:AA15 E45:AA47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E30&lt;&gt;E46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E34&lt;&gt;#REF!</formula>
    </cfRule>
  </conditionalFormatting>
  <conditionalFormatting sqref="E50:AA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  <c r="T11" s="1"/>
      <c r="U11" s="1"/>
      <c r="V11" s="1"/>
      <c r="W11" s="1"/>
      <c r="X11" s="1"/>
      <c r="Y11" s="1"/>
      <c r="Z11" s="1"/>
      <c r="AA11" s="1"/>
      <c r="AB11" s="2"/>
      <c r="AC11" s="1"/>
      <c r="AD11" s="1"/>
      <c r="AE11" s="1"/>
      <c r="AF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19">
        <v>141.0</v>
      </c>
      <c r="F14" s="19">
        <v>121.0</v>
      </c>
      <c r="G14" s="19">
        <v>111.0</v>
      </c>
      <c r="H14" s="19">
        <v>147.0</v>
      </c>
      <c r="I14" s="19">
        <v>125.0</v>
      </c>
      <c r="J14" s="19">
        <v>124.0</v>
      </c>
      <c r="K14" s="19">
        <v>120.0</v>
      </c>
      <c r="L14" s="19">
        <v>97.0</v>
      </c>
      <c r="M14" s="19">
        <v>131.0</v>
      </c>
      <c r="N14" s="19">
        <v>140.0</v>
      </c>
      <c r="O14" s="19">
        <v>147.0</v>
      </c>
      <c r="P14" s="19">
        <v>135.0</v>
      </c>
      <c r="Q14" s="19">
        <v>129.0</v>
      </c>
      <c r="R14" s="19">
        <v>118.0</v>
      </c>
      <c r="S14" s="19">
        <v>116.0</v>
      </c>
      <c r="T14" s="19">
        <v>130.0</v>
      </c>
      <c r="U14" s="19">
        <v>151.0</v>
      </c>
      <c r="V14" s="19">
        <v>135.0</v>
      </c>
      <c r="W14" s="19">
        <v>105.0</v>
      </c>
      <c r="X14" s="19">
        <v>115.0</v>
      </c>
      <c r="Y14" s="19">
        <v>81.0</v>
      </c>
      <c r="Z14" s="19">
        <v>154.0</v>
      </c>
      <c r="AA14" s="19">
        <v>135.0</v>
      </c>
      <c r="AB14" s="19">
        <v>139.0</v>
      </c>
      <c r="AC14" s="19">
        <v>135.0</v>
      </c>
      <c r="AD14" s="19">
        <v>143.0</v>
      </c>
      <c r="AE14" s="19">
        <v>119.0</v>
      </c>
      <c r="AF14" s="19">
        <v>111.0</v>
      </c>
      <c r="AG14" s="19">
        <v>122.0</v>
      </c>
      <c r="AH14" s="13">
        <f t="shared" ref="AH14:AH16" si="1">SUM(E14:AG14)</f>
        <v>3677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109.0</v>
      </c>
      <c r="G15" s="19">
        <v>110.0</v>
      </c>
      <c r="H15" s="19">
        <v>146.0</v>
      </c>
      <c r="I15" s="19">
        <v>122.0</v>
      </c>
      <c r="J15" s="19">
        <v>136.0</v>
      </c>
      <c r="K15" s="19">
        <v>117.0</v>
      </c>
      <c r="L15" s="19">
        <v>104.0</v>
      </c>
      <c r="M15" s="19">
        <v>137.0</v>
      </c>
      <c r="N15" s="19">
        <v>146.0</v>
      </c>
      <c r="O15" s="19">
        <v>144.0</v>
      </c>
      <c r="P15" s="19">
        <v>149.0</v>
      </c>
      <c r="Q15" s="19">
        <v>139.0</v>
      </c>
      <c r="R15" s="19">
        <v>118.0</v>
      </c>
      <c r="S15" s="19">
        <v>118.0</v>
      </c>
      <c r="T15" s="19">
        <v>131.0</v>
      </c>
      <c r="U15" s="19">
        <v>145.0</v>
      </c>
      <c r="V15" s="19">
        <v>134.0</v>
      </c>
      <c r="W15" s="19">
        <v>108.0</v>
      </c>
      <c r="X15" s="19">
        <v>117.0</v>
      </c>
      <c r="Y15" s="19">
        <v>74.0</v>
      </c>
      <c r="Z15" s="19">
        <v>137.0</v>
      </c>
      <c r="AA15" s="19">
        <v>120.0</v>
      </c>
      <c r="AB15" s="19">
        <v>132.0</v>
      </c>
      <c r="AC15" s="19">
        <v>123.0</v>
      </c>
      <c r="AD15" s="19">
        <v>152.0</v>
      </c>
      <c r="AE15" s="19">
        <v>125.0</v>
      </c>
      <c r="AF15" s="19">
        <v>98.0</v>
      </c>
      <c r="AG15" s="19">
        <v>124.0</v>
      </c>
      <c r="AH15" s="13">
        <f t="shared" si="1"/>
        <v>3648</v>
      </c>
    </row>
    <row r="16" ht="12.75" customHeight="1">
      <c r="A16" s="25"/>
      <c r="B16" s="21"/>
      <c r="C16" s="28"/>
      <c r="D16" s="13" t="s">
        <v>14</v>
      </c>
      <c r="E16" s="13">
        <v>274.0</v>
      </c>
      <c r="F16" s="13">
        <v>230.0</v>
      </c>
      <c r="G16" s="13">
        <v>221.0</v>
      </c>
      <c r="H16" s="13">
        <v>293.0</v>
      </c>
      <c r="I16" s="13">
        <v>247.0</v>
      </c>
      <c r="J16" s="13">
        <v>260.0</v>
      </c>
      <c r="K16" s="13">
        <v>237.0</v>
      </c>
      <c r="L16" s="13">
        <v>201.0</v>
      </c>
      <c r="M16" s="13">
        <v>268.0</v>
      </c>
      <c r="N16" s="13">
        <v>286.0</v>
      </c>
      <c r="O16" s="13">
        <v>291.0</v>
      </c>
      <c r="P16" s="13">
        <v>284.0</v>
      </c>
      <c r="Q16" s="13">
        <v>268.0</v>
      </c>
      <c r="R16" s="13">
        <v>236.0</v>
      </c>
      <c r="S16" s="13">
        <v>234.0</v>
      </c>
      <c r="T16" s="13">
        <v>261.0</v>
      </c>
      <c r="U16" s="13">
        <v>296.0</v>
      </c>
      <c r="V16" s="13">
        <v>269.0</v>
      </c>
      <c r="W16" s="13">
        <v>213.0</v>
      </c>
      <c r="X16" s="13">
        <v>232.0</v>
      </c>
      <c r="Y16" s="13">
        <v>155.0</v>
      </c>
      <c r="Z16" s="13">
        <v>291.0</v>
      </c>
      <c r="AA16" s="13">
        <v>255.0</v>
      </c>
      <c r="AB16" s="13">
        <v>271.0</v>
      </c>
      <c r="AC16" s="13">
        <v>258.0</v>
      </c>
      <c r="AD16" s="13">
        <v>295.0</v>
      </c>
      <c r="AE16" s="13">
        <v>244.0</v>
      </c>
      <c r="AF16" s="13">
        <v>209.0</v>
      </c>
      <c r="AG16" s="13">
        <v>246.0</v>
      </c>
      <c r="AH16" s="13">
        <f t="shared" si="1"/>
        <v>7325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59"/>
      <c r="S17" s="59"/>
      <c r="T17" s="19"/>
      <c r="U17" s="19"/>
      <c r="V17" s="19"/>
      <c r="W17" s="19"/>
      <c r="X17" s="19"/>
      <c r="Y17" s="19"/>
      <c r="Z17" s="19"/>
      <c r="AA17" s="19"/>
      <c r="AB17" s="59"/>
      <c r="AC17" s="19"/>
      <c r="AD17" s="19"/>
      <c r="AE17" s="19"/>
      <c r="AF17" s="59"/>
      <c r="AG17" s="59"/>
      <c r="AH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59"/>
      <c r="S18" s="59"/>
      <c r="T18" s="19"/>
      <c r="U18" s="19"/>
      <c r="V18" s="19"/>
      <c r="W18" s="19"/>
      <c r="X18" s="19"/>
      <c r="Y18" s="19"/>
      <c r="Z18" s="19"/>
      <c r="AA18" s="19"/>
      <c r="AB18" s="59"/>
      <c r="AC18" s="19"/>
      <c r="AD18" s="19"/>
      <c r="AE18" s="19"/>
      <c r="AF18" s="59"/>
      <c r="AG18" s="59"/>
      <c r="AH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115.0</v>
      </c>
      <c r="F19" s="19">
        <v>92.0</v>
      </c>
      <c r="G19" s="19">
        <v>80.0</v>
      </c>
      <c r="H19" s="19">
        <v>126.0</v>
      </c>
      <c r="I19" s="19">
        <v>97.0</v>
      </c>
      <c r="J19" s="19">
        <v>94.0</v>
      </c>
      <c r="K19" s="19">
        <v>83.0</v>
      </c>
      <c r="L19" s="19">
        <v>73.0</v>
      </c>
      <c r="M19" s="19">
        <v>99.0</v>
      </c>
      <c r="N19" s="19">
        <v>110.0</v>
      </c>
      <c r="O19" s="19">
        <v>113.0</v>
      </c>
      <c r="P19" s="19">
        <v>114.0</v>
      </c>
      <c r="Q19" s="19">
        <v>96.0</v>
      </c>
      <c r="R19" s="19">
        <v>90.0</v>
      </c>
      <c r="S19" s="19">
        <v>84.0</v>
      </c>
      <c r="T19" s="19">
        <v>96.0</v>
      </c>
      <c r="U19" s="19">
        <v>107.0</v>
      </c>
      <c r="V19" s="19">
        <v>84.0</v>
      </c>
      <c r="W19" s="19">
        <v>78.0</v>
      </c>
      <c r="X19" s="19">
        <v>81.0</v>
      </c>
      <c r="Y19" s="19">
        <v>57.0</v>
      </c>
      <c r="Z19" s="19">
        <v>106.0</v>
      </c>
      <c r="AA19" s="19">
        <v>107.0</v>
      </c>
      <c r="AB19" s="19">
        <v>103.0</v>
      </c>
      <c r="AC19" s="19">
        <v>105.0</v>
      </c>
      <c r="AD19" s="19">
        <v>118.0</v>
      </c>
      <c r="AE19" s="19">
        <v>92.0</v>
      </c>
      <c r="AF19" s="19">
        <v>77.0</v>
      </c>
      <c r="AG19" s="19">
        <v>92.0</v>
      </c>
      <c r="AH19" s="13">
        <f t="shared" ref="AH19:AH30" si="2">SUM(E19:AG19)</f>
        <v>2769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87.0</v>
      </c>
      <c r="G20" s="19">
        <v>81.0</v>
      </c>
      <c r="H20" s="19">
        <v>122.0</v>
      </c>
      <c r="I20" s="19">
        <v>96.0</v>
      </c>
      <c r="J20" s="19">
        <v>90.0</v>
      </c>
      <c r="K20" s="19">
        <v>96.0</v>
      </c>
      <c r="L20" s="19">
        <v>79.0</v>
      </c>
      <c r="M20" s="19">
        <v>102.0</v>
      </c>
      <c r="N20" s="19">
        <v>126.0</v>
      </c>
      <c r="O20" s="19">
        <v>117.0</v>
      </c>
      <c r="P20" s="19">
        <v>126.0</v>
      </c>
      <c r="Q20" s="19">
        <v>100.0</v>
      </c>
      <c r="R20" s="19">
        <v>92.0</v>
      </c>
      <c r="S20" s="19">
        <v>99.0</v>
      </c>
      <c r="T20" s="19">
        <v>102.0</v>
      </c>
      <c r="U20" s="19">
        <v>122.0</v>
      </c>
      <c r="V20" s="19">
        <v>90.0</v>
      </c>
      <c r="W20" s="19">
        <v>90.0</v>
      </c>
      <c r="X20" s="19">
        <v>84.0</v>
      </c>
      <c r="Y20" s="19">
        <v>55.0</v>
      </c>
      <c r="Z20" s="19">
        <v>110.0</v>
      </c>
      <c r="AA20" s="19">
        <v>100.0</v>
      </c>
      <c r="AB20" s="19">
        <v>112.0</v>
      </c>
      <c r="AC20" s="19">
        <v>100.0</v>
      </c>
      <c r="AD20" s="19">
        <v>98.0</v>
      </c>
      <c r="AE20" s="19">
        <v>89.0</v>
      </c>
      <c r="AF20" s="19">
        <v>78.0</v>
      </c>
      <c r="AG20" s="19">
        <v>104.0</v>
      </c>
      <c r="AH20" s="13">
        <f t="shared" si="2"/>
        <v>2859</v>
      </c>
    </row>
    <row r="21" ht="12.75" customHeight="1">
      <c r="A21" s="35"/>
      <c r="B21" s="28"/>
      <c r="C21" s="36"/>
      <c r="D21" s="13" t="s">
        <v>14</v>
      </c>
      <c r="E21" s="13">
        <v>227.0</v>
      </c>
      <c r="F21" s="13">
        <v>179.0</v>
      </c>
      <c r="G21" s="13">
        <v>161.0</v>
      </c>
      <c r="H21" s="13">
        <v>248.0</v>
      </c>
      <c r="I21" s="13">
        <v>193.0</v>
      </c>
      <c r="J21" s="13">
        <v>184.0</v>
      </c>
      <c r="K21" s="13">
        <v>179.0</v>
      </c>
      <c r="L21" s="13">
        <v>152.0</v>
      </c>
      <c r="M21" s="13">
        <v>201.0</v>
      </c>
      <c r="N21" s="13">
        <v>236.0</v>
      </c>
      <c r="O21" s="13">
        <v>230.0</v>
      </c>
      <c r="P21" s="13">
        <v>240.0</v>
      </c>
      <c r="Q21" s="13">
        <v>196.0</v>
      </c>
      <c r="R21" s="13">
        <v>182.0</v>
      </c>
      <c r="S21" s="13">
        <v>183.0</v>
      </c>
      <c r="T21" s="13">
        <v>198.0</v>
      </c>
      <c r="U21" s="13">
        <v>229.0</v>
      </c>
      <c r="V21" s="13">
        <v>174.0</v>
      </c>
      <c r="W21" s="13">
        <v>168.0</v>
      </c>
      <c r="X21" s="13">
        <v>165.0</v>
      </c>
      <c r="Y21" s="13">
        <v>112.0</v>
      </c>
      <c r="Z21" s="13">
        <v>216.0</v>
      </c>
      <c r="AA21" s="13">
        <v>207.0</v>
      </c>
      <c r="AB21" s="13">
        <v>215.0</v>
      </c>
      <c r="AC21" s="13">
        <v>205.0</v>
      </c>
      <c r="AD21" s="13">
        <v>216.0</v>
      </c>
      <c r="AE21" s="13">
        <v>181.0</v>
      </c>
      <c r="AF21" s="13">
        <v>155.0</v>
      </c>
      <c r="AG21" s="13">
        <v>196.0</v>
      </c>
      <c r="AH21" s="13">
        <f t="shared" si="2"/>
        <v>5628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3">
        <f t="shared" si="2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3">
        <f t="shared" si="2"/>
        <v>3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1.0</v>
      </c>
      <c r="J24" s="13">
        <v>0.0</v>
      </c>
      <c r="K24" s="13">
        <v>0.0</v>
      </c>
      <c r="L24" s="13">
        <v>0.0</v>
      </c>
      <c r="M24" s="13">
        <v>2.0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1.0</v>
      </c>
      <c r="T24" s="13">
        <v>0.0</v>
      </c>
      <c r="U24" s="13">
        <v>1.0</v>
      </c>
      <c r="V24" s="13">
        <v>1.0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3">
        <v>0.0</v>
      </c>
      <c r="AF24" s="13">
        <v>0.0</v>
      </c>
      <c r="AG24" s="13">
        <v>0.0</v>
      </c>
      <c r="AH24" s="13">
        <f t="shared" si="2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3.0</v>
      </c>
      <c r="I25" s="19">
        <v>1.0</v>
      </c>
      <c r="J25" s="19">
        <v>0.0</v>
      </c>
      <c r="K25" s="19">
        <v>0.0</v>
      </c>
      <c r="L25" s="19">
        <v>1.0</v>
      </c>
      <c r="M25" s="19">
        <v>1.0</v>
      </c>
      <c r="N25" s="19">
        <v>1.0</v>
      </c>
      <c r="O25" s="19">
        <v>0.0</v>
      </c>
      <c r="P25" s="19">
        <v>4.0</v>
      </c>
      <c r="Q25" s="19">
        <v>1.0</v>
      </c>
      <c r="R25" s="19">
        <v>4.0</v>
      </c>
      <c r="S25" s="19">
        <v>1.0</v>
      </c>
      <c r="T25" s="19">
        <v>2.0</v>
      </c>
      <c r="U25" s="19">
        <v>2.0</v>
      </c>
      <c r="V25" s="19">
        <v>1.0</v>
      </c>
      <c r="W25" s="19">
        <v>0.0</v>
      </c>
      <c r="X25" s="19">
        <v>6.0</v>
      </c>
      <c r="Y25" s="19">
        <v>1.0</v>
      </c>
      <c r="Z25" s="19">
        <v>0.0</v>
      </c>
      <c r="AA25" s="19">
        <v>0.0</v>
      </c>
      <c r="AB25" s="19">
        <v>2.0</v>
      </c>
      <c r="AC25" s="19">
        <v>1.0</v>
      </c>
      <c r="AD25" s="19">
        <v>1.0</v>
      </c>
      <c r="AE25" s="19">
        <v>0.0</v>
      </c>
      <c r="AF25" s="19">
        <v>0.0</v>
      </c>
      <c r="AG25" s="19">
        <v>0.0</v>
      </c>
      <c r="AH25" s="13">
        <f t="shared" si="2"/>
        <v>34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4.0</v>
      </c>
      <c r="I26" s="19">
        <v>1.0</v>
      </c>
      <c r="J26" s="19">
        <v>0.0</v>
      </c>
      <c r="K26" s="19">
        <v>1.0</v>
      </c>
      <c r="L26" s="19">
        <v>3.0</v>
      </c>
      <c r="M26" s="19">
        <v>1.0</v>
      </c>
      <c r="N26" s="19">
        <v>2.0</v>
      </c>
      <c r="O26" s="19">
        <v>0.0</v>
      </c>
      <c r="P26" s="19">
        <v>4.0</v>
      </c>
      <c r="Q26" s="19">
        <v>0.0</v>
      </c>
      <c r="R26" s="19">
        <v>1.0</v>
      </c>
      <c r="S26" s="19">
        <v>0.0</v>
      </c>
      <c r="T26" s="19">
        <v>1.0</v>
      </c>
      <c r="U26" s="19">
        <v>1.0</v>
      </c>
      <c r="V26" s="19">
        <v>0.0</v>
      </c>
      <c r="W26" s="19">
        <v>1.0</v>
      </c>
      <c r="X26" s="19">
        <v>2.0</v>
      </c>
      <c r="Y26" s="19">
        <v>5.0</v>
      </c>
      <c r="Z26" s="19">
        <v>0.0</v>
      </c>
      <c r="AA26" s="19">
        <v>0.0</v>
      </c>
      <c r="AB26" s="19">
        <v>0.0</v>
      </c>
      <c r="AC26" s="19">
        <v>0.0</v>
      </c>
      <c r="AD26" s="19">
        <v>3.0</v>
      </c>
      <c r="AE26" s="19">
        <v>0.0</v>
      </c>
      <c r="AF26" s="19">
        <v>3.0</v>
      </c>
      <c r="AG26" s="19">
        <v>0.0</v>
      </c>
      <c r="AH26" s="13">
        <f t="shared" si="2"/>
        <v>33</v>
      </c>
    </row>
    <row r="27" ht="12.75" customHeight="1">
      <c r="A27" s="35"/>
      <c r="B27" s="28"/>
      <c r="C27" s="36"/>
      <c r="D27" s="13" t="s">
        <v>14</v>
      </c>
      <c r="E27" s="13">
        <v>0.0</v>
      </c>
      <c r="F27" s="13">
        <v>0.0</v>
      </c>
      <c r="G27" s="13">
        <v>1.0</v>
      </c>
      <c r="H27" s="13">
        <v>7.0</v>
      </c>
      <c r="I27" s="13">
        <v>2.0</v>
      </c>
      <c r="J27" s="13">
        <v>0.0</v>
      </c>
      <c r="K27" s="13">
        <v>1.0</v>
      </c>
      <c r="L27" s="13">
        <v>4.0</v>
      </c>
      <c r="M27" s="13">
        <v>2.0</v>
      </c>
      <c r="N27" s="13">
        <v>3.0</v>
      </c>
      <c r="O27" s="13">
        <v>0.0</v>
      </c>
      <c r="P27" s="13">
        <v>8.0</v>
      </c>
      <c r="Q27" s="13">
        <v>1.0</v>
      </c>
      <c r="R27" s="13">
        <v>5.0</v>
      </c>
      <c r="S27" s="13">
        <v>1.0</v>
      </c>
      <c r="T27" s="13">
        <v>3.0</v>
      </c>
      <c r="U27" s="13">
        <v>3.0</v>
      </c>
      <c r="V27" s="13">
        <v>1.0</v>
      </c>
      <c r="W27" s="13">
        <v>1.0</v>
      </c>
      <c r="X27" s="13">
        <v>8.0</v>
      </c>
      <c r="Y27" s="13">
        <v>6.0</v>
      </c>
      <c r="Z27" s="13">
        <v>0.0</v>
      </c>
      <c r="AA27" s="13">
        <v>0.0</v>
      </c>
      <c r="AB27" s="13">
        <v>2.0</v>
      </c>
      <c r="AC27" s="13">
        <v>1.0</v>
      </c>
      <c r="AD27" s="13">
        <v>4.0</v>
      </c>
      <c r="AE27" s="13">
        <v>0.0</v>
      </c>
      <c r="AF27" s="13">
        <v>3.0</v>
      </c>
      <c r="AG27" s="13">
        <v>0.0</v>
      </c>
      <c r="AH27" s="13">
        <f t="shared" si="2"/>
        <v>67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115.0</v>
      </c>
      <c r="F28" s="13">
        <v>92.0</v>
      </c>
      <c r="G28" s="13">
        <v>81.0</v>
      </c>
      <c r="H28" s="13">
        <v>129.0</v>
      </c>
      <c r="I28" s="13">
        <v>98.0</v>
      </c>
      <c r="J28" s="13">
        <v>94.0</v>
      </c>
      <c r="K28" s="13">
        <v>83.0</v>
      </c>
      <c r="L28" s="13">
        <v>74.0</v>
      </c>
      <c r="M28" s="13">
        <v>101.0</v>
      </c>
      <c r="N28" s="13">
        <v>111.0</v>
      </c>
      <c r="O28" s="13">
        <v>113.0</v>
      </c>
      <c r="P28" s="13">
        <v>118.0</v>
      </c>
      <c r="Q28" s="13">
        <v>97.0</v>
      </c>
      <c r="R28" s="13">
        <v>94.0</v>
      </c>
      <c r="S28" s="13">
        <v>85.0</v>
      </c>
      <c r="T28" s="13">
        <v>98.0</v>
      </c>
      <c r="U28" s="13">
        <v>110.0</v>
      </c>
      <c r="V28" s="13">
        <v>86.0</v>
      </c>
      <c r="W28" s="13">
        <v>78.0</v>
      </c>
      <c r="X28" s="13">
        <v>87.0</v>
      </c>
      <c r="Y28" s="13">
        <v>58.0</v>
      </c>
      <c r="Z28" s="13">
        <v>106.0</v>
      </c>
      <c r="AA28" s="13">
        <v>107.0</v>
      </c>
      <c r="AB28" s="13">
        <v>105.0</v>
      </c>
      <c r="AC28" s="13">
        <v>106.0</v>
      </c>
      <c r="AD28" s="13">
        <v>119.0</v>
      </c>
      <c r="AE28" s="13">
        <v>92.0</v>
      </c>
      <c r="AF28" s="13">
        <v>77.0</v>
      </c>
      <c r="AG28" s="13">
        <v>92.0</v>
      </c>
      <c r="AH28" s="13">
        <f t="shared" si="2"/>
        <v>2806</v>
      </c>
    </row>
    <row r="29" ht="12.75" customHeight="1">
      <c r="A29" s="35"/>
      <c r="B29" s="27"/>
      <c r="C29" s="34"/>
      <c r="D29" s="13" t="s">
        <v>13</v>
      </c>
      <c r="E29" s="13">
        <v>112.0</v>
      </c>
      <c r="F29" s="13">
        <v>87.0</v>
      </c>
      <c r="G29" s="13">
        <v>81.0</v>
      </c>
      <c r="H29" s="13">
        <v>126.0</v>
      </c>
      <c r="I29" s="13">
        <v>98.0</v>
      </c>
      <c r="J29" s="13">
        <v>90.0</v>
      </c>
      <c r="K29" s="13">
        <v>97.0</v>
      </c>
      <c r="L29" s="13">
        <v>82.0</v>
      </c>
      <c r="M29" s="13">
        <v>104.0</v>
      </c>
      <c r="N29" s="13">
        <v>128.0</v>
      </c>
      <c r="O29" s="13">
        <v>117.0</v>
      </c>
      <c r="P29" s="13">
        <v>130.0</v>
      </c>
      <c r="Q29" s="13">
        <v>100.0</v>
      </c>
      <c r="R29" s="13">
        <v>93.0</v>
      </c>
      <c r="S29" s="13">
        <v>100.0</v>
      </c>
      <c r="T29" s="13">
        <v>103.0</v>
      </c>
      <c r="U29" s="13">
        <v>123.0</v>
      </c>
      <c r="V29" s="13">
        <v>90.0</v>
      </c>
      <c r="W29" s="13">
        <v>91.0</v>
      </c>
      <c r="X29" s="13">
        <v>86.0</v>
      </c>
      <c r="Y29" s="13">
        <v>60.0</v>
      </c>
      <c r="Z29" s="13">
        <v>110.0</v>
      </c>
      <c r="AA29" s="13">
        <v>100.0</v>
      </c>
      <c r="AB29" s="13">
        <v>112.0</v>
      </c>
      <c r="AC29" s="13">
        <v>100.0</v>
      </c>
      <c r="AD29" s="13">
        <v>101.0</v>
      </c>
      <c r="AE29" s="13">
        <v>89.0</v>
      </c>
      <c r="AF29" s="13">
        <v>81.0</v>
      </c>
      <c r="AG29" s="13">
        <v>104.0</v>
      </c>
      <c r="AH29" s="13">
        <f t="shared" si="2"/>
        <v>2895</v>
      </c>
    </row>
    <row r="30" ht="12.75" customHeight="1">
      <c r="A30" s="35"/>
      <c r="B30" s="28"/>
      <c r="C30" s="36"/>
      <c r="D30" s="13" t="s">
        <v>14</v>
      </c>
      <c r="E30" s="13">
        <v>227.0</v>
      </c>
      <c r="F30" s="13">
        <v>179.0</v>
      </c>
      <c r="G30" s="13">
        <v>162.0</v>
      </c>
      <c r="H30" s="13">
        <v>255.0</v>
      </c>
      <c r="I30" s="13">
        <v>196.0</v>
      </c>
      <c r="J30" s="13">
        <v>184.0</v>
      </c>
      <c r="K30" s="13">
        <v>180.0</v>
      </c>
      <c r="L30" s="13">
        <v>156.0</v>
      </c>
      <c r="M30" s="13">
        <v>205.0</v>
      </c>
      <c r="N30" s="13">
        <v>239.0</v>
      </c>
      <c r="O30" s="13">
        <v>230.0</v>
      </c>
      <c r="P30" s="13">
        <v>248.0</v>
      </c>
      <c r="Q30" s="13">
        <v>197.0</v>
      </c>
      <c r="R30" s="13">
        <v>187.0</v>
      </c>
      <c r="S30" s="13">
        <v>185.0</v>
      </c>
      <c r="T30" s="13">
        <v>201.0</v>
      </c>
      <c r="U30" s="13">
        <v>233.0</v>
      </c>
      <c r="V30" s="13">
        <v>176.0</v>
      </c>
      <c r="W30" s="13">
        <v>169.0</v>
      </c>
      <c r="X30" s="13">
        <v>173.0</v>
      </c>
      <c r="Y30" s="13">
        <v>118.0</v>
      </c>
      <c r="Z30" s="13">
        <v>216.0</v>
      </c>
      <c r="AA30" s="13">
        <v>207.0</v>
      </c>
      <c r="AB30" s="13">
        <v>217.0</v>
      </c>
      <c r="AC30" s="13">
        <v>206.0</v>
      </c>
      <c r="AD30" s="13">
        <v>220.0</v>
      </c>
      <c r="AE30" s="13">
        <v>181.0</v>
      </c>
      <c r="AF30" s="13">
        <v>158.0</v>
      </c>
      <c r="AG30" s="13">
        <v>196.0</v>
      </c>
      <c r="AH30" s="13">
        <f t="shared" si="2"/>
        <v>5701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59"/>
      <c r="S31" s="59"/>
      <c r="T31" s="19"/>
      <c r="U31" s="19"/>
      <c r="V31" s="19"/>
      <c r="W31" s="19"/>
      <c r="X31" s="19"/>
      <c r="Y31" s="19"/>
      <c r="Z31" s="19"/>
      <c r="AA31" s="19"/>
      <c r="AB31" s="59"/>
      <c r="AC31" s="19"/>
      <c r="AD31" s="19"/>
      <c r="AE31" s="19"/>
      <c r="AF31" s="59"/>
      <c r="AG31" s="59"/>
      <c r="AH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61"/>
      <c r="S32" s="61"/>
      <c r="T32" s="13"/>
      <c r="U32" s="13"/>
      <c r="V32" s="13"/>
      <c r="W32" s="13"/>
      <c r="X32" s="13"/>
      <c r="Y32" s="13"/>
      <c r="Z32" s="13"/>
      <c r="AA32" s="13"/>
      <c r="AB32" s="61"/>
      <c r="AC32" s="13"/>
      <c r="AD32" s="13"/>
      <c r="AE32" s="13"/>
      <c r="AF32" s="61"/>
      <c r="AG32" s="61"/>
      <c r="AH32" s="60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235.0</v>
      </c>
      <c r="G33" s="19">
        <v>226.0</v>
      </c>
      <c r="H33" s="19">
        <v>299.0</v>
      </c>
      <c r="I33" s="19">
        <v>252.0</v>
      </c>
      <c r="J33" s="19">
        <v>266.0</v>
      </c>
      <c r="K33" s="19">
        <v>242.0</v>
      </c>
      <c r="L33" s="19">
        <v>206.0</v>
      </c>
      <c r="M33" s="19">
        <v>276.0</v>
      </c>
      <c r="N33" s="19">
        <v>292.0</v>
      </c>
      <c r="O33" s="19">
        <v>297.0</v>
      </c>
      <c r="P33" s="19">
        <v>290.0</v>
      </c>
      <c r="Q33" s="19">
        <v>274.0</v>
      </c>
      <c r="R33" s="19">
        <v>241.0</v>
      </c>
      <c r="S33" s="19">
        <v>239.0</v>
      </c>
      <c r="T33" s="19">
        <v>262.0</v>
      </c>
      <c r="U33" s="19">
        <v>302.0</v>
      </c>
      <c r="V33" s="19">
        <v>275.0</v>
      </c>
      <c r="W33" s="19">
        <v>218.0</v>
      </c>
      <c r="X33" s="19">
        <v>237.0</v>
      </c>
      <c r="Y33" s="19">
        <v>159.0</v>
      </c>
      <c r="Z33" s="19">
        <v>297.0</v>
      </c>
      <c r="AA33" s="19">
        <v>259.0</v>
      </c>
      <c r="AB33" s="19">
        <v>277.0</v>
      </c>
      <c r="AC33" s="19">
        <v>263.0</v>
      </c>
      <c r="AD33" s="19">
        <v>301.0</v>
      </c>
      <c r="AE33" s="19">
        <v>248.0</v>
      </c>
      <c r="AF33" s="19">
        <v>214.0</v>
      </c>
      <c r="AG33" s="19">
        <v>251.0</v>
      </c>
      <c r="AH33" s="13">
        <f t="shared" ref="AH33:AH36" si="3">SUM(E33:AG33)</f>
        <v>7478</v>
      </c>
    </row>
    <row r="34" ht="12.75" customHeight="1">
      <c r="A34" s="19">
        <v>2.0</v>
      </c>
      <c r="B34" s="20" t="s">
        <v>28</v>
      </c>
      <c r="C34" s="15"/>
      <c r="D34" s="16"/>
      <c r="E34" s="13">
        <v>227.0</v>
      </c>
      <c r="F34" s="13">
        <v>179.0</v>
      </c>
      <c r="G34" s="13">
        <v>162.0</v>
      </c>
      <c r="H34" s="13">
        <v>255.0</v>
      </c>
      <c r="I34" s="13">
        <v>196.0</v>
      </c>
      <c r="J34" s="13">
        <v>184.0</v>
      </c>
      <c r="K34" s="13">
        <v>180.0</v>
      </c>
      <c r="L34" s="13">
        <v>156.0</v>
      </c>
      <c r="M34" s="13">
        <v>205.0</v>
      </c>
      <c r="N34" s="13">
        <v>239.0</v>
      </c>
      <c r="O34" s="13">
        <v>230.0</v>
      </c>
      <c r="P34" s="13">
        <v>248.0</v>
      </c>
      <c r="Q34" s="13">
        <v>197.0</v>
      </c>
      <c r="R34" s="13">
        <v>187.0</v>
      </c>
      <c r="S34" s="13">
        <v>185.0</v>
      </c>
      <c r="T34" s="13">
        <v>201.0</v>
      </c>
      <c r="U34" s="13">
        <v>233.0</v>
      </c>
      <c r="V34" s="13">
        <v>176.0</v>
      </c>
      <c r="W34" s="13">
        <v>169.0</v>
      </c>
      <c r="X34" s="13">
        <v>173.0</v>
      </c>
      <c r="Y34" s="13">
        <v>118.0</v>
      </c>
      <c r="Z34" s="13">
        <v>216.0</v>
      </c>
      <c r="AA34" s="13">
        <v>207.0</v>
      </c>
      <c r="AB34" s="13">
        <v>217.0</v>
      </c>
      <c r="AC34" s="13">
        <v>206.0</v>
      </c>
      <c r="AD34" s="13">
        <v>220.0</v>
      </c>
      <c r="AE34" s="13">
        <v>181.0</v>
      </c>
      <c r="AF34" s="13">
        <v>158.0</v>
      </c>
      <c r="AG34" s="13">
        <v>196.0</v>
      </c>
      <c r="AH34" s="13">
        <f t="shared" si="3"/>
        <v>5701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3.0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2.0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1.0</v>
      </c>
      <c r="AE35" s="19">
        <v>0.0</v>
      </c>
      <c r="AF35" s="19">
        <v>8.0</v>
      </c>
      <c r="AG35" s="19">
        <v>0.0</v>
      </c>
      <c r="AH35" s="13">
        <f t="shared" si="3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v>53.0</v>
      </c>
      <c r="F36" s="13">
        <v>56.0</v>
      </c>
      <c r="G36" s="13">
        <v>64.0</v>
      </c>
      <c r="H36" s="13">
        <v>41.0</v>
      </c>
      <c r="I36" s="13">
        <v>56.0</v>
      </c>
      <c r="J36" s="13">
        <v>82.0</v>
      </c>
      <c r="K36" s="13">
        <v>62.0</v>
      </c>
      <c r="L36" s="13">
        <v>50.0</v>
      </c>
      <c r="M36" s="13">
        <v>71.0</v>
      </c>
      <c r="N36" s="13">
        <v>53.0</v>
      </c>
      <c r="O36" s="13">
        <v>67.0</v>
      </c>
      <c r="P36" s="13">
        <v>42.0</v>
      </c>
      <c r="Q36" s="13">
        <v>77.0</v>
      </c>
      <c r="R36" s="13">
        <v>54.0</v>
      </c>
      <c r="S36" s="13">
        <v>54.0</v>
      </c>
      <c r="T36" s="13">
        <v>59.0</v>
      </c>
      <c r="U36" s="13">
        <v>69.0</v>
      </c>
      <c r="V36" s="13">
        <v>99.0</v>
      </c>
      <c r="W36" s="13">
        <v>49.0</v>
      </c>
      <c r="X36" s="13">
        <v>64.0</v>
      </c>
      <c r="Y36" s="13">
        <v>41.0</v>
      </c>
      <c r="Z36" s="13">
        <v>81.0</v>
      </c>
      <c r="AA36" s="13">
        <v>52.0</v>
      </c>
      <c r="AB36" s="13">
        <v>60.0</v>
      </c>
      <c r="AC36" s="13">
        <v>57.0</v>
      </c>
      <c r="AD36" s="13">
        <v>80.0</v>
      </c>
      <c r="AE36" s="13">
        <v>67.0</v>
      </c>
      <c r="AF36" s="13">
        <v>48.0</v>
      </c>
      <c r="AG36" s="13">
        <v>55.0</v>
      </c>
      <c r="AH36" s="13">
        <f t="shared" si="3"/>
        <v>1763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59"/>
      <c r="AC37" s="19"/>
      <c r="AD37" s="19"/>
      <c r="AE37" s="19"/>
      <c r="AF37" s="59"/>
      <c r="AG37" s="62"/>
      <c r="AH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61"/>
      <c r="S38" s="61"/>
      <c r="T38" s="13"/>
      <c r="U38" s="13"/>
      <c r="V38" s="13"/>
      <c r="W38" s="13"/>
      <c r="X38" s="13"/>
      <c r="Y38" s="13"/>
      <c r="Z38" s="13"/>
      <c r="AA38" s="13"/>
      <c r="AB38" s="61"/>
      <c r="AC38" s="13"/>
      <c r="AD38" s="13"/>
      <c r="AE38" s="13"/>
      <c r="AF38" s="61"/>
      <c r="AG38" s="61"/>
      <c r="AH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2.0</v>
      </c>
      <c r="Z39" s="19">
        <v>1.0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3">
        <f t="shared" ref="AH39:AH41" si="4">SUM(E39:AG39)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1.0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3">
        <f t="shared" si="4"/>
        <v>4</v>
      </c>
    </row>
    <row r="41" ht="12.75" customHeight="1">
      <c r="A41" s="41"/>
      <c r="B41" s="44"/>
      <c r="C41" s="28"/>
      <c r="D41" s="13" t="s">
        <v>14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2.0</v>
      </c>
      <c r="K41" s="13">
        <v>0.0</v>
      </c>
      <c r="L41" s="13">
        <v>0.0</v>
      </c>
      <c r="M41" s="13">
        <v>0.0</v>
      </c>
      <c r="N41" s="13">
        <v>0.0</v>
      </c>
      <c r="O41" s="13">
        <v>0.0</v>
      </c>
      <c r="P41" s="13">
        <v>0.0</v>
      </c>
      <c r="Q41" s="13">
        <v>1.0</v>
      </c>
      <c r="R41" s="13">
        <v>0.0</v>
      </c>
      <c r="S41" s="13">
        <v>0.0</v>
      </c>
      <c r="T41" s="13">
        <v>0.0</v>
      </c>
      <c r="U41" s="13">
        <v>0.0</v>
      </c>
      <c r="V41" s="13">
        <v>0.0</v>
      </c>
      <c r="W41" s="13">
        <v>0.0</v>
      </c>
      <c r="X41" s="13">
        <v>0.0</v>
      </c>
      <c r="Y41" s="13">
        <v>3.0</v>
      </c>
      <c r="Z41" s="13">
        <v>2.0</v>
      </c>
      <c r="AA41" s="13">
        <v>0.0</v>
      </c>
      <c r="AB41" s="13">
        <v>0.0</v>
      </c>
      <c r="AC41" s="13">
        <v>0.0</v>
      </c>
      <c r="AD41" s="13">
        <v>0.0</v>
      </c>
      <c r="AE41" s="13">
        <v>0.0</v>
      </c>
      <c r="AF41" s="13">
        <v>0.0</v>
      </c>
      <c r="AG41" s="13">
        <v>0.0</v>
      </c>
      <c r="AH41" s="13">
        <f t="shared" si="4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59"/>
      <c r="AC42" s="19"/>
      <c r="AD42" s="19"/>
      <c r="AE42" s="19"/>
      <c r="AF42" s="59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61"/>
      <c r="S43" s="13"/>
      <c r="T43" s="13"/>
      <c r="U43" s="13"/>
      <c r="V43" s="13"/>
      <c r="W43" s="13"/>
      <c r="X43" s="13"/>
      <c r="Y43" s="13"/>
      <c r="Z43" s="13"/>
      <c r="AA43" s="13"/>
      <c r="AB43" s="61"/>
      <c r="AC43" s="13"/>
      <c r="AD43" s="13"/>
      <c r="AE43" s="13"/>
      <c r="AF43" s="61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59"/>
      <c r="S44" s="19"/>
      <c r="T44" s="19"/>
      <c r="U44" s="19"/>
      <c r="V44" s="19"/>
      <c r="W44" s="19"/>
      <c r="X44" s="19"/>
      <c r="Y44" s="19"/>
      <c r="Z44" s="19"/>
      <c r="AA44" s="19"/>
      <c r="AB44" s="59"/>
      <c r="AC44" s="19"/>
      <c r="AD44" s="19"/>
      <c r="AE44" s="19"/>
      <c r="AF44" s="59"/>
      <c r="AG44" s="19"/>
      <c r="AH44" s="13"/>
    </row>
    <row r="45" ht="12.75" customHeight="1">
      <c r="A45" s="63"/>
      <c r="B45" s="47">
        <v>1.0</v>
      </c>
      <c r="C45" s="48" t="s">
        <v>37</v>
      </c>
      <c r="D45" s="16"/>
      <c r="E45" s="19">
        <v>23.0</v>
      </c>
      <c r="F45" s="19">
        <v>23.0</v>
      </c>
      <c r="G45" s="19">
        <v>26.0</v>
      </c>
      <c r="H45" s="19">
        <v>21.0</v>
      </c>
      <c r="I45" s="19">
        <v>10.0</v>
      </c>
      <c r="J45" s="19">
        <v>7.0</v>
      </c>
      <c r="K45" s="19">
        <v>20.0</v>
      </c>
      <c r="L45" s="19">
        <v>8.0</v>
      </c>
      <c r="M45" s="19">
        <v>18.0</v>
      </c>
      <c r="N45" s="19">
        <v>8.0</v>
      </c>
      <c r="O45" s="19">
        <v>12.0</v>
      </c>
      <c r="P45" s="19">
        <v>25.0</v>
      </c>
      <c r="Q45" s="19">
        <v>11.0</v>
      </c>
      <c r="R45" s="19">
        <v>18.0</v>
      </c>
      <c r="S45" s="19">
        <v>44.0</v>
      </c>
      <c r="T45" s="19">
        <v>17.0</v>
      </c>
      <c r="U45" s="19">
        <v>58.0</v>
      </c>
      <c r="V45" s="19">
        <v>4.0</v>
      </c>
      <c r="W45" s="19">
        <v>27.0</v>
      </c>
      <c r="X45" s="19">
        <v>8.0</v>
      </c>
      <c r="Y45" s="19">
        <v>4.0</v>
      </c>
      <c r="Z45" s="19">
        <v>16.0</v>
      </c>
      <c r="AA45" s="19">
        <v>15.0</v>
      </c>
      <c r="AB45" s="19">
        <v>7.0</v>
      </c>
      <c r="AC45" s="19">
        <v>15.0</v>
      </c>
      <c r="AD45" s="19">
        <v>12.0</v>
      </c>
      <c r="AE45" s="19">
        <v>7.0</v>
      </c>
      <c r="AF45" s="19">
        <v>7.0</v>
      </c>
      <c r="AG45" s="19">
        <v>30.0</v>
      </c>
      <c r="AH45" s="13">
        <f t="shared" ref="AH45:AH47" si="5">SUM(E45:AG45)</f>
        <v>501</v>
      </c>
    </row>
    <row r="46" ht="12.75" customHeight="1">
      <c r="A46" s="18"/>
      <c r="B46" s="47">
        <v>2.0</v>
      </c>
      <c r="C46" s="48" t="s">
        <v>38</v>
      </c>
      <c r="D46" s="16"/>
      <c r="E46" s="19">
        <v>156.0</v>
      </c>
      <c r="F46" s="19">
        <v>119.0</v>
      </c>
      <c r="G46" s="19">
        <v>106.0</v>
      </c>
      <c r="H46" s="19">
        <v>204.0</v>
      </c>
      <c r="I46" s="19">
        <v>158.0</v>
      </c>
      <c r="J46" s="19">
        <v>148.0</v>
      </c>
      <c r="K46" s="19">
        <v>138.0</v>
      </c>
      <c r="L46" s="19">
        <v>115.0</v>
      </c>
      <c r="M46" s="19">
        <v>128.0</v>
      </c>
      <c r="N46" s="19">
        <v>148.0</v>
      </c>
      <c r="O46" s="19">
        <v>179.0</v>
      </c>
      <c r="P46" s="19">
        <v>191.0</v>
      </c>
      <c r="Q46" s="19">
        <v>148.0</v>
      </c>
      <c r="R46" s="19">
        <v>115.0</v>
      </c>
      <c r="S46" s="19">
        <v>105.0</v>
      </c>
      <c r="T46" s="19">
        <v>130.0</v>
      </c>
      <c r="U46" s="19">
        <v>136.0</v>
      </c>
      <c r="V46" s="19">
        <v>148.0</v>
      </c>
      <c r="W46" s="19">
        <v>117.0</v>
      </c>
      <c r="X46" s="19">
        <v>149.0</v>
      </c>
      <c r="Y46" s="19">
        <v>97.0</v>
      </c>
      <c r="Z46" s="19">
        <v>154.0</v>
      </c>
      <c r="AA46" s="19">
        <v>165.0</v>
      </c>
      <c r="AB46" s="19">
        <v>187.0</v>
      </c>
      <c r="AC46" s="19">
        <v>167.0</v>
      </c>
      <c r="AD46" s="19">
        <v>179.0</v>
      </c>
      <c r="AE46" s="19">
        <v>130.0</v>
      </c>
      <c r="AF46" s="19">
        <v>112.0</v>
      </c>
      <c r="AG46" s="19">
        <v>129.0</v>
      </c>
      <c r="AH46" s="13">
        <f t="shared" si="5"/>
        <v>4158</v>
      </c>
    </row>
    <row r="47" ht="12.75" customHeight="1">
      <c r="A47" s="45"/>
      <c r="B47" s="47">
        <v>3.0</v>
      </c>
      <c r="C47" s="48" t="s">
        <v>39</v>
      </c>
      <c r="D47" s="16"/>
      <c r="E47" s="19">
        <v>45.0</v>
      </c>
      <c r="F47" s="19">
        <v>36.0</v>
      </c>
      <c r="G47" s="19">
        <v>28.0</v>
      </c>
      <c r="H47" s="19">
        <v>30.0</v>
      </c>
      <c r="I47" s="19">
        <v>25.0</v>
      </c>
      <c r="J47" s="19">
        <v>29.0</v>
      </c>
      <c r="K47" s="19">
        <v>20.0</v>
      </c>
      <c r="L47" s="19">
        <v>31.0</v>
      </c>
      <c r="M47" s="19">
        <v>54.0</v>
      </c>
      <c r="N47" s="19">
        <v>82.0</v>
      </c>
      <c r="O47" s="19">
        <v>39.0</v>
      </c>
      <c r="P47" s="19">
        <v>26.0</v>
      </c>
      <c r="Q47" s="19">
        <v>30.0</v>
      </c>
      <c r="R47" s="19">
        <v>52.0</v>
      </c>
      <c r="S47" s="19">
        <v>32.0</v>
      </c>
      <c r="T47" s="19">
        <v>53.0</v>
      </c>
      <c r="U47" s="19">
        <v>38.0</v>
      </c>
      <c r="V47" s="19">
        <v>22.0</v>
      </c>
      <c r="W47" s="19">
        <v>25.0</v>
      </c>
      <c r="X47" s="19">
        <v>16.0</v>
      </c>
      <c r="Y47" s="19">
        <v>17.0</v>
      </c>
      <c r="Z47" s="19">
        <v>46.0</v>
      </c>
      <c r="AA47" s="19">
        <v>25.0</v>
      </c>
      <c r="AB47" s="19">
        <v>21.0</v>
      </c>
      <c r="AC47" s="19">
        <v>19.0</v>
      </c>
      <c r="AD47" s="19">
        <v>22.0</v>
      </c>
      <c r="AE47" s="19">
        <v>43.0</v>
      </c>
      <c r="AF47" s="19">
        <v>34.0</v>
      </c>
      <c r="AG47" s="19">
        <v>37.0</v>
      </c>
      <c r="AH47" s="13">
        <f t="shared" si="5"/>
        <v>977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61"/>
      <c r="S49" s="61"/>
      <c r="T49" s="13"/>
      <c r="U49" s="13"/>
      <c r="V49" s="13"/>
      <c r="W49" s="13"/>
      <c r="X49" s="13"/>
      <c r="Y49" s="13"/>
      <c r="Z49" s="13"/>
      <c r="AA49" s="13"/>
      <c r="AB49" s="61"/>
      <c r="AC49" s="13"/>
      <c r="AD49" s="13"/>
      <c r="AE49" s="13"/>
      <c r="AF49" s="61"/>
      <c r="AG49" s="61"/>
      <c r="AH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G50" si="6">SUM(E45:E47)</f>
        <v>224</v>
      </c>
      <c r="F50" s="19">
        <f t="shared" si="6"/>
        <v>178</v>
      </c>
      <c r="G50" s="19">
        <f t="shared" si="6"/>
        <v>160</v>
      </c>
      <c r="H50" s="19">
        <f t="shared" si="6"/>
        <v>255</v>
      </c>
      <c r="I50" s="19">
        <f t="shared" si="6"/>
        <v>193</v>
      </c>
      <c r="J50" s="19">
        <f t="shared" si="6"/>
        <v>184</v>
      </c>
      <c r="K50" s="19">
        <f t="shared" si="6"/>
        <v>178</v>
      </c>
      <c r="L50" s="19">
        <f t="shared" si="6"/>
        <v>154</v>
      </c>
      <c r="M50" s="19">
        <f t="shared" si="6"/>
        <v>200</v>
      </c>
      <c r="N50" s="19">
        <f t="shared" si="6"/>
        <v>238</v>
      </c>
      <c r="O50" s="19">
        <f t="shared" si="6"/>
        <v>230</v>
      </c>
      <c r="P50" s="19">
        <f t="shared" si="6"/>
        <v>242</v>
      </c>
      <c r="Q50" s="19">
        <f t="shared" si="6"/>
        <v>189</v>
      </c>
      <c r="R50" s="19">
        <f t="shared" si="6"/>
        <v>185</v>
      </c>
      <c r="S50" s="19">
        <f t="shared" si="6"/>
        <v>181</v>
      </c>
      <c r="T50" s="19">
        <f t="shared" si="6"/>
        <v>200</v>
      </c>
      <c r="U50" s="19">
        <f t="shared" si="6"/>
        <v>232</v>
      </c>
      <c r="V50" s="19">
        <f t="shared" si="6"/>
        <v>174</v>
      </c>
      <c r="W50" s="19">
        <f t="shared" si="6"/>
        <v>169</v>
      </c>
      <c r="X50" s="19">
        <f t="shared" si="6"/>
        <v>173</v>
      </c>
      <c r="Y50" s="19">
        <f t="shared" si="6"/>
        <v>118</v>
      </c>
      <c r="Z50" s="19">
        <f t="shared" si="6"/>
        <v>216</v>
      </c>
      <c r="AA50" s="19">
        <f t="shared" si="6"/>
        <v>205</v>
      </c>
      <c r="AB50" s="19">
        <f t="shared" si="6"/>
        <v>215</v>
      </c>
      <c r="AC50" s="19">
        <f t="shared" si="6"/>
        <v>201</v>
      </c>
      <c r="AD50" s="19">
        <f t="shared" si="6"/>
        <v>213</v>
      </c>
      <c r="AE50" s="19">
        <f t="shared" si="6"/>
        <v>180</v>
      </c>
      <c r="AF50" s="19">
        <f t="shared" si="6"/>
        <v>153</v>
      </c>
      <c r="AG50" s="19">
        <f t="shared" si="6"/>
        <v>196</v>
      </c>
      <c r="AH50" s="13">
        <f t="shared" ref="AH50:AH52" si="7">SUM(E50:AG50)</f>
        <v>5636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3.0</v>
      </c>
      <c r="F51" s="19">
        <v>1.0</v>
      </c>
      <c r="G51" s="19">
        <v>2.0</v>
      </c>
      <c r="H51" s="19">
        <v>0.0</v>
      </c>
      <c r="I51" s="19">
        <v>3.0</v>
      </c>
      <c r="J51" s="19">
        <v>0.0</v>
      </c>
      <c r="K51" s="19">
        <v>2.0</v>
      </c>
      <c r="L51" s="19">
        <v>2.0</v>
      </c>
      <c r="M51" s="19">
        <v>5.0</v>
      </c>
      <c r="N51" s="19">
        <v>1.0</v>
      </c>
      <c r="O51" s="19">
        <v>0.0</v>
      </c>
      <c r="P51" s="19">
        <v>6.0</v>
      </c>
      <c r="Q51" s="19">
        <v>8.0</v>
      </c>
      <c r="R51" s="19">
        <v>2.0</v>
      </c>
      <c r="S51" s="19">
        <v>4.0</v>
      </c>
      <c r="T51" s="19">
        <v>1.0</v>
      </c>
      <c r="U51" s="19">
        <v>1.0</v>
      </c>
      <c r="V51" s="19">
        <v>2.0</v>
      </c>
      <c r="W51" s="19">
        <v>0.0</v>
      </c>
      <c r="X51" s="19">
        <v>0.0</v>
      </c>
      <c r="Y51" s="19">
        <v>0.0</v>
      </c>
      <c r="Z51" s="19">
        <v>0.0</v>
      </c>
      <c r="AA51" s="19">
        <v>2.0</v>
      </c>
      <c r="AB51" s="19">
        <v>2.0</v>
      </c>
      <c r="AC51" s="19">
        <v>5.0</v>
      </c>
      <c r="AD51" s="19">
        <v>7.0</v>
      </c>
      <c r="AE51" s="19">
        <v>1.0</v>
      </c>
      <c r="AF51" s="19">
        <v>5.0</v>
      </c>
      <c r="AG51" s="19">
        <v>0.0</v>
      </c>
      <c r="AH51" s="13">
        <f t="shared" si="7"/>
        <v>65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G52" si="8">SUM(E50:E51)</f>
        <v>227</v>
      </c>
      <c r="F52" s="13">
        <f t="shared" si="8"/>
        <v>179</v>
      </c>
      <c r="G52" s="13">
        <f t="shared" si="8"/>
        <v>162</v>
      </c>
      <c r="H52" s="13">
        <f t="shared" si="8"/>
        <v>255</v>
      </c>
      <c r="I52" s="13">
        <f t="shared" si="8"/>
        <v>196</v>
      </c>
      <c r="J52" s="13">
        <f t="shared" si="8"/>
        <v>184</v>
      </c>
      <c r="K52" s="13">
        <f t="shared" si="8"/>
        <v>180</v>
      </c>
      <c r="L52" s="13">
        <f t="shared" si="8"/>
        <v>156</v>
      </c>
      <c r="M52" s="13">
        <f t="shared" si="8"/>
        <v>205</v>
      </c>
      <c r="N52" s="13">
        <f t="shared" si="8"/>
        <v>239</v>
      </c>
      <c r="O52" s="13">
        <f t="shared" si="8"/>
        <v>230</v>
      </c>
      <c r="P52" s="13">
        <f t="shared" si="8"/>
        <v>248</v>
      </c>
      <c r="Q52" s="13">
        <f t="shared" si="8"/>
        <v>197</v>
      </c>
      <c r="R52" s="13">
        <f t="shared" si="8"/>
        <v>187</v>
      </c>
      <c r="S52" s="13">
        <f t="shared" si="8"/>
        <v>185</v>
      </c>
      <c r="T52" s="13">
        <f t="shared" si="8"/>
        <v>201</v>
      </c>
      <c r="U52" s="13">
        <f t="shared" si="8"/>
        <v>233</v>
      </c>
      <c r="V52" s="13">
        <f t="shared" si="8"/>
        <v>176</v>
      </c>
      <c r="W52" s="13">
        <f t="shared" si="8"/>
        <v>169</v>
      </c>
      <c r="X52" s="13">
        <f t="shared" si="8"/>
        <v>173</v>
      </c>
      <c r="Y52" s="13">
        <f t="shared" si="8"/>
        <v>118</v>
      </c>
      <c r="Z52" s="13">
        <f t="shared" si="8"/>
        <v>216</v>
      </c>
      <c r="AA52" s="13">
        <f t="shared" si="8"/>
        <v>207</v>
      </c>
      <c r="AB52" s="13">
        <f t="shared" si="8"/>
        <v>217</v>
      </c>
      <c r="AC52" s="13">
        <f t="shared" si="8"/>
        <v>206</v>
      </c>
      <c r="AD52" s="13">
        <f t="shared" si="8"/>
        <v>220</v>
      </c>
      <c r="AE52" s="13">
        <f t="shared" si="8"/>
        <v>181</v>
      </c>
      <c r="AF52" s="13">
        <f t="shared" si="8"/>
        <v>158</v>
      </c>
      <c r="AG52" s="13">
        <f t="shared" si="8"/>
        <v>196</v>
      </c>
      <c r="AH52" s="13">
        <f t="shared" si="7"/>
        <v>5701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W42"/>
    <mergeCell ref="B43:D43"/>
    <mergeCell ref="A44:D44"/>
    <mergeCell ref="C45:D45"/>
  </mergeCells>
  <conditionalFormatting sqref="E14:AG15 E45:AG47">
    <cfRule type="containsBlanks" dxfId="1" priority="1">
      <formula>LEN(TRIM(E14))=0</formula>
    </cfRule>
  </conditionalFormatting>
  <conditionalFormatting sqref="E19:AG20">
    <cfRule type="containsBlanks" dxfId="1" priority="2">
      <formula>LEN(TRIM(E19))=0</formula>
    </cfRule>
  </conditionalFormatting>
  <conditionalFormatting sqref="E22:AG23 E25:AG26 E33:AG33 E35:AG35 E39:AG40">
    <cfRule type="containsBlanks" dxfId="1" priority="3">
      <formula>LEN(TRIM(E22))=0</formula>
    </cfRule>
  </conditionalFormatting>
  <conditionalFormatting sqref="E30:AG30">
    <cfRule type="expression" dxfId="0" priority="4">
      <formula>E30&lt;&gt;E46</formula>
    </cfRule>
  </conditionalFormatting>
  <conditionalFormatting sqref="E30:AG30">
    <cfRule type="expression" dxfId="0" priority="5">
      <formula>E30&lt;&gt;E34</formula>
    </cfRule>
  </conditionalFormatting>
  <conditionalFormatting sqref="E34:AG34">
    <cfRule type="expression" dxfId="2" priority="6">
      <formula>E30&lt;&gt;E34</formula>
    </cfRule>
  </conditionalFormatting>
  <conditionalFormatting sqref="E34:AG34">
    <cfRule type="expression" dxfId="3" priority="7">
      <formula>E30=E34</formula>
    </cfRule>
  </conditionalFormatting>
  <conditionalFormatting sqref="E34:AG34">
    <cfRule type="expression" dxfId="0" priority="8">
      <formula>E34&lt;&gt;E30</formula>
    </cfRule>
  </conditionalFormatting>
  <conditionalFormatting sqref="E34:AG34">
    <cfRule type="expression" dxfId="0" priority="9">
      <formula>E34&lt;&gt;#REF!</formula>
    </cfRule>
  </conditionalFormatting>
  <conditionalFormatting sqref="E50:AG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2"/>
      <c r="A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127.0</v>
      </c>
      <c r="G14" s="19">
        <v>131.0</v>
      </c>
      <c r="H14" s="19">
        <v>132.0</v>
      </c>
      <c r="I14" s="19">
        <v>132.0</v>
      </c>
      <c r="J14" s="19">
        <v>142.0</v>
      </c>
      <c r="K14" s="19">
        <v>143.0</v>
      </c>
      <c r="L14" s="19">
        <v>147.0</v>
      </c>
      <c r="M14" s="19">
        <v>148.0</v>
      </c>
      <c r="N14" s="19">
        <v>147.0</v>
      </c>
      <c r="O14" s="19">
        <v>134.0</v>
      </c>
      <c r="P14" s="19">
        <v>114.0</v>
      </c>
      <c r="Q14" s="19">
        <v>142.0</v>
      </c>
      <c r="R14" s="19">
        <v>144.0</v>
      </c>
      <c r="S14" s="19">
        <v>115.0</v>
      </c>
      <c r="T14" s="19">
        <v>120.0</v>
      </c>
      <c r="U14" s="19">
        <v>122.0</v>
      </c>
      <c r="V14" s="19">
        <v>119.0</v>
      </c>
      <c r="W14" s="19">
        <v>125.0</v>
      </c>
      <c r="X14" s="19">
        <v>133.0</v>
      </c>
      <c r="Y14" s="19">
        <v>129.0</v>
      </c>
      <c r="Z14" s="19">
        <v>109.0</v>
      </c>
      <c r="AA14" s="19">
        <v>119.0</v>
      </c>
      <c r="AB14" s="13">
        <f t="shared" ref="AB14:AB16" si="1">SUM(E14:AA14)</f>
        <v>3014</v>
      </c>
    </row>
    <row r="15" ht="12.75" customHeight="1">
      <c r="A15" s="18"/>
      <c r="B15" s="26"/>
      <c r="C15" s="27"/>
      <c r="D15" s="19" t="s">
        <v>13</v>
      </c>
      <c r="E15" s="19">
        <v>129.0</v>
      </c>
      <c r="F15" s="19">
        <v>125.0</v>
      </c>
      <c r="G15" s="19">
        <v>139.0</v>
      </c>
      <c r="H15" s="19">
        <v>132.0</v>
      </c>
      <c r="I15" s="19">
        <v>138.0</v>
      </c>
      <c r="J15" s="19">
        <v>147.0</v>
      </c>
      <c r="K15" s="19">
        <v>148.0</v>
      </c>
      <c r="L15" s="19">
        <v>150.0</v>
      </c>
      <c r="M15" s="19">
        <v>140.0</v>
      </c>
      <c r="N15" s="19">
        <v>138.0</v>
      </c>
      <c r="O15" s="19">
        <v>134.0</v>
      </c>
      <c r="P15" s="19">
        <v>117.0</v>
      </c>
      <c r="Q15" s="19">
        <v>151.0</v>
      </c>
      <c r="R15" s="19">
        <v>147.0</v>
      </c>
      <c r="S15" s="19">
        <v>108.0</v>
      </c>
      <c r="T15" s="19">
        <v>120.0</v>
      </c>
      <c r="U15" s="19">
        <v>131.0</v>
      </c>
      <c r="V15" s="19">
        <v>122.0</v>
      </c>
      <c r="W15" s="19">
        <v>113.0</v>
      </c>
      <c r="X15" s="19">
        <v>122.0</v>
      </c>
      <c r="Y15" s="19">
        <v>121.0</v>
      </c>
      <c r="Z15" s="19">
        <v>126.0</v>
      </c>
      <c r="AA15" s="19">
        <v>126.0</v>
      </c>
      <c r="AB15" s="13">
        <f t="shared" si="1"/>
        <v>3024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269</v>
      </c>
      <c r="F16" s="13">
        <f t="shared" si="2"/>
        <v>252</v>
      </c>
      <c r="G16" s="13">
        <f t="shared" si="2"/>
        <v>270</v>
      </c>
      <c r="H16" s="13">
        <f t="shared" si="2"/>
        <v>264</v>
      </c>
      <c r="I16" s="13">
        <f t="shared" si="2"/>
        <v>270</v>
      </c>
      <c r="J16" s="13">
        <f t="shared" si="2"/>
        <v>289</v>
      </c>
      <c r="K16" s="13">
        <f t="shared" si="2"/>
        <v>291</v>
      </c>
      <c r="L16" s="13">
        <f t="shared" si="2"/>
        <v>297</v>
      </c>
      <c r="M16" s="13">
        <f t="shared" si="2"/>
        <v>288</v>
      </c>
      <c r="N16" s="13">
        <f t="shared" si="2"/>
        <v>285</v>
      </c>
      <c r="O16" s="13">
        <f t="shared" si="2"/>
        <v>268</v>
      </c>
      <c r="P16" s="13">
        <f t="shared" si="2"/>
        <v>231</v>
      </c>
      <c r="Q16" s="13">
        <f t="shared" si="2"/>
        <v>293</v>
      </c>
      <c r="R16" s="13">
        <f t="shared" si="2"/>
        <v>291</v>
      </c>
      <c r="S16" s="13">
        <f t="shared" si="2"/>
        <v>223</v>
      </c>
      <c r="T16" s="13">
        <f t="shared" si="2"/>
        <v>240</v>
      </c>
      <c r="U16" s="13">
        <f t="shared" si="2"/>
        <v>253</v>
      </c>
      <c r="V16" s="13">
        <f t="shared" si="2"/>
        <v>241</v>
      </c>
      <c r="W16" s="13">
        <f t="shared" si="2"/>
        <v>238</v>
      </c>
      <c r="X16" s="13">
        <f t="shared" si="2"/>
        <v>255</v>
      </c>
      <c r="Y16" s="13">
        <f t="shared" si="2"/>
        <v>250</v>
      </c>
      <c r="Z16" s="13">
        <f t="shared" si="2"/>
        <v>235</v>
      </c>
      <c r="AA16" s="13">
        <f t="shared" si="2"/>
        <v>245</v>
      </c>
      <c r="AB16" s="13">
        <f t="shared" si="1"/>
        <v>6038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19"/>
      <c r="T17" s="19"/>
      <c r="U17" s="19"/>
      <c r="V17" s="19"/>
      <c r="W17" s="19"/>
      <c r="X17" s="59"/>
      <c r="Y17" s="19"/>
      <c r="Z17" s="59"/>
      <c r="AA17" s="19"/>
      <c r="AB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19"/>
      <c r="T18" s="19"/>
      <c r="U18" s="19"/>
      <c r="V18" s="19"/>
      <c r="W18" s="19"/>
      <c r="X18" s="59"/>
      <c r="Y18" s="19"/>
      <c r="Z18" s="59"/>
      <c r="AA18" s="19"/>
      <c r="AB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87.0</v>
      </c>
      <c r="G19" s="19">
        <v>88.0</v>
      </c>
      <c r="H19" s="19">
        <v>90.0</v>
      </c>
      <c r="I19" s="19">
        <v>97.0</v>
      </c>
      <c r="J19" s="19">
        <v>108.0</v>
      </c>
      <c r="K19" s="19">
        <v>111.0</v>
      </c>
      <c r="L19" s="19">
        <v>108.0</v>
      </c>
      <c r="M19" s="19">
        <v>112.0</v>
      </c>
      <c r="N19" s="19">
        <v>112.0</v>
      </c>
      <c r="O19" s="19">
        <v>90.0</v>
      </c>
      <c r="P19" s="19">
        <v>83.0</v>
      </c>
      <c r="Q19" s="19">
        <v>113.0</v>
      </c>
      <c r="R19" s="19">
        <v>110.0</v>
      </c>
      <c r="S19" s="19">
        <v>97.0</v>
      </c>
      <c r="T19" s="19">
        <v>95.0</v>
      </c>
      <c r="U19" s="19">
        <v>99.0</v>
      </c>
      <c r="V19" s="19">
        <v>91.0</v>
      </c>
      <c r="W19" s="19">
        <v>93.0</v>
      </c>
      <c r="X19" s="19">
        <v>91.0</v>
      </c>
      <c r="Y19" s="19">
        <v>105.0</v>
      </c>
      <c r="Z19" s="19">
        <v>79.0</v>
      </c>
      <c r="AA19" s="19">
        <v>81.0</v>
      </c>
      <c r="AB19" s="13">
        <f t="shared" ref="AB19:AB30" si="3">SUM(E19:AA19)</f>
        <v>2241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96.0</v>
      </c>
      <c r="G20" s="19">
        <v>107.0</v>
      </c>
      <c r="H20" s="19">
        <v>105.0</v>
      </c>
      <c r="I20" s="19">
        <v>123.0</v>
      </c>
      <c r="J20" s="19">
        <v>115.0</v>
      </c>
      <c r="K20" s="19">
        <v>123.0</v>
      </c>
      <c r="L20" s="19">
        <v>118.0</v>
      </c>
      <c r="M20" s="19">
        <v>117.0</v>
      </c>
      <c r="N20" s="19">
        <v>119.0</v>
      </c>
      <c r="O20" s="19">
        <v>99.0</v>
      </c>
      <c r="P20" s="19">
        <v>91.0</v>
      </c>
      <c r="Q20" s="19">
        <v>129.0</v>
      </c>
      <c r="R20" s="19">
        <v>119.0</v>
      </c>
      <c r="S20" s="19">
        <v>90.0</v>
      </c>
      <c r="T20" s="19">
        <v>95.0</v>
      </c>
      <c r="U20" s="19">
        <v>108.0</v>
      </c>
      <c r="V20" s="19">
        <v>97.0</v>
      </c>
      <c r="W20" s="19">
        <v>92.0</v>
      </c>
      <c r="X20" s="19">
        <v>95.0</v>
      </c>
      <c r="Y20" s="19">
        <v>99.0</v>
      </c>
      <c r="Z20" s="19">
        <v>96.0</v>
      </c>
      <c r="AA20" s="19">
        <v>88.0</v>
      </c>
      <c r="AB20" s="13">
        <f t="shared" si="3"/>
        <v>2423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203</v>
      </c>
      <c r="F21" s="13">
        <f t="shared" si="4"/>
        <v>183</v>
      </c>
      <c r="G21" s="13">
        <f t="shared" si="4"/>
        <v>195</v>
      </c>
      <c r="H21" s="13">
        <f t="shared" si="4"/>
        <v>195</v>
      </c>
      <c r="I21" s="13">
        <f t="shared" si="4"/>
        <v>220</v>
      </c>
      <c r="J21" s="13">
        <f t="shared" si="4"/>
        <v>223</v>
      </c>
      <c r="K21" s="13">
        <f t="shared" si="4"/>
        <v>234</v>
      </c>
      <c r="L21" s="13">
        <f t="shared" si="4"/>
        <v>226</v>
      </c>
      <c r="M21" s="13">
        <f t="shared" si="4"/>
        <v>229</v>
      </c>
      <c r="N21" s="13">
        <f t="shared" si="4"/>
        <v>231</v>
      </c>
      <c r="O21" s="13">
        <f t="shared" si="4"/>
        <v>189</v>
      </c>
      <c r="P21" s="13">
        <f t="shared" si="4"/>
        <v>174</v>
      </c>
      <c r="Q21" s="13">
        <f t="shared" si="4"/>
        <v>242</v>
      </c>
      <c r="R21" s="13">
        <f t="shared" si="4"/>
        <v>229</v>
      </c>
      <c r="S21" s="13">
        <f t="shared" si="4"/>
        <v>187</v>
      </c>
      <c r="T21" s="13">
        <f t="shared" si="4"/>
        <v>190</v>
      </c>
      <c r="U21" s="13">
        <f t="shared" si="4"/>
        <v>207</v>
      </c>
      <c r="V21" s="13">
        <f t="shared" si="4"/>
        <v>188</v>
      </c>
      <c r="W21" s="13">
        <f t="shared" si="4"/>
        <v>185</v>
      </c>
      <c r="X21" s="13">
        <f t="shared" si="4"/>
        <v>186</v>
      </c>
      <c r="Y21" s="13">
        <f t="shared" si="4"/>
        <v>204</v>
      </c>
      <c r="Z21" s="13">
        <f t="shared" si="4"/>
        <v>175</v>
      </c>
      <c r="AA21" s="13">
        <f t="shared" si="4"/>
        <v>169</v>
      </c>
      <c r="AB21" s="13">
        <f t="shared" si="3"/>
        <v>4664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1.0</v>
      </c>
      <c r="AB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2.0</v>
      </c>
      <c r="H25" s="19">
        <v>1.0</v>
      </c>
      <c r="I25" s="19">
        <v>0.0</v>
      </c>
      <c r="J25" s="19">
        <v>1.0</v>
      </c>
      <c r="K25" s="19">
        <v>0.0</v>
      </c>
      <c r="L25" s="19">
        <v>2.0</v>
      </c>
      <c r="M25" s="19">
        <v>0.0</v>
      </c>
      <c r="N25" s="19">
        <v>0.0</v>
      </c>
      <c r="O25" s="19">
        <v>0.0</v>
      </c>
      <c r="P25" s="19">
        <v>4.0</v>
      </c>
      <c r="Q25" s="19">
        <v>2.0</v>
      </c>
      <c r="R25" s="19">
        <v>2.0</v>
      </c>
      <c r="S25" s="19">
        <v>0.0</v>
      </c>
      <c r="T25" s="19">
        <v>2.0</v>
      </c>
      <c r="U25" s="19">
        <v>1.0</v>
      </c>
      <c r="V25" s="19">
        <v>0.0</v>
      </c>
      <c r="W25" s="19">
        <v>2.0</v>
      </c>
      <c r="X25" s="19">
        <v>1.0</v>
      </c>
      <c r="Y25" s="19">
        <v>0.0</v>
      </c>
      <c r="Z25" s="19">
        <v>1.0</v>
      </c>
      <c r="AA25" s="19">
        <v>0.0</v>
      </c>
      <c r="AB25" s="13">
        <f t="shared" si="3"/>
        <v>25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1.0</v>
      </c>
      <c r="H26" s="19">
        <v>1.0</v>
      </c>
      <c r="I26" s="19">
        <v>2.0</v>
      </c>
      <c r="J26" s="19">
        <v>2.0</v>
      </c>
      <c r="K26" s="19">
        <v>1.0</v>
      </c>
      <c r="L26" s="19">
        <v>1.0</v>
      </c>
      <c r="M26" s="19">
        <v>2.0</v>
      </c>
      <c r="N26" s="19">
        <v>0.0</v>
      </c>
      <c r="O26" s="19">
        <v>3.0</v>
      </c>
      <c r="P26" s="19">
        <v>4.0</v>
      </c>
      <c r="Q26" s="19">
        <v>5.0</v>
      </c>
      <c r="R26" s="19">
        <v>3.0</v>
      </c>
      <c r="S26" s="19">
        <v>0.0</v>
      </c>
      <c r="T26" s="19">
        <v>4.0</v>
      </c>
      <c r="U26" s="19">
        <v>4.0</v>
      </c>
      <c r="V26" s="19">
        <v>0.0</v>
      </c>
      <c r="W26" s="19">
        <v>3.0</v>
      </c>
      <c r="X26" s="19">
        <v>0.0</v>
      </c>
      <c r="Y26" s="19">
        <v>1.0</v>
      </c>
      <c r="Z26" s="19">
        <v>1.0</v>
      </c>
      <c r="AA26" s="19">
        <v>0.0</v>
      </c>
      <c r="AB26" s="13">
        <f t="shared" si="3"/>
        <v>41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4</v>
      </c>
      <c r="F27" s="13">
        <f t="shared" si="6"/>
        <v>3</v>
      </c>
      <c r="G27" s="13">
        <f t="shared" si="6"/>
        <v>3</v>
      </c>
      <c r="H27" s="13">
        <f t="shared" si="6"/>
        <v>2</v>
      </c>
      <c r="I27" s="13">
        <f t="shared" si="6"/>
        <v>2</v>
      </c>
      <c r="J27" s="13">
        <f t="shared" si="6"/>
        <v>3</v>
      </c>
      <c r="K27" s="13">
        <f t="shared" si="6"/>
        <v>1</v>
      </c>
      <c r="L27" s="13">
        <f t="shared" si="6"/>
        <v>3</v>
      </c>
      <c r="M27" s="13">
        <f t="shared" si="6"/>
        <v>2</v>
      </c>
      <c r="N27" s="13">
        <f t="shared" si="6"/>
        <v>0</v>
      </c>
      <c r="O27" s="13">
        <f t="shared" si="6"/>
        <v>3</v>
      </c>
      <c r="P27" s="13">
        <f t="shared" si="6"/>
        <v>8</v>
      </c>
      <c r="Q27" s="13">
        <f t="shared" si="6"/>
        <v>7</v>
      </c>
      <c r="R27" s="13">
        <f t="shared" si="6"/>
        <v>5</v>
      </c>
      <c r="S27" s="13">
        <f t="shared" si="6"/>
        <v>0</v>
      </c>
      <c r="T27" s="13">
        <f t="shared" si="6"/>
        <v>6</v>
      </c>
      <c r="U27" s="13">
        <f t="shared" si="6"/>
        <v>5</v>
      </c>
      <c r="V27" s="13">
        <f t="shared" si="6"/>
        <v>0</v>
      </c>
      <c r="W27" s="13">
        <f t="shared" si="6"/>
        <v>5</v>
      </c>
      <c r="X27" s="13">
        <f t="shared" si="6"/>
        <v>1</v>
      </c>
      <c r="Y27" s="13">
        <f t="shared" si="6"/>
        <v>1</v>
      </c>
      <c r="Z27" s="13">
        <f t="shared" si="6"/>
        <v>2</v>
      </c>
      <c r="AA27" s="13">
        <f t="shared" si="6"/>
        <v>0</v>
      </c>
      <c r="AB27" s="13">
        <f t="shared" si="3"/>
        <v>66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103</v>
      </c>
      <c r="F28" s="13">
        <f t="shared" si="7"/>
        <v>89</v>
      </c>
      <c r="G28" s="13">
        <f t="shared" si="7"/>
        <v>90</v>
      </c>
      <c r="H28" s="13">
        <f t="shared" si="7"/>
        <v>91</v>
      </c>
      <c r="I28" s="13">
        <f t="shared" si="7"/>
        <v>97</v>
      </c>
      <c r="J28" s="13">
        <f t="shared" si="7"/>
        <v>110</v>
      </c>
      <c r="K28" s="13">
        <f t="shared" si="7"/>
        <v>111</v>
      </c>
      <c r="L28" s="13">
        <f t="shared" si="7"/>
        <v>110</v>
      </c>
      <c r="M28" s="13">
        <f t="shared" si="7"/>
        <v>112</v>
      </c>
      <c r="N28" s="13">
        <f t="shared" si="7"/>
        <v>112</v>
      </c>
      <c r="O28" s="13">
        <f t="shared" si="7"/>
        <v>90</v>
      </c>
      <c r="P28" s="13">
        <f t="shared" si="7"/>
        <v>88</v>
      </c>
      <c r="Q28" s="13">
        <f t="shared" si="7"/>
        <v>115</v>
      </c>
      <c r="R28" s="13">
        <f t="shared" si="7"/>
        <v>112</v>
      </c>
      <c r="S28" s="13">
        <f t="shared" si="7"/>
        <v>97</v>
      </c>
      <c r="T28" s="13">
        <f t="shared" si="7"/>
        <v>97</v>
      </c>
      <c r="U28" s="13">
        <f t="shared" si="7"/>
        <v>100</v>
      </c>
      <c r="V28" s="13">
        <f t="shared" si="7"/>
        <v>91</v>
      </c>
      <c r="W28" s="13">
        <f t="shared" si="7"/>
        <v>95</v>
      </c>
      <c r="X28" s="13">
        <f t="shared" si="7"/>
        <v>92</v>
      </c>
      <c r="Y28" s="13">
        <f t="shared" si="7"/>
        <v>105</v>
      </c>
      <c r="Z28" s="13">
        <f t="shared" si="7"/>
        <v>80</v>
      </c>
      <c r="AA28" s="13">
        <f t="shared" si="7"/>
        <v>82</v>
      </c>
      <c r="AB28" s="13">
        <f t="shared" si="3"/>
        <v>2269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104</v>
      </c>
      <c r="F29" s="13">
        <f t="shared" si="8"/>
        <v>97</v>
      </c>
      <c r="G29" s="13">
        <f t="shared" si="8"/>
        <v>108</v>
      </c>
      <c r="H29" s="13">
        <f t="shared" si="8"/>
        <v>106</v>
      </c>
      <c r="I29" s="13">
        <f t="shared" si="8"/>
        <v>125</v>
      </c>
      <c r="J29" s="13">
        <f t="shared" si="8"/>
        <v>118</v>
      </c>
      <c r="K29" s="13">
        <f t="shared" si="8"/>
        <v>124</v>
      </c>
      <c r="L29" s="13">
        <f t="shared" si="8"/>
        <v>119</v>
      </c>
      <c r="M29" s="13">
        <f t="shared" si="8"/>
        <v>119</v>
      </c>
      <c r="N29" s="13">
        <f t="shared" si="8"/>
        <v>119</v>
      </c>
      <c r="O29" s="13">
        <f t="shared" si="8"/>
        <v>102</v>
      </c>
      <c r="P29" s="13">
        <f t="shared" si="8"/>
        <v>96</v>
      </c>
      <c r="Q29" s="13">
        <f t="shared" si="8"/>
        <v>134</v>
      </c>
      <c r="R29" s="13">
        <f t="shared" si="8"/>
        <v>122</v>
      </c>
      <c r="S29" s="13">
        <f t="shared" si="8"/>
        <v>90</v>
      </c>
      <c r="T29" s="13">
        <f t="shared" si="8"/>
        <v>99</v>
      </c>
      <c r="U29" s="13">
        <f t="shared" si="8"/>
        <v>112</v>
      </c>
      <c r="V29" s="13">
        <f t="shared" si="8"/>
        <v>97</v>
      </c>
      <c r="W29" s="13">
        <f t="shared" si="8"/>
        <v>95</v>
      </c>
      <c r="X29" s="13">
        <f t="shared" si="8"/>
        <v>95</v>
      </c>
      <c r="Y29" s="13">
        <f t="shared" si="8"/>
        <v>100</v>
      </c>
      <c r="Z29" s="13">
        <f t="shared" si="8"/>
        <v>97</v>
      </c>
      <c r="AA29" s="13">
        <f t="shared" si="8"/>
        <v>89</v>
      </c>
      <c r="AB29" s="13">
        <f t="shared" si="3"/>
        <v>2467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207</v>
      </c>
      <c r="F30" s="13">
        <f t="shared" si="9"/>
        <v>186</v>
      </c>
      <c r="G30" s="13">
        <f t="shared" si="9"/>
        <v>198</v>
      </c>
      <c r="H30" s="13">
        <f t="shared" si="9"/>
        <v>197</v>
      </c>
      <c r="I30" s="13">
        <f t="shared" si="9"/>
        <v>222</v>
      </c>
      <c r="J30" s="13">
        <f t="shared" si="9"/>
        <v>228</v>
      </c>
      <c r="K30" s="13">
        <f t="shared" si="9"/>
        <v>235</v>
      </c>
      <c r="L30" s="13">
        <f t="shared" si="9"/>
        <v>229</v>
      </c>
      <c r="M30" s="13">
        <f t="shared" si="9"/>
        <v>231</v>
      </c>
      <c r="N30" s="13">
        <f t="shared" si="9"/>
        <v>231</v>
      </c>
      <c r="O30" s="13">
        <f t="shared" si="9"/>
        <v>192</v>
      </c>
      <c r="P30" s="13">
        <f t="shared" si="9"/>
        <v>184</v>
      </c>
      <c r="Q30" s="13">
        <f t="shared" si="9"/>
        <v>249</v>
      </c>
      <c r="R30" s="13">
        <f t="shared" si="9"/>
        <v>234</v>
      </c>
      <c r="S30" s="13">
        <f t="shared" si="9"/>
        <v>187</v>
      </c>
      <c r="T30" s="13">
        <f t="shared" si="9"/>
        <v>196</v>
      </c>
      <c r="U30" s="13">
        <f t="shared" si="9"/>
        <v>212</v>
      </c>
      <c r="V30" s="13">
        <f t="shared" si="9"/>
        <v>188</v>
      </c>
      <c r="W30" s="13">
        <f t="shared" si="9"/>
        <v>190</v>
      </c>
      <c r="X30" s="13">
        <f t="shared" si="9"/>
        <v>187</v>
      </c>
      <c r="Y30" s="13">
        <f t="shared" si="9"/>
        <v>205</v>
      </c>
      <c r="Z30" s="13">
        <f t="shared" si="9"/>
        <v>177</v>
      </c>
      <c r="AA30" s="13">
        <f t="shared" si="9"/>
        <v>171</v>
      </c>
      <c r="AB30" s="13">
        <f t="shared" si="3"/>
        <v>4736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19"/>
      <c r="T31" s="19"/>
      <c r="U31" s="19"/>
      <c r="V31" s="19"/>
      <c r="W31" s="19"/>
      <c r="X31" s="59"/>
      <c r="Y31" s="19"/>
      <c r="Z31" s="59"/>
      <c r="AA31" s="19"/>
      <c r="AB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13"/>
      <c r="T32" s="13"/>
      <c r="U32" s="13"/>
      <c r="V32" s="13"/>
      <c r="W32" s="13"/>
      <c r="X32" s="61"/>
      <c r="Y32" s="13"/>
      <c r="Z32" s="61"/>
      <c r="AA32" s="13"/>
      <c r="AB32" s="60"/>
    </row>
    <row r="33" ht="12.75" customHeight="1">
      <c r="A33" s="19">
        <v>1.0</v>
      </c>
      <c r="B33" s="20" t="s">
        <v>27</v>
      </c>
      <c r="C33" s="15"/>
      <c r="D33" s="16"/>
      <c r="E33" s="19">
        <v>277.0</v>
      </c>
      <c r="F33" s="19">
        <v>258.0</v>
      </c>
      <c r="G33" s="19">
        <v>239.0</v>
      </c>
      <c r="H33" s="19">
        <v>269.0</v>
      </c>
      <c r="I33" s="19">
        <v>276.0</v>
      </c>
      <c r="J33" s="19">
        <v>294.0</v>
      </c>
      <c r="K33" s="19">
        <v>299.0</v>
      </c>
      <c r="L33" s="19">
        <v>303.0</v>
      </c>
      <c r="M33" s="19">
        <v>295.0</v>
      </c>
      <c r="N33" s="19">
        <v>291.0</v>
      </c>
      <c r="O33" s="19">
        <v>276.0</v>
      </c>
      <c r="P33" s="19">
        <v>236.0</v>
      </c>
      <c r="Q33" s="19">
        <v>299.0</v>
      </c>
      <c r="R33" s="19">
        <v>297.0</v>
      </c>
      <c r="S33" s="19">
        <v>226.0</v>
      </c>
      <c r="T33" s="19">
        <v>245.0</v>
      </c>
      <c r="U33" s="19">
        <v>259.0</v>
      </c>
      <c r="V33" s="19">
        <v>245.0</v>
      </c>
      <c r="W33" s="19">
        <v>249.0</v>
      </c>
      <c r="X33" s="19">
        <v>261.0</v>
      </c>
      <c r="Y33" s="19">
        <v>255.0</v>
      </c>
      <c r="Z33" s="19">
        <v>240.0</v>
      </c>
      <c r="AA33" s="19">
        <v>250.0</v>
      </c>
      <c r="AB33" s="13">
        <f t="shared" ref="AB33:AB36" si="10">SUM(E33:AA33)</f>
        <v>6139</v>
      </c>
    </row>
    <row r="34" ht="12.75" customHeight="1">
      <c r="A34" s="19">
        <v>2.0</v>
      </c>
      <c r="B34" s="20" t="s">
        <v>28</v>
      </c>
      <c r="C34" s="15"/>
      <c r="D34" s="16"/>
      <c r="E34" s="13">
        <v>207.0</v>
      </c>
      <c r="F34" s="13">
        <v>186.0</v>
      </c>
      <c r="G34" s="13">
        <v>198.0</v>
      </c>
      <c r="H34" s="13">
        <v>197.0</v>
      </c>
      <c r="I34" s="13">
        <v>222.0</v>
      </c>
      <c r="J34" s="13">
        <v>228.0</v>
      </c>
      <c r="K34" s="13">
        <v>235.0</v>
      </c>
      <c r="L34" s="13">
        <v>229.0</v>
      </c>
      <c r="M34" s="13">
        <v>231.0</v>
      </c>
      <c r="N34" s="13">
        <v>231.0</v>
      </c>
      <c r="O34" s="13">
        <v>192.0</v>
      </c>
      <c r="P34" s="13">
        <v>184.0</v>
      </c>
      <c r="Q34" s="13">
        <v>249.0</v>
      </c>
      <c r="R34" s="13">
        <v>234.0</v>
      </c>
      <c r="S34" s="13">
        <v>187.0</v>
      </c>
      <c r="T34" s="13">
        <v>196.0</v>
      </c>
      <c r="U34" s="13">
        <v>212.0</v>
      </c>
      <c r="V34" s="13">
        <v>188.0</v>
      </c>
      <c r="W34" s="13">
        <v>190.0</v>
      </c>
      <c r="X34" s="13">
        <v>187.0</v>
      </c>
      <c r="Y34" s="13">
        <v>205.0</v>
      </c>
      <c r="Z34" s="13">
        <v>177.0</v>
      </c>
      <c r="AA34" s="13">
        <v>171.0</v>
      </c>
      <c r="AB34" s="13">
        <f t="shared" si="10"/>
        <v>4736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3.0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1.0</v>
      </c>
      <c r="Y35" s="19">
        <v>0.0</v>
      </c>
      <c r="Z35" s="19">
        <v>0.0</v>
      </c>
      <c r="AA35" s="19">
        <v>0.0</v>
      </c>
      <c r="AB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70</v>
      </c>
      <c r="F36" s="13">
        <f t="shared" si="11"/>
        <v>72</v>
      </c>
      <c r="G36" s="13">
        <f t="shared" si="11"/>
        <v>41</v>
      </c>
      <c r="H36" s="13">
        <f t="shared" si="11"/>
        <v>72</v>
      </c>
      <c r="I36" s="13">
        <f t="shared" si="11"/>
        <v>53</v>
      </c>
      <c r="J36" s="13">
        <f t="shared" si="11"/>
        <v>66</v>
      </c>
      <c r="K36" s="13">
        <f t="shared" si="11"/>
        <v>64</v>
      </c>
      <c r="L36" s="13">
        <f t="shared" si="11"/>
        <v>71</v>
      </c>
      <c r="M36" s="13">
        <f t="shared" si="11"/>
        <v>63</v>
      </c>
      <c r="N36" s="13">
        <f t="shared" si="11"/>
        <v>60</v>
      </c>
      <c r="O36" s="13">
        <f t="shared" si="11"/>
        <v>84</v>
      </c>
      <c r="P36" s="13">
        <f t="shared" si="11"/>
        <v>52</v>
      </c>
      <c r="Q36" s="13">
        <f t="shared" si="11"/>
        <v>50</v>
      </c>
      <c r="R36" s="13">
        <f t="shared" si="11"/>
        <v>63</v>
      </c>
      <c r="S36" s="13">
        <f t="shared" si="11"/>
        <v>39</v>
      </c>
      <c r="T36" s="13">
        <f t="shared" si="11"/>
        <v>49</v>
      </c>
      <c r="U36" s="13">
        <f t="shared" si="11"/>
        <v>46</v>
      </c>
      <c r="V36" s="13">
        <f t="shared" si="11"/>
        <v>57</v>
      </c>
      <c r="W36" s="13">
        <f t="shared" si="11"/>
        <v>59</v>
      </c>
      <c r="X36" s="13">
        <f t="shared" si="11"/>
        <v>73</v>
      </c>
      <c r="Y36" s="13">
        <f t="shared" si="11"/>
        <v>50</v>
      </c>
      <c r="Z36" s="13">
        <f t="shared" si="11"/>
        <v>63</v>
      </c>
      <c r="AA36" s="13">
        <f t="shared" si="11"/>
        <v>79</v>
      </c>
      <c r="AB36" s="13">
        <f t="shared" si="10"/>
        <v>1396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19"/>
      <c r="U37" s="19"/>
      <c r="V37" s="19"/>
      <c r="W37" s="19"/>
      <c r="X37" s="59"/>
      <c r="Y37" s="19"/>
      <c r="Z37" s="59"/>
      <c r="AA37" s="19"/>
      <c r="AB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13"/>
      <c r="T38" s="13"/>
      <c r="U38" s="13"/>
      <c r="V38" s="13"/>
      <c r="W38" s="13"/>
      <c r="X38" s="61"/>
      <c r="Y38" s="13"/>
      <c r="Z38" s="61"/>
      <c r="AA38" s="13"/>
      <c r="AB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1.0</v>
      </c>
      <c r="Z39" s="19">
        <v>1.0</v>
      </c>
      <c r="AA39" s="19">
        <v>0.0</v>
      </c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1.0</v>
      </c>
      <c r="Z40" s="19">
        <v>2.0</v>
      </c>
      <c r="AA40" s="19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3</v>
      </c>
      <c r="AA41" s="13">
        <f t="shared" si="13"/>
        <v>0</v>
      </c>
      <c r="AB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"/>
      <c r="T42" s="19"/>
      <c r="U42" s="19"/>
      <c r="V42" s="19"/>
      <c r="W42" s="19"/>
      <c r="X42" s="59"/>
      <c r="Y42" s="19"/>
      <c r="Z42" s="5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13"/>
      <c r="T43" s="13"/>
      <c r="U43" s="13"/>
      <c r="V43" s="13"/>
      <c r="W43" s="13"/>
      <c r="X43" s="61"/>
      <c r="Y43" s="13"/>
      <c r="Z43" s="61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19"/>
      <c r="T44" s="19"/>
      <c r="U44" s="19"/>
      <c r="V44" s="19"/>
      <c r="W44" s="19"/>
      <c r="X44" s="59"/>
      <c r="Y44" s="19"/>
      <c r="Z44" s="59"/>
      <c r="AA44" s="19"/>
      <c r="AB44" s="13"/>
    </row>
    <row r="45" ht="12.75" customHeight="1">
      <c r="A45" s="63"/>
      <c r="B45" s="47">
        <v>1.0</v>
      </c>
      <c r="C45" s="48" t="s">
        <v>37</v>
      </c>
      <c r="D45" s="16"/>
      <c r="E45" s="19">
        <v>17.0</v>
      </c>
      <c r="F45" s="19">
        <v>29.0</v>
      </c>
      <c r="G45" s="19">
        <v>51.0</v>
      </c>
      <c r="H45" s="19">
        <v>17.0</v>
      </c>
      <c r="I45" s="19">
        <v>23.0</v>
      </c>
      <c r="J45" s="19">
        <v>68.0</v>
      </c>
      <c r="K45" s="19">
        <v>42.0</v>
      </c>
      <c r="L45" s="19">
        <v>18.0</v>
      </c>
      <c r="M45" s="19">
        <v>60.0</v>
      </c>
      <c r="N45" s="19">
        <v>38.0</v>
      </c>
      <c r="O45" s="19">
        <v>12.0</v>
      </c>
      <c r="P45" s="19">
        <v>16.0</v>
      </c>
      <c r="Q45" s="19">
        <v>33.0</v>
      </c>
      <c r="R45" s="19">
        <v>22.0</v>
      </c>
      <c r="S45" s="19">
        <v>12.0</v>
      </c>
      <c r="T45" s="19">
        <v>7.0</v>
      </c>
      <c r="U45" s="19">
        <v>31.0</v>
      </c>
      <c r="V45" s="19">
        <v>21.0</v>
      </c>
      <c r="W45" s="19">
        <v>29.0</v>
      </c>
      <c r="X45" s="19">
        <v>19.0</v>
      </c>
      <c r="Y45" s="19">
        <v>23.0</v>
      </c>
      <c r="Z45" s="19">
        <v>39.0</v>
      </c>
      <c r="AA45" s="19">
        <v>7.0</v>
      </c>
      <c r="AB45" s="13">
        <f t="shared" ref="AB45:AB47" si="14">SUM(E45:AA45)</f>
        <v>634</v>
      </c>
    </row>
    <row r="46" ht="12.75" customHeight="1">
      <c r="A46" s="18"/>
      <c r="B46" s="47">
        <v>2.0</v>
      </c>
      <c r="C46" s="48" t="s">
        <v>38</v>
      </c>
      <c r="D46" s="16"/>
      <c r="E46" s="19">
        <v>131.0</v>
      </c>
      <c r="F46" s="19">
        <v>120.0</v>
      </c>
      <c r="G46" s="19">
        <v>117.0</v>
      </c>
      <c r="H46" s="19">
        <v>133.0</v>
      </c>
      <c r="I46" s="19">
        <v>161.0</v>
      </c>
      <c r="J46" s="19">
        <v>134.0</v>
      </c>
      <c r="K46" s="19">
        <v>161.0</v>
      </c>
      <c r="L46" s="19">
        <v>171.0</v>
      </c>
      <c r="M46" s="19">
        <v>134.0</v>
      </c>
      <c r="N46" s="19">
        <v>147.0</v>
      </c>
      <c r="O46" s="19">
        <v>104.0</v>
      </c>
      <c r="P46" s="19">
        <v>103.0</v>
      </c>
      <c r="Q46" s="19">
        <v>139.0</v>
      </c>
      <c r="R46" s="19">
        <v>134.0</v>
      </c>
      <c r="S46" s="19">
        <v>99.0</v>
      </c>
      <c r="T46" s="19">
        <v>146.0</v>
      </c>
      <c r="U46" s="19">
        <v>142.0</v>
      </c>
      <c r="V46" s="19">
        <v>126.0</v>
      </c>
      <c r="W46" s="19">
        <v>103.0</v>
      </c>
      <c r="X46" s="19">
        <v>110.0</v>
      </c>
      <c r="Y46" s="19">
        <v>126.0</v>
      </c>
      <c r="Z46" s="19">
        <v>99.0</v>
      </c>
      <c r="AA46" s="19">
        <v>130.0</v>
      </c>
      <c r="AB46" s="13">
        <f t="shared" si="14"/>
        <v>2970</v>
      </c>
    </row>
    <row r="47" ht="12.75" customHeight="1">
      <c r="A47" s="45"/>
      <c r="B47" s="47">
        <v>3.0</v>
      </c>
      <c r="C47" s="48" t="s">
        <v>39</v>
      </c>
      <c r="D47" s="16"/>
      <c r="E47" s="19">
        <v>59.0</v>
      </c>
      <c r="F47" s="19">
        <v>33.0</v>
      </c>
      <c r="G47" s="19">
        <v>27.0</v>
      </c>
      <c r="H47" s="19">
        <v>42.0</v>
      </c>
      <c r="I47" s="19">
        <v>36.0</v>
      </c>
      <c r="J47" s="19">
        <v>20.0</v>
      </c>
      <c r="K47" s="19">
        <v>30.0</v>
      </c>
      <c r="L47" s="19">
        <v>37.0</v>
      </c>
      <c r="M47" s="19">
        <v>34.0</v>
      </c>
      <c r="N47" s="19">
        <v>44.0</v>
      </c>
      <c r="O47" s="19">
        <v>73.0</v>
      </c>
      <c r="P47" s="19">
        <v>62.0</v>
      </c>
      <c r="Q47" s="19">
        <v>74.0</v>
      </c>
      <c r="R47" s="19">
        <v>74.0</v>
      </c>
      <c r="S47" s="19">
        <v>73.0</v>
      </c>
      <c r="T47" s="19">
        <v>40.0</v>
      </c>
      <c r="U47" s="19">
        <v>35.0</v>
      </c>
      <c r="V47" s="19">
        <v>39.0</v>
      </c>
      <c r="W47" s="19">
        <v>56.0</v>
      </c>
      <c r="X47" s="19">
        <v>58.0</v>
      </c>
      <c r="Y47" s="19">
        <v>54.0</v>
      </c>
      <c r="Z47" s="19">
        <v>38.0</v>
      </c>
      <c r="AA47" s="19">
        <v>33.0</v>
      </c>
      <c r="AB47" s="13">
        <f t="shared" si="14"/>
        <v>1071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13"/>
      <c r="T49" s="13"/>
      <c r="U49" s="13"/>
      <c r="V49" s="13"/>
      <c r="W49" s="13"/>
      <c r="X49" s="61"/>
      <c r="Y49" s="13"/>
      <c r="Z49" s="61"/>
      <c r="AA49" s="13"/>
      <c r="AB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AA50" si="15">SUM(E45:E47)</f>
        <v>207</v>
      </c>
      <c r="F50" s="19">
        <f t="shared" si="15"/>
        <v>182</v>
      </c>
      <c r="G50" s="19">
        <f t="shared" si="15"/>
        <v>195</v>
      </c>
      <c r="H50" s="19">
        <f t="shared" si="15"/>
        <v>192</v>
      </c>
      <c r="I50" s="19">
        <f t="shared" si="15"/>
        <v>220</v>
      </c>
      <c r="J50" s="19">
        <f t="shared" si="15"/>
        <v>222</v>
      </c>
      <c r="K50" s="19">
        <f t="shared" si="15"/>
        <v>233</v>
      </c>
      <c r="L50" s="19">
        <f t="shared" si="15"/>
        <v>226</v>
      </c>
      <c r="M50" s="19">
        <f t="shared" si="15"/>
        <v>228</v>
      </c>
      <c r="N50" s="19">
        <f t="shared" si="15"/>
        <v>229</v>
      </c>
      <c r="O50" s="19">
        <f t="shared" si="15"/>
        <v>189</v>
      </c>
      <c r="P50" s="19">
        <f t="shared" si="15"/>
        <v>181</v>
      </c>
      <c r="Q50" s="19">
        <f t="shared" si="15"/>
        <v>246</v>
      </c>
      <c r="R50" s="19">
        <f t="shared" si="15"/>
        <v>230</v>
      </c>
      <c r="S50" s="19">
        <f t="shared" si="15"/>
        <v>184</v>
      </c>
      <c r="T50" s="19">
        <f t="shared" si="15"/>
        <v>193</v>
      </c>
      <c r="U50" s="19">
        <f t="shared" si="15"/>
        <v>208</v>
      </c>
      <c r="V50" s="19">
        <f t="shared" si="15"/>
        <v>186</v>
      </c>
      <c r="W50" s="19">
        <f t="shared" si="15"/>
        <v>188</v>
      </c>
      <c r="X50" s="19">
        <f t="shared" si="15"/>
        <v>187</v>
      </c>
      <c r="Y50" s="19">
        <f t="shared" si="15"/>
        <v>203</v>
      </c>
      <c r="Z50" s="19">
        <f t="shared" si="15"/>
        <v>176</v>
      </c>
      <c r="AA50" s="19">
        <f t="shared" si="15"/>
        <v>170</v>
      </c>
      <c r="AB50" s="13">
        <f t="shared" ref="AB50:AB52" si="16">SUM(E50:AA50)</f>
        <v>4675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0.0</v>
      </c>
      <c r="F51" s="19">
        <v>4.0</v>
      </c>
      <c r="G51" s="19">
        <v>3.0</v>
      </c>
      <c r="H51" s="19">
        <v>5.0</v>
      </c>
      <c r="I51" s="19">
        <v>2.0</v>
      </c>
      <c r="J51" s="19">
        <v>6.0</v>
      </c>
      <c r="K51" s="19">
        <v>2.0</v>
      </c>
      <c r="L51" s="19">
        <v>3.0</v>
      </c>
      <c r="M51" s="19">
        <v>3.0</v>
      </c>
      <c r="N51" s="19">
        <v>2.0</v>
      </c>
      <c r="O51" s="19">
        <v>3.0</v>
      </c>
      <c r="P51" s="19">
        <v>3.0</v>
      </c>
      <c r="Q51" s="19">
        <v>3.0</v>
      </c>
      <c r="R51" s="19">
        <v>4.0</v>
      </c>
      <c r="S51" s="19">
        <v>3.0</v>
      </c>
      <c r="T51" s="19">
        <v>3.0</v>
      </c>
      <c r="U51" s="19">
        <v>4.0</v>
      </c>
      <c r="V51" s="19">
        <v>2.0</v>
      </c>
      <c r="W51" s="19">
        <v>2.0</v>
      </c>
      <c r="X51" s="19">
        <v>0.0</v>
      </c>
      <c r="Y51" s="19">
        <v>2.0</v>
      </c>
      <c r="Z51" s="19">
        <v>1.0</v>
      </c>
      <c r="AA51" s="19">
        <v>1.0</v>
      </c>
      <c r="AB51" s="13">
        <f t="shared" si="16"/>
        <v>61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AA52" si="17">SUM(E50:E51)</f>
        <v>207</v>
      </c>
      <c r="F52" s="13">
        <f t="shared" si="17"/>
        <v>186</v>
      </c>
      <c r="G52" s="13">
        <f t="shared" si="17"/>
        <v>198</v>
      </c>
      <c r="H52" s="13">
        <f t="shared" si="17"/>
        <v>197</v>
      </c>
      <c r="I52" s="13">
        <f t="shared" si="17"/>
        <v>222</v>
      </c>
      <c r="J52" s="13">
        <f t="shared" si="17"/>
        <v>228</v>
      </c>
      <c r="K52" s="13">
        <f t="shared" si="17"/>
        <v>235</v>
      </c>
      <c r="L52" s="13">
        <f t="shared" si="17"/>
        <v>229</v>
      </c>
      <c r="M52" s="13">
        <f t="shared" si="17"/>
        <v>231</v>
      </c>
      <c r="N52" s="13">
        <f t="shared" si="17"/>
        <v>231</v>
      </c>
      <c r="O52" s="13">
        <f t="shared" si="17"/>
        <v>192</v>
      </c>
      <c r="P52" s="13">
        <f t="shared" si="17"/>
        <v>184</v>
      </c>
      <c r="Q52" s="13">
        <f t="shared" si="17"/>
        <v>249</v>
      </c>
      <c r="R52" s="13">
        <f t="shared" si="17"/>
        <v>234</v>
      </c>
      <c r="S52" s="13">
        <f t="shared" si="17"/>
        <v>187</v>
      </c>
      <c r="T52" s="13">
        <f t="shared" si="17"/>
        <v>196</v>
      </c>
      <c r="U52" s="13">
        <f t="shared" si="17"/>
        <v>212</v>
      </c>
      <c r="V52" s="13">
        <f t="shared" si="17"/>
        <v>188</v>
      </c>
      <c r="W52" s="13">
        <f t="shared" si="17"/>
        <v>190</v>
      </c>
      <c r="X52" s="13">
        <f t="shared" si="17"/>
        <v>187</v>
      </c>
      <c r="Y52" s="13">
        <f t="shared" si="17"/>
        <v>205</v>
      </c>
      <c r="Z52" s="13">
        <f t="shared" si="17"/>
        <v>177</v>
      </c>
      <c r="AA52" s="13">
        <f t="shared" si="17"/>
        <v>171</v>
      </c>
      <c r="AB52" s="13">
        <f t="shared" si="16"/>
        <v>4736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S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S42"/>
    <mergeCell ref="B43:D43"/>
    <mergeCell ref="A44:D44"/>
    <mergeCell ref="C45:D45"/>
  </mergeCells>
  <conditionalFormatting sqref="E14:AA15 E45:AA47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E30&lt;&gt;E46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E34&lt;&gt;#REF!</formula>
    </cfRule>
  </conditionalFormatting>
  <conditionalFormatting sqref="E50:AA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