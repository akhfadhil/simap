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RENG" sheetId="2" r:id="rId5"/>
    <sheet state="visible" name="BENELAN LOR" sheetId="3" r:id="rId6"/>
    <sheet state="visible" name="BUNDER" sheetId="4" r:id="rId7"/>
    <sheet state="visible" name="DADAPAN" sheetId="5" r:id="rId8"/>
    <sheet state="visible" name="GOMBOLIRANG" sheetId="6" r:id="rId9"/>
    <sheet state="visible" name="KABAT" sheetId="7" r:id="rId10"/>
    <sheet state="visible" name="KALIREJO" sheetId="8" r:id="rId11"/>
    <sheet state="visible" name="KEDAYUNAN" sheetId="9" r:id="rId12"/>
    <sheet state="visible" name="LABANASEM" sheetId="10" r:id="rId13"/>
    <sheet state="visible" name="MACAN PUTIH" sheetId="11" r:id="rId14"/>
    <sheet state="visible" name="PAKISATAJI" sheetId="12" r:id="rId15"/>
    <sheet state="visible" name="PENDARUNGAN" sheetId="13" r:id="rId16"/>
    <sheet state="visible" name="PONDOKNONGKO" sheetId="14" r:id="rId17"/>
    <sheet state="visible" name="TAMBONG" sheetId="15" r:id="rId18"/>
  </sheets>
  <definedNames/>
  <calcPr/>
  <extLst>
    <ext uri="GoogleSheetsCustomDataVersion2">
      <go:sheetsCustomData xmlns:go="http://customooxmlschemas.google.com/" r:id="rId19" roundtripDataChecksum="VUGkATomeYwdQBRqXDFAG5ykNst/OHTFmg98E1k43sE="/>
    </ext>
  </extLst>
</workbook>
</file>

<file path=xl/sharedStrings.xml><?xml version="1.0" encoding="utf-8"?>
<sst xmlns="http://schemas.openxmlformats.org/spreadsheetml/2006/main" count="2071" uniqueCount="88">
  <si>
    <t>Kecamatan</t>
  </si>
  <si>
    <t>KABAT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</si>
  <si>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</si>
  <si>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</si>
  <si>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</si>
  <si>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</si>
  <si>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</si>
  <si>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</si>
  <si>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</si>
  <si>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</si>
  <si>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</si>
  <si>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</si>
  <si>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</si>
  <si>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</si>
  <si>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</si>
  <si>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</si>
  <si>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</si>
  <si>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</si>
  <si>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</si>
  <si>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</si>
  <si>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</si>
  <si>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</si>
  <si>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</si>
  <si>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</si>
  <si>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</si>
  <si>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</si>
  <si>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</si>
  <si>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</si>
  <si>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</si>
  <si>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</si>
  <si>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</si>
  <si>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</si>
  <si>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</si>
  <si>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</si>
  <si>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</si>
  <si>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</si>
  <si>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</si>
  <si>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</si>
  <si>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</si>
  <si>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</si>
  <si>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</si>
  <si>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</si>
  <si>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</si>
  <si>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</si>
  <si>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</si>
  <si>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</si>
  <si>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</si>
  <si>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</si>
  <si>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</si>
  <si>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BARENG</t>
  </si>
  <si>
    <t>TPS 001</t>
  </si>
  <si>
    <t>TPS 002</t>
  </si>
  <si>
    <t>TPS 003</t>
  </si>
  <si>
    <t>TPS 004</t>
  </si>
  <si>
    <t>TPS 005</t>
  </si>
  <si>
    <t>TPS 006</t>
  </si>
  <si>
    <t>BENELAN LOR</t>
  </si>
  <si>
    <t>TPS 007</t>
  </si>
  <si>
    <t>TPS 008</t>
  </si>
  <si>
    <t>TPS 009</t>
  </si>
  <si>
    <t>BUNDER</t>
  </si>
  <si>
    <t>TPS 010</t>
  </si>
  <si>
    <t>TPS 011</t>
  </si>
  <si>
    <t>TPS 012</t>
  </si>
  <si>
    <t>TPS 013</t>
  </si>
  <si>
    <t>DADAPAN</t>
  </si>
  <si>
    <t>TPS 014</t>
  </si>
  <si>
    <t>TPS 015</t>
  </si>
  <si>
    <t>TPS 016</t>
  </si>
  <si>
    <t>TPS 017</t>
  </si>
  <si>
    <t>TPS 018</t>
  </si>
  <si>
    <t>TPS 019</t>
  </si>
  <si>
    <t>GOMBOLIRANG</t>
  </si>
  <si>
    <t>KALIREJO</t>
  </si>
  <si>
    <t>KEDAYUNAN</t>
  </si>
  <si>
    <t>LABANASEM</t>
  </si>
  <si>
    <t>MACAN PUTIH</t>
  </si>
  <si>
    <t>TPS 020</t>
  </si>
  <si>
    <t>TPS 021</t>
  </si>
  <si>
    <t>TPS 022</t>
  </si>
  <si>
    <t>TPS 023</t>
  </si>
  <si>
    <t>TPS 024</t>
  </si>
  <si>
    <t>TPS 025</t>
  </si>
  <si>
    <t>TPS 026</t>
  </si>
  <si>
    <t>PAKISATAJI</t>
  </si>
  <si>
    <t>PENDARUNGAN</t>
  </si>
  <si>
    <t>PONDOKNONGKO</t>
  </si>
  <si>
    <t>TAMBONG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</si>
</sst>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8" numFmtId="0" xfId="0" applyAlignment="1" applyBorder="1" applyFont="1">
      <alignment horizont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24680.0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24727.0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49407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19100.0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20640.0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39740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v>46.0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v>103.0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149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v>121.0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v>162.0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283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29">
        <f t="shared" ref="E28:E29" si="1">E19+E22+E25</f>
        <v>19267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20905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40172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50463.0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40172.0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41.0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10250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v>31.0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34.0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/>
      <c r="B45" s="49">
        <v>1.0</v>
      </c>
      <c r="C45" s="50" t="s">
        <v>37</v>
      </c>
      <c r="D45" s="16"/>
      <c r="E45" s="24">
        <v>5288.0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34"/>
      <c r="B46" s="49">
        <v>2.0</v>
      </c>
      <c r="C46" s="50" t="s">
        <v>38</v>
      </c>
      <c r="D46" s="16"/>
      <c r="E46" s="24">
        <v>29071.0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5"/>
      <c r="B47" s="49">
        <v>3.0</v>
      </c>
      <c r="C47" s="50" t="s">
        <v>39</v>
      </c>
      <c r="D47" s="16"/>
      <c r="E47" s="24">
        <v>4812.0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4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4"/>
      <c r="B50" s="56" t="s">
        <v>42</v>
      </c>
      <c r="C50" s="57" t="s">
        <v>43</v>
      </c>
      <c r="D50" s="16"/>
      <c r="E50" s="24">
        <v>39171.0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6"/>
      <c r="B51" s="56" t="s">
        <v>44</v>
      </c>
      <c r="C51" s="57" t="s">
        <v>45</v>
      </c>
      <c r="D51" s="16"/>
      <c r="E51" s="24">
        <v>1001.0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3"/>
      <c r="B52" s="56" t="s">
        <v>46</v>
      </c>
      <c r="C52" s="57" t="s">
        <v>47</v>
      </c>
      <c r="D52" s="16"/>
      <c r="E52" s="58">
        <f>SUM(E50:E51)</f>
        <v>40172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9"/>
      <c r="C53" s="6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9"/>
      <c r="C54" s="6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9"/>
      <c r="C55" s="6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9"/>
      <c r="C56" s="6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9"/>
      <c r="C57" s="6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9"/>
      <c r="C58" s="6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9"/>
      <c r="C59" s="6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9"/>
      <c r="C60" s="6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9"/>
      <c r="C61" s="6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9"/>
      <c r="C62" s="6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9"/>
      <c r="C63" s="6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9"/>
      <c r="C64" s="6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9"/>
      <c r="C65" s="6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9"/>
      <c r="C66" s="6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9"/>
      <c r="C67" s="6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9"/>
      <c r="C68" s="6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9"/>
      <c r="C69" s="6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9"/>
      <c r="C70" s="6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9"/>
      <c r="C71" s="6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9"/>
      <c r="C72" s="6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9"/>
      <c r="C73" s="6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9"/>
      <c r="C74" s="6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9"/>
      <c r="C75" s="6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9"/>
      <c r="C76" s="6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9"/>
      <c r="C77" s="6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9"/>
      <c r="C78" s="6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9"/>
      <c r="C79" s="6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9"/>
      <c r="C80" s="6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9"/>
      <c r="C81" s="6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9"/>
      <c r="C82" s="6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9"/>
      <c r="C83" s="6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9"/>
      <c r="C84" s="6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9"/>
      <c r="C85" s="6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9"/>
      <c r="C86" s="6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9"/>
      <c r="C87" s="6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9"/>
      <c r="C88" s="6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9"/>
      <c r="C89" s="6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9"/>
      <c r="C90" s="6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9"/>
      <c r="C91" s="6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9"/>
      <c r="C92" s="6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9"/>
      <c r="C93" s="6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9"/>
      <c r="C94" s="6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9"/>
      <c r="C95" s="6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9"/>
      <c r="C96" s="6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9"/>
      <c r="C97" s="6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9"/>
      <c r="C98" s="6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9"/>
      <c r="C99" s="6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9"/>
      <c r="C100" s="6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9"/>
      <c r="C101" s="6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9"/>
      <c r="C102" s="6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9"/>
      <c r="C103" s="6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9"/>
      <c r="C104" s="6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9"/>
      <c r="C105" s="6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9"/>
      <c r="C106" s="6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9"/>
      <c r="C107" s="6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9"/>
      <c r="C108" s="6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9"/>
      <c r="C109" s="6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9"/>
      <c r="C110" s="6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9"/>
      <c r="C111" s="6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9"/>
      <c r="C112" s="6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9"/>
      <c r="C113" s="6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9"/>
      <c r="C114" s="6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9"/>
      <c r="C115" s="6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9"/>
      <c r="C116" s="6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9"/>
      <c r="C117" s="6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9"/>
      <c r="C118" s="6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9"/>
      <c r="C119" s="6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9"/>
      <c r="C120" s="6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9"/>
      <c r="C121" s="6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9"/>
      <c r="C122" s="6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9"/>
      <c r="C123" s="6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9"/>
      <c r="C124" s="6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9"/>
      <c r="C125" s="6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9"/>
      <c r="C126" s="6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9"/>
      <c r="C127" s="6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9"/>
      <c r="C128" s="6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9"/>
      <c r="C129" s="6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9"/>
      <c r="C130" s="6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9"/>
      <c r="C131" s="6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9"/>
      <c r="C132" s="6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9"/>
      <c r="C133" s="6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9"/>
      <c r="C134" s="6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9"/>
      <c r="C135" s="6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9"/>
      <c r="C136" s="6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9"/>
      <c r="C137" s="6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9"/>
      <c r="C138" s="6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9"/>
      <c r="C139" s="6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9"/>
      <c r="C140" s="6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9"/>
      <c r="C141" s="6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9"/>
      <c r="C142" s="6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9"/>
      <c r="C143" s="6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9"/>
      <c r="C144" s="6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9"/>
      <c r="C145" s="6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9"/>
      <c r="C146" s="6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9"/>
      <c r="C147" s="6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9"/>
      <c r="C148" s="6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9"/>
      <c r="C149" s="6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9"/>
      <c r="C150" s="6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9"/>
      <c r="C151" s="6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9"/>
      <c r="C152" s="6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9"/>
      <c r="C153" s="6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9"/>
      <c r="C154" s="6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9"/>
      <c r="C155" s="6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9"/>
      <c r="C156" s="6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9"/>
      <c r="C157" s="6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9"/>
      <c r="C158" s="6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9"/>
      <c r="C159" s="6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9"/>
      <c r="C160" s="6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9"/>
      <c r="C161" s="6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9"/>
      <c r="C162" s="6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9"/>
      <c r="C163" s="6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9"/>
      <c r="C164" s="6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9"/>
      <c r="C165" s="6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9"/>
      <c r="C166" s="6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9"/>
      <c r="C167" s="6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9"/>
      <c r="C168" s="6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9"/>
      <c r="C169" s="6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9"/>
      <c r="C170" s="6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9"/>
      <c r="C171" s="6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9"/>
      <c r="C172" s="6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9"/>
      <c r="C173" s="6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9"/>
      <c r="C174" s="6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9"/>
      <c r="C175" s="6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9"/>
      <c r="C176" s="6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9"/>
      <c r="C177" s="6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9"/>
      <c r="C178" s="6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9"/>
      <c r="C179" s="6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9"/>
      <c r="C180" s="6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9"/>
      <c r="C181" s="6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9"/>
      <c r="C182" s="6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9"/>
      <c r="C183" s="6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9"/>
      <c r="C184" s="6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9"/>
      <c r="C185" s="6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9"/>
      <c r="C186" s="6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9"/>
      <c r="C187" s="6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9"/>
      <c r="C188" s="6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9"/>
      <c r="C189" s="6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9"/>
      <c r="C190" s="6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9"/>
      <c r="C191" s="6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9"/>
      <c r="C192" s="6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9"/>
      <c r="C193" s="6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9"/>
      <c r="C194" s="6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9"/>
      <c r="C195" s="6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9"/>
      <c r="C196" s="6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9"/>
      <c r="C197" s="6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9"/>
      <c r="C198" s="6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9"/>
      <c r="C199" s="6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9"/>
      <c r="C200" s="6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9"/>
      <c r="C201" s="6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9"/>
      <c r="C202" s="6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9"/>
      <c r="C203" s="6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9"/>
      <c r="C204" s="6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9"/>
      <c r="C205" s="6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9"/>
      <c r="C206" s="6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9"/>
      <c r="C207" s="6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9"/>
      <c r="C208" s="6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9"/>
      <c r="C209" s="6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9"/>
      <c r="C210" s="6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9"/>
      <c r="C211" s="6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9"/>
      <c r="C212" s="6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9"/>
      <c r="C213" s="6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9"/>
      <c r="C214" s="6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9"/>
      <c r="C215" s="6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9"/>
      <c r="C216" s="6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9"/>
      <c r="C217" s="6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9"/>
      <c r="C218" s="6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9"/>
      <c r="C219" s="6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9"/>
      <c r="C220" s="6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9"/>
      <c r="C221" s="6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9"/>
      <c r="C222" s="6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9"/>
      <c r="C223" s="6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9"/>
      <c r="C224" s="6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9"/>
      <c r="C225" s="6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9"/>
      <c r="C226" s="6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9"/>
      <c r="C227" s="6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9"/>
      <c r="C228" s="6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9"/>
      <c r="C229" s="6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9"/>
      <c r="C230" s="6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9"/>
      <c r="C231" s="6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9"/>
      <c r="C232" s="6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9"/>
      <c r="C233" s="6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9"/>
      <c r="C234" s="6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9"/>
      <c r="C235" s="6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9"/>
      <c r="C236" s="6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9"/>
      <c r="C237" s="6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9"/>
      <c r="C238" s="6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9"/>
      <c r="C239" s="6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9"/>
      <c r="C240" s="6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9"/>
      <c r="C241" s="6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9"/>
      <c r="C242" s="6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9"/>
      <c r="C243" s="6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9"/>
      <c r="C244" s="6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9"/>
      <c r="C245" s="6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9"/>
      <c r="C246" s="6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9"/>
      <c r="C247" s="6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9"/>
      <c r="C248" s="6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9"/>
      <c r="C249" s="6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9"/>
      <c r="C250" s="60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9"/>
      <c r="C251" s="60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9"/>
      <c r="C252" s="60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37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108.0</v>
      </c>
      <c r="G14" s="19">
        <v>121.0</v>
      </c>
      <c r="H14" s="19">
        <v>111.0</v>
      </c>
      <c r="I14" s="19">
        <v>113.0</v>
      </c>
      <c r="J14" s="19">
        <v>114.0</v>
      </c>
      <c r="K14" s="13">
        <f t="shared" ref="K14:K16" si="1">SUM(E14:J14)</f>
        <v>687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115.0</v>
      </c>
      <c r="G15" s="19">
        <v>127.0</v>
      </c>
      <c r="H15" s="19">
        <v>108.0</v>
      </c>
      <c r="I15" s="19">
        <v>99.0</v>
      </c>
      <c r="J15" s="19">
        <v>101.0</v>
      </c>
      <c r="K15" s="13">
        <f t="shared" si="1"/>
        <v>668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238</v>
      </c>
      <c r="F16" s="13">
        <f t="shared" si="2"/>
        <v>223</v>
      </c>
      <c r="G16" s="13">
        <f t="shared" si="2"/>
        <v>248</v>
      </c>
      <c r="H16" s="13">
        <f t="shared" si="2"/>
        <v>219</v>
      </c>
      <c r="I16" s="13">
        <f t="shared" si="2"/>
        <v>212</v>
      </c>
      <c r="J16" s="13">
        <f t="shared" si="2"/>
        <v>215</v>
      </c>
      <c r="K16" s="13">
        <f t="shared" si="1"/>
        <v>1355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90.0</v>
      </c>
      <c r="G19" s="19">
        <v>105.0</v>
      </c>
      <c r="H19" s="19">
        <v>97.0</v>
      </c>
      <c r="I19" s="19">
        <v>91.0</v>
      </c>
      <c r="J19" s="19">
        <v>95.0</v>
      </c>
      <c r="K19" s="13">
        <f t="shared" ref="K19:K30" si="3">SUM(E19:J19)</f>
        <v>583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95.0</v>
      </c>
      <c r="G20" s="19">
        <v>113.0</v>
      </c>
      <c r="H20" s="19">
        <v>90.0</v>
      </c>
      <c r="I20" s="19">
        <v>91.0</v>
      </c>
      <c r="J20" s="19">
        <v>89.0</v>
      </c>
      <c r="K20" s="13">
        <f t="shared" si="3"/>
        <v>582</v>
      </c>
    </row>
    <row r="21" ht="12.75" customHeight="1">
      <c r="A21" s="36"/>
      <c r="B21" s="28"/>
      <c r="C21" s="37"/>
      <c r="D21" s="13" t="s">
        <v>14</v>
      </c>
      <c r="E21" s="13">
        <f t="shared" ref="E21:J21" si="4">SUM(E19:E20)</f>
        <v>209</v>
      </c>
      <c r="F21" s="13">
        <f t="shared" si="4"/>
        <v>185</v>
      </c>
      <c r="G21" s="13">
        <f t="shared" si="4"/>
        <v>218</v>
      </c>
      <c r="H21" s="13">
        <f t="shared" si="4"/>
        <v>187</v>
      </c>
      <c r="I21" s="13">
        <f t="shared" si="4"/>
        <v>182</v>
      </c>
      <c r="J21" s="13">
        <f t="shared" si="4"/>
        <v>184</v>
      </c>
      <c r="K21" s="13">
        <f t="shared" si="3"/>
        <v>1165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2.0</v>
      </c>
      <c r="F23" s="19">
        <v>2.0</v>
      </c>
      <c r="G23" s="19">
        <v>1.0</v>
      </c>
      <c r="H23" s="19">
        <v>0.0</v>
      </c>
      <c r="I23" s="19">
        <v>0.0</v>
      </c>
      <c r="J23" s="19">
        <v>0.0</v>
      </c>
      <c r="K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J24" si="5">SUM(E22:E23)</f>
        <v>3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J27" si="6">SUM(E25:E26)</f>
        <v>5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J28" si="7">SUM(E19,E22,E25)</f>
        <v>108</v>
      </c>
      <c r="F28" s="13">
        <f t="shared" si="7"/>
        <v>91</v>
      </c>
      <c r="G28" s="13">
        <f t="shared" si="7"/>
        <v>107</v>
      </c>
      <c r="H28" s="13">
        <f t="shared" si="7"/>
        <v>97</v>
      </c>
      <c r="I28" s="13">
        <f t="shared" si="7"/>
        <v>91</v>
      </c>
      <c r="J28" s="13">
        <f t="shared" si="7"/>
        <v>95</v>
      </c>
      <c r="K28" s="13">
        <f t="shared" si="3"/>
        <v>589</v>
      </c>
    </row>
    <row r="29" ht="12.75" customHeight="1">
      <c r="A29" s="36"/>
      <c r="B29" s="27"/>
      <c r="C29" s="35"/>
      <c r="D29" s="13" t="s">
        <v>13</v>
      </c>
      <c r="E29" s="13">
        <f t="shared" ref="E29:J29" si="8">SUM(E20,E23,E26)</f>
        <v>109</v>
      </c>
      <c r="F29" s="13">
        <f t="shared" si="8"/>
        <v>97</v>
      </c>
      <c r="G29" s="13">
        <f t="shared" si="8"/>
        <v>114</v>
      </c>
      <c r="H29" s="13">
        <f t="shared" si="8"/>
        <v>90</v>
      </c>
      <c r="I29" s="13">
        <f t="shared" si="8"/>
        <v>91</v>
      </c>
      <c r="J29" s="13">
        <f t="shared" si="8"/>
        <v>89</v>
      </c>
      <c r="K29" s="13">
        <f t="shared" si="3"/>
        <v>590</v>
      </c>
    </row>
    <row r="30" ht="12.75" customHeight="1">
      <c r="A30" s="36"/>
      <c r="B30" s="28"/>
      <c r="C30" s="37"/>
      <c r="D30" s="13" t="s">
        <v>14</v>
      </c>
      <c r="E30" s="13">
        <f t="shared" ref="E30:J30" si="9">SUM(E28:E29)</f>
        <v>217</v>
      </c>
      <c r="F30" s="13">
        <f t="shared" si="9"/>
        <v>188</v>
      </c>
      <c r="G30" s="13">
        <f t="shared" si="9"/>
        <v>221</v>
      </c>
      <c r="H30" s="13">
        <f t="shared" si="9"/>
        <v>187</v>
      </c>
      <c r="I30" s="13">
        <f t="shared" si="9"/>
        <v>182</v>
      </c>
      <c r="J30" s="13">
        <f t="shared" si="9"/>
        <v>184</v>
      </c>
      <c r="K30" s="13">
        <f t="shared" si="3"/>
        <v>1179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62"/>
    </row>
    <row r="33" ht="12.75" customHeight="1">
      <c r="A33" s="19">
        <v>1.0</v>
      </c>
      <c r="B33" s="20" t="s">
        <v>27</v>
      </c>
      <c r="C33" s="15"/>
      <c r="D33" s="16"/>
      <c r="E33" s="19">
        <v>243.0</v>
      </c>
      <c r="F33" s="19">
        <v>228.0</v>
      </c>
      <c r="G33" s="19">
        <v>253.0</v>
      </c>
      <c r="H33" s="19">
        <v>224.0</v>
      </c>
      <c r="I33" s="19">
        <v>217.0</v>
      </c>
      <c r="J33" s="19">
        <v>220.0</v>
      </c>
      <c r="K33" s="13">
        <f t="shared" ref="K33:K36" si="10">SUM(E33:J33)</f>
        <v>1385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188.0</v>
      </c>
      <c r="G34" s="13">
        <v>221.0</v>
      </c>
      <c r="H34" s="13">
        <v>187.0</v>
      </c>
      <c r="I34" s="13">
        <v>182.0</v>
      </c>
      <c r="J34" s="13">
        <v>184.0</v>
      </c>
      <c r="K34" s="13">
        <f t="shared" si="10"/>
        <v>1179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26</v>
      </c>
      <c r="F36" s="13">
        <f t="shared" si="11"/>
        <v>40</v>
      </c>
      <c r="G36" s="13">
        <f t="shared" si="11"/>
        <v>32</v>
      </c>
      <c r="H36" s="13">
        <f t="shared" si="11"/>
        <v>37</v>
      </c>
      <c r="I36" s="13">
        <f t="shared" si="11"/>
        <v>35</v>
      </c>
      <c r="J36" s="13">
        <f t="shared" si="11"/>
        <v>36</v>
      </c>
      <c r="K36" s="13">
        <f t="shared" si="10"/>
        <v>206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3">
        <f t="shared" ref="K39:K41" si="12">SUM(E39:J39)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3"/>
    </row>
    <row r="45" ht="15.0" customHeight="1">
      <c r="A45" s="63"/>
      <c r="B45" s="49">
        <v>1.0</v>
      </c>
      <c r="C45" s="50" t="s">
        <v>37</v>
      </c>
      <c r="D45" s="16"/>
      <c r="E45" s="19">
        <v>39.0</v>
      </c>
      <c r="F45" s="19">
        <v>31.0</v>
      </c>
      <c r="G45" s="19">
        <v>27.0</v>
      </c>
      <c r="H45" s="19">
        <v>12.0</v>
      </c>
      <c r="I45" s="19">
        <v>10.0</v>
      </c>
      <c r="J45" s="19">
        <v>10.0</v>
      </c>
      <c r="K45" s="13">
        <f t="shared" ref="K45:K52" si="14">SUM(E45:J45)</f>
        <v>129</v>
      </c>
    </row>
    <row r="46" ht="12.75" customHeight="1">
      <c r="A46" s="18"/>
      <c r="B46" s="49">
        <v>2.0</v>
      </c>
      <c r="C46" s="50" t="s">
        <v>38</v>
      </c>
      <c r="D46" s="16"/>
      <c r="E46" s="19">
        <v>147.0</v>
      </c>
      <c r="F46" s="19">
        <v>132.0</v>
      </c>
      <c r="G46" s="19">
        <v>166.0</v>
      </c>
      <c r="H46" s="19">
        <v>141.0</v>
      </c>
      <c r="I46" s="19">
        <v>130.0</v>
      </c>
      <c r="J46" s="19">
        <v>138.0</v>
      </c>
      <c r="K46" s="13">
        <f t="shared" si="14"/>
        <v>854</v>
      </c>
    </row>
    <row r="47" ht="12.75" customHeight="1">
      <c r="A47" s="47"/>
      <c r="B47" s="49">
        <v>3.0</v>
      </c>
      <c r="C47" s="50" t="s">
        <v>39</v>
      </c>
      <c r="D47" s="16"/>
      <c r="E47" s="19">
        <v>19.0</v>
      </c>
      <c r="F47" s="19">
        <v>21.0</v>
      </c>
      <c r="G47" s="19">
        <v>25.0</v>
      </c>
      <c r="H47" s="19">
        <v>32.0</v>
      </c>
      <c r="I47" s="19">
        <v>40.0</v>
      </c>
      <c r="J47" s="19">
        <v>31.0</v>
      </c>
      <c r="K47" s="13">
        <f t="shared" si="14"/>
        <v>168</v>
      </c>
    </row>
    <row r="48" ht="12.75" customHeight="1">
      <c r="K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J50" si="15">SUM(E45:E47)</f>
        <v>205</v>
      </c>
      <c r="F50" s="19">
        <f t="shared" si="15"/>
        <v>184</v>
      </c>
      <c r="G50" s="19">
        <f t="shared" si="15"/>
        <v>218</v>
      </c>
      <c r="H50" s="19">
        <f t="shared" si="15"/>
        <v>185</v>
      </c>
      <c r="I50" s="19">
        <f t="shared" si="15"/>
        <v>180</v>
      </c>
      <c r="J50" s="19">
        <f t="shared" si="15"/>
        <v>179</v>
      </c>
      <c r="K50" s="13">
        <f t="shared" si="14"/>
        <v>1151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12.0</v>
      </c>
      <c r="F51" s="19">
        <v>4.0</v>
      </c>
      <c r="G51" s="19">
        <v>3.0</v>
      </c>
      <c r="H51" s="19">
        <v>2.0</v>
      </c>
      <c r="I51" s="19">
        <v>2.0</v>
      </c>
      <c r="J51" s="19">
        <v>5.0</v>
      </c>
      <c r="K51" s="13">
        <f t="shared" si="14"/>
        <v>28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J52" si="16">SUM(E50:E51)</f>
        <v>217</v>
      </c>
      <c r="F52" s="13">
        <f t="shared" si="16"/>
        <v>188</v>
      </c>
      <c r="G52" s="13">
        <f t="shared" si="16"/>
        <v>221</v>
      </c>
      <c r="H52" s="13">
        <f t="shared" si="16"/>
        <v>187</v>
      </c>
      <c r="I52" s="13">
        <f t="shared" si="16"/>
        <v>182</v>
      </c>
      <c r="J52" s="13">
        <f t="shared" si="16"/>
        <v>184</v>
      </c>
      <c r="K52" s="13">
        <f t="shared" si="14"/>
        <v>1179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E34&lt;&gt;E64</formula>
    </cfRule>
  </conditionalFormatting>
  <conditionalFormatting sqref="E45:J47">
    <cfRule type="containsBlanks" dxfId="1" priority="10">
      <formula>LEN(TRIM(E45))=0</formula>
    </cfRule>
  </conditionalFormatting>
  <conditionalFormatting sqref="E50:J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56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127.0</v>
      </c>
      <c r="G14" s="19">
        <v>128.0</v>
      </c>
      <c r="H14" s="19">
        <v>131.0</v>
      </c>
      <c r="I14" s="19">
        <v>130.0</v>
      </c>
      <c r="J14" s="19">
        <v>127.0</v>
      </c>
      <c r="K14" s="19">
        <v>132.0</v>
      </c>
      <c r="L14" s="19">
        <v>142.0</v>
      </c>
      <c r="M14" s="19">
        <v>141.0</v>
      </c>
      <c r="N14" s="13">
        <f t="shared" ref="N14:N16" si="1">SUM(E14:M14)</f>
        <v>1182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130.0</v>
      </c>
      <c r="G15" s="19">
        <v>138.0</v>
      </c>
      <c r="H15" s="19">
        <v>131.0</v>
      </c>
      <c r="I15" s="19">
        <v>135.0</v>
      </c>
      <c r="J15" s="19">
        <v>137.0</v>
      </c>
      <c r="K15" s="19">
        <v>137.0</v>
      </c>
      <c r="L15" s="19">
        <v>142.0</v>
      </c>
      <c r="M15" s="19">
        <v>146.0</v>
      </c>
      <c r="N15" s="13">
        <f t="shared" si="1"/>
        <v>1230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258</v>
      </c>
      <c r="F16" s="13">
        <f t="shared" si="2"/>
        <v>257</v>
      </c>
      <c r="G16" s="13">
        <f t="shared" si="2"/>
        <v>266</v>
      </c>
      <c r="H16" s="13">
        <f t="shared" si="2"/>
        <v>262</v>
      </c>
      <c r="I16" s="13">
        <f t="shared" si="2"/>
        <v>265</v>
      </c>
      <c r="J16" s="13">
        <f t="shared" si="2"/>
        <v>264</v>
      </c>
      <c r="K16" s="13">
        <f t="shared" si="2"/>
        <v>269</v>
      </c>
      <c r="L16" s="13">
        <f t="shared" si="2"/>
        <v>284</v>
      </c>
      <c r="M16" s="13">
        <f t="shared" si="2"/>
        <v>287</v>
      </c>
      <c r="N16" s="13">
        <f t="shared" si="1"/>
        <v>2412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103.0</v>
      </c>
      <c r="F19" s="19">
        <v>109.0</v>
      </c>
      <c r="G19" s="19">
        <v>113.0</v>
      </c>
      <c r="H19" s="19">
        <v>113.0</v>
      </c>
      <c r="I19" s="19">
        <v>109.0</v>
      </c>
      <c r="J19" s="19">
        <v>110.0</v>
      </c>
      <c r="K19" s="19">
        <v>109.0</v>
      </c>
      <c r="L19" s="19">
        <v>106.0</v>
      </c>
      <c r="M19" s="19">
        <v>115.0</v>
      </c>
      <c r="N19" s="13">
        <f t="shared" ref="N19:N30" si="3">SUM(E19:M19)</f>
        <v>987</v>
      </c>
    </row>
    <row r="20" ht="12.75" customHeight="1">
      <c r="A20" s="34"/>
      <c r="B20" s="27"/>
      <c r="C20" s="35"/>
      <c r="D20" s="19" t="s">
        <v>13</v>
      </c>
      <c r="E20" s="19">
        <v>111.0</v>
      </c>
      <c r="F20" s="19">
        <v>115.0</v>
      </c>
      <c r="G20" s="19">
        <v>126.0</v>
      </c>
      <c r="H20" s="19">
        <v>112.0</v>
      </c>
      <c r="I20" s="19">
        <v>119.0</v>
      </c>
      <c r="J20" s="19">
        <v>117.0</v>
      </c>
      <c r="K20" s="19">
        <v>122.0</v>
      </c>
      <c r="L20" s="19">
        <v>113.0</v>
      </c>
      <c r="M20" s="19">
        <v>121.0</v>
      </c>
      <c r="N20" s="13">
        <f t="shared" si="3"/>
        <v>1056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214</v>
      </c>
      <c r="F21" s="13">
        <f t="shared" si="4"/>
        <v>224</v>
      </c>
      <c r="G21" s="13">
        <f t="shared" si="4"/>
        <v>239</v>
      </c>
      <c r="H21" s="13">
        <f t="shared" si="4"/>
        <v>225</v>
      </c>
      <c r="I21" s="13">
        <f t="shared" si="4"/>
        <v>228</v>
      </c>
      <c r="J21" s="13">
        <f t="shared" si="4"/>
        <v>227</v>
      </c>
      <c r="K21" s="13">
        <f t="shared" si="4"/>
        <v>231</v>
      </c>
      <c r="L21" s="13">
        <f t="shared" si="4"/>
        <v>219</v>
      </c>
      <c r="M21" s="13">
        <f t="shared" si="4"/>
        <v>236</v>
      </c>
      <c r="N21" s="13">
        <f t="shared" si="3"/>
        <v>2043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1.0</v>
      </c>
      <c r="G22" s="19">
        <v>2.0</v>
      </c>
      <c r="H22" s="19">
        <v>4.0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3">
        <f t="shared" si="3"/>
        <v>10</v>
      </c>
    </row>
    <row r="23" ht="12.75" customHeight="1">
      <c r="A23" s="34"/>
      <c r="B23" s="27"/>
      <c r="C23" s="35"/>
      <c r="D23" s="19" t="s">
        <v>13</v>
      </c>
      <c r="E23" s="19">
        <v>4.0</v>
      </c>
      <c r="F23" s="19">
        <v>4.0</v>
      </c>
      <c r="G23" s="19">
        <v>3.0</v>
      </c>
      <c r="H23" s="19">
        <v>2.0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3">
        <f t="shared" si="3"/>
        <v>14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6</v>
      </c>
      <c r="F24" s="13">
        <f t="shared" si="5"/>
        <v>5</v>
      </c>
      <c r="G24" s="13">
        <f t="shared" si="5"/>
        <v>5</v>
      </c>
      <c r="H24" s="13">
        <f t="shared" si="5"/>
        <v>6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24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1.0</v>
      </c>
      <c r="K25" s="19">
        <v>4.0</v>
      </c>
      <c r="L25" s="19">
        <v>3.0</v>
      </c>
      <c r="M25" s="19">
        <v>1.0</v>
      </c>
      <c r="N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4.0</v>
      </c>
      <c r="I26" s="19">
        <v>0.0</v>
      </c>
      <c r="J26" s="19">
        <v>0.0</v>
      </c>
      <c r="K26" s="19">
        <v>3.0</v>
      </c>
      <c r="L26" s="19">
        <v>3.0</v>
      </c>
      <c r="M26" s="19">
        <v>1.0</v>
      </c>
      <c r="N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2</v>
      </c>
      <c r="N27" s="13">
        <f t="shared" si="3"/>
        <v>22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105</v>
      </c>
      <c r="F28" s="13">
        <f t="shared" si="7"/>
        <v>110</v>
      </c>
      <c r="G28" s="13">
        <f t="shared" si="7"/>
        <v>116</v>
      </c>
      <c r="H28" s="13">
        <f t="shared" si="7"/>
        <v>118</v>
      </c>
      <c r="I28" s="13">
        <f t="shared" si="7"/>
        <v>109</v>
      </c>
      <c r="J28" s="13">
        <f t="shared" si="7"/>
        <v>112</v>
      </c>
      <c r="K28" s="13">
        <f t="shared" si="7"/>
        <v>113</v>
      </c>
      <c r="L28" s="13">
        <f t="shared" si="7"/>
        <v>109</v>
      </c>
      <c r="M28" s="13">
        <f t="shared" si="7"/>
        <v>116</v>
      </c>
      <c r="N28" s="13">
        <f t="shared" si="3"/>
        <v>1008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119</v>
      </c>
      <c r="G29" s="13">
        <f t="shared" si="8"/>
        <v>129</v>
      </c>
      <c r="H29" s="13">
        <f t="shared" si="8"/>
        <v>118</v>
      </c>
      <c r="I29" s="13">
        <f t="shared" si="8"/>
        <v>119</v>
      </c>
      <c r="J29" s="13">
        <f t="shared" si="8"/>
        <v>118</v>
      </c>
      <c r="K29" s="13">
        <f t="shared" si="8"/>
        <v>125</v>
      </c>
      <c r="L29" s="13">
        <f t="shared" si="8"/>
        <v>116</v>
      </c>
      <c r="M29" s="13">
        <f t="shared" si="8"/>
        <v>122</v>
      </c>
      <c r="N29" s="13">
        <f t="shared" si="3"/>
        <v>1081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220</v>
      </c>
      <c r="F30" s="13">
        <f t="shared" si="9"/>
        <v>229</v>
      </c>
      <c r="G30" s="13">
        <f t="shared" si="9"/>
        <v>245</v>
      </c>
      <c r="H30" s="13">
        <f t="shared" si="9"/>
        <v>236</v>
      </c>
      <c r="I30" s="13">
        <f t="shared" si="9"/>
        <v>228</v>
      </c>
      <c r="J30" s="13">
        <f t="shared" si="9"/>
        <v>230</v>
      </c>
      <c r="K30" s="13">
        <f t="shared" si="9"/>
        <v>238</v>
      </c>
      <c r="L30" s="13">
        <f t="shared" si="9"/>
        <v>225</v>
      </c>
      <c r="M30" s="13">
        <f t="shared" si="9"/>
        <v>238</v>
      </c>
      <c r="N30" s="13">
        <f t="shared" si="3"/>
        <v>2089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62"/>
    </row>
    <row r="33" ht="12.75" customHeight="1">
      <c r="A33" s="19">
        <v>1.0</v>
      </c>
      <c r="B33" s="20" t="s">
        <v>27</v>
      </c>
      <c r="C33" s="15"/>
      <c r="D33" s="16"/>
      <c r="E33" s="19">
        <v>264.0</v>
      </c>
      <c r="F33" s="19">
        <v>263.0</v>
      </c>
      <c r="G33" s="19">
        <v>273.0</v>
      </c>
      <c r="H33" s="19">
        <v>290.0</v>
      </c>
      <c r="I33" s="19">
        <v>271.0</v>
      </c>
      <c r="J33" s="19">
        <v>261.0</v>
      </c>
      <c r="K33" s="19">
        <v>275.0</v>
      </c>
      <c r="L33" s="19">
        <v>290.0</v>
      </c>
      <c r="M33" s="19">
        <v>284.0</v>
      </c>
      <c r="N33" s="13">
        <f t="shared" ref="N33:N36" si="10">SUM(E33:M33)</f>
        <v>2471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229.0</v>
      </c>
      <c r="G34" s="13">
        <v>245.0</v>
      </c>
      <c r="H34" s="13">
        <v>236.0</v>
      </c>
      <c r="I34" s="13">
        <v>228.0</v>
      </c>
      <c r="J34" s="13">
        <v>230.0</v>
      </c>
      <c r="K34" s="13">
        <v>238.0</v>
      </c>
      <c r="L34" s="13">
        <v>225.0</v>
      </c>
      <c r="M34" s="13">
        <v>238.0</v>
      </c>
      <c r="N34" s="13">
        <f t="shared" si="10"/>
        <v>2089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44</v>
      </c>
      <c r="F36" s="13">
        <f t="shared" si="11"/>
        <v>33</v>
      </c>
      <c r="G36" s="13">
        <f t="shared" si="11"/>
        <v>28</v>
      </c>
      <c r="H36" s="13">
        <f t="shared" si="11"/>
        <v>54</v>
      </c>
      <c r="I36" s="13">
        <f t="shared" si="11"/>
        <v>43</v>
      </c>
      <c r="J36" s="13">
        <f t="shared" si="11"/>
        <v>31</v>
      </c>
      <c r="K36" s="13">
        <f t="shared" si="11"/>
        <v>37</v>
      </c>
      <c r="L36" s="13">
        <f t="shared" si="11"/>
        <v>65</v>
      </c>
      <c r="M36" s="13">
        <f t="shared" si="11"/>
        <v>46</v>
      </c>
      <c r="N36" s="13">
        <f t="shared" si="10"/>
        <v>381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2.0</v>
      </c>
      <c r="L39" s="19">
        <v>0.0</v>
      </c>
      <c r="M39" s="19">
        <v>0.0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63"/>
      <c r="B45" s="49">
        <v>1.0</v>
      </c>
      <c r="C45" s="50" t="s">
        <v>37</v>
      </c>
      <c r="D45" s="16"/>
      <c r="E45" s="19">
        <v>30.0</v>
      </c>
      <c r="F45" s="19">
        <v>24.0</v>
      </c>
      <c r="G45" s="19">
        <v>27.0</v>
      </c>
      <c r="H45" s="19">
        <v>38.0</v>
      </c>
      <c r="I45" s="19">
        <v>20.0</v>
      </c>
      <c r="J45" s="19">
        <v>38.0</v>
      </c>
      <c r="K45" s="19">
        <v>21.0</v>
      </c>
      <c r="L45" s="19">
        <v>49.0</v>
      </c>
      <c r="M45" s="19">
        <v>49.0</v>
      </c>
      <c r="N45" s="13">
        <f t="shared" ref="N45:N52" si="14">SUM(E45:M45)</f>
        <v>296</v>
      </c>
    </row>
    <row r="46" ht="12.75" customHeight="1">
      <c r="A46" s="18"/>
      <c r="B46" s="49">
        <v>2.0</v>
      </c>
      <c r="C46" s="50" t="s">
        <v>38</v>
      </c>
      <c r="D46" s="16"/>
      <c r="E46" s="19">
        <v>165.0</v>
      </c>
      <c r="F46" s="19">
        <v>181.0</v>
      </c>
      <c r="G46" s="19">
        <v>199.0</v>
      </c>
      <c r="H46" s="19">
        <v>169.0</v>
      </c>
      <c r="I46" s="19">
        <v>169.0</v>
      </c>
      <c r="J46" s="19">
        <v>160.0</v>
      </c>
      <c r="K46" s="19">
        <v>186.0</v>
      </c>
      <c r="L46" s="19">
        <v>150.0</v>
      </c>
      <c r="M46" s="19">
        <v>178.0</v>
      </c>
      <c r="N46" s="13">
        <f t="shared" si="14"/>
        <v>1557</v>
      </c>
    </row>
    <row r="47" ht="12.75" customHeight="1">
      <c r="A47" s="47"/>
      <c r="B47" s="49">
        <v>3.0</v>
      </c>
      <c r="C47" s="50" t="s">
        <v>39</v>
      </c>
      <c r="D47" s="16"/>
      <c r="E47" s="19">
        <v>23.0</v>
      </c>
      <c r="F47" s="19">
        <v>20.0</v>
      </c>
      <c r="G47" s="19">
        <v>14.0</v>
      </c>
      <c r="H47" s="19">
        <v>20.0</v>
      </c>
      <c r="I47" s="19">
        <v>33.0</v>
      </c>
      <c r="J47" s="19">
        <v>25.0</v>
      </c>
      <c r="K47" s="19">
        <v>20.0</v>
      </c>
      <c r="L47" s="19">
        <v>18.0</v>
      </c>
      <c r="M47" s="19">
        <v>8.0</v>
      </c>
      <c r="N47" s="13">
        <f t="shared" si="14"/>
        <v>181</v>
      </c>
    </row>
    <row r="48" ht="12.75" customHeight="1">
      <c r="N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M50" si="15">SUM(E45:E47)</f>
        <v>218</v>
      </c>
      <c r="F50" s="19">
        <f t="shared" si="15"/>
        <v>225</v>
      </c>
      <c r="G50" s="19">
        <f t="shared" si="15"/>
        <v>240</v>
      </c>
      <c r="H50" s="19">
        <f t="shared" si="15"/>
        <v>227</v>
      </c>
      <c r="I50" s="19">
        <f t="shared" si="15"/>
        <v>222</v>
      </c>
      <c r="J50" s="19">
        <f t="shared" si="15"/>
        <v>223</v>
      </c>
      <c r="K50" s="19">
        <f t="shared" si="15"/>
        <v>227</v>
      </c>
      <c r="L50" s="19">
        <f t="shared" si="15"/>
        <v>217</v>
      </c>
      <c r="M50" s="19">
        <f t="shared" si="15"/>
        <v>235</v>
      </c>
      <c r="N50" s="13">
        <f t="shared" si="14"/>
        <v>2034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2.0</v>
      </c>
      <c r="F51" s="19">
        <v>4.0</v>
      </c>
      <c r="G51" s="19">
        <v>5.0</v>
      </c>
      <c r="H51" s="19">
        <v>9.0</v>
      </c>
      <c r="I51" s="19">
        <v>6.0</v>
      </c>
      <c r="J51" s="19">
        <v>7.0</v>
      </c>
      <c r="K51" s="19">
        <v>11.0</v>
      </c>
      <c r="L51" s="19">
        <v>8.0</v>
      </c>
      <c r="M51" s="19">
        <v>3.0</v>
      </c>
      <c r="N51" s="13">
        <f t="shared" si="14"/>
        <v>55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M52" si="16">SUM(E50:E51)</f>
        <v>220</v>
      </c>
      <c r="F52" s="13">
        <f t="shared" si="16"/>
        <v>229</v>
      </c>
      <c r="G52" s="13">
        <f t="shared" si="16"/>
        <v>245</v>
      </c>
      <c r="H52" s="13">
        <f t="shared" si="16"/>
        <v>236</v>
      </c>
      <c r="I52" s="13">
        <f t="shared" si="16"/>
        <v>228</v>
      </c>
      <c r="J52" s="13">
        <f t="shared" si="16"/>
        <v>230</v>
      </c>
      <c r="K52" s="13">
        <f t="shared" si="16"/>
        <v>238</v>
      </c>
      <c r="L52" s="13">
        <f t="shared" si="16"/>
        <v>225</v>
      </c>
      <c r="M52" s="13">
        <f t="shared" si="16"/>
        <v>238</v>
      </c>
      <c r="N52" s="13">
        <f t="shared" si="14"/>
        <v>2089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136.0</v>
      </c>
      <c r="H14" s="19">
        <v>140.0</v>
      </c>
      <c r="I14" s="19">
        <v>140.0</v>
      </c>
      <c r="J14" s="19">
        <v>146.0</v>
      </c>
      <c r="K14" s="19">
        <v>135.0</v>
      </c>
      <c r="L14" s="19">
        <v>143.0</v>
      </c>
      <c r="M14" s="19">
        <v>143.0</v>
      </c>
      <c r="N14" s="19">
        <v>103.0</v>
      </c>
      <c r="O14" s="19">
        <v>133.0</v>
      </c>
      <c r="P14" s="19">
        <v>138.0</v>
      </c>
      <c r="Q14" s="19">
        <v>135.0</v>
      </c>
      <c r="R14" s="13">
        <f t="shared" ref="R14:R16" si="1">SUM(E14:Q14)</f>
        <v>1761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128.0</v>
      </c>
      <c r="G15" s="19">
        <v>140.0</v>
      </c>
      <c r="H15" s="19">
        <v>150.0</v>
      </c>
      <c r="I15" s="19">
        <v>136.0</v>
      </c>
      <c r="J15" s="19">
        <v>142.0</v>
      </c>
      <c r="K15" s="19">
        <v>152.0</v>
      </c>
      <c r="L15" s="19">
        <v>143.0</v>
      </c>
      <c r="M15" s="19">
        <v>142.0</v>
      </c>
      <c r="N15" s="19">
        <v>99.0</v>
      </c>
      <c r="O15" s="19">
        <v>115.0</v>
      </c>
      <c r="P15" s="19">
        <v>128.0</v>
      </c>
      <c r="Q15" s="19">
        <v>137.0</v>
      </c>
      <c r="R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272</v>
      </c>
      <c r="F16" s="13">
        <f t="shared" si="2"/>
        <v>272</v>
      </c>
      <c r="G16" s="13">
        <f t="shared" si="2"/>
        <v>276</v>
      </c>
      <c r="H16" s="13">
        <f t="shared" si="2"/>
        <v>290</v>
      </c>
      <c r="I16" s="13">
        <f t="shared" si="2"/>
        <v>276</v>
      </c>
      <c r="J16" s="13">
        <f t="shared" si="2"/>
        <v>288</v>
      </c>
      <c r="K16" s="13">
        <f t="shared" si="2"/>
        <v>287</v>
      </c>
      <c r="L16" s="13">
        <f t="shared" si="2"/>
        <v>286</v>
      </c>
      <c r="M16" s="13">
        <f t="shared" si="2"/>
        <v>285</v>
      </c>
      <c r="N16" s="13">
        <f t="shared" si="2"/>
        <v>202</v>
      </c>
      <c r="O16" s="13">
        <f t="shared" si="2"/>
        <v>248</v>
      </c>
      <c r="P16" s="13">
        <f t="shared" si="2"/>
        <v>266</v>
      </c>
      <c r="Q16" s="13">
        <f t="shared" si="2"/>
        <v>272</v>
      </c>
      <c r="R16" s="13">
        <f t="shared" si="1"/>
        <v>3520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108.0</v>
      </c>
      <c r="G19" s="19">
        <v>112.0</v>
      </c>
      <c r="H19" s="19">
        <v>103.0</v>
      </c>
      <c r="I19" s="19">
        <v>110.0</v>
      </c>
      <c r="J19" s="19">
        <v>116.0</v>
      </c>
      <c r="K19" s="19">
        <v>107.0</v>
      </c>
      <c r="L19" s="19">
        <v>112.0</v>
      </c>
      <c r="M19" s="19">
        <v>115.0</v>
      </c>
      <c r="N19" s="19">
        <v>90.0</v>
      </c>
      <c r="O19" s="19">
        <v>101.0</v>
      </c>
      <c r="P19" s="19">
        <v>100.0</v>
      </c>
      <c r="Q19" s="19">
        <v>111.0</v>
      </c>
      <c r="R19" s="13">
        <f t="shared" ref="R19:R30" si="3">SUM(E19:Q19)</f>
        <v>1390</v>
      </c>
    </row>
    <row r="20" ht="12.75" customHeight="1">
      <c r="A20" s="34"/>
      <c r="B20" s="27"/>
      <c r="C20" s="35"/>
      <c r="D20" s="19" t="s">
        <v>13</v>
      </c>
      <c r="E20" s="19">
        <v>130.0</v>
      </c>
      <c r="F20" s="19">
        <v>109.0</v>
      </c>
      <c r="G20" s="19">
        <v>124.0</v>
      </c>
      <c r="H20" s="19">
        <v>118.0</v>
      </c>
      <c r="I20" s="19">
        <v>125.0</v>
      </c>
      <c r="J20" s="19">
        <v>125.0</v>
      </c>
      <c r="K20" s="19">
        <v>125.0</v>
      </c>
      <c r="L20" s="19">
        <v>126.0</v>
      </c>
      <c r="M20" s="19">
        <v>122.0</v>
      </c>
      <c r="N20" s="19">
        <v>84.0</v>
      </c>
      <c r="O20" s="19">
        <v>91.0</v>
      </c>
      <c r="P20" s="19">
        <v>115.0</v>
      </c>
      <c r="Q20" s="19">
        <v>118.0</v>
      </c>
      <c r="R20" s="13">
        <f t="shared" si="3"/>
        <v>1512</v>
      </c>
    </row>
    <row r="21" ht="12.75" customHeight="1">
      <c r="A21" s="36"/>
      <c r="B21" s="28"/>
      <c r="C21" s="37"/>
      <c r="D21" s="13" t="s">
        <v>14</v>
      </c>
      <c r="E21" s="13">
        <f t="shared" ref="E21:Q21" si="4">SUM(E19:E20)</f>
        <v>235</v>
      </c>
      <c r="F21" s="13">
        <f t="shared" si="4"/>
        <v>217</v>
      </c>
      <c r="G21" s="13">
        <f t="shared" si="4"/>
        <v>236</v>
      </c>
      <c r="H21" s="13">
        <f t="shared" si="4"/>
        <v>221</v>
      </c>
      <c r="I21" s="13">
        <f t="shared" si="4"/>
        <v>235</v>
      </c>
      <c r="J21" s="13">
        <f t="shared" si="4"/>
        <v>241</v>
      </c>
      <c r="K21" s="13">
        <f t="shared" si="4"/>
        <v>232</v>
      </c>
      <c r="L21" s="13">
        <f t="shared" si="4"/>
        <v>238</v>
      </c>
      <c r="M21" s="13">
        <f t="shared" si="4"/>
        <v>237</v>
      </c>
      <c r="N21" s="13">
        <f t="shared" si="4"/>
        <v>174</v>
      </c>
      <c r="O21" s="13">
        <f t="shared" si="4"/>
        <v>192</v>
      </c>
      <c r="P21" s="13">
        <f t="shared" si="4"/>
        <v>215</v>
      </c>
      <c r="Q21" s="13">
        <f t="shared" si="4"/>
        <v>229</v>
      </c>
      <c r="R21" s="13">
        <f t="shared" si="3"/>
        <v>2902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3">
        <f t="shared" si="3"/>
        <v>4</v>
      </c>
    </row>
    <row r="27" ht="12.75" customHeight="1">
      <c r="A27" s="36"/>
      <c r="B27" s="28"/>
      <c r="C27" s="37"/>
      <c r="D27" s="13" t="s">
        <v>14</v>
      </c>
      <c r="E27" s="13">
        <f t="shared" ref="E27:Q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Q28" si="7">SUM(E19,E22,E25)</f>
        <v>105</v>
      </c>
      <c r="F28" s="13">
        <f t="shared" si="7"/>
        <v>109</v>
      </c>
      <c r="G28" s="13">
        <f t="shared" si="7"/>
        <v>112</v>
      </c>
      <c r="H28" s="13">
        <f t="shared" si="7"/>
        <v>103</v>
      </c>
      <c r="I28" s="13">
        <f t="shared" si="7"/>
        <v>110</v>
      </c>
      <c r="J28" s="13">
        <f t="shared" si="7"/>
        <v>116</v>
      </c>
      <c r="K28" s="13">
        <f t="shared" si="7"/>
        <v>107</v>
      </c>
      <c r="L28" s="13">
        <f t="shared" si="7"/>
        <v>112</v>
      </c>
      <c r="M28" s="13">
        <f t="shared" si="7"/>
        <v>115</v>
      </c>
      <c r="N28" s="13">
        <f t="shared" si="7"/>
        <v>91</v>
      </c>
      <c r="O28" s="13">
        <f t="shared" si="7"/>
        <v>101</v>
      </c>
      <c r="P28" s="13">
        <f t="shared" si="7"/>
        <v>100</v>
      </c>
      <c r="Q28" s="13">
        <f t="shared" si="7"/>
        <v>111</v>
      </c>
      <c r="R28" s="13">
        <f t="shared" si="3"/>
        <v>1392</v>
      </c>
    </row>
    <row r="29" ht="12.75" customHeight="1">
      <c r="A29" s="36"/>
      <c r="B29" s="27"/>
      <c r="C29" s="35"/>
      <c r="D29" s="13" t="s">
        <v>13</v>
      </c>
      <c r="E29" s="13">
        <f t="shared" ref="E29:Q29" si="8">SUM(E20,E23,E26)</f>
        <v>130</v>
      </c>
      <c r="F29" s="13">
        <f t="shared" si="8"/>
        <v>109</v>
      </c>
      <c r="G29" s="13">
        <f t="shared" si="8"/>
        <v>124</v>
      </c>
      <c r="H29" s="13">
        <f t="shared" si="8"/>
        <v>118</v>
      </c>
      <c r="I29" s="13">
        <f t="shared" si="8"/>
        <v>125</v>
      </c>
      <c r="J29" s="13">
        <f t="shared" si="8"/>
        <v>125</v>
      </c>
      <c r="K29" s="13">
        <f t="shared" si="8"/>
        <v>128</v>
      </c>
      <c r="L29" s="13">
        <f t="shared" si="8"/>
        <v>126</v>
      </c>
      <c r="M29" s="13">
        <f t="shared" si="8"/>
        <v>122</v>
      </c>
      <c r="N29" s="13">
        <f t="shared" si="8"/>
        <v>85</v>
      </c>
      <c r="O29" s="13">
        <f t="shared" si="8"/>
        <v>91</v>
      </c>
      <c r="P29" s="13">
        <f t="shared" si="8"/>
        <v>115</v>
      </c>
      <c r="Q29" s="13">
        <f t="shared" si="8"/>
        <v>118</v>
      </c>
      <c r="R29" s="13">
        <f t="shared" si="3"/>
        <v>1516</v>
      </c>
    </row>
    <row r="30" ht="12.75" customHeight="1">
      <c r="A30" s="36"/>
      <c r="B30" s="28"/>
      <c r="C30" s="37"/>
      <c r="D30" s="13" t="s">
        <v>14</v>
      </c>
      <c r="E30" s="13">
        <f t="shared" ref="E30:Q30" si="9">SUM(E28:E29)</f>
        <v>235</v>
      </c>
      <c r="F30" s="13">
        <f t="shared" si="9"/>
        <v>218</v>
      </c>
      <c r="G30" s="13">
        <f t="shared" si="9"/>
        <v>236</v>
      </c>
      <c r="H30" s="13">
        <f t="shared" si="9"/>
        <v>221</v>
      </c>
      <c r="I30" s="13">
        <f t="shared" si="9"/>
        <v>235</v>
      </c>
      <c r="J30" s="13">
        <f t="shared" si="9"/>
        <v>241</v>
      </c>
      <c r="K30" s="13">
        <f t="shared" si="9"/>
        <v>235</v>
      </c>
      <c r="L30" s="13">
        <f t="shared" si="9"/>
        <v>238</v>
      </c>
      <c r="M30" s="13">
        <f t="shared" si="9"/>
        <v>237</v>
      </c>
      <c r="N30" s="13">
        <f t="shared" si="9"/>
        <v>176</v>
      </c>
      <c r="O30" s="13">
        <f t="shared" si="9"/>
        <v>192</v>
      </c>
      <c r="P30" s="13">
        <f t="shared" si="9"/>
        <v>215</v>
      </c>
      <c r="Q30" s="13">
        <f t="shared" si="9"/>
        <v>229</v>
      </c>
      <c r="R30" s="13">
        <f t="shared" si="3"/>
        <v>2908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13" t="s">
        <v>61</v>
      </c>
      <c r="O32" s="13" t="s">
        <v>62</v>
      </c>
      <c r="P32" s="13" t="s">
        <v>63</v>
      </c>
      <c r="Q32" s="13" t="s">
        <v>64</v>
      </c>
      <c r="R32" s="62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279.0</v>
      </c>
      <c r="G33" s="19">
        <v>280.0</v>
      </c>
      <c r="H33" s="19">
        <v>296.0</v>
      </c>
      <c r="I33" s="19">
        <v>283.0</v>
      </c>
      <c r="J33" s="19">
        <v>294.0</v>
      </c>
      <c r="K33" s="19">
        <v>294.0</v>
      </c>
      <c r="L33" s="19">
        <v>292.0</v>
      </c>
      <c r="M33" s="19">
        <v>291.0</v>
      </c>
      <c r="N33" s="19">
        <v>207.0</v>
      </c>
      <c r="O33" s="19">
        <v>255.0</v>
      </c>
      <c r="P33" s="19">
        <v>274.0</v>
      </c>
      <c r="Q33" s="19">
        <v>278.0</v>
      </c>
      <c r="R33" s="13">
        <f t="shared" ref="R33:R36" si="10">SUM(E33:Q33)</f>
        <v>3601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218.0</v>
      </c>
      <c r="G34" s="13">
        <v>236.0</v>
      </c>
      <c r="H34" s="13">
        <v>221.0</v>
      </c>
      <c r="I34" s="13">
        <v>235.0</v>
      </c>
      <c r="J34" s="13">
        <v>241.0</v>
      </c>
      <c r="K34" s="13">
        <v>235.0</v>
      </c>
      <c r="L34" s="13">
        <v>238.0</v>
      </c>
      <c r="M34" s="13">
        <v>237.0</v>
      </c>
      <c r="N34" s="13">
        <v>176.0</v>
      </c>
      <c r="O34" s="13">
        <v>192.0</v>
      </c>
      <c r="P34" s="13">
        <v>215.0</v>
      </c>
      <c r="Q34" s="13">
        <v>229.0</v>
      </c>
      <c r="R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43</v>
      </c>
      <c r="F36" s="13">
        <f t="shared" si="11"/>
        <v>61</v>
      </c>
      <c r="G36" s="13">
        <f t="shared" si="11"/>
        <v>44</v>
      </c>
      <c r="H36" s="13">
        <f t="shared" si="11"/>
        <v>75</v>
      </c>
      <c r="I36" s="13">
        <f t="shared" si="11"/>
        <v>48</v>
      </c>
      <c r="J36" s="13">
        <f t="shared" si="11"/>
        <v>53</v>
      </c>
      <c r="K36" s="13">
        <f t="shared" si="11"/>
        <v>58</v>
      </c>
      <c r="L36" s="13">
        <f t="shared" si="11"/>
        <v>54</v>
      </c>
      <c r="M36" s="13">
        <f t="shared" si="11"/>
        <v>54</v>
      </c>
      <c r="N36" s="13">
        <f t="shared" si="11"/>
        <v>31</v>
      </c>
      <c r="O36" s="13">
        <f t="shared" si="11"/>
        <v>63</v>
      </c>
      <c r="P36" s="13">
        <f t="shared" si="11"/>
        <v>59</v>
      </c>
      <c r="Q36" s="13">
        <f t="shared" si="11"/>
        <v>49</v>
      </c>
      <c r="R36" s="13">
        <f t="shared" si="10"/>
        <v>692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13" t="s">
        <v>61</v>
      </c>
      <c r="O38" s="13" t="s">
        <v>62</v>
      </c>
      <c r="P38" s="13" t="s">
        <v>63</v>
      </c>
      <c r="Q38" s="13" t="s">
        <v>64</v>
      </c>
      <c r="R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13" t="s">
        <v>61</v>
      </c>
      <c r="O43" s="13" t="s">
        <v>62</v>
      </c>
      <c r="P43" s="13" t="s">
        <v>63</v>
      </c>
      <c r="Q43" s="13" t="s">
        <v>64</v>
      </c>
      <c r="R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3"/>
    </row>
    <row r="45" ht="12.75" customHeight="1">
      <c r="A45" s="63"/>
      <c r="B45" s="49">
        <v>1.0</v>
      </c>
      <c r="C45" s="50" t="s">
        <v>37</v>
      </c>
      <c r="D45" s="16"/>
      <c r="E45" s="19">
        <v>25.0</v>
      </c>
      <c r="F45" s="19">
        <v>22.0</v>
      </c>
      <c r="G45" s="19">
        <v>21.0</v>
      </c>
      <c r="H45" s="19">
        <v>23.0</v>
      </c>
      <c r="I45" s="19">
        <v>43.0</v>
      </c>
      <c r="J45" s="19">
        <v>31.0</v>
      </c>
      <c r="K45" s="19">
        <v>45.0</v>
      </c>
      <c r="L45" s="19">
        <v>15.0</v>
      </c>
      <c r="M45" s="19">
        <v>19.0</v>
      </c>
      <c r="N45" s="19">
        <v>7.0</v>
      </c>
      <c r="O45" s="19">
        <v>8.0</v>
      </c>
      <c r="P45" s="19">
        <v>8.0</v>
      </c>
      <c r="Q45" s="19">
        <v>16.0</v>
      </c>
      <c r="R45" s="13">
        <f t="shared" ref="R45:R52" si="14">SUM(E45:Q45)</f>
        <v>283</v>
      </c>
    </row>
    <row r="46" ht="12.75" customHeight="1">
      <c r="A46" s="18"/>
      <c r="B46" s="49">
        <v>2.0</v>
      </c>
      <c r="C46" s="50" t="s">
        <v>38</v>
      </c>
      <c r="D46" s="16"/>
      <c r="E46" s="19">
        <v>168.0</v>
      </c>
      <c r="F46" s="19">
        <v>142.0</v>
      </c>
      <c r="G46" s="19">
        <v>142.0</v>
      </c>
      <c r="H46" s="19">
        <v>145.0</v>
      </c>
      <c r="I46" s="19">
        <v>132.0</v>
      </c>
      <c r="J46" s="19">
        <v>148.0</v>
      </c>
      <c r="K46" s="19">
        <v>130.0</v>
      </c>
      <c r="L46" s="19">
        <v>179.0</v>
      </c>
      <c r="M46" s="19">
        <v>150.0</v>
      </c>
      <c r="N46" s="19">
        <v>133.0</v>
      </c>
      <c r="O46" s="19">
        <v>141.0</v>
      </c>
      <c r="P46" s="19">
        <v>125.0</v>
      </c>
      <c r="Q46" s="19">
        <v>185.0</v>
      </c>
      <c r="R46" s="13">
        <f t="shared" si="14"/>
        <v>1920</v>
      </c>
    </row>
    <row r="47" ht="12.75" customHeight="1">
      <c r="A47" s="47"/>
      <c r="B47" s="49">
        <v>3.0</v>
      </c>
      <c r="C47" s="50" t="s">
        <v>39</v>
      </c>
      <c r="D47" s="16"/>
      <c r="E47" s="19">
        <v>39.0</v>
      </c>
      <c r="F47" s="19">
        <v>52.0</v>
      </c>
      <c r="G47" s="19">
        <v>70.0</v>
      </c>
      <c r="H47" s="19">
        <v>47.0</v>
      </c>
      <c r="I47" s="19">
        <v>59.0</v>
      </c>
      <c r="J47" s="19">
        <v>59.0</v>
      </c>
      <c r="K47" s="19">
        <v>58.0</v>
      </c>
      <c r="L47" s="19">
        <v>44.0</v>
      </c>
      <c r="M47" s="19">
        <v>64.0</v>
      </c>
      <c r="N47" s="19">
        <v>33.0</v>
      </c>
      <c r="O47" s="19">
        <v>42.0</v>
      </c>
      <c r="P47" s="19">
        <v>79.0</v>
      </c>
      <c r="Q47" s="19">
        <v>25.0</v>
      </c>
      <c r="R47" s="13">
        <f t="shared" si="14"/>
        <v>671</v>
      </c>
    </row>
    <row r="48" ht="12.75" customHeight="1">
      <c r="R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 t="s">
        <v>62</v>
      </c>
      <c r="P49" s="13" t="s">
        <v>63</v>
      </c>
      <c r="Q49" s="13" t="s">
        <v>64</v>
      </c>
      <c r="R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Q50" si="15">SUM(E45:E47)</f>
        <v>232</v>
      </c>
      <c r="F50" s="19">
        <f t="shared" si="15"/>
        <v>216</v>
      </c>
      <c r="G50" s="19">
        <f t="shared" si="15"/>
        <v>233</v>
      </c>
      <c r="H50" s="19">
        <f t="shared" si="15"/>
        <v>215</v>
      </c>
      <c r="I50" s="19">
        <f t="shared" si="15"/>
        <v>234</v>
      </c>
      <c r="J50" s="19">
        <f t="shared" si="15"/>
        <v>238</v>
      </c>
      <c r="K50" s="19">
        <f t="shared" si="15"/>
        <v>233</v>
      </c>
      <c r="L50" s="19">
        <f t="shared" si="15"/>
        <v>238</v>
      </c>
      <c r="M50" s="19">
        <f t="shared" si="15"/>
        <v>233</v>
      </c>
      <c r="N50" s="19">
        <f t="shared" si="15"/>
        <v>173</v>
      </c>
      <c r="O50" s="19">
        <f t="shared" si="15"/>
        <v>191</v>
      </c>
      <c r="P50" s="19">
        <f t="shared" si="15"/>
        <v>212</v>
      </c>
      <c r="Q50" s="19">
        <f t="shared" si="15"/>
        <v>226</v>
      </c>
      <c r="R50" s="13">
        <f t="shared" si="14"/>
        <v>2874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3.0</v>
      </c>
      <c r="F51" s="19">
        <v>2.0</v>
      </c>
      <c r="G51" s="19">
        <v>3.0</v>
      </c>
      <c r="H51" s="19">
        <v>6.0</v>
      </c>
      <c r="I51" s="19">
        <v>1.0</v>
      </c>
      <c r="J51" s="19">
        <v>3.0</v>
      </c>
      <c r="K51" s="19">
        <v>2.0</v>
      </c>
      <c r="L51" s="19">
        <v>0.0</v>
      </c>
      <c r="M51" s="19">
        <v>4.0</v>
      </c>
      <c r="N51" s="19">
        <v>3.0</v>
      </c>
      <c r="O51" s="19">
        <v>1.0</v>
      </c>
      <c r="P51" s="19">
        <v>3.0</v>
      </c>
      <c r="Q51" s="19">
        <v>3.0</v>
      </c>
      <c r="R51" s="13">
        <f t="shared" si="14"/>
        <v>34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Q52" si="16">SUM(E50:E51)</f>
        <v>235</v>
      </c>
      <c r="F52" s="13">
        <f t="shared" si="16"/>
        <v>218</v>
      </c>
      <c r="G52" s="13">
        <f t="shared" si="16"/>
        <v>236</v>
      </c>
      <c r="H52" s="13">
        <f t="shared" si="16"/>
        <v>221</v>
      </c>
      <c r="I52" s="13">
        <f t="shared" si="16"/>
        <v>235</v>
      </c>
      <c r="J52" s="13">
        <f t="shared" si="16"/>
        <v>241</v>
      </c>
      <c r="K52" s="13">
        <f t="shared" si="16"/>
        <v>235</v>
      </c>
      <c r="L52" s="13">
        <f t="shared" si="16"/>
        <v>238</v>
      </c>
      <c r="M52" s="13">
        <f t="shared" si="16"/>
        <v>237</v>
      </c>
      <c r="N52" s="13">
        <f t="shared" si="16"/>
        <v>176</v>
      </c>
      <c r="O52" s="13">
        <f t="shared" si="16"/>
        <v>192</v>
      </c>
      <c r="P52" s="13">
        <f t="shared" si="16"/>
        <v>215</v>
      </c>
      <c r="Q52" s="13">
        <f t="shared" si="16"/>
        <v>229</v>
      </c>
      <c r="R52" s="13">
        <f t="shared" si="14"/>
        <v>2908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47">
    <cfRule type="containsBlanks" dxfId="1" priority="10">
      <formula>LEN(TRIM(E45))=0</formula>
    </cfRule>
  </conditionalFormatting>
  <conditionalFormatting sqref="E50:Q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13" t="s">
        <v>68</v>
      </c>
      <c r="U13" s="13" t="s">
        <v>69</v>
      </c>
      <c r="V13" s="13" t="s">
        <v>70</v>
      </c>
      <c r="W13" s="13" t="s">
        <v>71</v>
      </c>
      <c r="X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149.0</v>
      </c>
      <c r="G14" s="19">
        <v>148.0</v>
      </c>
      <c r="H14" s="19">
        <v>139.0</v>
      </c>
      <c r="I14" s="19">
        <v>137.0</v>
      </c>
      <c r="J14" s="19">
        <v>143.0</v>
      </c>
      <c r="K14" s="19">
        <v>150.0</v>
      </c>
      <c r="L14" s="19">
        <v>130.0</v>
      </c>
      <c r="M14" s="19">
        <v>154.0</v>
      </c>
      <c r="N14" s="19">
        <v>139.0</v>
      </c>
      <c r="O14" s="19">
        <v>138.0</v>
      </c>
      <c r="P14" s="19">
        <v>138.0</v>
      </c>
      <c r="Q14" s="19">
        <v>128.0</v>
      </c>
      <c r="R14" s="19">
        <v>133.0</v>
      </c>
      <c r="S14" s="19">
        <v>133.0</v>
      </c>
      <c r="T14" s="19">
        <v>140.0</v>
      </c>
      <c r="U14" s="19">
        <v>143.0</v>
      </c>
      <c r="V14" s="19">
        <v>142.0</v>
      </c>
      <c r="W14" s="19">
        <v>136.0</v>
      </c>
      <c r="X14" s="13">
        <f t="shared" ref="X14:X16" si="1">SUM(E14:W14)</f>
        <v>2641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126.0</v>
      </c>
      <c r="G15" s="19">
        <v>135.0</v>
      </c>
      <c r="H15" s="19">
        <v>133.0</v>
      </c>
      <c r="I15" s="19">
        <v>140.0</v>
      </c>
      <c r="J15" s="19">
        <v>137.0</v>
      </c>
      <c r="K15" s="19">
        <v>127.0</v>
      </c>
      <c r="L15" s="19">
        <v>130.0</v>
      </c>
      <c r="M15" s="19">
        <v>128.0</v>
      </c>
      <c r="N15" s="19">
        <v>149.0</v>
      </c>
      <c r="O15" s="19">
        <v>147.0</v>
      </c>
      <c r="P15" s="19">
        <v>143.0</v>
      </c>
      <c r="Q15" s="19">
        <v>150.0</v>
      </c>
      <c r="R15" s="19">
        <v>146.0</v>
      </c>
      <c r="S15" s="19">
        <v>153.0</v>
      </c>
      <c r="T15" s="19">
        <v>141.0</v>
      </c>
      <c r="U15" s="19">
        <v>144.0</v>
      </c>
      <c r="V15" s="19">
        <v>151.0</v>
      </c>
      <c r="W15" s="19">
        <v>148.0</v>
      </c>
      <c r="X15" s="13">
        <f t="shared" si="1"/>
        <v>2675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268</v>
      </c>
      <c r="F16" s="13">
        <f t="shared" si="2"/>
        <v>275</v>
      </c>
      <c r="G16" s="13">
        <f t="shared" si="2"/>
        <v>283</v>
      </c>
      <c r="H16" s="13">
        <f t="shared" si="2"/>
        <v>272</v>
      </c>
      <c r="I16" s="13">
        <f t="shared" si="2"/>
        <v>277</v>
      </c>
      <c r="J16" s="13">
        <f t="shared" si="2"/>
        <v>280</v>
      </c>
      <c r="K16" s="13">
        <f t="shared" si="2"/>
        <v>277</v>
      </c>
      <c r="L16" s="13">
        <f t="shared" si="2"/>
        <v>260</v>
      </c>
      <c r="M16" s="13">
        <f t="shared" si="2"/>
        <v>282</v>
      </c>
      <c r="N16" s="13">
        <f t="shared" si="2"/>
        <v>288</v>
      </c>
      <c r="O16" s="13">
        <f t="shared" si="2"/>
        <v>285</v>
      </c>
      <c r="P16" s="13">
        <f t="shared" si="2"/>
        <v>281</v>
      </c>
      <c r="Q16" s="13">
        <f t="shared" si="2"/>
        <v>278</v>
      </c>
      <c r="R16" s="13">
        <f t="shared" si="2"/>
        <v>279</v>
      </c>
      <c r="S16" s="13">
        <f t="shared" si="2"/>
        <v>286</v>
      </c>
      <c r="T16" s="13">
        <f t="shared" si="2"/>
        <v>281</v>
      </c>
      <c r="U16" s="13">
        <f t="shared" si="2"/>
        <v>287</v>
      </c>
      <c r="V16" s="13">
        <f t="shared" si="2"/>
        <v>293</v>
      </c>
      <c r="W16" s="13">
        <f t="shared" si="2"/>
        <v>284</v>
      </c>
      <c r="X16" s="13">
        <f t="shared" si="1"/>
        <v>5316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13" t="s">
        <v>67</v>
      </c>
      <c r="T18" s="13" t="s">
        <v>68</v>
      </c>
      <c r="U18" s="13" t="s">
        <v>69</v>
      </c>
      <c r="V18" s="13" t="s">
        <v>70</v>
      </c>
      <c r="W18" s="13" t="s">
        <v>71</v>
      </c>
      <c r="X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78.0</v>
      </c>
      <c r="F19" s="19">
        <v>103.0</v>
      </c>
      <c r="G19" s="19">
        <v>115.0</v>
      </c>
      <c r="H19" s="19">
        <v>100.0</v>
      </c>
      <c r="I19" s="19">
        <v>98.0</v>
      </c>
      <c r="J19" s="19">
        <v>111.0</v>
      </c>
      <c r="K19" s="19">
        <v>116.0</v>
      </c>
      <c r="L19" s="19">
        <v>102.0</v>
      </c>
      <c r="M19" s="19">
        <v>112.0</v>
      </c>
      <c r="N19" s="19">
        <v>105.0</v>
      </c>
      <c r="O19" s="19">
        <v>99.0</v>
      </c>
      <c r="P19" s="19">
        <v>100.0</v>
      </c>
      <c r="Q19" s="19">
        <v>101.0</v>
      </c>
      <c r="R19" s="19">
        <v>84.0</v>
      </c>
      <c r="S19" s="19">
        <v>98.0</v>
      </c>
      <c r="T19" s="19">
        <v>104.0</v>
      </c>
      <c r="U19" s="19">
        <v>102.0</v>
      </c>
      <c r="V19" s="19">
        <v>112.0</v>
      </c>
      <c r="W19" s="19">
        <v>106.0</v>
      </c>
      <c r="X19" s="13">
        <f t="shared" ref="X19:X30" si="3">SUM(E19:W19)</f>
        <v>1946</v>
      </c>
    </row>
    <row r="20" ht="12.75" customHeight="1">
      <c r="A20" s="34"/>
      <c r="B20" s="27"/>
      <c r="C20" s="35"/>
      <c r="D20" s="19" t="s">
        <v>13</v>
      </c>
      <c r="E20" s="19">
        <v>115.0</v>
      </c>
      <c r="F20" s="19">
        <v>108.0</v>
      </c>
      <c r="G20" s="19">
        <v>112.0</v>
      </c>
      <c r="H20" s="19">
        <v>101.0</v>
      </c>
      <c r="I20" s="19">
        <v>118.0</v>
      </c>
      <c r="J20" s="19">
        <v>121.0</v>
      </c>
      <c r="K20" s="19">
        <v>103.0</v>
      </c>
      <c r="L20" s="19">
        <v>105.0</v>
      </c>
      <c r="M20" s="19">
        <v>112.0</v>
      </c>
      <c r="N20" s="19">
        <v>126.0</v>
      </c>
      <c r="O20" s="19">
        <v>114.0</v>
      </c>
      <c r="P20" s="19">
        <v>115.0</v>
      </c>
      <c r="Q20" s="19">
        <v>113.0</v>
      </c>
      <c r="R20" s="19">
        <v>91.0</v>
      </c>
      <c r="S20" s="19">
        <v>133.0</v>
      </c>
      <c r="T20" s="19">
        <v>120.0</v>
      </c>
      <c r="U20" s="19">
        <v>122.0</v>
      </c>
      <c r="V20" s="19">
        <v>131.0</v>
      </c>
      <c r="W20" s="19">
        <v>118.0</v>
      </c>
      <c r="X20" s="13">
        <f t="shared" si="3"/>
        <v>2178</v>
      </c>
    </row>
    <row r="21" ht="12.75" customHeight="1">
      <c r="A21" s="36"/>
      <c r="B21" s="28"/>
      <c r="C21" s="37"/>
      <c r="D21" s="13" t="s">
        <v>14</v>
      </c>
      <c r="E21" s="13">
        <f t="shared" ref="E21:W21" si="4">SUM(E19:E20)</f>
        <v>193</v>
      </c>
      <c r="F21" s="13">
        <f t="shared" si="4"/>
        <v>211</v>
      </c>
      <c r="G21" s="13">
        <f t="shared" si="4"/>
        <v>227</v>
      </c>
      <c r="H21" s="13">
        <f t="shared" si="4"/>
        <v>201</v>
      </c>
      <c r="I21" s="13">
        <f t="shared" si="4"/>
        <v>216</v>
      </c>
      <c r="J21" s="13">
        <f t="shared" si="4"/>
        <v>232</v>
      </c>
      <c r="K21" s="13">
        <f t="shared" si="4"/>
        <v>219</v>
      </c>
      <c r="L21" s="13">
        <f t="shared" si="4"/>
        <v>207</v>
      </c>
      <c r="M21" s="13">
        <f t="shared" si="4"/>
        <v>224</v>
      </c>
      <c r="N21" s="13">
        <f t="shared" si="4"/>
        <v>231</v>
      </c>
      <c r="O21" s="13">
        <f t="shared" si="4"/>
        <v>213</v>
      </c>
      <c r="P21" s="13">
        <f t="shared" si="4"/>
        <v>215</v>
      </c>
      <c r="Q21" s="13">
        <f t="shared" si="4"/>
        <v>214</v>
      </c>
      <c r="R21" s="13">
        <f t="shared" si="4"/>
        <v>175</v>
      </c>
      <c r="S21" s="13">
        <f t="shared" si="4"/>
        <v>231</v>
      </c>
      <c r="T21" s="13">
        <f t="shared" si="4"/>
        <v>224</v>
      </c>
      <c r="U21" s="13">
        <f t="shared" si="4"/>
        <v>224</v>
      </c>
      <c r="V21" s="13">
        <f t="shared" si="4"/>
        <v>243</v>
      </c>
      <c r="W21" s="13">
        <f t="shared" si="4"/>
        <v>224</v>
      </c>
      <c r="X21" s="13">
        <f t="shared" si="3"/>
        <v>4124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5.0</v>
      </c>
      <c r="G22" s="19">
        <v>5.0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12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10.0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3">
        <f t="shared" si="3"/>
        <v>14</v>
      </c>
    </row>
    <row r="24" ht="12.75" customHeight="1">
      <c r="A24" s="36"/>
      <c r="B24" s="28"/>
      <c r="C24" s="37"/>
      <c r="D24" s="13" t="s">
        <v>14</v>
      </c>
      <c r="E24" s="13">
        <f t="shared" ref="E24:W24" si="5">SUM(E22:E23)</f>
        <v>0</v>
      </c>
      <c r="F24" s="13">
        <f t="shared" si="5"/>
        <v>15</v>
      </c>
      <c r="G24" s="13">
        <f t="shared" si="5"/>
        <v>7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3"/>
        <v>26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3.0</v>
      </c>
      <c r="G25" s="19">
        <v>1.0</v>
      </c>
      <c r="H25" s="19">
        <v>3.0</v>
      </c>
      <c r="I25" s="19">
        <v>1.0</v>
      </c>
      <c r="J25" s="19">
        <v>2.0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1.0</v>
      </c>
      <c r="Q25" s="19">
        <v>0.0</v>
      </c>
      <c r="R25" s="19">
        <v>4.0</v>
      </c>
      <c r="S25" s="19">
        <v>1.0</v>
      </c>
      <c r="T25" s="19">
        <v>0.0</v>
      </c>
      <c r="U25" s="19">
        <v>0.0</v>
      </c>
      <c r="V25" s="19">
        <v>0.0</v>
      </c>
      <c r="W25" s="19">
        <v>2.0</v>
      </c>
      <c r="X25" s="13">
        <f t="shared" si="3"/>
        <v>24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4.0</v>
      </c>
      <c r="G26" s="19">
        <v>4.0</v>
      </c>
      <c r="H26" s="19">
        <v>7.0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1.0</v>
      </c>
      <c r="Q26" s="19">
        <v>2.0</v>
      </c>
      <c r="R26" s="19">
        <v>6.0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W27" si="6">SUM(E25:E26)</f>
        <v>0</v>
      </c>
      <c r="F27" s="13">
        <f t="shared" si="6"/>
        <v>7</v>
      </c>
      <c r="G27" s="13">
        <f t="shared" si="6"/>
        <v>5</v>
      </c>
      <c r="H27" s="13">
        <f t="shared" si="6"/>
        <v>10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4</v>
      </c>
      <c r="X27" s="13">
        <f t="shared" si="3"/>
        <v>54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W28" si="7">SUM(E19,E22,E25)</f>
        <v>78</v>
      </c>
      <c r="F28" s="13">
        <f t="shared" si="7"/>
        <v>111</v>
      </c>
      <c r="G28" s="13">
        <f t="shared" si="7"/>
        <v>121</v>
      </c>
      <c r="H28" s="13">
        <f t="shared" si="7"/>
        <v>103</v>
      </c>
      <c r="I28" s="13">
        <f t="shared" si="7"/>
        <v>99</v>
      </c>
      <c r="J28" s="13">
        <f t="shared" si="7"/>
        <v>113</v>
      </c>
      <c r="K28" s="13">
        <f t="shared" si="7"/>
        <v>117</v>
      </c>
      <c r="L28" s="13">
        <f t="shared" si="7"/>
        <v>104</v>
      </c>
      <c r="M28" s="13">
        <f t="shared" si="7"/>
        <v>112</v>
      </c>
      <c r="N28" s="13">
        <f t="shared" si="7"/>
        <v>108</v>
      </c>
      <c r="O28" s="13">
        <f t="shared" si="7"/>
        <v>100</v>
      </c>
      <c r="P28" s="13">
        <f t="shared" si="7"/>
        <v>101</v>
      </c>
      <c r="Q28" s="13">
        <f t="shared" si="7"/>
        <v>101</v>
      </c>
      <c r="R28" s="13">
        <f t="shared" si="7"/>
        <v>89</v>
      </c>
      <c r="S28" s="13">
        <f t="shared" si="7"/>
        <v>99</v>
      </c>
      <c r="T28" s="13">
        <f t="shared" si="7"/>
        <v>104</v>
      </c>
      <c r="U28" s="13">
        <f t="shared" si="7"/>
        <v>102</v>
      </c>
      <c r="V28" s="13">
        <f t="shared" si="7"/>
        <v>112</v>
      </c>
      <c r="W28" s="13">
        <f t="shared" si="7"/>
        <v>108</v>
      </c>
      <c r="X28" s="13">
        <f t="shared" si="3"/>
        <v>1982</v>
      </c>
    </row>
    <row r="29" ht="12.75" customHeight="1">
      <c r="A29" s="36"/>
      <c r="B29" s="27"/>
      <c r="C29" s="35"/>
      <c r="D29" s="13" t="s">
        <v>13</v>
      </c>
      <c r="E29" s="13">
        <f t="shared" ref="E29:W29" si="8">SUM(E20,E23,E26)</f>
        <v>115</v>
      </c>
      <c r="F29" s="13">
        <f t="shared" si="8"/>
        <v>122</v>
      </c>
      <c r="G29" s="13">
        <f t="shared" si="8"/>
        <v>118</v>
      </c>
      <c r="H29" s="13">
        <f t="shared" si="8"/>
        <v>108</v>
      </c>
      <c r="I29" s="13">
        <f t="shared" si="8"/>
        <v>118</v>
      </c>
      <c r="J29" s="13">
        <f t="shared" si="8"/>
        <v>122</v>
      </c>
      <c r="K29" s="13">
        <f t="shared" si="8"/>
        <v>103</v>
      </c>
      <c r="L29" s="13">
        <f t="shared" si="8"/>
        <v>105</v>
      </c>
      <c r="M29" s="13">
        <f t="shared" si="8"/>
        <v>112</v>
      </c>
      <c r="N29" s="13">
        <f t="shared" si="8"/>
        <v>128</v>
      </c>
      <c r="O29" s="13">
        <f t="shared" si="8"/>
        <v>115</v>
      </c>
      <c r="P29" s="13">
        <f t="shared" si="8"/>
        <v>116</v>
      </c>
      <c r="Q29" s="13">
        <f t="shared" si="8"/>
        <v>115</v>
      </c>
      <c r="R29" s="13">
        <f t="shared" si="8"/>
        <v>98</v>
      </c>
      <c r="S29" s="13">
        <f t="shared" si="8"/>
        <v>133</v>
      </c>
      <c r="T29" s="13">
        <f t="shared" si="8"/>
        <v>120</v>
      </c>
      <c r="U29" s="13">
        <f t="shared" si="8"/>
        <v>123</v>
      </c>
      <c r="V29" s="13">
        <f t="shared" si="8"/>
        <v>131</v>
      </c>
      <c r="W29" s="13">
        <f t="shared" si="8"/>
        <v>120</v>
      </c>
      <c r="X29" s="13">
        <f t="shared" si="3"/>
        <v>2222</v>
      </c>
    </row>
    <row r="30" ht="12.75" customHeight="1">
      <c r="A30" s="36"/>
      <c r="B30" s="28"/>
      <c r="C30" s="37"/>
      <c r="D30" s="13" t="s">
        <v>14</v>
      </c>
      <c r="E30" s="13">
        <f t="shared" ref="E30:W30" si="9">SUM(E28:E29)</f>
        <v>193</v>
      </c>
      <c r="F30" s="13">
        <f t="shared" si="9"/>
        <v>233</v>
      </c>
      <c r="G30" s="13">
        <f t="shared" si="9"/>
        <v>239</v>
      </c>
      <c r="H30" s="13">
        <f t="shared" si="9"/>
        <v>211</v>
      </c>
      <c r="I30" s="13">
        <f t="shared" si="9"/>
        <v>217</v>
      </c>
      <c r="J30" s="13">
        <f t="shared" si="9"/>
        <v>235</v>
      </c>
      <c r="K30" s="13">
        <f t="shared" si="9"/>
        <v>220</v>
      </c>
      <c r="L30" s="13">
        <f t="shared" si="9"/>
        <v>209</v>
      </c>
      <c r="M30" s="13">
        <f t="shared" si="9"/>
        <v>224</v>
      </c>
      <c r="N30" s="13">
        <f t="shared" si="9"/>
        <v>236</v>
      </c>
      <c r="O30" s="13">
        <f t="shared" si="9"/>
        <v>215</v>
      </c>
      <c r="P30" s="13">
        <f t="shared" si="9"/>
        <v>217</v>
      </c>
      <c r="Q30" s="13">
        <f t="shared" si="9"/>
        <v>216</v>
      </c>
      <c r="R30" s="13">
        <f t="shared" si="9"/>
        <v>187</v>
      </c>
      <c r="S30" s="13">
        <f t="shared" si="9"/>
        <v>232</v>
      </c>
      <c r="T30" s="13">
        <f t="shared" si="9"/>
        <v>224</v>
      </c>
      <c r="U30" s="13">
        <f t="shared" si="9"/>
        <v>225</v>
      </c>
      <c r="V30" s="13">
        <f t="shared" si="9"/>
        <v>243</v>
      </c>
      <c r="W30" s="13">
        <f t="shared" si="9"/>
        <v>228</v>
      </c>
      <c r="X30" s="13">
        <f t="shared" si="3"/>
        <v>4204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13" t="s">
        <v>61</v>
      </c>
      <c r="O32" s="13" t="s">
        <v>62</v>
      </c>
      <c r="P32" s="13" t="s">
        <v>63</v>
      </c>
      <c r="Q32" s="13" t="s">
        <v>64</v>
      </c>
      <c r="R32" s="13" t="s">
        <v>66</v>
      </c>
      <c r="S32" s="13" t="s">
        <v>67</v>
      </c>
      <c r="T32" s="13" t="s">
        <v>68</v>
      </c>
      <c r="U32" s="13" t="s">
        <v>69</v>
      </c>
      <c r="V32" s="13" t="s">
        <v>70</v>
      </c>
      <c r="W32" s="13" t="s">
        <v>71</v>
      </c>
      <c r="X32" s="62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276.0</v>
      </c>
      <c r="G33" s="19">
        <v>287.0</v>
      </c>
      <c r="H33" s="19">
        <v>269.0</v>
      </c>
      <c r="I33" s="19">
        <v>285.0</v>
      </c>
      <c r="J33" s="19">
        <v>286.0</v>
      </c>
      <c r="K33" s="19">
        <v>283.0</v>
      </c>
      <c r="L33" s="19">
        <v>266.0</v>
      </c>
      <c r="M33" s="19">
        <v>288.0</v>
      </c>
      <c r="N33" s="19">
        <v>294.0</v>
      </c>
      <c r="O33" s="19">
        <v>293.0</v>
      </c>
      <c r="P33" s="19">
        <v>287.0</v>
      </c>
      <c r="Q33" s="19">
        <v>287.0</v>
      </c>
      <c r="R33" s="19">
        <v>282.0</v>
      </c>
      <c r="S33" s="19">
        <v>292.0</v>
      </c>
      <c r="T33" s="19">
        <v>287.0</v>
      </c>
      <c r="U33" s="19">
        <v>293.0</v>
      </c>
      <c r="V33" s="19">
        <v>299.0</v>
      </c>
      <c r="W33" s="19">
        <v>293.0</v>
      </c>
      <c r="X33" s="13">
        <f t="shared" ref="X33:X36" si="10">SUM(E33:W33)</f>
        <v>5421</v>
      </c>
    </row>
    <row r="34" ht="12.75" customHeight="1">
      <c r="A34" s="19">
        <v>2.0</v>
      </c>
      <c r="B34" s="20" t="s">
        <v>28</v>
      </c>
      <c r="C34" s="15"/>
      <c r="D34" s="16"/>
      <c r="E34" s="13">
        <v>193.0</v>
      </c>
      <c r="F34" s="13">
        <v>233.0</v>
      </c>
      <c r="G34" s="13">
        <v>239.0</v>
      </c>
      <c r="H34" s="13">
        <v>211.0</v>
      </c>
      <c r="I34" s="13">
        <v>217.0</v>
      </c>
      <c r="J34" s="13">
        <v>235.0</v>
      </c>
      <c r="K34" s="13">
        <v>220.0</v>
      </c>
      <c r="L34" s="13">
        <v>209.0</v>
      </c>
      <c r="M34" s="13">
        <v>224.0</v>
      </c>
      <c r="N34" s="13">
        <v>236.0</v>
      </c>
      <c r="O34" s="13">
        <v>215.0</v>
      </c>
      <c r="P34" s="13">
        <v>217.0</v>
      </c>
      <c r="Q34" s="13">
        <v>216.0</v>
      </c>
      <c r="R34" s="13">
        <v>187.0</v>
      </c>
      <c r="S34" s="13">
        <v>232.0</v>
      </c>
      <c r="T34" s="13">
        <v>224.0</v>
      </c>
      <c r="U34" s="13">
        <v>225.0</v>
      </c>
      <c r="V34" s="13">
        <v>243.0</v>
      </c>
      <c r="W34" s="13">
        <v>228.0</v>
      </c>
      <c r="X34" s="13">
        <f t="shared" si="10"/>
        <v>4204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3.0</v>
      </c>
      <c r="P35" s="19">
        <v>0.0</v>
      </c>
      <c r="Q35" s="19">
        <v>0.0</v>
      </c>
      <c r="R35" s="19">
        <v>2.0</v>
      </c>
      <c r="S35" s="19">
        <v>1.0</v>
      </c>
      <c r="T35" s="19">
        <v>0.0</v>
      </c>
      <c r="U35" s="19">
        <v>1.0</v>
      </c>
      <c r="V35" s="19">
        <v>1.0</v>
      </c>
      <c r="W35" s="19">
        <v>0.0</v>
      </c>
      <c r="X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81</v>
      </c>
      <c r="F36" s="13">
        <f t="shared" si="11"/>
        <v>43</v>
      </c>
      <c r="G36" s="13">
        <f t="shared" si="11"/>
        <v>48</v>
      </c>
      <c r="H36" s="13">
        <f t="shared" si="11"/>
        <v>58</v>
      </c>
      <c r="I36" s="13">
        <f t="shared" si="11"/>
        <v>68</v>
      </c>
      <c r="J36" s="13">
        <f t="shared" si="11"/>
        <v>51</v>
      </c>
      <c r="K36" s="13">
        <f t="shared" si="11"/>
        <v>63</v>
      </c>
      <c r="L36" s="13">
        <f t="shared" si="11"/>
        <v>57</v>
      </c>
      <c r="M36" s="13">
        <f t="shared" si="11"/>
        <v>64</v>
      </c>
      <c r="N36" s="13">
        <f t="shared" si="11"/>
        <v>58</v>
      </c>
      <c r="O36" s="13">
        <f t="shared" si="11"/>
        <v>75</v>
      </c>
      <c r="P36" s="13">
        <f t="shared" si="11"/>
        <v>70</v>
      </c>
      <c r="Q36" s="13">
        <f t="shared" si="11"/>
        <v>71</v>
      </c>
      <c r="R36" s="13">
        <f t="shared" si="11"/>
        <v>93</v>
      </c>
      <c r="S36" s="13">
        <f t="shared" si="11"/>
        <v>59</v>
      </c>
      <c r="T36" s="13">
        <f t="shared" si="11"/>
        <v>63</v>
      </c>
      <c r="U36" s="13">
        <f t="shared" si="11"/>
        <v>67</v>
      </c>
      <c r="V36" s="13">
        <f t="shared" si="11"/>
        <v>55</v>
      </c>
      <c r="W36" s="13">
        <f t="shared" si="11"/>
        <v>65</v>
      </c>
      <c r="X36" s="13">
        <f t="shared" si="10"/>
        <v>1209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13" t="s">
        <v>61</v>
      </c>
      <c r="O38" s="13" t="s">
        <v>62</v>
      </c>
      <c r="P38" s="13" t="s">
        <v>63</v>
      </c>
      <c r="Q38" s="13" t="s">
        <v>64</v>
      </c>
      <c r="R38" s="13" t="s">
        <v>66</v>
      </c>
      <c r="S38" s="13" t="s">
        <v>67</v>
      </c>
      <c r="T38" s="13" t="s">
        <v>68</v>
      </c>
      <c r="U38" s="13" t="s">
        <v>69</v>
      </c>
      <c r="V38" s="13" t="s">
        <v>70</v>
      </c>
      <c r="W38" s="13" t="s">
        <v>71</v>
      </c>
      <c r="X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3.0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13" t="s">
        <v>61</v>
      </c>
      <c r="O43" s="13" t="s">
        <v>62</v>
      </c>
      <c r="P43" s="13" t="s">
        <v>63</v>
      </c>
      <c r="Q43" s="13" t="s">
        <v>64</v>
      </c>
      <c r="R43" s="13" t="s">
        <v>66</v>
      </c>
      <c r="S43" s="13" t="s">
        <v>67</v>
      </c>
      <c r="T43" s="13" t="s">
        <v>68</v>
      </c>
      <c r="U43" s="13" t="s">
        <v>69</v>
      </c>
      <c r="V43" s="13" t="s">
        <v>70</v>
      </c>
      <c r="W43" s="13" t="s">
        <v>71</v>
      </c>
      <c r="X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13"/>
    </row>
    <row r="45" ht="12.75" customHeight="1">
      <c r="A45" s="63"/>
      <c r="B45" s="49">
        <v>1.0</v>
      </c>
      <c r="C45" s="50" t="s">
        <v>37</v>
      </c>
      <c r="D45" s="16"/>
      <c r="E45" s="19">
        <v>19.0</v>
      </c>
      <c r="F45" s="19">
        <v>33.0</v>
      </c>
      <c r="G45" s="19">
        <v>29.0</v>
      </c>
      <c r="H45" s="19">
        <v>30.0</v>
      </c>
      <c r="I45" s="19">
        <v>27.0</v>
      </c>
      <c r="J45" s="19">
        <v>22.0</v>
      </c>
      <c r="K45" s="19">
        <v>35.0</v>
      </c>
      <c r="L45" s="19">
        <v>23.0</v>
      </c>
      <c r="M45" s="19">
        <v>26.0</v>
      </c>
      <c r="N45" s="19">
        <v>32.0</v>
      </c>
      <c r="O45" s="19">
        <v>30.0</v>
      </c>
      <c r="P45" s="19">
        <v>29.0</v>
      </c>
      <c r="Q45" s="19">
        <v>31.0</v>
      </c>
      <c r="R45" s="19">
        <v>27.0</v>
      </c>
      <c r="S45" s="19">
        <v>32.0</v>
      </c>
      <c r="T45" s="19">
        <v>29.0</v>
      </c>
      <c r="U45" s="19">
        <v>30.0</v>
      </c>
      <c r="V45" s="19">
        <v>39.0</v>
      </c>
      <c r="W45" s="19">
        <v>21.0</v>
      </c>
      <c r="X45" s="13">
        <f t="shared" ref="X45:X52" si="14">SUM(E45:W45)</f>
        <v>544</v>
      </c>
    </row>
    <row r="46" ht="12.75" customHeight="1">
      <c r="A46" s="18"/>
      <c r="B46" s="49">
        <v>2.0</v>
      </c>
      <c r="C46" s="50" t="s">
        <v>38</v>
      </c>
      <c r="D46" s="16"/>
      <c r="E46" s="19">
        <v>147.0</v>
      </c>
      <c r="F46" s="19">
        <v>163.0</v>
      </c>
      <c r="G46" s="19">
        <v>188.0</v>
      </c>
      <c r="H46" s="19">
        <v>157.0</v>
      </c>
      <c r="I46" s="19">
        <v>164.0</v>
      </c>
      <c r="J46" s="19">
        <v>192.0</v>
      </c>
      <c r="K46" s="19">
        <v>152.0</v>
      </c>
      <c r="L46" s="19">
        <v>169.0</v>
      </c>
      <c r="M46" s="19">
        <v>173.0</v>
      </c>
      <c r="N46" s="19">
        <v>170.0</v>
      </c>
      <c r="O46" s="19">
        <v>151.0</v>
      </c>
      <c r="P46" s="19">
        <v>144.0</v>
      </c>
      <c r="Q46" s="19">
        <v>151.0</v>
      </c>
      <c r="R46" s="19">
        <v>134.0</v>
      </c>
      <c r="S46" s="19">
        <v>172.0</v>
      </c>
      <c r="T46" s="19">
        <v>170.0</v>
      </c>
      <c r="U46" s="19">
        <v>146.0</v>
      </c>
      <c r="V46" s="19">
        <v>185.0</v>
      </c>
      <c r="W46" s="19">
        <v>175.0</v>
      </c>
      <c r="X46" s="13">
        <f t="shared" si="14"/>
        <v>3103</v>
      </c>
    </row>
    <row r="47" ht="12.75" customHeight="1">
      <c r="A47" s="47"/>
      <c r="B47" s="49">
        <v>3.0</v>
      </c>
      <c r="C47" s="50" t="s">
        <v>39</v>
      </c>
      <c r="D47" s="16"/>
      <c r="E47" s="19">
        <v>21.0</v>
      </c>
      <c r="F47" s="19">
        <v>29.0</v>
      </c>
      <c r="G47" s="19">
        <v>20.0</v>
      </c>
      <c r="H47" s="19">
        <v>21.0</v>
      </c>
      <c r="I47" s="19">
        <v>19.0</v>
      </c>
      <c r="J47" s="19">
        <v>16.0</v>
      </c>
      <c r="K47" s="19">
        <v>30.0</v>
      </c>
      <c r="L47" s="19">
        <v>9.0</v>
      </c>
      <c r="M47" s="19">
        <v>20.0</v>
      </c>
      <c r="N47" s="19">
        <v>28.0</v>
      </c>
      <c r="O47" s="19">
        <v>27.0</v>
      </c>
      <c r="P47" s="19">
        <v>40.0</v>
      </c>
      <c r="Q47" s="19">
        <v>28.0</v>
      </c>
      <c r="R47" s="19">
        <v>24.0</v>
      </c>
      <c r="S47" s="19">
        <v>27.0</v>
      </c>
      <c r="T47" s="19">
        <v>21.0</v>
      </c>
      <c r="U47" s="19">
        <v>46.0</v>
      </c>
      <c r="V47" s="19">
        <v>16.0</v>
      </c>
      <c r="W47" s="19">
        <v>20.0</v>
      </c>
      <c r="X47" s="13">
        <f t="shared" si="14"/>
        <v>462</v>
      </c>
    </row>
    <row r="48" ht="12.75" customHeight="1">
      <c r="X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 t="s">
        <v>62</v>
      </c>
      <c r="P49" s="13" t="s">
        <v>63</v>
      </c>
      <c r="Q49" s="13" t="s">
        <v>64</v>
      </c>
      <c r="R49" s="13" t="s">
        <v>66</v>
      </c>
      <c r="S49" s="13" t="s">
        <v>67</v>
      </c>
      <c r="T49" s="13" t="s">
        <v>68</v>
      </c>
      <c r="U49" s="13" t="s">
        <v>69</v>
      </c>
      <c r="V49" s="13" t="s">
        <v>70</v>
      </c>
      <c r="W49" s="13" t="s">
        <v>71</v>
      </c>
      <c r="X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W50" si="15">SUM(E45:E47)</f>
        <v>187</v>
      </c>
      <c r="F50" s="19">
        <f t="shared" si="15"/>
        <v>225</v>
      </c>
      <c r="G50" s="19">
        <f t="shared" si="15"/>
        <v>237</v>
      </c>
      <c r="H50" s="19">
        <f t="shared" si="15"/>
        <v>208</v>
      </c>
      <c r="I50" s="19">
        <f t="shared" si="15"/>
        <v>210</v>
      </c>
      <c r="J50" s="19">
        <f t="shared" si="15"/>
        <v>230</v>
      </c>
      <c r="K50" s="19">
        <f t="shared" si="15"/>
        <v>217</v>
      </c>
      <c r="L50" s="19">
        <f t="shared" si="15"/>
        <v>201</v>
      </c>
      <c r="M50" s="19">
        <f t="shared" si="15"/>
        <v>219</v>
      </c>
      <c r="N50" s="19">
        <f t="shared" si="15"/>
        <v>230</v>
      </c>
      <c r="O50" s="19">
        <f t="shared" si="15"/>
        <v>208</v>
      </c>
      <c r="P50" s="19">
        <f t="shared" si="15"/>
        <v>213</v>
      </c>
      <c r="Q50" s="19">
        <f t="shared" si="15"/>
        <v>210</v>
      </c>
      <c r="R50" s="19">
        <f t="shared" si="15"/>
        <v>185</v>
      </c>
      <c r="S50" s="19">
        <f t="shared" si="15"/>
        <v>231</v>
      </c>
      <c r="T50" s="19">
        <f t="shared" si="15"/>
        <v>220</v>
      </c>
      <c r="U50" s="19">
        <f t="shared" si="15"/>
        <v>222</v>
      </c>
      <c r="V50" s="19">
        <f t="shared" si="15"/>
        <v>240</v>
      </c>
      <c r="W50" s="19">
        <f t="shared" si="15"/>
        <v>216</v>
      </c>
      <c r="X50" s="13">
        <f t="shared" si="14"/>
        <v>4109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6.0</v>
      </c>
      <c r="F51" s="19">
        <v>8.0</v>
      </c>
      <c r="G51" s="19">
        <v>2.0</v>
      </c>
      <c r="H51" s="19">
        <v>3.0</v>
      </c>
      <c r="I51" s="19">
        <v>7.0</v>
      </c>
      <c r="J51" s="19">
        <v>5.0</v>
      </c>
      <c r="K51" s="19">
        <v>3.0</v>
      </c>
      <c r="L51" s="19">
        <v>8.0</v>
      </c>
      <c r="M51" s="19">
        <v>5.0</v>
      </c>
      <c r="N51" s="19">
        <v>6.0</v>
      </c>
      <c r="O51" s="19">
        <v>7.0</v>
      </c>
      <c r="P51" s="19">
        <v>4.0</v>
      </c>
      <c r="Q51" s="19">
        <v>6.0</v>
      </c>
      <c r="R51" s="19">
        <v>2.0</v>
      </c>
      <c r="S51" s="19">
        <v>1.0</v>
      </c>
      <c r="T51" s="19">
        <v>4.0</v>
      </c>
      <c r="U51" s="19">
        <v>3.0</v>
      </c>
      <c r="V51" s="19">
        <v>3.0</v>
      </c>
      <c r="W51" s="19">
        <v>12.0</v>
      </c>
      <c r="X51" s="13">
        <f t="shared" si="14"/>
        <v>95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W52" si="16">SUM(E50:E51)</f>
        <v>193</v>
      </c>
      <c r="F52" s="13">
        <f t="shared" si="16"/>
        <v>233</v>
      </c>
      <c r="G52" s="13">
        <f t="shared" si="16"/>
        <v>239</v>
      </c>
      <c r="H52" s="13">
        <f t="shared" si="16"/>
        <v>211</v>
      </c>
      <c r="I52" s="13">
        <f t="shared" si="16"/>
        <v>217</v>
      </c>
      <c r="J52" s="13">
        <f t="shared" si="16"/>
        <v>235</v>
      </c>
      <c r="K52" s="13">
        <f t="shared" si="16"/>
        <v>220</v>
      </c>
      <c r="L52" s="13">
        <f t="shared" si="16"/>
        <v>209</v>
      </c>
      <c r="M52" s="13">
        <f t="shared" si="16"/>
        <v>224</v>
      </c>
      <c r="N52" s="13">
        <f t="shared" si="16"/>
        <v>236</v>
      </c>
      <c r="O52" s="13">
        <f t="shared" si="16"/>
        <v>215</v>
      </c>
      <c r="P52" s="13">
        <f t="shared" si="16"/>
        <v>217</v>
      </c>
      <c r="Q52" s="13">
        <f t="shared" si="16"/>
        <v>216</v>
      </c>
      <c r="R52" s="13">
        <f t="shared" si="16"/>
        <v>187</v>
      </c>
      <c r="S52" s="13">
        <f t="shared" si="16"/>
        <v>232</v>
      </c>
      <c r="T52" s="13">
        <f t="shared" si="16"/>
        <v>224</v>
      </c>
      <c r="U52" s="13">
        <f t="shared" si="16"/>
        <v>225</v>
      </c>
      <c r="V52" s="13">
        <f t="shared" si="16"/>
        <v>243</v>
      </c>
      <c r="W52" s="13">
        <f t="shared" si="16"/>
        <v>228</v>
      </c>
      <c r="X52" s="13">
        <f t="shared" si="14"/>
        <v>4204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47">
    <cfRule type="containsBlanks" dxfId="1" priority="10">
      <formula>LEN(TRIM(E45))=0</formula>
    </cfRule>
  </conditionalFormatting>
  <conditionalFormatting sqref="E50:W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121.0</v>
      </c>
      <c r="G14" s="19">
        <v>142.0</v>
      </c>
      <c r="H14" s="19">
        <v>140.0</v>
      </c>
      <c r="I14" s="19">
        <v>128.0</v>
      </c>
      <c r="J14" s="19">
        <v>148.0</v>
      </c>
      <c r="K14" s="19">
        <v>138.0</v>
      </c>
      <c r="L14" s="19">
        <v>143.0</v>
      </c>
      <c r="M14" s="19">
        <v>137.0</v>
      </c>
      <c r="N14" s="13">
        <f t="shared" ref="N14:N16" si="1">SUM(E14:M14)</f>
        <v>1232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133.0</v>
      </c>
      <c r="H15" s="19">
        <v>146.0</v>
      </c>
      <c r="I15" s="19">
        <v>130.0</v>
      </c>
      <c r="J15" s="19">
        <v>132.0</v>
      </c>
      <c r="K15" s="19">
        <v>130.0</v>
      </c>
      <c r="L15" s="19">
        <v>143.0</v>
      </c>
      <c r="M15" s="19">
        <v>145.0</v>
      </c>
      <c r="N15" s="13">
        <f t="shared" si="1"/>
        <v>1227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268</v>
      </c>
      <c r="F16" s="13">
        <f t="shared" si="2"/>
        <v>256</v>
      </c>
      <c r="G16" s="13">
        <f t="shared" si="2"/>
        <v>275</v>
      </c>
      <c r="H16" s="13">
        <f t="shared" si="2"/>
        <v>286</v>
      </c>
      <c r="I16" s="13">
        <f t="shared" si="2"/>
        <v>258</v>
      </c>
      <c r="J16" s="13">
        <f t="shared" si="2"/>
        <v>280</v>
      </c>
      <c r="K16" s="13">
        <f t="shared" si="2"/>
        <v>268</v>
      </c>
      <c r="L16" s="13">
        <f t="shared" si="2"/>
        <v>286</v>
      </c>
      <c r="M16" s="13">
        <f t="shared" si="2"/>
        <v>282</v>
      </c>
      <c r="N16" s="13">
        <f t="shared" si="1"/>
        <v>2459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108.0</v>
      </c>
      <c r="F19" s="19">
        <v>103.0</v>
      </c>
      <c r="G19" s="19">
        <v>108.0</v>
      </c>
      <c r="H19" s="19">
        <v>115.0</v>
      </c>
      <c r="I19" s="19">
        <v>101.0</v>
      </c>
      <c r="J19" s="19">
        <v>122.0</v>
      </c>
      <c r="K19" s="19">
        <v>101.0</v>
      </c>
      <c r="L19" s="19">
        <v>98.0</v>
      </c>
      <c r="M19" s="19">
        <v>98.0</v>
      </c>
      <c r="N19" s="13">
        <f t="shared" ref="N19:N30" si="3">SUM(E19:M19)</f>
        <v>954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119.0</v>
      </c>
      <c r="G20" s="19">
        <v>113.0</v>
      </c>
      <c r="H20" s="19">
        <v>128.0</v>
      </c>
      <c r="I20" s="19">
        <v>107.0</v>
      </c>
      <c r="J20" s="19">
        <v>117.0</v>
      </c>
      <c r="K20" s="19">
        <v>107.0</v>
      </c>
      <c r="L20" s="19">
        <v>114.0</v>
      </c>
      <c r="M20" s="19">
        <v>122.0</v>
      </c>
      <c r="N20" s="13">
        <f t="shared" si="3"/>
        <v>1039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220</v>
      </c>
      <c r="F21" s="13">
        <f t="shared" si="4"/>
        <v>222</v>
      </c>
      <c r="G21" s="13">
        <f t="shared" si="4"/>
        <v>221</v>
      </c>
      <c r="H21" s="13">
        <f t="shared" si="4"/>
        <v>243</v>
      </c>
      <c r="I21" s="13">
        <f t="shared" si="4"/>
        <v>208</v>
      </c>
      <c r="J21" s="13">
        <f t="shared" si="4"/>
        <v>239</v>
      </c>
      <c r="K21" s="13">
        <f t="shared" si="4"/>
        <v>208</v>
      </c>
      <c r="L21" s="13">
        <f t="shared" si="4"/>
        <v>212</v>
      </c>
      <c r="M21" s="13">
        <f t="shared" si="4"/>
        <v>220</v>
      </c>
      <c r="N21" s="13">
        <f t="shared" si="3"/>
        <v>1993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4.0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5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3.0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3">
        <f t="shared" si="3"/>
        <v>10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4</v>
      </c>
      <c r="F27" s="13">
        <f t="shared" si="6"/>
        <v>7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3"/>
        <v>15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109</v>
      </c>
      <c r="F28" s="13">
        <f t="shared" si="7"/>
        <v>107</v>
      </c>
      <c r="G28" s="13">
        <f t="shared" si="7"/>
        <v>108</v>
      </c>
      <c r="H28" s="13">
        <f t="shared" si="7"/>
        <v>115</v>
      </c>
      <c r="I28" s="13">
        <f t="shared" si="7"/>
        <v>101</v>
      </c>
      <c r="J28" s="13">
        <f t="shared" si="7"/>
        <v>122</v>
      </c>
      <c r="K28" s="13">
        <f t="shared" si="7"/>
        <v>101</v>
      </c>
      <c r="L28" s="13">
        <f t="shared" si="7"/>
        <v>98</v>
      </c>
      <c r="M28" s="13">
        <f t="shared" si="7"/>
        <v>98</v>
      </c>
      <c r="N28" s="13">
        <f t="shared" si="3"/>
        <v>959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123</v>
      </c>
      <c r="G29" s="13">
        <f t="shared" si="8"/>
        <v>116</v>
      </c>
      <c r="H29" s="13">
        <f t="shared" si="8"/>
        <v>128</v>
      </c>
      <c r="I29" s="13">
        <f t="shared" si="8"/>
        <v>107</v>
      </c>
      <c r="J29" s="13">
        <f t="shared" si="8"/>
        <v>117</v>
      </c>
      <c r="K29" s="13">
        <f t="shared" si="8"/>
        <v>107</v>
      </c>
      <c r="L29" s="13">
        <f t="shared" si="8"/>
        <v>115</v>
      </c>
      <c r="M29" s="13">
        <f t="shared" si="8"/>
        <v>122</v>
      </c>
      <c r="N29" s="13">
        <f t="shared" si="3"/>
        <v>1050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224</v>
      </c>
      <c r="F30" s="13">
        <f t="shared" si="9"/>
        <v>230</v>
      </c>
      <c r="G30" s="13">
        <f t="shared" si="9"/>
        <v>224</v>
      </c>
      <c r="H30" s="13">
        <f t="shared" si="9"/>
        <v>243</v>
      </c>
      <c r="I30" s="13">
        <f t="shared" si="9"/>
        <v>208</v>
      </c>
      <c r="J30" s="13">
        <f t="shared" si="9"/>
        <v>239</v>
      </c>
      <c r="K30" s="13">
        <f t="shared" si="9"/>
        <v>208</v>
      </c>
      <c r="L30" s="13">
        <f t="shared" si="9"/>
        <v>213</v>
      </c>
      <c r="M30" s="13">
        <f t="shared" si="9"/>
        <v>220</v>
      </c>
      <c r="N30" s="13">
        <f t="shared" si="3"/>
        <v>2009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62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257.0</v>
      </c>
      <c r="G33" s="19">
        <v>277.0</v>
      </c>
      <c r="H33" s="19">
        <v>287.0</v>
      </c>
      <c r="I33" s="19">
        <v>260.0</v>
      </c>
      <c r="J33" s="19">
        <v>282.0</v>
      </c>
      <c r="K33" s="19">
        <v>270.0</v>
      </c>
      <c r="L33" s="19">
        <v>289.0</v>
      </c>
      <c r="M33" s="19">
        <v>286.0</v>
      </c>
      <c r="N33" s="13">
        <f t="shared" ref="N33:N36" si="10">SUM(E33:M33)</f>
        <v>2484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230.0</v>
      </c>
      <c r="G34" s="13">
        <v>224.0</v>
      </c>
      <c r="H34" s="13">
        <v>243.0</v>
      </c>
      <c r="I34" s="13">
        <v>208.0</v>
      </c>
      <c r="J34" s="13">
        <v>239.0</v>
      </c>
      <c r="K34" s="13">
        <v>208.0</v>
      </c>
      <c r="L34" s="13">
        <v>213.0</v>
      </c>
      <c r="M34" s="13">
        <v>220.0</v>
      </c>
      <c r="N34" s="13">
        <f t="shared" si="10"/>
        <v>2009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52</v>
      </c>
      <c r="F36" s="13">
        <f t="shared" si="11"/>
        <v>27</v>
      </c>
      <c r="G36" s="13">
        <f t="shared" si="11"/>
        <v>53</v>
      </c>
      <c r="H36" s="13">
        <f t="shared" si="11"/>
        <v>44</v>
      </c>
      <c r="I36" s="13">
        <f t="shared" si="11"/>
        <v>51</v>
      </c>
      <c r="J36" s="13">
        <f t="shared" si="11"/>
        <v>43</v>
      </c>
      <c r="K36" s="13">
        <f t="shared" si="11"/>
        <v>62</v>
      </c>
      <c r="L36" s="13">
        <f t="shared" si="11"/>
        <v>76</v>
      </c>
      <c r="M36" s="13">
        <f t="shared" si="11"/>
        <v>66</v>
      </c>
      <c r="N36" s="13">
        <f t="shared" si="10"/>
        <v>474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2.0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1.0</v>
      </c>
      <c r="N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3</v>
      </c>
      <c r="N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63"/>
      <c r="B45" s="49">
        <v>1.0</v>
      </c>
      <c r="C45" s="50" t="s">
        <v>37</v>
      </c>
      <c r="D45" s="16"/>
      <c r="E45" s="19">
        <v>52.0</v>
      </c>
      <c r="F45" s="19">
        <v>51.0</v>
      </c>
      <c r="G45" s="19">
        <v>30.0</v>
      </c>
      <c r="H45" s="19">
        <v>26.0</v>
      </c>
      <c r="I45" s="19">
        <v>33.0</v>
      </c>
      <c r="J45" s="19">
        <v>50.0</v>
      </c>
      <c r="K45" s="19">
        <v>34.0</v>
      </c>
      <c r="L45" s="19">
        <v>24.0</v>
      </c>
      <c r="M45" s="19">
        <v>33.0</v>
      </c>
      <c r="N45" s="13">
        <f t="shared" ref="N45:N52" si="14">SUM(E45:M45)</f>
        <v>333</v>
      </c>
    </row>
    <row r="46" ht="12.75" customHeight="1">
      <c r="A46" s="18"/>
      <c r="B46" s="49">
        <v>2.0</v>
      </c>
      <c r="C46" s="50" t="s">
        <v>38</v>
      </c>
      <c r="D46" s="16"/>
      <c r="E46" s="19">
        <v>142.0</v>
      </c>
      <c r="F46" s="19">
        <v>149.0</v>
      </c>
      <c r="G46" s="19">
        <v>151.0</v>
      </c>
      <c r="H46" s="19">
        <v>190.0</v>
      </c>
      <c r="I46" s="19">
        <v>150.0</v>
      </c>
      <c r="J46" s="19">
        <v>154.0</v>
      </c>
      <c r="K46" s="19">
        <v>152.0</v>
      </c>
      <c r="L46" s="19">
        <v>159.0</v>
      </c>
      <c r="M46" s="19">
        <v>144.0</v>
      </c>
      <c r="N46" s="13">
        <f t="shared" si="14"/>
        <v>1391</v>
      </c>
    </row>
    <row r="47" ht="12.75" customHeight="1">
      <c r="A47" s="47"/>
      <c r="B47" s="49">
        <v>3.0</v>
      </c>
      <c r="C47" s="50" t="s">
        <v>39</v>
      </c>
      <c r="D47" s="16"/>
      <c r="E47" s="19">
        <v>23.0</v>
      </c>
      <c r="F47" s="19">
        <v>19.0</v>
      </c>
      <c r="G47" s="19">
        <v>29.0</v>
      </c>
      <c r="H47" s="19">
        <v>21.0</v>
      </c>
      <c r="I47" s="19">
        <v>21.0</v>
      </c>
      <c r="J47" s="19">
        <v>27.0</v>
      </c>
      <c r="K47" s="19">
        <v>12.0</v>
      </c>
      <c r="L47" s="19">
        <v>23.0</v>
      </c>
      <c r="M47" s="19">
        <v>33.0</v>
      </c>
      <c r="N47" s="13">
        <f t="shared" si="14"/>
        <v>208</v>
      </c>
    </row>
    <row r="48" ht="12.75" customHeight="1">
      <c r="N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M50" si="15">SUM(E45:E47)</f>
        <v>217</v>
      </c>
      <c r="F50" s="19">
        <f t="shared" si="15"/>
        <v>219</v>
      </c>
      <c r="G50" s="19">
        <f t="shared" si="15"/>
        <v>210</v>
      </c>
      <c r="H50" s="19">
        <f t="shared" si="15"/>
        <v>237</v>
      </c>
      <c r="I50" s="19">
        <f t="shared" si="15"/>
        <v>204</v>
      </c>
      <c r="J50" s="19">
        <f t="shared" si="15"/>
        <v>231</v>
      </c>
      <c r="K50" s="19">
        <f t="shared" si="15"/>
        <v>198</v>
      </c>
      <c r="L50" s="19">
        <f t="shared" si="15"/>
        <v>206</v>
      </c>
      <c r="M50" s="19">
        <f t="shared" si="15"/>
        <v>210</v>
      </c>
      <c r="N50" s="13">
        <f t="shared" si="14"/>
        <v>1932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7.0</v>
      </c>
      <c r="F51" s="19">
        <v>11.0</v>
      </c>
      <c r="G51" s="19">
        <v>14.0</v>
      </c>
      <c r="H51" s="19">
        <v>6.0</v>
      </c>
      <c r="I51" s="19">
        <v>4.0</v>
      </c>
      <c r="J51" s="19">
        <v>8.0</v>
      </c>
      <c r="K51" s="19">
        <v>10.0</v>
      </c>
      <c r="L51" s="19">
        <v>7.0</v>
      </c>
      <c r="M51" s="19">
        <v>10.0</v>
      </c>
      <c r="N51" s="13">
        <f t="shared" si="14"/>
        <v>77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M52" si="16">SUM(E50:E51)</f>
        <v>224</v>
      </c>
      <c r="F52" s="13">
        <f t="shared" si="16"/>
        <v>230</v>
      </c>
      <c r="G52" s="13">
        <f t="shared" si="16"/>
        <v>224</v>
      </c>
      <c r="H52" s="13">
        <f t="shared" si="16"/>
        <v>243</v>
      </c>
      <c r="I52" s="13">
        <f t="shared" si="16"/>
        <v>208</v>
      </c>
      <c r="J52" s="13">
        <f t="shared" si="16"/>
        <v>239</v>
      </c>
      <c r="K52" s="13">
        <f t="shared" si="16"/>
        <v>208</v>
      </c>
      <c r="L52" s="13">
        <f t="shared" si="16"/>
        <v>213</v>
      </c>
      <c r="M52" s="13">
        <f t="shared" si="16"/>
        <v>220</v>
      </c>
      <c r="N52" s="13">
        <f t="shared" si="14"/>
        <v>2009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47">
    <cfRule type="containsBlanks" dxfId="1" priority="10">
      <formula>LEN(TRIM(E45))=0</formula>
    </cfRule>
  </conditionalFormatting>
  <conditionalFormatting sqref="E50:M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105.0</v>
      </c>
      <c r="F14" s="19">
        <v>112.0</v>
      </c>
      <c r="G14" s="19">
        <v>122.0</v>
      </c>
      <c r="H14" s="19">
        <v>135.0</v>
      </c>
      <c r="I14" s="19">
        <v>144.0</v>
      </c>
      <c r="J14" s="19">
        <v>144.0</v>
      </c>
      <c r="K14" s="19">
        <v>140.0</v>
      </c>
      <c r="L14" s="19">
        <v>140.0</v>
      </c>
      <c r="M14" s="19">
        <v>116.0</v>
      </c>
      <c r="N14" s="19">
        <v>132.0</v>
      </c>
      <c r="O14" s="19">
        <v>112.0</v>
      </c>
      <c r="P14" s="19">
        <v>119.0</v>
      </c>
      <c r="Q14" s="19">
        <v>116.0</v>
      </c>
      <c r="R14" s="19">
        <v>132.0</v>
      </c>
      <c r="S14" s="19">
        <v>140.0</v>
      </c>
      <c r="T14" s="13">
        <f t="shared" ref="T14:T16" si="1">SUM(E14:S14)</f>
        <v>1909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116.0</v>
      </c>
      <c r="H15" s="19">
        <v>148.0</v>
      </c>
      <c r="I15" s="19">
        <v>140.0</v>
      </c>
      <c r="J15" s="19">
        <v>136.0</v>
      </c>
      <c r="K15" s="19">
        <v>135.0</v>
      </c>
      <c r="L15" s="19">
        <v>126.0</v>
      </c>
      <c r="M15" s="19">
        <v>117.0</v>
      </c>
      <c r="N15" s="19">
        <v>134.0</v>
      </c>
      <c r="O15" s="19">
        <v>114.0</v>
      </c>
      <c r="P15" s="19">
        <v>122.0</v>
      </c>
      <c r="Q15" s="19">
        <v>130.0</v>
      </c>
      <c r="R15" s="19">
        <v>124.0</v>
      </c>
      <c r="S15" s="19">
        <v>141.0</v>
      </c>
      <c r="T15" s="13">
        <f t="shared" si="1"/>
        <v>1938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226</v>
      </c>
      <c r="F16" s="13">
        <f t="shared" si="2"/>
        <v>246</v>
      </c>
      <c r="G16" s="13">
        <f t="shared" si="2"/>
        <v>238</v>
      </c>
      <c r="H16" s="13">
        <f t="shared" si="2"/>
        <v>283</v>
      </c>
      <c r="I16" s="13">
        <f t="shared" si="2"/>
        <v>284</v>
      </c>
      <c r="J16" s="13">
        <f t="shared" si="2"/>
        <v>280</v>
      </c>
      <c r="K16" s="13">
        <f t="shared" si="2"/>
        <v>275</v>
      </c>
      <c r="L16" s="13">
        <f t="shared" si="2"/>
        <v>266</v>
      </c>
      <c r="M16" s="13">
        <f t="shared" si="2"/>
        <v>233</v>
      </c>
      <c r="N16" s="13">
        <f t="shared" si="2"/>
        <v>266</v>
      </c>
      <c r="O16" s="13">
        <f t="shared" si="2"/>
        <v>226</v>
      </c>
      <c r="P16" s="13">
        <f t="shared" si="2"/>
        <v>241</v>
      </c>
      <c r="Q16" s="13">
        <f t="shared" si="2"/>
        <v>246</v>
      </c>
      <c r="R16" s="13">
        <f t="shared" si="2"/>
        <v>256</v>
      </c>
      <c r="S16" s="13">
        <f t="shared" si="2"/>
        <v>281</v>
      </c>
      <c r="T16" s="13">
        <f t="shared" si="1"/>
        <v>3847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13" t="s">
        <v>67</v>
      </c>
      <c r="T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84.0</v>
      </c>
      <c r="F19" s="19">
        <v>85.0</v>
      </c>
      <c r="G19" s="19">
        <v>102.0</v>
      </c>
      <c r="H19" s="19">
        <v>100.0</v>
      </c>
      <c r="I19" s="19">
        <v>135.0</v>
      </c>
      <c r="J19" s="19">
        <v>137.0</v>
      </c>
      <c r="K19" s="19">
        <v>103.0</v>
      </c>
      <c r="L19" s="19">
        <v>111.0</v>
      </c>
      <c r="M19" s="19">
        <v>99.0</v>
      </c>
      <c r="N19" s="19">
        <v>98.0</v>
      </c>
      <c r="O19" s="19">
        <v>81.0</v>
      </c>
      <c r="P19" s="19">
        <v>90.0</v>
      </c>
      <c r="Q19" s="19">
        <v>93.0</v>
      </c>
      <c r="R19" s="19">
        <v>106.0</v>
      </c>
      <c r="S19" s="19">
        <v>110.0</v>
      </c>
      <c r="T19" s="13">
        <f t="shared" ref="T19:T30" si="3">SUM(E19:S19)</f>
        <v>1534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105.0</v>
      </c>
      <c r="G20" s="19">
        <v>99.0</v>
      </c>
      <c r="H20" s="19">
        <v>123.0</v>
      </c>
      <c r="I20" s="19">
        <v>131.0</v>
      </c>
      <c r="J20" s="19">
        <v>105.0</v>
      </c>
      <c r="K20" s="19">
        <v>111.0</v>
      </c>
      <c r="L20" s="19">
        <v>109.0</v>
      </c>
      <c r="M20" s="19">
        <v>103.0</v>
      </c>
      <c r="N20" s="19">
        <v>113.0</v>
      </c>
      <c r="O20" s="19">
        <v>90.0</v>
      </c>
      <c r="P20" s="19">
        <v>104.0</v>
      </c>
      <c r="Q20" s="19">
        <v>105.0</v>
      </c>
      <c r="R20" s="19">
        <v>101.0</v>
      </c>
      <c r="S20" s="19">
        <v>107.0</v>
      </c>
      <c r="T20" s="13">
        <f t="shared" si="3"/>
        <v>1618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196</v>
      </c>
      <c r="F21" s="13">
        <f t="shared" si="4"/>
        <v>190</v>
      </c>
      <c r="G21" s="13">
        <f t="shared" si="4"/>
        <v>201</v>
      </c>
      <c r="H21" s="13">
        <f t="shared" si="4"/>
        <v>223</v>
      </c>
      <c r="I21" s="13">
        <f t="shared" si="4"/>
        <v>266</v>
      </c>
      <c r="J21" s="13">
        <f t="shared" si="4"/>
        <v>242</v>
      </c>
      <c r="K21" s="13">
        <f t="shared" si="4"/>
        <v>214</v>
      </c>
      <c r="L21" s="13">
        <f t="shared" si="4"/>
        <v>220</v>
      </c>
      <c r="M21" s="13">
        <f t="shared" si="4"/>
        <v>202</v>
      </c>
      <c r="N21" s="13">
        <f t="shared" si="4"/>
        <v>211</v>
      </c>
      <c r="O21" s="13">
        <f t="shared" si="4"/>
        <v>171</v>
      </c>
      <c r="P21" s="13">
        <f t="shared" si="4"/>
        <v>194</v>
      </c>
      <c r="Q21" s="13">
        <f t="shared" si="4"/>
        <v>198</v>
      </c>
      <c r="R21" s="13">
        <f t="shared" si="4"/>
        <v>207</v>
      </c>
      <c r="S21" s="13">
        <f t="shared" si="4"/>
        <v>217</v>
      </c>
      <c r="T21" s="13">
        <f t="shared" si="3"/>
        <v>3152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3"/>
        <v>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1</v>
      </c>
      <c r="T27" s="13">
        <f t="shared" si="3"/>
        <v>11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84</v>
      </c>
      <c r="F28" s="13">
        <f t="shared" si="7"/>
        <v>85</v>
      </c>
      <c r="G28" s="13">
        <f t="shared" si="7"/>
        <v>102</v>
      </c>
      <c r="H28" s="13">
        <f t="shared" si="7"/>
        <v>100</v>
      </c>
      <c r="I28" s="13">
        <f t="shared" si="7"/>
        <v>135</v>
      </c>
      <c r="J28" s="13">
        <f t="shared" si="7"/>
        <v>137</v>
      </c>
      <c r="K28" s="13">
        <f t="shared" si="7"/>
        <v>103</v>
      </c>
      <c r="L28" s="13">
        <f t="shared" si="7"/>
        <v>111</v>
      </c>
      <c r="M28" s="13">
        <f t="shared" si="7"/>
        <v>102</v>
      </c>
      <c r="N28" s="13">
        <f t="shared" si="7"/>
        <v>99</v>
      </c>
      <c r="O28" s="13">
        <f t="shared" si="7"/>
        <v>81</v>
      </c>
      <c r="P28" s="13">
        <f t="shared" si="7"/>
        <v>90</v>
      </c>
      <c r="Q28" s="13">
        <f t="shared" si="7"/>
        <v>93</v>
      </c>
      <c r="R28" s="13">
        <f t="shared" si="7"/>
        <v>108</v>
      </c>
      <c r="S28" s="13">
        <f t="shared" si="7"/>
        <v>111</v>
      </c>
      <c r="T28" s="13">
        <f t="shared" si="3"/>
        <v>1541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113</v>
      </c>
      <c r="F29" s="13">
        <f t="shared" si="8"/>
        <v>105</v>
      </c>
      <c r="G29" s="13">
        <f t="shared" si="8"/>
        <v>99</v>
      </c>
      <c r="H29" s="13">
        <f t="shared" si="8"/>
        <v>123</v>
      </c>
      <c r="I29" s="13">
        <f t="shared" si="8"/>
        <v>131</v>
      </c>
      <c r="J29" s="13">
        <f t="shared" si="8"/>
        <v>105</v>
      </c>
      <c r="K29" s="13">
        <f t="shared" si="8"/>
        <v>111</v>
      </c>
      <c r="L29" s="13">
        <f t="shared" si="8"/>
        <v>109</v>
      </c>
      <c r="M29" s="13">
        <f t="shared" si="8"/>
        <v>107</v>
      </c>
      <c r="N29" s="13">
        <f t="shared" si="8"/>
        <v>113</v>
      </c>
      <c r="O29" s="13">
        <f t="shared" si="8"/>
        <v>90</v>
      </c>
      <c r="P29" s="13">
        <f t="shared" si="8"/>
        <v>104</v>
      </c>
      <c r="Q29" s="13">
        <f t="shared" si="8"/>
        <v>108</v>
      </c>
      <c r="R29" s="13">
        <f t="shared" si="8"/>
        <v>102</v>
      </c>
      <c r="S29" s="13">
        <f t="shared" si="8"/>
        <v>107</v>
      </c>
      <c r="T29" s="13">
        <f t="shared" si="3"/>
        <v>1627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197</v>
      </c>
      <c r="F30" s="13">
        <f t="shared" si="9"/>
        <v>190</v>
      </c>
      <c r="G30" s="13">
        <f t="shared" si="9"/>
        <v>201</v>
      </c>
      <c r="H30" s="13">
        <f t="shared" si="9"/>
        <v>223</v>
      </c>
      <c r="I30" s="13">
        <f t="shared" si="9"/>
        <v>266</v>
      </c>
      <c r="J30" s="13">
        <f t="shared" si="9"/>
        <v>242</v>
      </c>
      <c r="K30" s="13">
        <f t="shared" si="9"/>
        <v>214</v>
      </c>
      <c r="L30" s="13">
        <f t="shared" si="9"/>
        <v>220</v>
      </c>
      <c r="M30" s="13">
        <f t="shared" si="9"/>
        <v>209</v>
      </c>
      <c r="N30" s="13">
        <f t="shared" si="9"/>
        <v>212</v>
      </c>
      <c r="O30" s="13">
        <f t="shared" si="9"/>
        <v>171</v>
      </c>
      <c r="P30" s="13">
        <f t="shared" si="9"/>
        <v>194</v>
      </c>
      <c r="Q30" s="13">
        <f t="shared" si="9"/>
        <v>201</v>
      </c>
      <c r="R30" s="13">
        <f t="shared" si="9"/>
        <v>210</v>
      </c>
      <c r="S30" s="13">
        <f t="shared" si="9"/>
        <v>218</v>
      </c>
      <c r="T30" s="13">
        <f t="shared" si="3"/>
        <v>3168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2"/>
    </row>
    <row r="32" ht="12.75" customHeight="1">
      <c r="A32" s="43" t="s">
        <v>25</v>
      </c>
      <c r="B32" s="14" t="s">
        <v>26</v>
      </c>
      <c r="C32" s="15"/>
      <c r="D32" s="16"/>
      <c r="E32" s="65" t="s">
        <v>50</v>
      </c>
      <c r="F32" s="65" t="s">
        <v>51</v>
      </c>
      <c r="G32" s="65" t="s">
        <v>52</v>
      </c>
      <c r="H32" s="65" t="s">
        <v>53</v>
      </c>
      <c r="I32" s="65" t="s">
        <v>54</v>
      </c>
      <c r="J32" s="65" t="s">
        <v>55</v>
      </c>
      <c r="K32" s="65" t="s">
        <v>57</v>
      </c>
      <c r="L32" s="65" t="s">
        <v>58</v>
      </c>
      <c r="M32" s="65" t="s">
        <v>59</v>
      </c>
      <c r="N32" s="65" t="s">
        <v>61</v>
      </c>
      <c r="O32" s="65" t="s">
        <v>62</v>
      </c>
      <c r="P32" s="65" t="s">
        <v>63</v>
      </c>
      <c r="Q32" s="65" t="s">
        <v>64</v>
      </c>
      <c r="R32" s="65" t="s">
        <v>66</v>
      </c>
      <c r="S32" s="65" t="s">
        <v>67</v>
      </c>
      <c r="T32" s="62"/>
    </row>
    <row r="33" ht="12.75" customHeight="1">
      <c r="A33" s="19">
        <v>1.0</v>
      </c>
      <c r="B33" s="20" t="s">
        <v>27</v>
      </c>
      <c r="C33" s="15"/>
      <c r="D33" s="16"/>
      <c r="E33" s="19">
        <v>231.0</v>
      </c>
      <c r="F33" s="19">
        <v>251.0</v>
      </c>
      <c r="G33" s="19">
        <v>243.0</v>
      </c>
      <c r="H33" s="19">
        <v>289.0</v>
      </c>
      <c r="I33" s="19">
        <v>290.0</v>
      </c>
      <c r="J33" s="19">
        <v>286.0</v>
      </c>
      <c r="K33" s="19">
        <v>280.0</v>
      </c>
      <c r="L33" s="19">
        <v>272.0</v>
      </c>
      <c r="M33" s="19">
        <v>240.0</v>
      </c>
      <c r="N33" s="19">
        <v>272.0</v>
      </c>
      <c r="O33" s="19">
        <v>231.0</v>
      </c>
      <c r="P33" s="19">
        <v>250.0</v>
      </c>
      <c r="Q33" s="19">
        <v>250.0</v>
      </c>
      <c r="R33" s="19">
        <v>262.0</v>
      </c>
      <c r="S33" s="19">
        <v>288.0</v>
      </c>
      <c r="T33" s="13">
        <f t="shared" ref="T33:T36" si="10">SUM(E33:S33)</f>
        <v>3935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190.0</v>
      </c>
      <c r="G34" s="13">
        <v>201.0</v>
      </c>
      <c r="H34" s="13">
        <v>223.0</v>
      </c>
      <c r="I34" s="13">
        <v>266.0</v>
      </c>
      <c r="J34" s="13">
        <v>242.0</v>
      </c>
      <c r="K34" s="13">
        <v>214.0</v>
      </c>
      <c r="L34" s="13">
        <v>220.0</v>
      </c>
      <c r="M34" s="13">
        <v>209.0</v>
      </c>
      <c r="N34" s="13">
        <v>212.0</v>
      </c>
      <c r="O34" s="13">
        <v>171.0</v>
      </c>
      <c r="P34" s="13">
        <v>194.0</v>
      </c>
      <c r="Q34" s="13">
        <v>201.0</v>
      </c>
      <c r="R34" s="13">
        <v>210.0</v>
      </c>
      <c r="S34" s="13">
        <v>218.0</v>
      </c>
      <c r="T34" s="13">
        <f t="shared" si="10"/>
        <v>3168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3.0</v>
      </c>
      <c r="S35" s="19">
        <v>0.0</v>
      </c>
      <c r="T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34</v>
      </c>
      <c r="F36" s="13">
        <f t="shared" si="11"/>
        <v>61</v>
      </c>
      <c r="G36" s="13">
        <f t="shared" si="11"/>
        <v>42</v>
      </c>
      <c r="H36" s="13">
        <f t="shared" si="11"/>
        <v>66</v>
      </c>
      <c r="I36" s="13">
        <f t="shared" si="11"/>
        <v>24</v>
      </c>
      <c r="J36" s="13">
        <f t="shared" si="11"/>
        <v>44</v>
      </c>
      <c r="K36" s="13">
        <f t="shared" si="11"/>
        <v>66</v>
      </c>
      <c r="L36" s="13">
        <f t="shared" si="11"/>
        <v>52</v>
      </c>
      <c r="M36" s="13">
        <f t="shared" si="11"/>
        <v>31</v>
      </c>
      <c r="N36" s="13">
        <f t="shared" si="11"/>
        <v>60</v>
      </c>
      <c r="O36" s="13">
        <f t="shared" si="11"/>
        <v>60</v>
      </c>
      <c r="P36" s="13">
        <f t="shared" si="11"/>
        <v>56</v>
      </c>
      <c r="Q36" s="13">
        <f t="shared" si="11"/>
        <v>49</v>
      </c>
      <c r="R36" s="13">
        <f t="shared" si="11"/>
        <v>49</v>
      </c>
      <c r="S36" s="13">
        <f t="shared" si="11"/>
        <v>70</v>
      </c>
      <c r="T36" s="13">
        <f t="shared" si="10"/>
        <v>764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2"/>
    </row>
    <row r="38" ht="12.75" customHeight="1">
      <c r="A38" s="44" t="s">
        <v>31</v>
      </c>
      <c r="B38" s="14" t="s">
        <v>32</v>
      </c>
      <c r="C38" s="15"/>
      <c r="D38" s="16"/>
      <c r="E38" s="65" t="s">
        <v>50</v>
      </c>
      <c r="F38" s="65" t="s">
        <v>51</v>
      </c>
      <c r="G38" s="65" t="s">
        <v>52</v>
      </c>
      <c r="H38" s="65" t="s">
        <v>53</v>
      </c>
      <c r="I38" s="65" t="s">
        <v>54</v>
      </c>
      <c r="J38" s="65" t="s">
        <v>55</v>
      </c>
      <c r="K38" s="65" t="s">
        <v>57</v>
      </c>
      <c r="L38" s="65" t="s">
        <v>58</v>
      </c>
      <c r="M38" s="65" t="s">
        <v>59</v>
      </c>
      <c r="N38" s="65" t="s">
        <v>61</v>
      </c>
      <c r="O38" s="65" t="s">
        <v>62</v>
      </c>
      <c r="P38" s="65" t="s">
        <v>63</v>
      </c>
      <c r="Q38" s="65" t="s">
        <v>64</v>
      </c>
      <c r="R38" s="65" t="s">
        <v>66</v>
      </c>
      <c r="S38" s="65" t="s">
        <v>67</v>
      </c>
      <c r="T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65" t="s">
        <v>50</v>
      </c>
      <c r="F43" s="65" t="s">
        <v>51</v>
      </c>
      <c r="G43" s="65" t="s">
        <v>52</v>
      </c>
      <c r="H43" s="65" t="s">
        <v>53</v>
      </c>
      <c r="I43" s="65" t="s">
        <v>54</v>
      </c>
      <c r="J43" s="65" t="s">
        <v>55</v>
      </c>
      <c r="K43" s="65" t="s">
        <v>57</v>
      </c>
      <c r="L43" s="65" t="s">
        <v>58</v>
      </c>
      <c r="M43" s="65" t="s">
        <v>59</v>
      </c>
      <c r="N43" s="65" t="s">
        <v>61</v>
      </c>
      <c r="O43" s="65" t="s">
        <v>62</v>
      </c>
      <c r="P43" s="65" t="s">
        <v>63</v>
      </c>
      <c r="Q43" s="65" t="s">
        <v>64</v>
      </c>
      <c r="R43" s="65" t="s">
        <v>66</v>
      </c>
      <c r="S43" s="65" t="s">
        <v>67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63"/>
      <c r="B45" s="49">
        <v>1.0</v>
      </c>
      <c r="C45" s="50" t="s">
        <v>37</v>
      </c>
      <c r="D45" s="16"/>
      <c r="E45" s="19">
        <v>15.0</v>
      </c>
      <c r="F45" s="19">
        <v>14.0</v>
      </c>
      <c r="G45" s="19">
        <v>8.0</v>
      </c>
      <c r="H45" s="19">
        <v>6.0</v>
      </c>
      <c r="I45" s="19">
        <v>13.0</v>
      </c>
      <c r="J45" s="19">
        <v>19.0</v>
      </c>
      <c r="K45" s="19">
        <v>24.0</v>
      </c>
      <c r="L45" s="19">
        <v>12.0</v>
      </c>
      <c r="M45" s="19">
        <v>23.0</v>
      </c>
      <c r="N45" s="19">
        <v>23.0</v>
      </c>
      <c r="O45" s="19">
        <v>13.0</v>
      </c>
      <c r="P45" s="19">
        <v>28.0</v>
      </c>
      <c r="Q45" s="19">
        <v>21.0</v>
      </c>
      <c r="R45" s="19">
        <v>36.0</v>
      </c>
      <c r="S45" s="19">
        <v>22.0</v>
      </c>
      <c r="T45" s="13">
        <f t="shared" ref="T45:T52" si="14">SUM(E45:S45)</f>
        <v>277</v>
      </c>
    </row>
    <row r="46" ht="12.75" customHeight="1">
      <c r="A46" s="18"/>
      <c r="B46" s="49">
        <v>2.0</v>
      </c>
      <c r="C46" s="50" t="s">
        <v>38</v>
      </c>
      <c r="D46" s="16"/>
      <c r="E46" s="19">
        <v>163.0</v>
      </c>
      <c r="F46" s="19">
        <v>159.0</v>
      </c>
      <c r="G46" s="19">
        <v>171.0</v>
      </c>
      <c r="H46" s="19">
        <v>204.0</v>
      </c>
      <c r="I46" s="19">
        <v>189.0</v>
      </c>
      <c r="J46" s="19">
        <v>178.0</v>
      </c>
      <c r="K46" s="19">
        <v>159.0</v>
      </c>
      <c r="L46" s="19">
        <v>176.0</v>
      </c>
      <c r="M46" s="19">
        <v>136.0</v>
      </c>
      <c r="N46" s="19">
        <v>172.0</v>
      </c>
      <c r="O46" s="19">
        <v>136.0</v>
      </c>
      <c r="P46" s="19">
        <v>134.0</v>
      </c>
      <c r="Q46" s="19">
        <v>171.0</v>
      </c>
      <c r="R46" s="19">
        <v>150.0</v>
      </c>
      <c r="S46" s="19">
        <v>171.0</v>
      </c>
      <c r="T46" s="13">
        <f t="shared" si="14"/>
        <v>2469</v>
      </c>
    </row>
    <row r="47" ht="12.75" customHeight="1">
      <c r="A47" s="47"/>
      <c r="B47" s="49">
        <v>3.0</v>
      </c>
      <c r="C47" s="50" t="s">
        <v>39</v>
      </c>
      <c r="D47" s="16"/>
      <c r="E47" s="19">
        <v>15.0</v>
      </c>
      <c r="F47" s="19">
        <v>14.0</v>
      </c>
      <c r="G47" s="19">
        <v>19.0</v>
      </c>
      <c r="H47" s="19">
        <v>13.0</v>
      </c>
      <c r="I47" s="19">
        <v>26.0</v>
      </c>
      <c r="J47" s="19">
        <v>36.0</v>
      </c>
      <c r="K47" s="19">
        <v>27.0</v>
      </c>
      <c r="L47" s="19">
        <v>23.0</v>
      </c>
      <c r="M47" s="19">
        <v>16.0</v>
      </c>
      <c r="N47" s="19">
        <v>13.0</v>
      </c>
      <c r="O47" s="19">
        <v>13.0</v>
      </c>
      <c r="P47" s="19">
        <v>29.0</v>
      </c>
      <c r="Q47" s="19">
        <v>7.0</v>
      </c>
      <c r="R47" s="19">
        <v>17.0</v>
      </c>
      <c r="S47" s="19">
        <v>19.0</v>
      </c>
      <c r="T47" s="13">
        <f t="shared" si="14"/>
        <v>287</v>
      </c>
    </row>
    <row r="48" ht="12.75" customHeight="1">
      <c r="T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65" t="s">
        <v>50</v>
      </c>
      <c r="F49" s="65" t="s">
        <v>51</v>
      </c>
      <c r="G49" s="65" t="s">
        <v>52</v>
      </c>
      <c r="H49" s="65" t="s">
        <v>53</v>
      </c>
      <c r="I49" s="65" t="s">
        <v>54</v>
      </c>
      <c r="J49" s="65" t="s">
        <v>55</v>
      </c>
      <c r="K49" s="65" t="s">
        <v>57</v>
      </c>
      <c r="L49" s="65" t="s">
        <v>58</v>
      </c>
      <c r="M49" s="65" t="s">
        <v>59</v>
      </c>
      <c r="N49" s="65" t="s">
        <v>61</v>
      </c>
      <c r="O49" s="65" t="s">
        <v>62</v>
      </c>
      <c r="P49" s="65" t="s">
        <v>63</v>
      </c>
      <c r="Q49" s="65" t="s">
        <v>64</v>
      </c>
      <c r="R49" s="65" t="s">
        <v>66</v>
      </c>
      <c r="S49" s="65" t="s">
        <v>67</v>
      </c>
      <c r="T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S50" si="15">SUM(E45:E47)</f>
        <v>193</v>
      </c>
      <c r="F50" s="19">
        <f t="shared" si="15"/>
        <v>187</v>
      </c>
      <c r="G50" s="19">
        <f t="shared" si="15"/>
        <v>198</v>
      </c>
      <c r="H50" s="19">
        <f t="shared" si="15"/>
        <v>223</v>
      </c>
      <c r="I50" s="19">
        <f t="shared" si="15"/>
        <v>228</v>
      </c>
      <c r="J50" s="19">
        <f t="shared" si="15"/>
        <v>233</v>
      </c>
      <c r="K50" s="19">
        <f t="shared" si="15"/>
        <v>210</v>
      </c>
      <c r="L50" s="19">
        <f t="shared" si="15"/>
        <v>211</v>
      </c>
      <c r="M50" s="19">
        <f t="shared" si="15"/>
        <v>175</v>
      </c>
      <c r="N50" s="19">
        <f t="shared" si="15"/>
        <v>208</v>
      </c>
      <c r="O50" s="19">
        <f t="shared" si="15"/>
        <v>162</v>
      </c>
      <c r="P50" s="19">
        <f t="shared" si="15"/>
        <v>191</v>
      </c>
      <c r="Q50" s="19">
        <f t="shared" si="15"/>
        <v>199</v>
      </c>
      <c r="R50" s="19">
        <f t="shared" si="15"/>
        <v>203</v>
      </c>
      <c r="S50" s="19">
        <f t="shared" si="15"/>
        <v>212</v>
      </c>
      <c r="T50" s="13">
        <f t="shared" si="14"/>
        <v>3033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4.0</v>
      </c>
      <c r="F51" s="19">
        <v>3.0</v>
      </c>
      <c r="G51" s="19">
        <v>3.0</v>
      </c>
      <c r="H51" s="19">
        <v>0.0</v>
      </c>
      <c r="I51" s="19">
        <v>38.0</v>
      </c>
      <c r="J51" s="19">
        <v>9.0</v>
      </c>
      <c r="K51" s="19">
        <v>4.0</v>
      </c>
      <c r="L51" s="19">
        <v>9.0</v>
      </c>
      <c r="M51" s="19">
        <v>34.0</v>
      </c>
      <c r="N51" s="19">
        <v>4.0</v>
      </c>
      <c r="O51" s="19">
        <v>9.0</v>
      </c>
      <c r="P51" s="19">
        <v>3.0</v>
      </c>
      <c r="Q51" s="19">
        <v>2.0</v>
      </c>
      <c r="R51" s="19">
        <v>7.0</v>
      </c>
      <c r="S51" s="19">
        <v>6.0</v>
      </c>
      <c r="T51" s="13">
        <f t="shared" si="14"/>
        <v>135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S52" si="16">SUM(E50:E51)</f>
        <v>197</v>
      </c>
      <c r="F52" s="13">
        <f t="shared" si="16"/>
        <v>190</v>
      </c>
      <c r="G52" s="13">
        <f t="shared" si="16"/>
        <v>201</v>
      </c>
      <c r="H52" s="13">
        <f t="shared" si="16"/>
        <v>223</v>
      </c>
      <c r="I52" s="13">
        <f t="shared" si="16"/>
        <v>266</v>
      </c>
      <c r="J52" s="13">
        <f t="shared" si="16"/>
        <v>242</v>
      </c>
      <c r="K52" s="13">
        <f t="shared" si="16"/>
        <v>214</v>
      </c>
      <c r="L52" s="13">
        <f t="shared" si="16"/>
        <v>220</v>
      </c>
      <c r="M52" s="13">
        <f t="shared" si="16"/>
        <v>209</v>
      </c>
      <c r="N52" s="13">
        <f t="shared" si="16"/>
        <v>212</v>
      </c>
      <c r="O52" s="13">
        <f t="shared" si="16"/>
        <v>171</v>
      </c>
      <c r="P52" s="13">
        <f t="shared" si="16"/>
        <v>194</v>
      </c>
      <c r="Q52" s="13">
        <f t="shared" si="16"/>
        <v>201</v>
      </c>
      <c r="R52" s="13">
        <f t="shared" si="16"/>
        <v>210</v>
      </c>
      <c r="S52" s="13">
        <f t="shared" si="16"/>
        <v>218</v>
      </c>
      <c r="T52" s="13">
        <f t="shared" si="14"/>
        <v>3168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47">
    <cfRule type="containsBlanks" dxfId="1" priority="10">
      <formula>LEN(TRIM(E45))=0</formula>
    </cfRule>
  </conditionalFormatting>
  <conditionalFormatting sqref="E50:S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128.0</v>
      </c>
      <c r="G14" s="19">
        <v>143.0</v>
      </c>
      <c r="H14" s="19">
        <v>143.0</v>
      </c>
      <c r="I14" s="19">
        <v>133.0</v>
      </c>
      <c r="J14" s="19">
        <v>148.0</v>
      </c>
      <c r="K14" s="19">
        <v>149.0</v>
      </c>
      <c r="L14" s="19">
        <v>139.0</v>
      </c>
      <c r="M14" s="19">
        <v>126.0</v>
      </c>
      <c r="N14" s="19">
        <v>141.0</v>
      </c>
      <c r="O14" s="19">
        <v>126.0</v>
      </c>
      <c r="P14" s="19">
        <v>141.0</v>
      </c>
      <c r="Q14" s="19">
        <v>124.0</v>
      </c>
      <c r="R14" s="19">
        <v>133.0</v>
      </c>
      <c r="S14" s="19">
        <v>137.0</v>
      </c>
      <c r="T14" s="13">
        <f t="shared" ref="T14:T16" si="1">SUM(E14:S14)</f>
        <v>2046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144.0</v>
      </c>
      <c r="G15" s="19">
        <v>136.0</v>
      </c>
      <c r="H15" s="19">
        <v>145.0</v>
      </c>
      <c r="I15" s="19">
        <v>139.0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146.0</v>
      </c>
      <c r="O15" s="19">
        <v>145.0</v>
      </c>
      <c r="P15" s="19">
        <v>138.0</v>
      </c>
      <c r="Q15" s="19">
        <v>148.0</v>
      </c>
      <c r="R15" s="19">
        <v>143.0</v>
      </c>
      <c r="S15" s="19">
        <v>159.0</v>
      </c>
      <c r="T15" s="13">
        <f t="shared" si="1"/>
        <v>2127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270</v>
      </c>
      <c r="F16" s="13">
        <f t="shared" si="2"/>
        <v>272</v>
      </c>
      <c r="G16" s="13">
        <f t="shared" si="2"/>
        <v>279</v>
      </c>
      <c r="H16" s="13">
        <f t="shared" si="2"/>
        <v>288</v>
      </c>
      <c r="I16" s="13">
        <f t="shared" si="2"/>
        <v>272</v>
      </c>
      <c r="J16" s="13">
        <f t="shared" si="2"/>
        <v>287</v>
      </c>
      <c r="K16" s="13">
        <f t="shared" si="2"/>
        <v>284</v>
      </c>
      <c r="L16" s="13">
        <f t="shared" si="2"/>
        <v>274</v>
      </c>
      <c r="M16" s="13">
        <f t="shared" si="2"/>
        <v>266</v>
      </c>
      <c r="N16" s="13">
        <f t="shared" si="2"/>
        <v>287</v>
      </c>
      <c r="O16" s="13">
        <f t="shared" si="2"/>
        <v>271</v>
      </c>
      <c r="P16" s="13">
        <f t="shared" si="2"/>
        <v>279</v>
      </c>
      <c r="Q16" s="13">
        <f t="shared" si="2"/>
        <v>272</v>
      </c>
      <c r="R16" s="13">
        <f t="shared" si="2"/>
        <v>276</v>
      </c>
      <c r="S16" s="13">
        <f t="shared" si="2"/>
        <v>296</v>
      </c>
      <c r="T16" s="13">
        <f t="shared" si="1"/>
        <v>4173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13" t="s">
        <v>67</v>
      </c>
      <c r="T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104.0</v>
      </c>
      <c r="F19" s="19">
        <v>107.0</v>
      </c>
      <c r="G19" s="19">
        <v>115.0</v>
      </c>
      <c r="H19" s="19">
        <v>107.0</v>
      </c>
      <c r="I19" s="19">
        <v>87.0</v>
      </c>
      <c r="J19" s="19">
        <v>109.0</v>
      </c>
      <c r="K19" s="19">
        <v>123.0</v>
      </c>
      <c r="L19" s="19">
        <v>105.0</v>
      </c>
      <c r="M19" s="19">
        <v>88.0</v>
      </c>
      <c r="N19" s="19">
        <v>109.0</v>
      </c>
      <c r="O19" s="19">
        <v>95.0</v>
      </c>
      <c r="P19" s="19">
        <v>114.0</v>
      </c>
      <c r="Q19" s="19">
        <v>96.0</v>
      </c>
      <c r="R19" s="19">
        <v>100.0</v>
      </c>
      <c r="S19" s="19">
        <v>100.0</v>
      </c>
      <c r="T19" s="13">
        <f t="shared" ref="T19:T30" si="3">SUM(E19:S19)</f>
        <v>1559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113.0</v>
      </c>
      <c r="G20" s="19">
        <v>113.0</v>
      </c>
      <c r="H20" s="19">
        <v>113.0</v>
      </c>
      <c r="I20" s="19">
        <v>107.0</v>
      </c>
      <c r="J20" s="19">
        <v>116.0</v>
      </c>
      <c r="K20" s="19">
        <v>117.0</v>
      </c>
      <c r="L20" s="19">
        <v>117.0</v>
      </c>
      <c r="M20" s="19">
        <v>112.0</v>
      </c>
      <c r="N20" s="19">
        <v>119.0</v>
      </c>
      <c r="O20" s="19">
        <v>117.0</v>
      </c>
      <c r="P20" s="19">
        <v>118.0</v>
      </c>
      <c r="Q20" s="19">
        <v>116.0</v>
      </c>
      <c r="R20" s="19">
        <v>120.0</v>
      </c>
      <c r="S20" s="19">
        <v>133.0</v>
      </c>
      <c r="T20" s="13">
        <f t="shared" si="3"/>
        <v>1744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217</v>
      </c>
      <c r="F21" s="13">
        <f t="shared" si="4"/>
        <v>220</v>
      </c>
      <c r="G21" s="13">
        <f t="shared" si="4"/>
        <v>228</v>
      </c>
      <c r="H21" s="13">
        <f t="shared" si="4"/>
        <v>220</v>
      </c>
      <c r="I21" s="13">
        <f t="shared" si="4"/>
        <v>194</v>
      </c>
      <c r="J21" s="13">
        <f t="shared" si="4"/>
        <v>225</v>
      </c>
      <c r="K21" s="13">
        <f t="shared" si="4"/>
        <v>240</v>
      </c>
      <c r="L21" s="13">
        <f t="shared" si="4"/>
        <v>222</v>
      </c>
      <c r="M21" s="13">
        <f t="shared" si="4"/>
        <v>200</v>
      </c>
      <c r="N21" s="13">
        <f t="shared" si="4"/>
        <v>228</v>
      </c>
      <c r="O21" s="13">
        <f t="shared" si="4"/>
        <v>212</v>
      </c>
      <c r="P21" s="13">
        <f t="shared" si="4"/>
        <v>232</v>
      </c>
      <c r="Q21" s="13">
        <f t="shared" si="4"/>
        <v>212</v>
      </c>
      <c r="R21" s="13">
        <f t="shared" si="4"/>
        <v>220</v>
      </c>
      <c r="S21" s="13">
        <f t="shared" si="4"/>
        <v>233</v>
      </c>
      <c r="T21" s="13">
        <f t="shared" si="3"/>
        <v>3303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2.0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2.0</v>
      </c>
      <c r="I25" s="19">
        <v>2.0</v>
      </c>
      <c r="J25" s="19">
        <v>0.0</v>
      </c>
      <c r="K25" s="19">
        <v>3.0</v>
      </c>
      <c r="L25" s="19">
        <v>4.0</v>
      </c>
      <c r="M25" s="19">
        <v>3.0</v>
      </c>
      <c r="N25" s="19">
        <v>0.0</v>
      </c>
      <c r="O25" s="19">
        <v>1.0</v>
      </c>
      <c r="P25" s="19">
        <v>0.0</v>
      </c>
      <c r="Q25" s="19">
        <v>1.0</v>
      </c>
      <c r="R25" s="19">
        <v>0.0</v>
      </c>
      <c r="S25" s="19">
        <v>1.0</v>
      </c>
      <c r="T25" s="13">
        <f t="shared" si="3"/>
        <v>20</v>
      </c>
    </row>
    <row r="26" ht="12.75" customHeight="1">
      <c r="A26" s="34"/>
      <c r="B26" s="27"/>
      <c r="C26" s="35"/>
      <c r="D26" s="19" t="s">
        <v>13</v>
      </c>
      <c r="E26" s="19">
        <v>4.0</v>
      </c>
      <c r="F26" s="19">
        <v>1.0</v>
      </c>
      <c r="G26" s="19">
        <v>2.0</v>
      </c>
      <c r="H26" s="19">
        <v>5.0</v>
      </c>
      <c r="I26" s="19">
        <v>3.0</v>
      </c>
      <c r="J26" s="19">
        <v>0.0</v>
      </c>
      <c r="K26" s="19">
        <v>1.0</v>
      </c>
      <c r="L26" s="19">
        <v>8.0</v>
      </c>
      <c r="M26" s="19">
        <v>3.0</v>
      </c>
      <c r="N26" s="19">
        <v>1.0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5</v>
      </c>
      <c r="F27" s="13">
        <f t="shared" si="6"/>
        <v>3</v>
      </c>
      <c r="G27" s="13">
        <f t="shared" si="6"/>
        <v>2</v>
      </c>
      <c r="H27" s="13">
        <f t="shared" si="6"/>
        <v>7</v>
      </c>
      <c r="I27" s="13">
        <f t="shared" si="6"/>
        <v>5</v>
      </c>
      <c r="J27" s="13">
        <f t="shared" si="6"/>
        <v>0</v>
      </c>
      <c r="K27" s="13">
        <f t="shared" si="6"/>
        <v>4</v>
      </c>
      <c r="L27" s="13">
        <f t="shared" si="6"/>
        <v>12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1</v>
      </c>
      <c r="T27" s="13">
        <f t="shared" si="3"/>
        <v>50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109</v>
      </c>
      <c r="G28" s="13">
        <f t="shared" si="7"/>
        <v>115</v>
      </c>
      <c r="H28" s="13">
        <f t="shared" si="7"/>
        <v>109</v>
      </c>
      <c r="I28" s="13">
        <f t="shared" si="7"/>
        <v>89</v>
      </c>
      <c r="J28" s="13">
        <f t="shared" si="7"/>
        <v>110</v>
      </c>
      <c r="K28" s="13">
        <f t="shared" si="7"/>
        <v>126</v>
      </c>
      <c r="L28" s="13">
        <f t="shared" si="7"/>
        <v>111</v>
      </c>
      <c r="M28" s="13">
        <f t="shared" si="7"/>
        <v>91</v>
      </c>
      <c r="N28" s="13">
        <f t="shared" si="7"/>
        <v>109</v>
      </c>
      <c r="O28" s="13">
        <f t="shared" si="7"/>
        <v>96</v>
      </c>
      <c r="P28" s="13">
        <f t="shared" si="7"/>
        <v>115</v>
      </c>
      <c r="Q28" s="13">
        <f t="shared" si="7"/>
        <v>97</v>
      </c>
      <c r="R28" s="13">
        <f t="shared" si="7"/>
        <v>100</v>
      </c>
      <c r="S28" s="13">
        <f t="shared" si="7"/>
        <v>101</v>
      </c>
      <c r="T28" s="13">
        <f t="shared" si="3"/>
        <v>1583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117</v>
      </c>
      <c r="F29" s="13">
        <f t="shared" si="8"/>
        <v>114</v>
      </c>
      <c r="G29" s="13">
        <f t="shared" si="8"/>
        <v>115</v>
      </c>
      <c r="H29" s="13">
        <f t="shared" si="8"/>
        <v>118</v>
      </c>
      <c r="I29" s="13">
        <f t="shared" si="8"/>
        <v>110</v>
      </c>
      <c r="J29" s="13">
        <f t="shared" si="8"/>
        <v>116</v>
      </c>
      <c r="K29" s="13">
        <f t="shared" si="8"/>
        <v>118</v>
      </c>
      <c r="L29" s="13">
        <f t="shared" si="8"/>
        <v>125</v>
      </c>
      <c r="M29" s="13">
        <f t="shared" si="8"/>
        <v>115</v>
      </c>
      <c r="N29" s="13">
        <f t="shared" si="8"/>
        <v>120</v>
      </c>
      <c r="O29" s="13">
        <f t="shared" si="8"/>
        <v>118</v>
      </c>
      <c r="P29" s="13">
        <f t="shared" si="8"/>
        <v>119</v>
      </c>
      <c r="Q29" s="13">
        <f t="shared" si="8"/>
        <v>117</v>
      </c>
      <c r="R29" s="13">
        <f t="shared" si="8"/>
        <v>120</v>
      </c>
      <c r="S29" s="13">
        <f t="shared" si="8"/>
        <v>133</v>
      </c>
      <c r="T29" s="13">
        <f t="shared" si="3"/>
        <v>1775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222</v>
      </c>
      <c r="F30" s="13">
        <f t="shared" si="9"/>
        <v>223</v>
      </c>
      <c r="G30" s="13">
        <f t="shared" si="9"/>
        <v>230</v>
      </c>
      <c r="H30" s="13">
        <f t="shared" si="9"/>
        <v>227</v>
      </c>
      <c r="I30" s="13">
        <f t="shared" si="9"/>
        <v>199</v>
      </c>
      <c r="J30" s="13">
        <f t="shared" si="9"/>
        <v>226</v>
      </c>
      <c r="K30" s="13">
        <f t="shared" si="9"/>
        <v>244</v>
      </c>
      <c r="L30" s="13">
        <f t="shared" si="9"/>
        <v>236</v>
      </c>
      <c r="M30" s="13">
        <f t="shared" si="9"/>
        <v>206</v>
      </c>
      <c r="N30" s="13">
        <f t="shared" si="9"/>
        <v>229</v>
      </c>
      <c r="O30" s="13">
        <f t="shared" si="9"/>
        <v>214</v>
      </c>
      <c r="P30" s="13">
        <f t="shared" si="9"/>
        <v>234</v>
      </c>
      <c r="Q30" s="13">
        <f t="shared" si="9"/>
        <v>214</v>
      </c>
      <c r="R30" s="13">
        <f t="shared" si="9"/>
        <v>220</v>
      </c>
      <c r="S30" s="13">
        <f t="shared" si="9"/>
        <v>234</v>
      </c>
      <c r="T30" s="13">
        <f t="shared" si="3"/>
        <v>3358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2"/>
    </row>
    <row r="32" ht="12.75" customHeight="1">
      <c r="A32" s="43" t="s">
        <v>25</v>
      </c>
      <c r="B32" s="14" t="s">
        <v>26</v>
      </c>
      <c r="C32" s="15"/>
      <c r="D32" s="16"/>
      <c r="E32" s="65" t="s">
        <v>50</v>
      </c>
      <c r="F32" s="65" t="s">
        <v>51</v>
      </c>
      <c r="G32" s="65" t="s">
        <v>52</v>
      </c>
      <c r="H32" s="65" t="s">
        <v>53</v>
      </c>
      <c r="I32" s="65" t="s">
        <v>54</v>
      </c>
      <c r="J32" s="65" t="s">
        <v>55</v>
      </c>
      <c r="K32" s="65" t="s">
        <v>57</v>
      </c>
      <c r="L32" s="65" t="s">
        <v>58</v>
      </c>
      <c r="M32" s="65" t="s">
        <v>59</v>
      </c>
      <c r="N32" s="65" t="s">
        <v>61</v>
      </c>
      <c r="O32" s="65" t="s">
        <v>62</v>
      </c>
      <c r="P32" s="65" t="s">
        <v>63</v>
      </c>
      <c r="Q32" s="65" t="s">
        <v>64</v>
      </c>
      <c r="R32" s="65" t="s">
        <v>66</v>
      </c>
      <c r="S32" s="65" t="s">
        <v>67</v>
      </c>
      <c r="T32" s="62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278.0</v>
      </c>
      <c r="G33" s="19">
        <v>280.0</v>
      </c>
      <c r="H33" s="19">
        <v>291.0</v>
      </c>
      <c r="I33" s="19">
        <v>278.0</v>
      </c>
      <c r="J33" s="19">
        <v>293.0</v>
      </c>
      <c r="K33" s="19">
        <v>290.0</v>
      </c>
      <c r="L33" s="19">
        <v>282.0</v>
      </c>
      <c r="M33" s="19">
        <v>272.0</v>
      </c>
      <c r="N33" s="19">
        <v>295.0</v>
      </c>
      <c r="O33" s="19">
        <v>278.0</v>
      </c>
      <c r="P33" s="19">
        <v>285.0</v>
      </c>
      <c r="Q33" s="19">
        <v>283.0</v>
      </c>
      <c r="R33" s="19">
        <v>282.0</v>
      </c>
      <c r="S33" s="19">
        <v>302.0</v>
      </c>
      <c r="T33" s="13">
        <f t="shared" ref="T33:T36" si="10">SUM(E33:S33)</f>
        <v>4266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223.0</v>
      </c>
      <c r="G34" s="13">
        <v>230.0</v>
      </c>
      <c r="H34" s="13">
        <v>227.0</v>
      </c>
      <c r="I34" s="13">
        <v>199.0</v>
      </c>
      <c r="J34" s="13">
        <v>226.0</v>
      </c>
      <c r="K34" s="13">
        <v>244.0</v>
      </c>
      <c r="L34" s="13">
        <v>236.0</v>
      </c>
      <c r="M34" s="13">
        <v>206.0</v>
      </c>
      <c r="N34" s="13">
        <v>229.0</v>
      </c>
      <c r="O34" s="13">
        <v>214.0</v>
      </c>
      <c r="P34" s="13">
        <v>234.0</v>
      </c>
      <c r="Q34" s="13">
        <v>214.0</v>
      </c>
      <c r="R34" s="13">
        <v>220.0</v>
      </c>
      <c r="S34" s="13">
        <v>234.0</v>
      </c>
      <c r="T34" s="13">
        <f t="shared" si="10"/>
        <v>3358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1.0</v>
      </c>
      <c r="L35" s="19">
        <v>1.0</v>
      </c>
      <c r="M35" s="19">
        <v>0.0</v>
      </c>
      <c r="N35" s="19">
        <v>2.0</v>
      </c>
      <c r="O35" s="19">
        <v>0.0</v>
      </c>
      <c r="P35" s="19">
        <v>0.0</v>
      </c>
      <c r="Q35" s="19">
        <v>1.0</v>
      </c>
      <c r="R35" s="19">
        <v>0.0</v>
      </c>
      <c r="S35" s="19">
        <v>1.0</v>
      </c>
      <c r="T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55</v>
      </c>
      <c r="F36" s="13">
        <f t="shared" si="11"/>
        <v>54</v>
      </c>
      <c r="G36" s="13">
        <f t="shared" si="11"/>
        <v>50</v>
      </c>
      <c r="H36" s="13">
        <f t="shared" si="11"/>
        <v>63</v>
      </c>
      <c r="I36" s="13">
        <f t="shared" si="11"/>
        <v>79</v>
      </c>
      <c r="J36" s="13">
        <f t="shared" si="11"/>
        <v>67</v>
      </c>
      <c r="K36" s="13">
        <f t="shared" si="11"/>
        <v>45</v>
      </c>
      <c r="L36" s="13">
        <f t="shared" si="11"/>
        <v>45</v>
      </c>
      <c r="M36" s="13">
        <f t="shared" si="11"/>
        <v>66</v>
      </c>
      <c r="N36" s="13">
        <f t="shared" si="11"/>
        <v>64</v>
      </c>
      <c r="O36" s="13">
        <f t="shared" si="11"/>
        <v>64</v>
      </c>
      <c r="P36" s="13">
        <f t="shared" si="11"/>
        <v>51</v>
      </c>
      <c r="Q36" s="13">
        <f t="shared" si="11"/>
        <v>68</v>
      </c>
      <c r="R36" s="13">
        <f t="shared" si="11"/>
        <v>62</v>
      </c>
      <c r="S36" s="13">
        <f t="shared" si="11"/>
        <v>67</v>
      </c>
      <c r="T36" s="13">
        <f t="shared" si="10"/>
        <v>900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2"/>
    </row>
    <row r="38" ht="12.75" customHeight="1">
      <c r="A38" s="44" t="s">
        <v>31</v>
      </c>
      <c r="B38" s="14" t="s">
        <v>32</v>
      </c>
      <c r="C38" s="15"/>
      <c r="D38" s="16"/>
      <c r="E38" s="65" t="s">
        <v>50</v>
      </c>
      <c r="F38" s="65" t="s">
        <v>51</v>
      </c>
      <c r="G38" s="65" t="s">
        <v>52</v>
      </c>
      <c r="H38" s="65" t="s">
        <v>53</v>
      </c>
      <c r="I38" s="65" t="s">
        <v>54</v>
      </c>
      <c r="J38" s="65" t="s">
        <v>55</v>
      </c>
      <c r="K38" s="65" t="s">
        <v>57</v>
      </c>
      <c r="L38" s="65" t="s">
        <v>58</v>
      </c>
      <c r="M38" s="65" t="s">
        <v>59</v>
      </c>
      <c r="N38" s="65" t="s">
        <v>61</v>
      </c>
      <c r="O38" s="65" t="s">
        <v>62</v>
      </c>
      <c r="P38" s="65" t="s">
        <v>63</v>
      </c>
      <c r="Q38" s="65" t="s">
        <v>64</v>
      </c>
      <c r="R38" s="65" t="s">
        <v>66</v>
      </c>
      <c r="S38" s="65" t="s">
        <v>67</v>
      </c>
      <c r="T38" s="62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5</v>
      </c>
    </row>
    <row r="40" ht="12.75" customHeight="1">
      <c r="A40" s="34"/>
      <c r="C40" s="27"/>
      <c r="D40" s="19" t="s">
        <v>13</v>
      </c>
      <c r="E40" s="19">
        <v>2.0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4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4</v>
      </c>
      <c r="F41" s="13">
        <f t="shared" si="13"/>
        <v>0</v>
      </c>
      <c r="G41" s="13">
        <f t="shared" si="13"/>
        <v>1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65" t="s">
        <v>50</v>
      </c>
      <c r="F43" s="65" t="s">
        <v>51</v>
      </c>
      <c r="G43" s="65" t="s">
        <v>52</v>
      </c>
      <c r="H43" s="65" t="s">
        <v>53</v>
      </c>
      <c r="I43" s="65" t="s">
        <v>54</v>
      </c>
      <c r="J43" s="65" t="s">
        <v>55</v>
      </c>
      <c r="K43" s="65" t="s">
        <v>57</v>
      </c>
      <c r="L43" s="65" t="s">
        <v>58</v>
      </c>
      <c r="M43" s="65" t="s">
        <v>59</v>
      </c>
      <c r="N43" s="65" t="s">
        <v>61</v>
      </c>
      <c r="O43" s="65" t="s">
        <v>62</v>
      </c>
      <c r="P43" s="65" t="s">
        <v>63</v>
      </c>
      <c r="Q43" s="65" t="s">
        <v>64</v>
      </c>
      <c r="R43" s="65" t="s">
        <v>66</v>
      </c>
      <c r="S43" s="65" t="s">
        <v>67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63"/>
      <c r="B45" s="49">
        <v>1.0</v>
      </c>
      <c r="C45" s="50" t="s">
        <v>37</v>
      </c>
      <c r="D45" s="16"/>
      <c r="E45" s="19">
        <v>45.0</v>
      </c>
      <c r="F45" s="19">
        <v>27.0</v>
      </c>
      <c r="G45" s="19">
        <v>40.0</v>
      </c>
      <c r="H45" s="19">
        <v>32.0</v>
      </c>
      <c r="I45" s="19">
        <v>19.0</v>
      </c>
      <c r="J45" s="19">
        <v>39.0</v>
      </c>
      <c r="K45" s="19">
        <v>62.0</v>
      </c>
      <c r="L45" s="19">
        <v>49.0</v>
      </c>
      <c r="M45" s="19">
        <v>45.0</v>
      </c>
      <c r="N45" s="19">
        <v>34.0</v>
      </c>
      <c r="O45" s="19">
        <v>51.0</v>
      </c>
      <c r="P45" s="19">
        <v>64.0</v>
      </c>
      <c r="Q45" s="19">
        <v>52.0</v>
      </c>
      <c r="R45" s="19">
        <v>60.0</v>
      </c>
      <c r="S45" s="19">
        <v>44.0</v>
      </c>
      <c r="T45" s="13">
        <f t="shared" ref="T45:T52" si="14">SUM(E45:S45)</f>
        <v>663</v>
      </c>
    </row>
    <row r="46" ht="12.75" customHeight="1">
      <c r="A46" s="18"/>
      <c r="B46" s="49">
        <v>2.0</v>
      </c>
      <c r="C46" s="50" t="s">
        <v>38</v>
      </c>
      <c r="D46" s="16"/>
      <c r="E46" s="19">
        <v>147.0</v>
      </c>
      <c r="F46" s="19">
        <v>157.0</v>
      </c>
      <c r="G46" s="19">
        <v>157.0</v>
      </c>
      <c r="H46" s="19">
        <v>161.0</v>
      </c>
      <c r="I46" s="19">
        <v>148.0</v>
      </c>
      <c r="J46" s="19">
        <v>153.0</v>
      </c>
      <c r="K46" s="19">
        <v>152.0</v>
      </c>
      <c r="L46" s="19">
        <v>161.0</v>
      </c>
      <c r="M46" s="19">
        <v>134.0</v>
      </c>
      <c r="N46" s="19">
        <v>153.0</v>
      </c>
      <c r="O46" s="19">
        <v>125.0</v>
      </c>
      <c r="P46" s="19">
        <v>149.0</v>
      </c>
      <c r="Q46" s="19">
        <v>129.0</v>
      </c>
      <c r="R46" s="19">
        <v>143.0</v>
      </c>
      <c r="S46" s="19">
        <v>149.0</v>
      </c>
      <c r="T46" s="13">
        <f t="shared" si="14"/>
        <v>2218</v>
      </c>
    </row>
    <row r="47" ht="12.75" customHeight="1">
      <c r="A47" s="47"/>
      <c r="B47" s="49">
        <v>3.0</v>
      </c>
      <c r="C47" s="50" t="s">
        <v>39</v>
      </c>
      <c r="D47" s="16"/>
      <c r="E47" s="19">
        <v>24.0</v>
      </c>
      <c r="F47" s="19">
        <v>33.0</v>
      </c>
      <c r="G47" s="19">
        <v>31.0</v>
      </c>
      <c r="H47" s="19">
        <v>28.0</v>
      </c>
      <c r="I47" s="19">
        <v>27.0</v>
      </c>
      <c r="J47" s="19">
        <v>32.0</v>
      </c>
      <c r="K47" s="19">
        <v>28.0</v>
      </c>
      <c r="L47" s="19">
        <v>22.0</v>
      </c>
      <c r="M47" s="19">
        <v>20.0</v>
      </c>
      <c r="N47" s="19">
        <v>33.0</v>
      </c>
      <c r="O47" s="19">
        <v>29.0</v>
      </c>
      <c r="P47" s="19">
        <v>14.0</v>
      </c>
      <c r="Q47" s="19">
        <v>30.0</v>
      </c>
      <c r="R47" s="19">
        <v>12.0</v>
      </c>
      <c r="S47" s="19">
        <v>32.0</v>
      </c>
      <c r="T47" s="13">
        <f t="shared" si="14"/>
        <v>395</v>
      </c>
    </row>
    <row r="48" ht="12.75" customHeight="1">
      <c r="T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65" t="s">
        <v>50</v>
      </c>
      <c r="F49" s="65" t="s">
        <v>51</v>
      </c>
      <c r="G49" s="65" t="s">
        <v>52</v>
      </c>
      <c r="H49" s="65" t="s">
        <v>53</v>
      </c>
      <c r="I49" s="65" t="s">
        <v>54</v>
      </c>
      <c r="J49" s="65" t="s">
        <v>55</v>
      </c>
      <c r="K49" s="65" t="s">
        <v>57</v>
      </c>
      <c r="L49" s="65" t="s">
        <v>58</v>
      </c>
      <c r="M49" s="65" t="s">
        <v>59</v>
      </c>
      <c r="N49" s="65" t="s">
        <v>61</v>
      </c>
      <c r="O49" s="65" t="s">
        <v>62</v>
      </c>
      <c r="P49" s="65" t="s">
        <v>63</v>
      </c>
      <c r="Q49" s="65" t="s">
        <v>64</v>
      </c>
      <c r="R49" s="65" t="s">
        <v>66</v>
      </c>
      <c r="S49" s="65" t="s">
        <v>67</v>
      </c>
      <c r="T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S50" si="15">SUM(E45:E47)</f>
        <v>216</v>
      </c>
      <c r="F50" s="19">
        <f t="shared" si="15"/>
        <v>217</v>
      </c>
      <c r="G50" s="19">
        <f t="shared" si="15"/>
        <v>228</v>
      </c>
      <c r="H50" s="19">
        <f t="shared" si="15"/>
        <v>221</v>
      </c>
      <c r="I50" s="19">
        <f t="shared" si="15"/>
        <v>194</v>
      </c>
      <c r="J50" s="19">
        <f t="shared" si="15"/>
        <v>224</v>
      </c>
      <c r="K50" s="19">
        <f t="shared" si="15"/>
        <v>242</v>
      </c>
      <c r="L50" s="19">
        <f t="shared" si="15"/>
        <v>232</v>
      </c>
      <c r="M50" s="19">
        <f t="shared" si="15"/>
        <v>199</v>
      </c>
      <c r="N50" s="19">
        <f t="shared" si="15"/>
        <v>220</v>
      </c>
      <c r="O50" s="19">
        <f t="shared" si="15"/>
        <v>205</v>
      </c>
      <c r="P50" s="19">
        <f t="shared" si="15"/>
        <v>227</v>
      </c>
      <c r="Q50" s="19">
        <f t="shared" si="15"/>
        <v>211</v>
      </c>
      <c r="R50" s="19">
        <f t="shared" si="15"/>
        <v>215</v>
      </c>
      <c r="S50" s="19">
        <f t="shared" si="15"/>
        <v>225</v>
      </c>
      <c r="T50" s="13">
        <f t="shared" si="14"/>
        <v>3276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6.0</v>
      </c>
      <c r="F51" s="19">
        <v>6.0</v>
      </c>
      <c r="G51" s="19">
        <v>2.0</v>
      </c>
      <c r="H51" s="19">
        <v>6.0</v>
      </c>
      <c r="I51" s="19">
        <v>5.0</v>
      </c>
      <c r="J51" s="19">
        <v>2.0</v>
      </c>
      <c r="K51" s="19">
        <v>2.0</v>
      </c>
      <c r="L51" s="19">
        <v>4.0</v>
      </c>
      <c r="M51" s="19">
        <v>7.0</v>
      </c>
      <c r="N51" s="19">
        <v>9.0</v>
      </c>
      <c r="O51" s="19">
        <v>9.0</v>
      </c>
      <c r="P51" s="19">
        <v>7.0</v>
      </c>
      <c r="Q51" s="19">
        <v>3.0</v>
      </c>
      <c r="R51" s="19">
        <v>5.0</v>
      </c>
      <c r="S51" s="19">
        <v>9.0</v>
      </c>
      <c r="T51" s="13">
        <f t="shared" si="14"/>
        <v>82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S52" si="16">SUM(E50:E51)</f>
        <v>222</v>
      </c>
      <c r="F52" s="13">
        <f t="shared" si="16"/>
        <v>223</v>
      </c>
      <c r="G52" s="13">
        <f t="shared" si="16"/>
        <v>230</v>
      </c>
      <c r="H52" s="13">
        <f t="shared" si="16"/>
        <v>227</v>
      </c>
      <c r="I52" s="13">
        <f t="shared" si="16"/>
        <v>199</v>
      </c>
      <c r="J52" s="13">
        <f t="shared" si="16"/>
        <v>226</v>
      </c>
      <c r="K52" s="13">
        <f t="shared" si="16"/>
        <v>244</v>
      </c>
      <c r="L52" s="13">
        <f t="shared" si="16"/>
        <v>236</v>
      </c>
      <c r="M52" s="13">
        <f t="shared" si="16"/>
        <v>206</v>
      </c>
      <c r="N52" s="13">
        <f t="shared" si="16"/>
        <v>229</v>
      </c>
      <c r="O52" s="13">
        <f t="shared" si="16"/>
        <v>214</v>
      </c>
      <c r="P52" s="13">
        <f t="shared" si="16"/>
        <v>234</v>
      </c>
      <c r="Q52" s="13">
        <f t="shared" si="16"/>
        <v>214</v>
      </c>
      <c r="R52" s="13">
        <f t="shared" si="16"/>
        <v>220</v>
      </c>
      <c r="S52" s="13">
        <f t="shared" si="16"/>
        <v>234</v>
      </c>
      <c r="T52" s="13">
        <f t="shared" si="14"/>
        <v>3358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47">
    <cfRule type="containsBlanks" dxfId="1" priority="10">
      <formula>LEN(TRIM(E45))=0</formula>
    </cfRule>
  </conditionalFormatting>
  <conditionalFormatting sqref="E50:S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132.0</v>
      </c>
      <c r="G14" s="19">
        <v>126.0</v>
      </c>
      <c r="H14" s="19">
        <v>116.0</v>
      </c>
      <c r="I14" s="19">
        <v>129.0</v>
      </c>
      <c r="J14" s="19">
        <v>127.0</v>
      </c>
      <c r="K14" s="19">
        <v>140.0</v>
      </c>
      <c r="L14" s="19">
        <v>127.0</v>
      </c>
      <c r="M14" s="19">
        <v>103.0</v>
      </c>
      <c r="N14" s="19">
        <v>120.0</v>
      </c>
      <c r="O14" s="19">
        <v>137.0</v>
      </c>
      <c r="P14" s="19">
        <v>152.0</v>
      </c>
      <c r="Q14" s="19">
        <v>140.0</v>
      </c>
      <c r="R14" s="19">
        <v>131.0</v>
      </c>
      <c r="S14" s="19">
        <v>152.0</v>
      </c>
      <c r="T14" s="13">
        <f t="shared" ref="T14:T16" si="1">SUM(E14:S14)</f>
        <v>1953</v>
      </c>
    </row>
    <row r="15" ht="12.75" customHeight="1">
      <c r="A15" s="18"/>
      <c r="B15" s="26"/>
      <c r="C15" s="27"/>
      <c r="D15" s="19" t="s">
        <v>13</v>
      </c>
      <c r="E15" s="19">
        <v>152.0</v>
      </c>
      <c r="F15" s="19">
        <v>131.0</v>
      </c>
      <c r="G15" s="19">
        <v>143.0</v>
      </c>
      <c r="H15" s="19">
        <v>124.0</v>
      </c>
      <c r="I15" s="19">
        <v>131.0</v>
      </c>
      <c r="J15" s="19">
        <v>132.0</v>
      </c>
      <c r="K15" s="19">
        <v>144.0</v>
      </c>
      <c r="L15" s="19">
        <v>128.0</v>
      </c>
      <c r="M15" s="19">
        <v>120.0</v>
      </c>
      <c r="N15" s="19">
        <v>119.0</v>
      </c>
      <c r="O15" s="19">
        <v>146.0</v>
      </c>
      <c r="P15" s="19">
        <v>137.0</v>
      </c>
      <c r="Q15" s="19">
        <v>151.0</v>
      </c>
      <c r="R15" s="19">
        <v>142.0</v>
      </c>
      <c r="S15" s="19">
        <v>137.0</v>
      </c>
      <c r="T15" s="13">
        <f t="shared" si="1"/>
        <v>2037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273</v>
      </c>
      <c r="F16" s="13">
        <f t="shared" si="2"/>
        <v>263</v>
      </c>
      <c r="G16" s="13">
        <f t="shared" si="2"/>
        <v>269</v>
      </c>
      <c r="H16" s="13">
        <f t="shared" si="2"/>
        <v>240</v>
      </c>
      <c r="I16" s="13">
        <f t="shared" si="2"/>
        <v>260</v>
      </c>
      <c r="J16" s="13">
        <f t="shared" si="2"/>
        <v>259</v>
      </c>
      <c r="K16" s="13">
        <f t="shared" si="2"/>
        <v>284</v>
      </c>
      <c r="L16" s="13">
        <f t="shared" si="2"/>
        <v>255</v>
      </c>
      <c r="M16" s="13">
        <f t="shared" si="2"/>
        <v>223</v>
      </c>
      <c r="N16" s="13">
        <f t="shared" si="2"/>
        <v>239</v>
      </c>
      <c r="O16" s="13">
        <f t="shared" si="2"/>
        <v>283</v>
      </c>
      <c r="P16" s="13">
        <f t="shared" si="2"/>
        <v>289</v>
      </c>
      <c r="Q16" s="13">
        <f t="shared" si="2"/>
        <v>291</v>
      </c>
      <c r="R16" s="13">
        <f t="shared" si="2"/>
        <v>273</v>
      </c>
      <c r="S16" s="13">
        <f t="shared" si="2"/>
        <v>289</v>
      </c>
      <c r="T16" s="13">
        <f t="shared" si="1"/>
        <v>3990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13" t="s">
        <v>67</v>
      </c>
      <c r="T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86.0</v>
      </c>
      <c r="F19" s="19">
        <v>91.0</v>
      </c>
      <c r="G19" s="19">
        <v>87.0</v>
      </c>
      <c r="H19" s="19">
        <v>85.0</v>
      </c>
      <c r="I19" s="19">
        <v>89.0</v>
      </c>
      <c r="J19" s="19">
        <v>93.0</v>
      </c>
      <c r="K19" s="19">
        <v>108.0</v>
      </c>
      <c r="L19" s="19">
        <v>86.0</v>
      </c>
      <c r="M19" s="19">
        <v>78.0</v>
      </c>
      <c r="N19" s="19">
        <v>85.0</v>
      </c>
      <c r="O19" s="19">
        <v>114.0</v>
      </c>
      <c r="P19" s="19">
        <v>108.0</v>
      </c>
      <c r="Q19" s="19">
        <v>107.0</v>
      </c>
      <c r="R19" s="19">
        <v>105.0</v>
      </c>
      <c r="S19" s="19">
        <v>126.0</v>
      </c>
      <c r="T19" s="13">
        <f t="shared" ref="T19:T30" si="3">SUM(E19:S19)</f>
        <v>1448</v>
      </c>
    </row>
    <row r="20" ht="12.75" customHeight="1">
      <c r="A20" s="34"/>
      <c r="B20" s="27"/>
      <c r="C20" s="35"/>
      <c r="D20" s="19" t="s">
        <v>13</v>
      </c>
      <c r="E20" s="19">
        <v>121.0</v>
      </c>
      <c r="F20" s="19">
        <v>110.0</v>
      </c>
      <c r="G20" s="19">
        <v>115.0</v>
      </c>
      <c r="H20" s="19">
        <v>103.0</v>
      </c>
      <c r="I20" s="19">
        <v>108.0</v>
      </c>
      <c r="J20" s="19">
        <v>104.0</v>
      </c>
      <c r="K20" s="19">
        <v>117.0</v>
      </c>
      <c r="L20" s="19">
        <v>112.0</v>
      </c>
      <c r="M20" s="19">
        <v>103.0</v>
      </c>
      <c r="N20" s="19">
        <v>98.0</v>
      </c>
      <c r="O20" s="19">
        <v>121.0</v>
      </c>
      <c r="P20" s="19">
        <v>111.0</v>
      </c>
      <c r="Q20" s="19">
        <v>121.0</v>
      </c>
      <c r="R20" s="19">
        <v>124.0</v>
      </c>
      <c r="S20" s="19">
        <v>124.0</v>
      </c>
      <c r="T20" s="13">
        <f t="shared" si="3"/>
        <v>1692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207</v>
      </c>
      <c r="F21" s="13">
        <f t="shared" si="4"/>
        <v>201</v>
      </c>
      <c r="G21" s="13">
        <f t="shared" si="4"/>
        <v>202</v>
      </c>
      <c r="H21" s="13">
        <f t="shared" si="4"/>
        <v>188</v>
      </c>
      <c r="I21" s="13">
        <f t="shared" si="4"/>
        <v>197</v>
      </c>
      <c r="J21" s="13">
        <f t="shared" si="4"/>
        <v>197</v>
      </c>
      <c r="K21" s="13">
        <f t="shared" si="4"/>
        <v>225</v>
      </c>
      <c r="L21" s="13">
        <f t="shared" si="4"/>
        <v>198</v>
      </c>
      <c r="M21" s="13">
        <f t="shared" si="4"/>
        <v>181</v>
      </c>
      <c r="N21" s="13">
        <f t="shared" si="4"/>
        <v>183</v>
      </c>
      <c r="O21" s="13">
        <f t="shared" si="4"/>
        <v>235</v>
      </c>
      <c r="P21" s="13">
        <f t="shared" si="4"/>
        <v>219</v>
      </c>
      <c r="Q21" s="13">
        <f t="shared" si="4"/>
        <v>228</v>
      </c>
      <c r="R21" s="13">
        <f t="shared" si="4"/>
        <v>229</v>
      </c>
      <c r="S21" s="13">
        <f t="shared" si="4"/>
        <v>250</v>
      </c>
      <c r="T21" s="13">
        <f t="shared" si="3"/>
        <v>3140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86</v>
      </c>
      <c r="F28" s="13">
        <f t="shared" si="7"/>
        <v>91</v>
      </c>
      <c r="G28" s="13">
        <f t="shared" si="7"/>
        <v>87</v>
      </c>
      <c r="H28" s="13">
        <f t="shared" si="7"/>
        <v>86</v>
      </c>
      <c r="I28" s="13">
        <f t="shared" si="7"/>
        <v>89</v>
      </c>
      <c r="J28" s="13">
        <f t="shared" si="7"/>
        <v>93</v>
      </c>
      <c r="K28" s="13">
        <f t="shared" si="7"/>
        <v>108</v>
      </c>
      <c r="L28" s="13">
        <f t="shared" si="7"/>
        <v>86</v>
      </c>
      <c r="M28" s="13">
        <f t="shared" si="7"/>
        <v>78</v>
      </c>
      <c r="N28" s="13">
        <f t="shared" si="7"/>
        <v>85</v>
      </c>
      <c r="O28" s="13">
        <f t="shared" si="7"/>
        <v>114</v>
      </c>
      <c r="P28" s="13">
        <f t="shared" si="7"/>
        <v>108</v>
      </c>
      <c r="Q28" s="13">
        <f t="shared" si="7"/>
        <v>107</v>
      </c>
      <c r="R28" s="13">
        <f t="shared" si="7"/>
        <v>105</v>
      </c>
      <c r="S28" s="13">
        <f t="shared" si="7"/>
        <v>126</v>
      </c>
      <c r="T28" s="13">
        <f t="shared" si="3"/>
        <v>1449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122</v>
      </c>
      <c r="F29" s="13">
        <f t="shared" si="8"/>
        <v>110</v>
      </c>
      <c r="G29" s="13">
        <f t="shared" si="8"/>
        <v>115</v>
      </c>
      <c r="H29" s="13">
        <f t="shared" si="8"/>
        <v>103</v>
      </c>
      <c r="I29" s="13">
        <f t="shared" si="8"/>
        <v>108</v>
      </c>
      <c r="J29" s="13">
        <f t="shared" si="8"/>
        <v>104</v>
      </c>
      <c r="K29" s="13">
        <f t="shared" si="8"/>
        <v>117</v>
      </c>
      <c r="L29" s="13">
        <f t="shared" si="8"/>
        <v>112</v>
      </c>
      <c r="M29" s="13">
        <f t="shared" si="8"/>
        <v>103</v>
      </c>
      <c r="N29" s="13">
        <f t="shared" si="8"/>
        <v>98</v>
      </c>
      <c r="O29" s="13">
        <f t="shared" si="8"/>
        <v>121</v>
      </c>
      <c r="P29" s="13">
        <f t="shared" si="8"/>
        <v>111</v>
      </c>
      <c r="Q29" s="13">
        <f t="shared" si="8"/>
        <v>121</v>
      </c>
      <c r="R29" s="13">
        <f t="shared" si="8"/>
        <v>124</v>
      </c>
      <c r="S29" s="13">
        <f t="shared" si="8"/>
        <v>124</v>
      </c>
      <c r="T29" s="13">
        <f t="shared" si="3"/>
        <v>1693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208</v>
      </c>
      <c r="F30" s="13">
        <f t="shared" si="9"/>
        <v>201</v>
      </c>
      <c r="G30" s="13">
        <f t="shared" si="9"/>
        <v>202</v>
      </c>
      <c r="H30" s="13">
        <f t="shared" si="9"/>
        <v>189</v>
      </c>
      <c r="I30" s="13">
        <f t="shared" si="9"/>
        <v>197</v>
      </c>
      <c r="J30" s="13">
        <f t="shared" si="9"/>
        <v>197</v>
      </c>
      <c r="K30" s="13">
        <f t="shared" si="9"/>
        <v>225</v>
      </c>
      <c r="L30" s="13">
        <f t="shared" si="9"/>
        <v>198</v>
      </c>
      <c r="M30" s="13">
        <f t="shared" si="9"/>
        <v>181</v>
      </c>
      <c r="N30" s="13">
        <f t="shared" si="9"/>
        <v>183</v>
      </c>
      <c r="O30" s="13">
        <f t="shared" si="9"/>
        <v>235</v>
      </c>
      <c r="P30" s="13">
        <f t="shared" si="9"/>
        <v>219</v>
      </c>
      <c r="Q30" s="13">
        <f t="shared" si="9"/>
        <v>228</v>
      </c>
      <c r="R30" s="13">
        <f t="shared" si="9"/>
        <v>229</v>
      </c>
      <c r="S30" s="13">
        <f t="shared" si="9"/>
        <v>250</v>
      </c>
      <c r="T30" s="13">
        <f t="shared" si="3"/>
        <v>3142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13" t="s">
        <v>61</v>
      </c>
      <c r="O32" s="13" t="s">
        <v>62</v>
      </c>
      <c r="P32" s="13" t="s">
        <v>63</v>
      </c>
      <c r="Q32" s="13" t="s">
        <v>64</v>
      </c>
      <c r="R32" s="13" t="s">
        <v>66</v>
      </c>
      <c r="S32" s="13" t="s">
        <v>67</v>
      </c>
      <c r="T32" s="62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269.0</v>
      </c>
      <c r="G33" s="19">
        <v>275.0</v>
      </c>
      <c r="H33" s="19">
        <v>245.0</v>
      </c>
      <c r="I33" s="19">
        <v>266.0</v>
      </c>
      <c r="J33" s="19">
        <v>265.0</v>
      </c>
      <c r="K33" s="19">
        <v>281.0</v>
      </c>
      <c r="L33" s="19">
        <v>272.0</v>
      </c>
      <c r="M33" s="19">
        <v>238.0</v>
      </c>
      <c r="N33" s="19">
        <v>244.0</v>
      </c>
      <c r="O33" s="19">
        <v>290.0</v>
      </c>
      <c r="P33" s="19">
        <v>295.0</v>
      </c>
      <c r="Q33" s="19">
        <v>299.0</v>
      </c>
      <c r="R33" s="19">
        <v>279.0</v>
      </c>
      <c r="S33" s="19">
        <v>295.0</v>
      </c>
      <c r="T33" s="13">
        <f t="shared" ref="T33:T36" si="10">SUM(E33:S33)</f>
        <v>4092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201.0</v>
      </c>
      <c r="G34" s="13">
        <v>202.0</v>
      </c>
      <c r="H34" s="13">
        <v>189.0</v>
      </c>
      <c r="I34" s="13">
        <v>197.0</v>
      </c>
      <c r="J34" s="13">
        <v>197.0</v>
      </c>
      <c r="K34" s="13">
        <v>225.0</v>
      </c>
      <c r="L34" s="13">
        <v>198.0</v>
      </c>
      <c r="M34" s="13">
        <v>181.0</v>
      </c>
      <c r="N34" s="13">
        <v>183.0</v>
      </c>
      <c r="O34" s="13">
        <v>235.0</v>
      </c>
      <c r="P34" s="13">
        <v>219.0</v>
      </c>
      <c r="Q34" s="13">
        <v>228.0</v>
      </c>
      <c r="R34" s="13">
        <v>229.0</v>
      </c>
      <c r="S34" s="13">
        <v>250.0</v>
      </c>
      <c r="T34" s="13">
        <f t="shared" si="10"/>
        <v>3142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71</v>
      </c>
      <c r="F36" s="13">
        <f t="shared" si="11"/>
        <v>68</v>
      </c>
      <c r="G36" s="13">
        <f t="shared" si="11"/>
        <v>73</v>
      </c>
      <c r="H36" s="13">
        <f t="shared" si="11"/>
        <v>56</v>
      </c>
      <c r="I36" s="13">
        <f t="shared" si="11"/>
        <v>69</v>
      </c>
      <c r="J36" s="13">
        <f t="shared" si="11"/>
        <v>68</v>
      </c>
      <c r="K36" s="13">
        <f t="shared" si="11"/>
        <v>56</v>
      </c>
      <c r="L36" s="13">
        <f t="shared" si="11"/>
        <v>74</v>
      </c>
      <c r="M36" s="13">
        <f t="shared" si="11"/>
        <v>57</v>
      </c>
      <c r="N36" s="13">
        <f t="shared" si="11"/>
        <v>61</v>
      </c>
      <c r="O36" s="13">
        <f t="shared" si="11"/>
        <v>55</v>
      </c>
      <c r="P36" s="13">
        <f t="shared" si="11"/>
        <v>76</v>
      </c>
      <c r="Q36" s="13">
        <f t="shared" si="11"/>
        <v>71</v>
      </c>
      <c r="R36" s="13">
        <f t="shared" si="11"/>
        <v>50</v>
      </c>
      <c r="S36" s="13">
        <f t="shared" si="11"/>
        <v>45</v>
      </c>
      <c r="T36" s="13">
        <f t="shared" si="10"/>
        <v>950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13" t="s">
        <v>61</v>
      </c>
      <c r="O38" s="13" t="s">
        <v>62</v>
      </c>
      <c r="P38" s="13" t="s">
        <v>63</v>
      </c>
      <c r="Q38" s="13" t="s">
        <v>64</v>
      </c>
      <c r="R38" s="13" t="s">
        <v>66</v>
      </c>
      <c r="S38" s="13" t="s">
        <v>67</v>
      </c>
      <c r="T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13" t="s">
        <v>61</v>
      </c>
      <c r="O43" s="13" t="s">
        <v>62</v>
      </c>
      <c r="P43" s="13" t="s">
        <v>63</v>
      </c>
      <c r="Q43" s="13" t="s">
        <v>64</v>
      </c>
      <c r="R43" s="13" t="s">
        <v>66</v>
      </c>
      <c r="S43" s="13" t="s">
        <v>67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3"/>
    </row>
    <row r="45" ht="12.75" customHeight="1">
      <c r="A45" s="63"/>
      <c r="B45" s="49">
        <v>1.0</v>
      </c>
      <c r="C45" s="50" t="s">
        <v>37</v>
      </c>
      <c r="D45" s="16"/>
      <c r="E45" s="19">
        <v>32.0</v>
      </c>
      <c r="F45" s="19">
        <v>53.0</v>
      </c>
      <c r="G45" s="19">
        <v>38.0</v>
      </c>
      <c r="H45" s="19">
        <v>52.0</v>
      </c>
      <c r="I45" s="19">
        <v>51.0</v>
      </c>
      <c r="J45" s="19">
        <v>27.0</v>
      </c>
      <c r="K45" s="19">
        <v>36.0</v>
      </c>
      <c r="L45" s="19">
        <v>28.0</v>
      </c>
      <c r="M45" s="19">
        <v>20.0</v>
      </c>
      <c r="N45" s="19">
        <v>26.0</v>
      </c>
      <c r="O45" s="19">
        <v>19.0</v>
      </c>
      <c r="P45" s="19">
        <v>32.0</v>
      </c>
      <c r="Q45" s="19">
        <v>22.0</v>
      </c>
      <c r="R45" s="19">
        <v>13.0</v>
      </c>
      <c r="S45" s="19">
        <v>21.0</v>
      </c>
      <c r="T45" s="13">
        <f t="shared" ref="T45:T52" si="14">SUM(E45:S45)</f>
        <v>470</v>
      </c>
    </row>
    <row r="46" ht="12.75" customHeight="1">
      <c r="A46" s="18"/>
      <c r="B46" s="49">
        <v>2.0</v>
      </c>
      <c r="C46" s="50" t="s">
        <v>38</v>
      </c>
      <c r="D46" s="16"/>
      <c r="E46" s="19">
        <v>155.0</v>
      </c>
      <c r="F46" s="19">
        <v>112.0</v>
      </c>
      <c r="G46" s="19">
        <v>143.0</v>
      </c>
      <c r="H46" s="19">
        <v>113.0</v>
      </c>
      <c r="I46" s="19">
        <v>126.0</v>
      </c>
      <c r="J46" s="19">
        <v>142.0</v>
      </c>
      <c r="K46" s="19">
        <v>152.0</v>
      </c>
      <c r="L46" s="19">
        <v>129.0</v>
      </c>
      <c r="M46" s="19">
        <v>143.0</v>
      </c>
      <c r="N46" s="19">
        <v>134.0</v>
      </c>
      <c r="O46" s="19">
        <v>183.0</v>
      </c>
      <c r="P46" s="19">
        <v>170.0</v>
      </c>
      <c r="Q46" s="19">
        <v>186.0</v>
      </c>
      <c r="R46" s="19">
        <v>204.0</v>
      </c>
      <c r="S46" s="19">
        <v>176.0</v>
      </c>
      <c r="T46" s="13">
        <f t="shared" si="14"/>
        <v>2268</v>
      </c>
    </row>
    <row r="47" ht="12.75" customHeight="1">
      <c r="A47" s="47"/>
      <c r="B47" s="49">
        <v>3.0</v>
      </c>
      <c r="C47" s="50" t="s">
        <v>39</v>
      </c>
      <c r="D47" s="16"/>
      <c r="E47" s="19">
        <v>18.0</v>
      </c>
      <c r="F47" s="19">
        <v>27.0</v>
      </c>
      <c r="G47" s="19">
        <v>18.0</v>
      </c>
      <c r="H47" s="19">
        <v>20.0</v>
      </c>
      <c r="I47" s="19">
        <v>15.0</v>
      </c>
      <c r="J47" s="19">
        <v>25.0</v>
      </c>
      <c r="K47" s="19">
        <v>33.0</v>
      </c>
      <c r="L47" s="19">
        <v>39.0</v>
      </c>
      <c r="M47" s="19">
        <v>16.0</v>
      </c>
      <c r="N47" s="19">
        <v>22.0</v>
      </c>
      <c r="O47" s="19">
        <v>27.0</v>
      </c>
      <c r="P47" s="19">
        <v>14.0</v>
      </c>
      <c r="Q47" s="19">
        <v>17.0</v>
      </c>
      <c r="R47" s="19">
        <v>6.0</v>
      </c>
      <c r="S47" s="19">
        <v>44.0</v>
      </c>
      <c r="T47" s="13">
        <f t="shared" si="14"/>
        <v>341</v>
      </c>
    </row>
    <row r="48" ht="12.75" customHeight="1">
      <c r="T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 t="s">
        <v>62</v>
      </c>
      <c r="P49" s="13" t="s">
        <v>63</v>
      </c>
      <c r="Q49" s="13" t="s">
        <v>64</v>
      </c>
      <c r="R49" s="13" t="s">
        <v>66</v>
      </c>
      <c r="S49" s="13" t="s">
        <v>67</v>
      </c>
      <c r="T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S50" si="15">SUM(E45:E47)</f>
        <v>205</v>
      </c>
      <c r="F50" s="19">
        <f t="shared" si="15"/>
        <v>192</v>
      </c>
      <c r="G50" s="19">
        <f t="shared" si="15"/>
        <v>199</v>
      </c>
      <c r="H50" s="19">
        <f t="shared" si="15"/>
        <v>185</v>
      </c>
      <c r="I50" s="19">
        <f t="shared" si="15"/>
        <v>192</v>
      </c>
      <c r="J50" s="19">
        <f t="shared" si="15"/>
        <v>194</v>
      </c>
      <c r="K50" s="19">
        <f t="shared" si="15"/>
        <v>221</v>
      </c>
      <c r="L50" s="19">
        <f t="shared" si="15"/>
        <v>196</v>
      </c>
      <c r="M50" s="19">
        <f t="shared" si="15"/>
        <v>179</v>
      </c>
      <c r="N50" s="19">
        <f t="shared" si="15"/>
        <v>182</v>
      </c>
      <c r="O50" s="19">
        <f t="shared" si="15"/>
        <v>229</v>
      </c>
      <c r="P50" s="19">
        <f t="shared" si="15"/>
        <v>216</v>
      </c>
      <c r="Q50" s="19">
        <f t="shared" si="15"/>
        <v>225</v>
      </c>
      <c r="R50" s="19">
        <f t="shared" si="15"/>
        <v>223</v>
      </c>
      <c r="S50" s="19">
        <f t="shared" si="15"/>
        <v>241</v>
      </c>
      <c r="T50" s="13">
        <f t="shared" si="14"/>
        <v>3079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3.0</v>
      </c>
      <c r="F51" s="19">
        <v>9.0</v>
      </c>
      <c r="G51" s="19">
        <v>3.0</v>
      </c>
      <c r="H51" s="19">
        <v>4.0</v>
      </c>
      <c r="I51" s="19">
        <v>5.0</v>
      </c>
      <c r="J51" s="19">
        <v>3.0</v>
      </c>
      <c r="K51" s="19">
        <v>4.0</v>
      </c>
      <c r="L51" s="19">
        <v>2.0</v>
      </c>
      <c r="M51" s="19">
        <v>2.0</v>
      </c>
      <c r="N51" s="19">
        <v>1.0</v>
      </c>
      <c r="O51" s="19">
        <v>6.0</v>
      </c>
      <c r="P51" s="19">
        <v>3.0</v>
      </c>
      <c r="Q51" s="19">
        <v>3.0</v>
      </c>
      <c r="R51" s="19">
        <v>6.0</v>
      </c>
      <c r="S51" s="19">
        <v>9.0</v>
      </c>
      <c r="T51" s="13">
        <f t="shared" si="14"/>
        <v>63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S52" si="16">SUM(E50:E51)</f>
        <v>208</v>
      </c>
      <c r="F52" s="13">
        <f t="shared" si="16"/>
        <v>201</v>
      </c>
      <c r="G52" s="13">
        <f t="shared" si="16"/>
        <v>202</v>
      </c>
      <c r="H52" s="13">
        <f t="shared" si="16"/>
        <v>189</v>
      </c>
      <c r="I52" s="13">
        <f t="shared" si="16"/>
        <v>197</v>
      </c>
      <c r="J52" s="13">
        <f t="shared" si="16"/>
        <v>197</v>
      </c>
      <c r="K52" s="13">
        <f t="shared" si="16"/>
        <v>225</v>
      </c>
      <c r="L52" s="13">
        <f t="shared" si="16"/>
        <v>198</v>
      </c>
      <c r="M52" s="13">
        <f t="shared" si="16"/>
        <v>181</v>
      </c>
      <c r="N52" s="13">
        <f t="shared" si="16"/>
        <v>183</v>
      </c>
      <c r="O52" s="13">
        <f t="shared" si="16"/>
        <v>235</v>
      </c>
      <c r="P52" s="13">
        <f t="shared" si="16"/>
        <v>219</v>
      </c>
      <c r="Q52" s="13">
        <f t="shared" si="16"/>
        <v>228</v>
      </c>
      <c r="R52" s="13">
        <f t="shared" si="16"/>
        <v>229</v>
      </c>
      <c r="S52" s="13">
        <f t="shared" si="16"/>
        <v>250</v>
      </c>
      <c r="T52" s="13">
        <f t="shared" si="14"/>
        <v>3142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47">
    <cfRule type="containsBlanks" dxfId="1" priority="10">
      <formula>LEN(TRIM(E45))=0</formula>
    </cfRule>
  </conditionalFormatting>
  <conditionalFormatting sqref="E50:S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147.0</v>
      </c>
      <c r="H14" s="19">
        <v>146.0</v>
      </c>
      <c r="I14" s="19">
        <v>104.0</v>
      </c>
      <c r="J14" s="19">
        <v>123.0</v>
      </c>
      <c r="K14" s="19">
        <v>133.0</v>
      </c>
      <c r="L14" s="19">
        <v>130.0</v>
      </c>
      <c r="M14" s="19">
        <v>121.0</v>
      </c>
      <c r="N14" s="19">
        <v>132.0</v>
      </c>
      <c r="O14" s="13">
        <f t="shared" ref="O14:O16" si="1">SUM(E14:N14)</f>
        <v>1305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125.0</v>
      </c>
      <c r="G15" s="19">
        <v>108.0</v>
      </c>
      <c r="H15" s="19">
        <v>137.0</v>
      </c>
      <c r="I15" s="19">
        <v>112.0</v>
      </c>
      <c r="J15" s="19">
        <v>133.0</v>
      </c>
      <c r="K15" s="19">
        <v>134.0</v>
      </c>
      <c r="L15" s="19">
        <v>133.0</v>
      </c>
      <c r="M15" s="19">
        <v>126.0</v>
      </c>
      <c r="N15" s="19">
        <v>128.0</v>
      </c>
      <c r="O15" s="13">
        <f t="shared" si="1"/>
        <v>1263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252</v>
      </c>
      <c r="F16" s="13">
        <f t="shared" si="2"/>
        <v>269</v>
      </c>
      <c r="G16" s="13">
        <f t="shared" si="2"/>
        <v>255</v>
      </c>
      <c r="H16" s="13">
        <f t="shared" si="2"/>
        <v>283</v>
      </c>
      <c r="I16" s="13">
        <f t="shared" si="2"/>
        <v>216</v>
      </c>
      <c r="J16" s="13">
        <f t="shared" si="2"/>
        <v>256</v>
      </c>
      <c r="K16" s="13">
        <f t="shared" si="2"/>
        <v>267</v>
      </c>
      <c r="L16" s="13">
        <f t="shared" si="2"/>
        <v>263</v>
      </c>
      <c r="M16" s="13">
        <f t="shared" si="2"/>
        <v>247</v>
      </c>
      <c r="N16" s="13">
        <f t="shared" si="2"/>
        <v>260</v>
      </c>
      <c r="O16" s="13">
        <f t="shared" si="1"/>
        <v>2568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66" t="s">
        <v>61</v>
      </c>
      <c r="O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106.0</v>
      </c>
      <c r="F19" s="19">
        <v>112.0</v>
      </c>
      <c r="G19" s="19">
        <v>103.0</v>
      </c>
      <c r="H19" s="19">
        <v>122.0</v>
      </c>
      <c r="I19" s="19">
        <v>98.0</v>
      </c>
      <c r="J19" s="19">
        <v>111.0</v>
      </c>
      <c r="K19" s="19">
        <v>110.0</v>
      </c>
      <c r="L19" s="19">
        <v>109.0</v>
      </c>
      <c r="M19" s="19">
        <v>101.0</v>
      </c>
      <c r="N19" s="19">
        <v>113.0</v>
      </c>
      <c r="O19" s="13">
        <f t="shared" ref="O19:O30" si="3">SUM(E19:N19)</f>
        <v>1085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111.0</v>
      </c>
      <c r="G20" s="19">
        <v>123.0</v>
      </c>
      <c r="H20" s="19">
        <v>125.0</v>
      </c>
      <c r="I20" s="19">
        <v>107.0</v>
      </c>
      <c r="J20" s="19">
        <v>123.0</v>
      </c>
      <c r="K20" s="19">
        <v>117.0</v>
      </c>
      <c r="L20" s="19">
        <v>116.0</v>
      </c>
      <c r="M20" s="19">
        <v>115.0</v>
      </c>
      <c r="N20" s="19">
        <v>114.0</v>
      </c>
      <c r="O20" s="13">
        <f t="shared" si="3"/>
        <v>1167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222</v>
      </c>
      <c r="F21" s="13">
        <f t="shared" si="4"/>
        <v>223</v>
      </c>
      <c r="G21" s="13">
        <f t="shared" si="4"/>
        <v>226</v>
      </c>
      <c r="H21" s="13">
        <f t="shared" si="4"/>
        <v>247</v>
      </c>
      <c r="I21" s="13">
        <f t="shared" si="4"/>
        <v>205</v>
      </c>
      <c r="J21" s="13">
        <f t="shared" si="4"/>
        <v>234</v>
      </c>
      <c r="K21" s="13">
        <f t="shared" si="4"/>
        <v>227</v>
      </c>
      <c r="L21" s="13">
        <f t="shared" si="4"/>
        <v>225</v>
      </c>
      <c r="M21" s="13">
        <f t="shared" si="4"/>
        <v>216</v>
      </c>
      <c r="N21" s="13">
        <f t="shared" si="4"/>
        <v>227</v>
      </c>
      <c r="O21" s="13">
        <f t="shared" si="3"/>
        <v>2252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2.0</v>
      </c>
      <c r="M23" s="19">
        <v>0.0</v>
      </c>
      <c r="N23" s="19">
        <v>2.0</v>
      </c>
      <c r="O23" s="13">
        <f t="shared" si="3"/>
        <v>9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1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3"/>
        <v>12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106</v>
      </c>
      <c r="F28" s="13">
        <f t="shared" si="7"/>
        <v>113</v>
      </c>
      <c r="G28" s="13">
        <f t="shared" si="7"/>
        <v>103</v>
      </c>
      <c r="H28" s="13">
        <f t="shared" si="7"/>
        <v>122</v>
      </c>
      <c r="I28" s="13">
        <f t="shared" si="7"/>
        <v>98</v>
      </c>
      <c r="J28" s="13">
        <f t="shared" si="7"/>
        <v>112</v>
      </c>
      <c r="K28" s="13">
        <f t="shared" si="7"/>
        <v>111</v>
      </c>
      <c r="L28" s="13">
        <f t="shared" si="7"/>
        <v>109</v>
      </c>
      <c r="M28" s="13">
        <f t="shared" si="7"/>
        <v>101</v>
      </c>
      <c r="N28" s="13">
        <f t="shared" si="7"/>
        <v>113</v>
      </c>
      <c r="O28" s="13">
        <f t="shared" si="3"/>
        <v>1088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117</v>
      </c>
      <c r="F29" s="13">
        <f t="shared" si="8"/>
        <v>114</v>
      </c>
      <c r="G29" s="13">
        <f t="shared" si="8"/>
        <v>125</v>
      </c>
      <c r="H29" s="13">
        <f t="shared" si="8"/>
        <v>125</v>
      </c>
      <c r="I29" s="13">
        <f t="shared" si="8"/>
        <v>107</v>
      </c>
      <c r="J29" s="13">
        <f t="shared" si="8"/>
        <v>123</v>
      </c>
      <c r="K29" s="13">
        <f t="shared" si="8"/>
        <v>119</v>
      </c>
      <c r="L29" s="13">
        <f t="shared" si="8"/>
        <v>118</v>
      </c>
      <c r="M29" s="13">
        <f t="shared" si="8"/>
        <v>115</v>
      </c>
      <c r="N29" s="13">
        <f t="shared" si="8"/>
        <v>116</v>
      </c>
      <c r="O29" s="13">
        <f t="shared" si="3"/>
        <v>1179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223</v>
      </c>
      <c r="F30" s="13">
        <f t="shared" si="9"/>
        <v>227</v>
      </c>
      <c r="G30" s="13">
        <f t="shared" si="9"/>
        <v>228</v>
      </c>
      <c r="H30" s="13">
        <f t="shared" si="9"/>
        <v>247</v>
      </c>
      <c r="I30" s="13">
        <f t="shared" si="9"/>
        <v>205</v>
      </c>
      <c r="J30" s="13">
        <f t="shared" si="9"/>
        <v>235</v>
      </c>
      <c r="K30" s="13">
        <f t="shared" si="9"/>
        <v>230</v>
      </c>
      <c r="L30" s="13">
        <f t="shared" si="9"/>
        <v>227</v>
      </c>
      <c r="M30" s="13">
        <f t="shared" si="9"/>
        <v>216</v>
      </c>
      <c r="N30" s="13">
        <f t="shared" si="9"/>
        <v>229</v>
      </c>
      <c r="O30" s="13">
        <f t="shared" si="3"/>
        <v>2267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66" t="s">
        <v>61</v>
      </c>
      <c r="O32" s="62"/>
    </row>
    <row r="33" ht="12.75" customHeight="1">
      <c r="A33" s="19">
        <v>1.0</v>
      </c>
      <c r="B33" s="20" t="s">
        <v>27</v>
      </c>
      <c r="C33" s="15"/>
      <c r="D33" s="16"/>
      <c r="E33" s="19">
        <v>259.0</v>
      </c>
      <c r="F33" s="19">
        <v>275.0</v>
      </c>
      <c r="G33" s="19">
        <v>261.0</v>
      </c>
      <c r="H33" s="19">
        <v>288.0</v>
      </c>
      <c r="I33" s="19">
        <v>221.0</v>
      </c>
      <c r="J33" s="19">
        <v>262.0</v>
      </c>
      <c r="K33" s="19">
        <v>273.0</v>
      </c>
      <c r="L33" s="19">
        <v>269.0</v>
      </c>
      <c r="M33" s="19">
        <v>252.0</v>
      </c>
      <c r="N33" s="19">
        <v>266.0</v>
      </c>
      <c r="O33" s="13">
        <f t="shared" ref="O33:O36" si="10">SUM(E33:N33)</f>
        <v>2626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227.0</v>
      </c>
      <c r="G34" s="13">
        <v>228.0</v>
      </c>
      <c r="H34" s="13">
        <v>247.0</v>
      </c>
      <c r="I34" s="13">
        <v>205.0</v>
      </c>
      <c r="J34" s="13">
        <v>235.0</v>
      </c>
      <c r="K34" s="13">
        <v>230.0</v>
      </c>
      <c r="L34" s="13">
        <v>227.0</v>
      </c>
      <c r="M34" s="13">
        <v>216.0</v>
      </c>
      <c r="N34" s="13">
        <v>229.0</v>
      </c>
      <c r="O34" s="13">
        <f t="shared" si="10"/>
        <v>2267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36</v>
      </c>
      <c r="F36" s="13">
        <f t="shared" si="11"/>
        <v>48</v>
      </c>
      <c r="G36" s="13">
        <f t="shared" si="11"/>
        <v>32</v>
      </c>
      <c r="H36" s="13">
        <f t="shared" si="11"/>
        <v>41</v>
      </c>
      <c r="I36" s="13">
        <f t="shared" si="11"/>
        <v>16</v>
      </c>
      <c r="J36" s="13">
        <f t="shared" si="11"/>
        <v>27</v>
      </c>
      <c r="K36" s="13">
        <f t="shared" si="11"/>
        <v>43</v>
      </c>
      <c r="L36" s="13">
        <f t="shared" si="11"/>
        <v>42</v>
      </c>
      <c r="M36" s="13">
        <f t="shared" si="11"/>
        <v>36</v>
      </c>
      <c r="N36" s="13">
        <f t="shared" si="11"/>
        <v>37</v>
      </c>
      <c r="O36" s="13">
        <f t="shared" si="10"/>
        <v>358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66" t="s">
        <v>61</v>
      </c>
      <c r="O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2.0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66" t="s">
        <v>61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3"/>
    </row>
    <row r="45" ht="12.75" customHeight="1">
      <c r="A45" s="63"/>
      <c r="B45" s="49">
        <v>1.0</v>
      </c>
      <c r="C45" s="50" t="s">
        <v>37</v>
      </c>
      <c r="D45" s="16"/>
      <c r="E45" s="19">
        <v>39.0</v>
      </c>
      <c r="F45" s="19">
        <v>52.0</v>
      </c>
      <c r="G45" s="19">
        <v>85.0</v>
      </c>
      <c r="H45" s="19">
        <v>44.0</v>
      </c>
      <c r="I45" s="19">
        <v>74.0</v>
      </c>
      <c r="J45" s="19">
        <v>35.0</v>
      </c>
      <c r="K45" s="19">
        <v>25.0</v>
      </c>
      <c r="L45" s="19">
        <v>28.0</v>
      </c>
      <c r="M45" s="19">
        <v>28.0</v>
      </c>
      <c r="N45" s="19">
        <v>7.0</v>
      </c>
      <c r="O45" s="13">
        <f t="shared" ref="O45:O52" si="14">SUM(E45:N45)</f>
        <v>417</v>
      </c>
    </row>
    <row r="46" ht="12.75" customHeight="1">
      <c r="A46" s="18"/>
      <c r="B46" s="49">
        <v>2.0</v>
      </c>
      <c r="C46" s="50" t="s">
        <v>38</v>
      </c>
      <c r="D46" s="16"/>
      <c r="E46" s="19">
        <v>156.0</v>
      </c>
      <c r="F46" s="19">
        <v>146.0</v>
      </c>
      <c r="G46" s="19">
        <v>122.0</v>
      </c>
      <c r="H46" s="19">
        <v>165.0</v>
      </c>
      <c r="I46" s="19">
        <v>114.0</v>
      </c>
      <c r="J46" s="19">
        <v>154.0</v>
      </c>
      <c r="K46" s="19">
        <v>175.0</v>
      </c>
      <c r="L46" s="19">
        <v>154.0</v>
      </c>
      <c r="M46" s="19">
        <v>166.0</v>
      </c>
      <c r="N46" s="19">
        <v>195.0</v>
      </c>
      <c r="O46" s="13">
        <f t="shared" si="14"/>
        <v>1547</v>
      </c>
    </row>
    <row r="47" ht="12.75" customHeight="1">
      <c r="A47" s="47"/>
      <c r="B47" s="49">
        <v>3.0</v>
      </c>
      <c r="C47" s="50" t="s">
        <v>39</v>
      </c>
      <c r="D47" s="16"/>
      <c r="E47" s="19">
        <v>24.0</v>
      </c>
      <c r="F47" s="19">
        <v>19.0</v>
      </c>
      <c r="G47" s="19">
        <v>13.0</v>
      </c>
      <c r="H47" s="19">
        <v>26.0</v>
      </c>
      <c r="I47" s="19">
        <v>13.0</v>
      </c>
      <c r="J47" s="19">
        <v>25.0</v>
      </c>
      <c r="K47" s="19">
        <v>29.0</v>
      </c>
      <c r="L47" s="19">
        <v>38.0</v>
      </c>
      <c r="M47" s="19">
        <v>20.0</v>
      </c>
      <c r="N47" s="19">
        <v>23.0</v>
      </c>
      <c r="O47" s="13">
        <f t="shared" si="14"/>
        <v>230</v>
      </c>
    </row>
    <row r="48" ht="12.75" customHeight="1">
      <c r="O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N50" si="15">SUM(E45:E47)</f>
        <v>219</v>
      </c>
      <c r="F50" s="19">
        <f t="shared" si="15"/>
        <v>217</v>
      </c>
      <c r="G50" s="19">
        <f t="shared" si="15"/>
        <v>220</v>
      </c>
      <c r="H50" s="19">
        <f t="shared" si="15"/>
        <v>235</v>
      </c>
      <c r="I50" s="19">
        <f t="shared" si="15"/>
        <v>201</v>
      </c>
      <c r="J50" s="19">
        <f t="shared" si="15"/>
        <v>214</v>
      </c>
      <c r="K50" s="19">
        <f t="shared" si="15"/>
        <v>229</v>
      </c>
      <c r="L50" s="19">
        <f t="shared" si="15"/>
        <v>220</v>
      </c>
      <c r="M50" s="19">
        <f t="shared" si="15"/>
        <v>214</v>
      </c>
      <c r="N50" s="19">
        <f t="shared" si="15"/>
        <v>225</v>
      </c>
      <c r="O50" s="13">
        <f t="shared" si="14"/>
        <v>2194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4.0</v>
      </c>
      <c r="F51" s="19">
        <v>10.0</v>
      </c>
      <c r="G51" s="19">
        <v>8.0</v>
      </c>
      <c r="H51" s="19">
        <v>12.0</v>
      </c>
      <c r="I51" s="19">
        <v>4.0</v>
      </c>
      <c r="J51" s="19">
        <v>21.0</v>
      </c>
      <c r="K51" s="19">
        <v>1.0</v>
      </c>
      <c r="L51" s="19">
        <v>7.0</v>
      </c>
      <c r="M51" s="19">
        <v>2.0</v>
      </c>
      <c r="N51" s="19">
        <v>4.0</v>
      </c>
      <c r="O51" s="13">
        <f t="shared" si="14"/>
        <v>73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N52" si="16">SUM(E50:E51)</f>
        <v>223</v>
      </c>
      <c r="F52" s="13">
        <f t="shared" si="16"/>
        <v>227</v>
      </c>
      <c r="G52" s="13">
        <f t="shared" si="16"/>
        <v>228</v>
      </c>
      <c r="H52" s="13">
        <f t="shared" si="16"/>
        <v>247</v>
      </c>
      <c r="I52" s="13">
        <f t="shared" si="16"/>
        <v>205</v>
      </c>
      <c r="J52" s="13">
        <f t="shared" si="16"/>
        <v>235</v>
      </c>
      <c r="K52" s="13">
        <f t="shared" si="16"/>
        <v>230</v>
      </c>
      <c r="L52" s="13">
        <f t="shared" si="16"/>
        <v>227</v>
      </c>
      <c r="M52" s="13">
        <f t="shared" si="16"/>
        <v>216</v>
      </c>
      <c r="N52" s="13">
        <f t="shared" si="16"/>
        <v>229</v>
      </c>
      <c r="O52" s="13">
        <f t="shared" si="14"/>
        <v>2267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47">
    <cfRule type="containsBlanks" dxfId="1" priority="10">
      <formula>LEN(TRIM(E45))=0</formula>
    </cfRule>
  </conditionalFormatting>
  <conditionalFormatting sqref="E50:N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13" t="s">
        <v>68</v>
      </c>
      <c r="U13" s="13" t="s">
        <v>69</v>
      </c>
      <c r="V13" s="13" t="s">
        <v>70</v>
      </c>
      <c r="W13" s="13" t="s">
        <v>71</v>
      </c>
      <c r="X13" s="13" t="s">
        <v>77</v>
      </c>
      <c r="Y13" s="13" t="s">
        <v>78</v>
      </c>
      <c r="Z13" s="13" t="s">
        <v>79</v>
      </c>
      <c r="AA13" s="13" t="s">
        <v>80</v>
      </c>
      <c r="AB13" s="13" t="s">
        <v>81</v>
      </c>
      <c r="AC13" s="13" t="s">
        <v>82</v>
      </c>
      <c r="AD13" s="13" t="s">
        <v>83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19">
        <v>112.0</v>
      </c>
      <c r="F14" s="19">
        <v>131.0</v>
      </c>
      <c r="G14" s="19">
        <v>133.0</v>
      </c>
      <c r="H14" s="19">
        <v>135.0</v>
      </c>
      <c r="I14" s="19">
        <v>137.0</v>
      </c>
      <c r="J14" s="19">
        <v>138.0</v>
      </c>
      <c r="K14" s="19">
        <v>129.0</v>
      </c>
      <c r="L14" s="19">
        <v>147.0</v>
      </c>
      <c r="M14" s="19">
        <v>117.0</v>
      </c>
      <c r="N14" s="19">
        <v>154.0</v>
      </c>
      <c r="O14" s="19">
        <v>158.0</v>
      </c>
      <c r="P14" s="19">
        <v>136.0</v>
      </c>
      <c r="Q14" s="19">
        <v>136.0</v>
      </c>
      <c r="R14" s="19">
        <v>130.0</v>
      </c>
      <c r="S14" s="19">
        <v>142.0</v>
      </c>
      <c r="T14" s="19">
        <v>140.0</v>
      </c>
      <c r="U14" s="19">
        <v>135.0</v>
      </c>
      <c r="V14" s="19">
        <v>125.0</v>
      </c>
      <c r="W14" s="19">
        <v>136.0</v>
      </c>
      <c r="X14" s="19">
        <v>134.0</v>
      </c>
      <c r="Y14" s="19">
        <v>137.0</v>
      </c>
      <c r="Z14" s="19">
        <v>135.0</v>
      </c>
      <c r="AA14" s="19">
        <v>128.0</v>
      </c>
      <c r="AB14" s="19">
        <v>134.0</v>
      </c>
      <c r="AC14" s="19">
        <v>143.0</v>
      </c>
      <c r="AD14" s="19">
        <v>146.0</v>
      </c>
      <c r="AE14" s="13">
        <f t="shared" ref="AE14:AE16" si="1">SUM(E14:AD14)</f>
        <v>3528</v>
      </c>
    </row>
    <row r="15" ht="12.75" customHeight="1">
      <c r="A15" s="18"/>
      <c r="B15" s="26"/>
      <c r="C15" s="27"/>
      <c r="D15" s="19" t="s">
        <v>13</v>
      </c>
      <c r="E15" s="19">
        <v>98.0</v>
      </c>
      <c r="F15" s="19">
        <v>128.0</v>
      </c>
      <c r="G15" s="19">
        <v>133.0</v>
      </c>
      <c r="H15" s="19">
        <v>132.0</v>
      </c>
      <c r="I15" s="19">
        <v>131.0</v>
      </c>
      <c r="J15" s="19">
        <v>130.0</v>
      </c>
      <c r="K15" s="19">
        <v>136.0</v>
      </c>
      <c r="L15" s="19">
        <v>125.0</v>
      </c>
      <c r="M15" s="19">
        <v>115.0</v>
      </c>
      <c r="N15" s="19">
        <v>134.0</v>
      </c>
      <c r="O15" s="19">
        <v>141.0</v>
      </c>
      <c r="P15" s="19">
        <v>128.0</v>
      </c>
      <c r="Q15" s="19">
        <v>137.0</v>
      </c>
      <c r="R15" s="19">
        <v>133.0</v>
      </c>
      <c r="S15" s="19">
        <v>130.0</v>
      </c>
      <c r="T15" s="19">
        <v>136.0</v>
      </c>
      <c r="U15" s="19">
        <v>126.0</v>
      </c>
      <c r="V15" s="19">
        <v>139.0</v>
      </c>
      <c r="W15" s="19">
        <v>135.0</v>
      </c>
      <c r="X15" s="19">
        <v>136.0</v>
      </c>
      <c r="Y15" s="19">
        <v>133.0</v>
      </c>
      <c r="Z15" s="19">
        <v>131.0</v>
      </c>
      <c r="AA15" s="19">
        <v>136.0</v>
      </c>
      <c r="AB15" s="19">
        <v>133.0</v>
      </c>
      <c r="AC15" s="19">
        <v>137.0</v>
      </c>
      <c r="AD15" s="19">
        <v>145.0</v>
      </c>
      <c r="AE15" s="13">
        <f t="shared" si="1"/>
        <v>3418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210</v>
      </c>
      <c r="F16" s="13">
        <f t="shared" si="2"/>
        <v>259</v>
      </c>
      <c r="G16" s="13">
        <f t="shared" si="2"/>
        <v>266</v>
      </c>
      <c r="H16" s="13">
        <f t="shared" si="2"/>
        <v>267</v>
      </c>
      <c r="I16" s="13">
        <f t="shared" si="2"/>
        <v>268</v>
      </c>
      <c r="J16" s="13">
        <f t="shared" si="2"/>
        <v>268</v>
      </c>
      <c r="K16" s="13">
        <f t="shared" si="2"/>
        <v>265</v>
      </c>
      <c r="L16" s="13">
        <f t="shared" si="2"/>
        <v>272</v>
      </c>
      <c r="M16" s="13">
        <f t="shared" si="2"/>
        <v>232</v>
      </c>
      <c r="N16" s="13">
        <f t="shared" si="2"/>
        <v>288</v>
      </c>
      <c r="O16" s="13">
        <f t="shared" si="2"/>
        <v>299</v>
      </c>
      <c r="P16" s="13">
        <f t="shared" si="2"/>
        <v>264</v>
      </c>
      <c r="Q16" s="13">
        <f t="shared" si="2"/>
        <v>273</v>
      </c>
      <c r="R16" s="13">
        <f t="shared" si="2"/>
        <v>263</v>
      </c>
      <c r="S16" s="13">
        <f t="shared" si="2"/>
        <v>272</v>
      </c>
      <c r="T16" s="13">
        <f t="shared" si="2"/>
        <v>276</v>
      </c>
      <c r="U16" s="13">
        <f t="shared" si="2"/>
        <v>261</v>
      </c>
      <c r="V16" s="13">
        <f t="shared" si="2"/>
        <v>264</v>
      </c>
      <c r="W16" s="13">
        <f t="shared" si="2"/>
        <v>271</v>
      </c>
      <c r="X16" s="13">
        <f t="shared" si="2"/>
        <v>270</v>
      </c>
      <c r="Y16" s="13">
        <f t="shared" si="2"/>
        <v>270</v>
      </c>
      <c r="Z16" s="13">
        <f t="shared" si="2"/>
        <v>266</v>
      </c>
      <c r="AA16" s="13">
        <f t="shared" si="2"/>
        <v>264</v>
      </c>
      <c r="AB16" s="13">
        <f t="shared" si="2"/>
        <v>267</v>
      </c>
      <c r="AC16" s="13">
        <f t="shared" si="2"/>
        <v>280</v>
      </c>
      <c r="AD16" s="13">
        <f t="shared" si="2"/>
        <v>291</v>
      </c>
      <c r="AE16" s="13">
        <f t="shared" si="1"/>
        <v>6946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13" t="s">
        <v>67</v>
      </c>
      <c r="T18" s="13" t="s">
        <v>68</v>
      </c>
      <c r="U18" s="13" t="s">
        <v>69</v>
      </c>
      <c r="V18" s="13" t="s">
        <v>70</v>
      </c>
      <c r="W18" s="13" t="s">
        <v>71</v>
      </c>
      <c r="X18" s="13" t="s">
        <v>77</v>
      </c>
      <c r="Y18" s="13" t="s">
        <v>78</v>
      </c>
      <c r="Z18" s="13" t="s">
        <v>79</v>
      </c>
      <c r="AA18" s="13" t="s">
        <v>80</v>
      </c>
      <c r="AB18" s="13" t="s">
        <v>81</v>
      </c>
      <c r="AC18" s="13" t="s">
        <v>82</v>
      </c>
      <c r="AD18" s="13" t="s">
        <v>83</v>
      </c>
      <c r="AE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69.0</v>
      </c>
      <c r="F19" s="19">
        <v>95.0</v>
      </c>
      <c r="G19" s="19">
        <v>102.0</v>
      </c>
      <c r="H19" s="19">
        <v>111.0</v>
      </c>
      <c r="I19" s="19">
        <v>101.0</v>
      </c>
      <c r="J19" s="19">
        <v>97.0</v>
      </c>
      <c r="K19" s="19">
        <v>103.0</v>
      </c>
      <c r="L19" s="19">
        <v>105.0</v>
      </c>
      <c r="M19" s="19">
        <v>77.0</v>
      </c>
      <c r="N19" s="19">
        <v>118.0</v>
      </c>
      <c r="O19" s="19">
        <v>118.0</v>
      </c>
      <c r="P19" s="19">
        <v>105.0</v>
      </c>
      <c r="Q19" s="19">
        <v>100.0</v>
      </c>
      <c r="R19" s="19">
        <v>96.0</v>
      </c>
      <c r="S19" s="19">
        <v>119.0</v>
      </c>
      <c r="T19" s="19">
        <v>107.0</v>
      </c>
      <c r="U19" s="19">
        <v>93.0</v>
      </c>
      <c r="V19" s="19">
        <v>98.0</v>
      </c>
      <c r="W19" s="19">
        <v>94.0</v>
      </c>
      <c r="X19" s="19">
        <v>93.0</v>
      </c>
      <c r="Y19" s="19">
        <v>87.0</v>
      </c>
      <c r="Z19" s="19">
        <v>91.0</v>
      </c>
      <c r="AA19" s="19">
        <v>79.0</v>
      </c>
      <c r="AB19" s="19">
        <v>107.0</v>
      </c>
      <c r="AC19" s="19">
        <v>99.0</v>
      </c>
      <c r="AD19" s="19">
        <v>98.0</v>
      </c>
      <c r="AE19" s="13">
        <f t="shared" ref="AE19:AE30" si="3">SUM(E19:AD19)</f>
        <v>2562</v>
      </c>
    </row>
    <row r="20" ht="12.75" customHeight="1">
      <c r="A20" s="34"/>
      <c r="B20" s="27"/>
      <c r="C20" s="35"/>
      <c r="D20" s="19" t="s">
        <v>13</v>
      </c>
      <c r="E20" s="19">
        <v>66.0</v>
      </c>
      <c r="F20" s="19">
        <v>102.0</v>
      </c>
      <c r="G20" s="19">
        <v>110.0</v>
      </c>
      <c r="H20" s="19">
        <v>106.0</v>
      </c>
      <c r="I20" s="19">
        <v>108.0</v>
      </c>
      <c r="J20" s="19">
        <v>106.0</v>
      </c>
      <c r="K20" s="19">
        <v>106.0</v>
      </c>
      <c r="L20" s="19">
        <v>101.0</v>
      </c>
      <c r="M20" s="19">
        <v>95.0</v>
      </c>
      <c r="N20" s="19">
        <v>102.0</v>
      </c>
      <c r="O20" s="19">
        <v>107.0</v>
      </c>
      <c r="P20" s="19">
        <v>102.0</v>
      </c>
      <c r="Q20" s="19">
        <v>115.0</v>
      </c>
      <c r="R20" s="19">
        <v>107.0</v>
      </c>
      <c r="S20" s="19">
        <v>108.0</v>
      </c>
      <c r="T20" s="19">
        <v>111.0</v>
      </c>
      <c r="U20" s="19">
        <v>100.0</v>
      </c>
      <c r="V20" s="19">
        <v>109.0</v>
      </c>
      <c r="W20" s="19">
        <v>105.0</v>
      </c>
      <c r="X20" s="19">
        <v>105.0</v>
      </c>
      <c r="Y20" s="19">
        <v>100.0</v>
      </c>
      <c r="Z20" s="19">
        <v>96.0</v>
      </c>
      <c r="AA20" s="19">
        <v>97.0</v>
      </c>
      <c r="AB20" s="19">
        <v>110.0</v>
      </c>
      <c r="AC20" s="19">
        <v>108.0</v>
      </c>
      <c r="AD20" s="19">
        <v>101.0</v>
      </c>
      <c r="AE20" s="13">
        <f t="shared" si="3"/>
        <v>2683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135</v>
      </c>
      <c r="F21" s="13">
        <f t="shared" si="4"/>
        <v>197</v>
      </c>
      <c r="G21" s="13">
        <f t="shared" si="4"/>
        <v>212</v>
      </c>
      <c r="H21" s="13">
        <f t="shared" si="4"/>
        <v>217</v>
      </c>
      <c r="I21" s="13">
        <f t="shared" si="4"/>
        <v>209</v>
      </c>
      <c r="J21" s="13">
        <f t="shared" si="4"/>
        <v>203</v>
      </c>
      <c r="K21" s="13">
        <f t="shared" si="4"/>
        <v>209</v>
      </c>
      <c r="L21" s="13">
        <f t="shared" si="4"/>
        <v>206</v>
      </c>
      <c r="M21" s="13">
        <f t="shared" si="4"/>
        <v>172</v>
      </c>
      <c r="N21" s="13">
        <f t="shared" si="4"/>
        <v>220</v>
      </c>
      <c r="O21" s="13">
        <f t="shared" si="4"/>
        <v>225</v>
      </c>
      <c r="P21" s="13">
        <f t="shared" si="4"/>
        <v>207</v>
      </c>
      <c r="Q21" s="13">
        <f t="shared" si="4"/>
        <v>215</v>
      </c>
      <c r="R21" s="13">
        <f t="shared" si="4"/>
        <v>203</v>
      </c>
      <c r="S21" s="13">
        <f t="shared" si="4"/>
        <v>227</v>
      </c>
      <c r="T21" s="13">
        <f t="shared" si="4"/>
        <v>218</v>
      </c>
      <c r="U21" s="13">
        <f t="shared" si="4"/>
        <v>193</v>
      </c>
      <c r="V21" s="13">
        <f t="shared" si="4"/>
        <v>207</v>
      </c>
      <c r="W21" s="13">
        <f t="shared" si="4"/>
        <v>199</v>
      </c>
      <c r="X21" s="13">
        <f t="shared" si="4"/>
        <v>198</v>
      </c>
      <c r="Y21" s="13">
        <f t="shared" si="4"/>
        <v>187</v>
      </c>
      <c r="Z21" s="13">
        <f t="shared" si="4"/>
        <v>187</v>
      </c>
      <c r="AA21" s="13">
        <f t="shared" si="4"/>
        <v>176</v>
      </c>
      <c r="AB21" s="13">
        <f t="shared" si="4"/>
        <v>217</v>
      </c>
      <c r="AC21" s="13">
        <f t="shared" si="4"/>
        <v>207</v>
      </c>
      <c r="AD21" s="13">
        <f t="shared" si="4"/>
        <v>199</v>
      </c>
      <c r="AE21" s="13">
        <f t="shared" si="3"/>
        <v>5245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3.0</v>
      </c>
      <c r="H25" s="19">
        <v>1.0</v>
      </c>
      <c r="I25" s="19">
        <v>2.0</v>
      </c>
      <c r="J25" s="19">
        <v>2.0</v>
      </c>
      <c r="K25" s="19">
        <v>3.0</v>
      </c>
      <c r="L25" s="19">
        <v>0.0</v>
      </c>
      <c r="M25" s="19">
        <v>1.0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4.0</v>
      </c>
      <c r="H26" s="19">
        <v>0.0</v>
      </c>
      <c r="I26" s="19">
        <v>6.0</v>
      </c>
      <c r="J26" s="19">
        <v>5.0</v>
      </c>
      <c r="K26" s="19">
        <v>2.0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3">
        <f t="shared" si="3"/>
        <v>23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0</v>
      </c>
      <c r="F27" s="13">
        <f t="shared" si="6"/>
        <v>1</v>
      </c>
      <c r="G27" s="13">
        <f t="shared" si="6"/>
        <v>7</v>
      </c>
      <c r="H27" s="13">
        <f t="shared" si="6"/>
        <v>1</v>
      </c>
      <c r="I27" s="13">
        <f t="shared" si="6"/>
        <v>8</v>
      </c>
      <c r="J27" s="13">
        <f t="shared" si="6"/>
        <v>7</v>
      </c>
      <c r="K27" s="13">
        <f t="shared" si="6"/>
        <v>5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38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D28" si="7">SUM(E19,E22,E25)</f>
        <v>69</v>
      </c>
      <c r="F28" s="13">
        <f t="shared" si="7"/>
        <v>95</v>
      </c>
      <c r="G28" s="13">
        <f t="shared" si="7"/>
        <v>105</v>
      </c>
      <c r="H28" s="13">
        <f t="shared" si="7"/>
        <v>112</v>
      </c>
      <c r="I28" s="13">
        <f t="shared" si="7"/>
        <v>103</v>
      </c>
      <c r="J28" s="13">
        <f t="shared" si="7"/>
        <v>99</v>
      </c>
      <c r="K28" s="13">
        <f t="shared" si="7"/>
        <v>106</v>
      </c>
      <c r="L28" s="13">
        <f t="shared" si="7"/>
        <v>105</v>
      </c>
      <c r="M28" s="13">
        <f t="shared" si="7"/>
        <v>78</v>
      </c>
      <c r="N28" s="13">
        <f t="shared" si="7"/>
        <v>118</v>
      </c>
      <c r="O28" s="13">
        <f t="shared" si="7"/>
        <v>118</v>
      </c>
      <c r="P28" s="13">
        <f t="shared" si="7"/>
        <v>106</v>
      </c>
      <c r="Q28" s="13">
        <f t="shared" si="7"/>
        <v>100</v>
      </c>
      <c r="R28" s="13">
        <f t="shared" si="7"/>
        <v>97</v>
      </c>
      <c r="S28" s="13">
        <f t="shared" si="7"/>
        <v>119</v>
      </c>
      <c r="T28" s="13">
        <f t="shared" si="7"/>
        <v>108</v>
      </c>
      <c r="U28" s="13">
        <f t="shared" si="7"/>
        <v>93</v>
      </c>
      <c r="V28" s="13">
        <f t="shared" si="7"/>
        <v>98</v>
      </c>
      <c r="W28" s="13">
        <f t="shared" si="7"/>
        <v>94</v>
      </c>
      <c r="X28" s="13">
        <f t="shared" si="7"/>
        <v>93</v>
      </c>
      <c r="Y28" s="13">
        <f t="shared" si="7"/>
        <v>87</v>
      </c>
      <c r="Z28" s="13">
        <f t="shared" si="7"/>
        <v>92</v>
      </c>
      <c r="AA28" s="13">
        <f t="shared" si="7"/>
        <v>79</v>
      </c>
      <c r="AB28" s="13">
        <f t="shared" si="7"/>
        <v>107</v>
      </c>
      <c r="AC28" s="13">
        <f t="shared" si="7"/>
        <v>99</v>
      </c>
      <c r="AD28" s="13">
        <f t="shared" si="7"/>
        <v>98</v>
      </c>
      <c r="AE28" s="13">
        <f t="shared" si="3"/>
        <v>2578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66</v>
      </c>
      <c r="F29" s="13">
        <f t="shared" si="8"/>
        <v>103</v>
      </c>
      <c r="G29" s="13">
        <f t="shared" si="8"/>
        <v>114</v>
      </c>
      <c r="H29" s="13">
        <f t="shared" si="8"/>
        <v>106</v>
      </c>
      <c r="I29" s="13">
        <f t="shared" si="8"/>
        <v>114</v>
      </c>
      <c r="J29" s="13">
        <f t="shared" si="8"/>
        <v>111</v>
      </c>
      <c r="K29" s="13">
        <f t="shared" si="8"/>
        <v>108</v>
      </c>
      <c r="L29" s="13">
        <f t="shared" si="8"/>
        <v>101</v>
      </c>
      <c r="M29" s="13">
        <f t="shared" si="8"/>
        <v>98</v>
      </c>
      <c r="N29" s="13">
        <f t="shared" si="8"/>
        <v>102</v>
      </c>
      <c r="O29" s="13">
        <f t="shared" si="8"/>
        <v>107</v>
      </c>
      <c r="P29" s="13">
        <f t="shared" si="8"/>
        <v>102</v>
      </c>
      <c r="Q29" s="13">
        <f t="shared" si="8"/>
        <v>115</v>
      </c>
      <c r="R29" s="13">
        <f t="shared" si="8"/>
        <v>108</v>
      </c>
      <c r="S29" s="13">
        <f t="shared" si="8"/>
        <v>108</v>
      </c>
      <c r="T29" s="13">
        <f t="shared" si="8"/>
        <v>113</v>
      </c>
      <c r="U29" s="13">
        <f t="shared" si="8"/>
        <v>100</v>
      </c>
      <c r="V29" s="13">
        <f t="shared" si="8"/>
        <v>109</v>
      </c>
      <c r="W29" s="13">
        <f t="shared" si="8"/>
        <v>105</v>
      </c>
      <c r="X29" s="13">
        <f t="shared" si="8"/>
        <v>105</v>
      </c>
      <c r="Y29" s="13">
        <f t="shared" si="8"/>
        <v>100</v>
      </c>
      <c r="Z29" s="13">
        <f t="shared" si="8"/>
        <v>96</v>
      </c>
      <c r="AA29" s="13">
        <f t="shared" si="8"/>
        <v>97</v>
      </c>
      <c r="AB29" s="13">
        <f t="shared" si="8"/>
        <v>110</v>
      </c>
      <c r="AC29" s="13">
        <f t="shared" si="8"/>
        <v>108</v>
      </c>
      <c r="AD29" s="13">
        <f t="shared" si="8"/>
        <v>101</v>
      </c>
      <c r="AE29" s="13">
        <f t="shared" si="3"/>
        <v>2707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135</v>
      </c>
      <c r="F30" s="13">
        <f t="shared" si="9"/>
        <v>198</v>
      </c>
      <c r="G30" s="13">
        <f t="shared" si="9"/>
        <v>219</v>
      </c>
      <c r="H30" s="13">
        <f t="shared" si="9"/>
        <v>218</v>
      </c>
      <c r="I30" s="13">
        <f t="shared" si="9"/>
        <v>217</v>
      </c>
      <c r="J30" s="13">
        <f t="shared" si="9"/>
        <v>210</v>
      </c>
      <c r="K30" s="13">
        <f t="shared" si="9"/>
        <v>214</v>
      </c>
      <c r="L30" s="13">
        <f t="shared" si="9"/>
        <v>206</v>
      </c>
      <c r="M30" s="13">
        <f t="shared" si="9"/>
        <v>176</v>
      </c>
      <c r="N30" s="13">
        <f t="shared" si="9"/>
        <v>220</v>
      </c>
      <c r="O30" s="13">
        <f t="shared" si="9"/>
        <v>225</v>
      </c>
      <c r="P30" s="13">
        <f t="shared" si="9"/>
        <v>208</v>
      </c>
      <c r="Q30" s="13">
        <f t="shared" si="9"/>
        <v>215</v>
      </c>
      <c r="R30" s="13">
        <f t="shared" si="9"/>
        <v>205</v>
      </c>
      <c r="S30" s="13">
        <f t="shared" si="9"/>
        <v>227</v>
      </c>
      <c r="T30" s="13">
        <f t="shared" si="9"/>
        <v>221</v>
      </c>
      <c r="U30" s="13">
        <f t="shared" si="9"/>
        <v>193</v>
      </c>
      <c r="V30" s="13">
        <f t="shared" si="9"/>
        <v>207</v>
      </c>
      <c r="W30" s="13">
        <f t="shared" si="9"/>
        <v>199</v>
      </c>
      <c r="X30" s="13">
        <f t="shared" si="9"/>
        <v>198</v>
      </c>
      <c r="Y30" s="13">
        <f t="shared" si="9"/>
        <v>187</v>
      </c>
      <c r="Z30" s="13">
        <f t="shared" si="9"/>
        <v>188</v>
      </c>
      <c r="AA30" s="13">
        <f t="shared" si="9"/>
        <v>176</v>
      </c>
      <c r="AB30" s="13">
        <f t="shared" si="9"/>
        <v>217</v>
      </c>
      <c r="AC30" s="13">
        <f t="shared" si="9"/>
        <v>207</v>
      </c>
      <c r="AD30" s="13">
        <f t="shared" si="9"/>
        <v>199</v>
      </c>
      <c r="AE30" s="13">
        <f t="shared" si="3"/>
        <v>5285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62"/>
    </row>
    <row r="32" ht="12.75" customHeight="1">
      <c r="A32" s="43" t="s">
        <v>25</v>
      </c>
      <c r="B32" s="14" t="s">
        <v>26</v>
      </c>
      <c r="C32" s="15"/>
      <c r="D32" s="16"/>
      <c r="E32" s="65" t="s">
        <v>50</v>
      </c>
      <c r="F32" s="65" t="s">
        <v>51</v>
      </c>
      <c r="G32" s="65" t="s">
        <v>52</v>
      </c>
      <c r="H32" s="65" t="s">
        <v>53</v>
      </c>
      <c r="I32" s="65" t="s">
        <v>54</v>
      </c>
      <c r="J32" s="65" t="s">
        <v>55</v>
      </c>
      <c r="K32" s="65" t="s">
        <v>57</v>
      </c>
      <c r="L32" s="65" t="s">
        <v>58</v>
      </c>
      <c r="M32" s="65" t="s">
        <v>59</v>
      </c>
      <c r="N32" s="65" t="s">
        <v>61</v>
      </c>
      <c r="O32" s="65" t="s">
        <v>62</v>
      </c>
      <c r="P32" s="65" t="s">
        <v>63</v>
      </c>
      <c r="Q32" s="65" t="s">
        <v>64</v>
      </c>
      <c r="R32" s="65" t="s">
        <v>66</v>
      </c>
      <c r="S32" s="65" t="s">
        <v>67</v>
      </c>
      <c r="T32" s="65" t="s">
        <v>68</v>
      </c>
      <c r="U32" s="65" t="s">
        <v>69</v>
      </c>
      <c r="V32" s="65" t="s">
        <v>70</v>
      </c>
      <c r="W32" s="65" t="s">
        <v>71</v>
      </c>
      <c r="X32" s="65" t="s">
        <v>77</v>
      </c>
      <c r="Y32" s="65" t="s">
        <v>78</v>
      </c>
      <c r="Z32" s="65" t="s">
        <v>79</v>
      </c>
      <c r="AA32" s="65" t="s">
        <v>80</v>
      </c>
      <c r="AB32" s="65" t="s">
        <v>81</v>
      </c>
      <c r="AC32" s="65" t="s">
        <v>82</v>
      </c>
      <c r="AD32" s="65" t="s">
        <v>83</v>
      </c>
      <c r="AE32" s="62"/>
    </row>
    <row r="33" ht="12.75" customHeight="1">
      <c r="A33" s="19">
        <v>1.0</v>
      </c>
      <c r="B33" s="20" t="s">
        <v>27</v>
      </c>
      <c r="C33" s="15"/>
      <c r="D33" s="16"/>
      <c r="E33" s="19">
        <v>215.0</v>
      </c>
      <c r="F33" s="19">
        <v>264.0</v>
      </c>
      <c r="G33" s="19">
        <v>272.0</v>
      </c>
      <c r="H33" s="19">
        <v>273.0</v>
      </c>
      <c r="I33" s="19">
        <v>274.0</v>
      </c>
      <c r="J33" s="19">
        <v>274.0</v>
      </c>
      <c r="K33" s="19">
        <v>271.0</v>
      </c>
      <c r="L33" s="19">
        <v>278.0</v>
      </c>
      <c r="M33" s="19">
        <v>237.0</v>
      </c>
      <c r="N33" s="19">
        <v>290.0</v>
      </c>
      <c r="O33" s="19">
        <v>305.0</v>
      </c>
      <c r="P33" s="19">
        <v>271.0</v>
      </c>
      <c r="Q33" s="19">
        <v>280.0</v>
      </c>
      <c r="R33" s="19">
        <v>270.0</v>
      </c>
      <c r="S33" s="19">
        <v>278.0</v>
      </c>
      <c r="T33" s="19">
        <v>284.0</v>
      </c>
      <c r="U33" s="19">
        <v>267.0</v>
      </c>
      <c r="V33" s="19">
        <v>270.0</v>
      </c>
      <c r="W33" s="19">
        <v>277.0</v>
      </c>
      <c r="X33" s="19">
        <v>275.0</v>
      </c>
      <c r="Y33" s="19">
        <v>275.0</v>
      </c>
      <c r="Z33" s="19">
        <v>272.0</v>
      </c>
      <c r="AA33" s="19">
        <v>272.0</v>
      </c>
      <c r="AB33" s="19">
        <v>273.0</v>
      </c>
      <c r="AC33" s="19">
        <v>287.0</v>
      </c>
      <c r="AD33" s="19">
        <v>297.0</v>
      </c>
      <c r="AE33" s="13">
        <f t="shared" ref="AE33:AE36" si="10">SUM(E33:AD33)</f>
        <v>7101</v>
      </c>
    </row>
    <row r="34" ht="12.75" customHeight="1">
      <c r="A34" s="19">
        <v>2.0</v>
      </c>
      <c r="B34" s="20" t="s">
        <v>28</v>
      </c>
      <c r="C34" s="15"/>
      <c r="D34" s="16"/>
      <c r="E34" s="13">
        <v>135.0</v>
      </c>
      <c r="F34" s="13">
        <v>198.0</v>
      </c>
      <c r="G34" s="13">
        <v>219.0</v>
      </c>
      <c r="H34" s="13">
        <v>218.0</v>
      </c>
      <c r="I34" s="13">
        <v>217.0</v>
      </c>
      <c r="J34" s="13">
        <v>210.0</v>
      </c>
      <c r="K34" s="13">
        <v>214.0</v>
      </c>
      <c r="L34" s="13">
        <v>206.0</v>
      </c>
      <c r="M34" s="13">
        <v>176.0</v>
      </c>
      <c r="N34" s="13">
        <v>220.0</v>
      </c>
      <c r="O34" s="13">
        <v>225.0</v>
      </c>
      <c r="P34" s="13">
        <v>208.0</v>
      </c>
      <c r="Q34" s="13">
        <v>215.0</v>
      </c>
      <c r="R34" s="13">
        <v>205.0</v>
      </c>
      <c r="S34" s="13">
        <v>227.0</v>
      </c>
      <c r="T34" s="13">
        <v>221.0</v>
      </c>
      <c r="U34" s="13">
        <v>193.0</v>
      </c>
      <c r="V34" s="13">
        <v>207.0</v>
      </c>
      <c r="W34" s="13">
        <v>199.0</v>
      </c>
      <c r="X34" s="13">
        <v>198.0</v>
      </c>
      <c r="Y34" s="13">
        <v>187.0</v>
      </c>
      <c r="Z34" s="13">
        <v>188.0</v>
      </c>
      <c r="AA34" s="13">
        <v>176.0</v>
      </c>
      <c r="AB34" s="13">
        <v>217.0</v>
      </c>
      <c r="AC34" s="13">
        <v>207.0</v>
      </c>
      <c r="AD34" s="13">
        <v>199.0</v>
      </c>
      <c r="AE34" s="13">
        <f t="shared" si="10"/>
        <v>5285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80</v>
      </c>
      <c r="F36" s="13">
        <f t="shared" si="11"/>
        <v>66</v>
      </c>
      <c r="G36" s="13">
        <f t="shared" si="11"/>
        <v>53</v>
      </c>
      <c r="H36" s="13">
        <f t="shared" si="11"/>
        <v>55</v>
      </c>
      <c r="I36" s="13">
        <f t="shared" si="11"/>
        <v>57</v>
      </c>
      <c r="J36" s="13">
        <f t="shared" si="11"/>
        <v>64</v>
      </c>
      <c r="K36" s="13">
        <f t="shared" si="11"/>
        <v>57</v>
      </c>
      <c r="L36" s="13">
        <f t="shared" si="11"/>
        <v>72</v>
      </c>
      <c r="M36" s="13">
        <f t="shared" si="11"/>
        <v>61</v>
      </c>
      <c r="N36" s="13">
        <f t="shared" si="11"/>
        <v>70</v>
      </c>
      <c r="O36" s="13">
        <f t="shared" si="11"/>
        <v>80</v>
      </c>
      <c r="P36" s="13">
        <f t="shared" si="11"/>
        <v>62</v>
      </c>
      <c r="Q36" s="13">
        <f t="shared" si="11"/>
        <v>65</v>
      </c>
      <c r="R36" s="13">
        <f t="shared" si="11"/>
        <v>65</v>
      </c>
      <c r="S36" s="13">
        <f t="shared" si="11"/>
        <v>51</v>
      </c>
      <c r="T36" s="13">
        <f t="shared" si="11"/>
        <v>63</v>
      </c>
      <c r="U36" s="13">
        <f t="shared" si="11"/>
        <v>74</v>
      </c>
      <c r="V36" s="13">
        <f t="shared" si="11"/>
        <v>63</v>
      </c>
      <c r="W36" s="13">
        <f t="shared" si="11"/>
        <v>78</v>
      </c>
      <c r="X36" s="13">
        <f t="shared" si="11"/>
        <v>77</v>
      </c>
      <c r="Y36" s="13">
        <f t="shared" si="11"/>
        <v>88</v>
      </c>
      <c r="Z36" s="13">
        <f t="shared" si="11"/>
        <v>84</v>
      </c>
      <c r="AA36" s="13">
        <f t="shared" si="11"/>
        <v>96</v>
      </c>
      <c r="AB36" s="13">
        <f t="shared" si="11"/>
        <v>56</v>
      </c>
      <c r="AC36" s="13">
        <f t="shared" si="11"/>
        <v>80</v>
      </c>
      <c r="AD36" s="13">
        <f t="shared" si="11"/>
        <v>98</v>
      </c>
      <c r="AE36" s="13">
        <f t="shared" si="10"/>
        <v>1815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62"/>
    </row>
    <row r="38" ht="12.75" customHeight="1">
      <c r="A38" s="44" t="s">
        <v>31</v>
      </c>
      <c r="B38" s="14" t="s">
        <v>32</v>
      </c>
      <c r="C38" s="15"/>
      <c r="D38" s="16"/>
      <c r="E38" s="65" t="s">
        <v>50</v>
      </c>
      <c r="F38" s="65" t="s">
        <v>51</v>
      </c>
      <c r="G38" s="65" t="s">
        <v>52</v>
      </c>
      <c r="H38" s="65" t="s">
        <v>53</v>
      </c>
      <c r="I38" s="65" t="s">
        <v>54</v>
      </c>
      <c r="J38" s="65" t="s">
        <v>55</v>
      </c>
      <c r="K38" s="65" t="s">
        <v>57</v>
      </c>
      <c r="L38" s="65" t="s">
        <v>58</v>
      </c>
      <c r="M38" s="65" t="s">
        <v>59</v>
      </c>
      <c r="N38" s="65" t="s">
        <v>61</v>
      </c>
      <c r="O38" s="65" t="s">
        <v>62</v>
      </c>
      <c r="P38" s="65" t="s">
        <v>63</v>
      </c>
      <c r="Q38" s="65" t="s">
        <v>64</v>
      </c>
      <c r="R38" s="65" t="s">
        <v>66</v>
      </c>
      <c r="S38" s="65" t="s">
        <v>67</v>
      </c>
      <c r="T38" s="65" t="s">
        <v>68</v>
      </c>
      <c r="U38" s="65" t="s">
        <v>69</v>
      </c>
      <c r="V38" s="65" t="s">
        <v>70</v>
      </c>
      <c r="W38" s="65" t="s">
        <v>71</v>
      </c>
      <c r="X38" s="65" t="s">
        <v>77</v>
      </c>
      <c r="Y38" s="65" t="s">
        <v>78</v>
      </c>
      <c r="Z38" s="65" t="s">
        <v>79</v>
      </c>
      <c r="AA38" s="65" t="s">
        <v>80</v>
      </c>
      <c r="AB38" s="65" t="s">
        <v>81</v>
      </c>
      <c r="AC38" s="65" t="s">
        <v>82</v>
      </c>
      <c r="AD38" s="65" t="s">
        <v>83</v>
      </c>
      <c r="AE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3">
        <f t="shared" ref="AE39:AE41" si="12">SUM(E39:AD39)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3"/>
    </row>
    <row r="43" ht="12.75" customHeight="1">
      <c r="A43" s="44" t="s">
        <v>34</v>
      </c>
      <c r="B43" s="14" t="s">
        <v>35</v>
      </c>
      <c r="C43" s="15"/>
      <c r="D43" s="16"/>
      <c r="E43" s="65" t="s">
        <v>50</v>
      </c>
      <c r="F43" s="65" t="s">
        <v>51</v>
      </c>
      <c r="G43" s="65" t="s">
        <v>52</v>
      </c>
      <c r="H43" s="65" t="s">
        <v>53</v>
      </c>
      <c r="I43" s="65" t="s">
        <v>54</v>
      </c>
      <c r="J43" s="65" t="s">
        <v>55</v>
      </c>
      <c r="K43" s="65" t="s">
        <v>57</v>
      </c>
      <c r="L43" s="65" t="s">
        <v>58</v>
      </c>
      <c r="M43" s="65" t="s">
        <v>59</v>
      </c>
      <c r="N43" s="65" t="s">
        <v>61</v>
      </c>
      <c r="O43" s="65" t="s">
        <v>62</v>
      </c>
      <c r="P43" s="65" t="s">
        <v>63</v>
      </c>
      <c r="Q43" s="65" t="s">
        <v>64</v>
      </c>
      <c r="R43" s="65" t="s">
        <v>66</v>
      </c>
      <c r="S43" s="65" t="s">
        <v>67</v>
      </c>
      <c r="T43" s="65" t="s">
        <v>68</v>
      </c>
      <c r="U43" s="65" t="s">
        <v>69</v>
      </c>
      <c r="V43" s="65" t="s">
        <v>70</v>
      </c>
      <c r="W43" s="65" t="s">
        <v>71</v>
      </c>
      <c r="X43" s="65" t="s">
        <v>77</v>
      </c>
      <c r="Y43" s="65" t="s">
        <v>78</v>
      </c>
      <c r="Z43" s="65" t="s">
        <v>79</v>
      </c>
      <c r="AA43" s="65" t="s">
        <v>80</v>
      </c>
      <c r="AB43" s="65" t="s">
        <v>81</v>
      </c>
      <c r="AC43" s="65" t="s">
        <v>82</v>
      </c>
      <c r="AD43" s="65" t="s">
        <v>83</v>
      </c>
      <c r="AE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9"/>
      <c r="AE44" s="13"/>
    </row>
    <row r="45" ht="12.75" customHeight="1">
      <c r="A45" s="63"/>
      <c r="B45" s="49">
        <v>1.0</v>
      </c>
      <c r="C45" s="50" t="s">
        <v>37</v>
      </c>
      <c r="D45" s="16"/>
      <c r="E45" s="19">
        <v>17.0</v>
      </c>
      <c r="F45" s="19">
        <v>12.0</v>
      </c>
      <c r="G45" s="19">
        <v>11.0</v>
      </c>
      <c r="H45" s="19">
        <v>17.0</v>
      </c>
      <c r="I45" s="19">
        <v>26.0</v>
      </c>
      <c r="J45" s="19">
        <v>13.0</v>
      </c>
      <c r="K45" s="19">
        <v>32.0</v>
      </c>
      <c r="L45" s="19">
        <v>37.0</v>
      </c>
      <c r="M45" s="19">
        <v>23.0</v>
      </c>
      <c r="N45" s="19">
        <v>26.0</v>
      </c>
      <c r="O45" s="19">
        <v>28.0</v>
      </c>
      <c r="P45" s="19">
        <v>14.0</v>
      </c>
      <c r="Q45" s="19">
        <v>46.0</v>
      </c>
      <c r="R45" s="19">
        <v>23.0</v>
      </c>
      <c r="S45" s="19">
        <v>27.0</v>
      </c>
      <c r="T45" s="19">
        <v>27.0</v>
      </c>
      <c r="U45" s="19">
        <v>18.0</v>
      </c>
      <c r="V45" s="19">
        <v>32.0</v>
      </c>
      <c r="W45" s="19">
        <v>28.0</v>
      </c>
      <c r="X45" s="19">
        <v>27.0</v>
      </c>
      <c r="Y45" s="19">
        <v>18.0</v>
      </c>
      <c r="Z45" s="19">
        <v>31.0</v>
      </c>
      <c r="AA45" s="19">
        <v>45.0</v>
      </c>
      <c r="AB45" s="19">
        <v>22.0</v>
      </c>
      <c r="AC45" s="19">
        <v>30.0</v>
      </c>
      <c r="AD45" s="19">
        <v>16.0</v>
      </c>
      <c r="AE45" s="13">
        <f t="shared" ref="AE45:AE52" si="14">SUM(E45:AD45)</f>
        <v>646</v>
      </c>
    </row>
    <row r="46" ht="12.75" customHeight="1">
      <c r="A46" s="18"/>
      <c r="B46" s="49">
        <v>2.0</v>
      </c>
      <c r="C46" s="50" t="s">
        <v>38</v>
      </c>
      <c r="D46" s="16"/>
      <c r="E46" s="19">
        <v>85.0</v>
      </c>
      <c r="F46" s="19">
        <v>128.0</v>
      </c>
      <c r="G46" s="19">
        <v>161.0</v>
      </c>
      <c r="H46" s="19">
        <v>155.0</v>
      </c>
      <c r="I46" s="19">
        <v>149.0</v>
      </c>
      <c r="J46" s="19">
        <v>160.0</v>
      </c>
      <c r="K46" s="19">
        <v>132.0</v>
      </c>
      <c r="L46" s="19">
        <v>122.0</v>
      </c>
      <c r="M46" s="19">
        <v>134.0</v>
      </c>
      <c r="N46" s="19">
        <v>169.0</v>
      </c>
      <c r="O46" s="19">
        <v>165.0</v>
      </c>
      <c r="P46" s="19">
        <v>163.0</v>
      </c>
      <c r="Q46" s="19">
        <v>144.0</v>
      </c>
      <c r="R46" s="19">
        <v>145.0</v>
      </c>
      <c r="S46" s="19">
        <v>177.0</v>
      </c>
      <c r="T46" s="19">
        <v>148.0</v>
      </c>
      <c r="U46" s="19">
        <v>155.0</v>
      </c>
      <c r="V46" s="19">
        <v>147.0</v>
      </c>
      <c r="W46" s="19">
        <v>146.0</v>
      </c>
      <c r="X46" s="19">
        <v>151.0</v>
      </c>
      <c r="Y46" s="19">
        <v>148.0</v>
      </c>
      <c r="Z46" s="19">
        <v>122.0</v>
      </c>
      <c r="AA46" s="19">
        <v>110.0</v>
      </c>
      <c r="AB46" s="19">
        <v>157.0</v>
      </c>
      <c r="AC46" s="19">
        <v>144.0</v>
      </c>
      <c r="AD46" s="19">
        <v>140.0</v>
      </c>
      <c r="AE46" s="13">
        <f t="shared" si="14"/>
        <v>3757</v>
      </c>
    </row>
    <row r="47" ht="12.75" customHeight="1">
      <c r="A47" s="47"/>
      <c r="B47" s="49">
        <v>3.0</v>
      </c>
      <c r="C47" s="50" t="s">
        <v>39</v>
      </c>
      <c r="D47" s="16"/>
      <c r="E47" s="19">
        <v>28.0</v>
      </c>
      <c r="F47" s="19">
        <v>54.0</v>
      </c>
      <c r="G47" s="19">
        <v>41.0</v>
      </c>
      <c r="H47" s="19">
        <v>39.0</v>
      </c>
      <c r="I47" s="19">
        <v>39.0</v>
      </c>
      <c r="J47" s="19">
        <v>32.0</v>
      </c>
      <c r="K47" s="19">
        <v>44.0</v>
      </c>
      <c r="L47" s="19">
        <v>41.0</v>
      </c>
      <c r="M47" s="19">
        <v>18.0</v>
      </c>
      <c r="N47" s="19">
        <v>22.0</v>
      </c>
      <c r="O47" s="19">
        <v>27.0</v>
      </c>
      <c r="P47" s="19">
        <v>26.0</v>
      </c>
      <c r="Q47" s="19">
        <v>24.0</v>
      </c>
      <c r="R47" s="19">
        <v>32.0</v>
      </c>
      <c r="S47" s="19">
        <v>19.0</v>
      </c>
      <c r="T47" s="19">
        <v>34.0</v>
      </c>
      <c r="U47" s="19">
        <v>12.0</v>
      </c>
      <c r="V47" s="19">
        <v>16.0</v>
      </c>
      <c r="W47" s="19">
        <v>23.0</v>
      </c>
      <c r="X47" s="19">
        <v>17.0</v>
      </c>
      <c r="Y47" s="19">
        <v>19.0</v>
      </c>
      <c r="Z47" s="19">
        <v>32.0</v>
      </c>
      <c r="AA47" s="19">
        <v>17.0</v>
      </c>
      <c r="AB47" s="19">
        <v>27.0</v>
      </c>
      <c r="AC47" s="19">
        <v>29.0</v>
      </c>
      <c r="AD47" s="19">
        <v>37.0</v>
      </c>
      <c r="AE47" s="13">
        <f t="shared" si="14"/>
        <v>749</v>
      </c>
    </row>
    <row r="48" ht="12.75" customHeight="1">
      <c r="AE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65" t="s">
        <v>50</v>
      </c>
      <c r="F49" s="65" t="s">
        <v>51</v>
      </c>
      <c r="G49" s="65" t="s">
        <v>52</v>
      </c>
      <c r="H49" s="65" t="s">
        <v>53</v>
      </c>
      <c r="I49" s="65" t="s">
        <v>54</v>
      </c>
      <c r="J49" s="65" t="s">
        <v>55</v>
      </c>
      <c r="K49" s="65" t="s">
        <v>57</v>
      </c>
      <c r="L49" s="65" t="s">
        <v>58</v>
      </c>
      <c r="M49" s="65" t="s">
        <v>59</v>
      </c>
      <c r="N49" s="65" t="s">
        <v>61</v>
      </c>
      <c r="O49" s="65" t="s">
        <v>62</v>
      </c>
      <c r="P49" s="65" t="s">
        <v>63</v>
      </c>
      <c r="Q49" s="65" t="s">
        <v>64</v>
      </c>
      <c r="R49" s="65" t="s">
        <v>66</v>
      </c>
      <c r="S49" s="65" t="s">
        <v>67</v>
      </c>
      <c r="T49" s="65" t="s">
        <v>68</v>
      </c>
      <c r="U49" s="65" t="s">
        <v>69</v>
      </c>
      <c r="V49" s="65" t="s">
        <v>70</v>
      </c>
      <c r="W49" s="65" t="s">
        <v>71</v>
      </c>
      <c r="X49" s="65" t="s">
        <v>77</v>
      </c>
      <c r="Y49" s="65" t="s">
        <v>78</v>
      </c>
      <c r="Z49" s="65" t="s">
        <v>79</v>
      </c>
      <c r="AA49" s="65" t="s">
        <v>80</v>
      </c>
      <c r="AB49" s="65" t="s">
        <v>81</v>
      </c>
      <c r="AC49" s="65" t="s">
        <v>82</v>
      </c>
      <c r="AD49" s="65" t="s">
        <v>83</v>
      </c>
      <c r="AE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AD50" si="15">SUM(E45:E47)</f>
        <v>130</v>
      </c>
      <c r="F50" s="19">
        <f t="shared" si="15"/>
        <v>194</v>
      </c>
      <c r="G50" s="19">
        <f t="shared" si="15"/>
        <v>213</v>
      </c>
      <c r="H50" s="19">
        <f t="shared" si="15"/>
        <v>211</v>
      </c>
      <c r="I50" s="19">
        <f t="shared" si="15"/>
        <v>214</v>
      </c>
      <c r="J50" s="19">
        <f t="shared" si="15"/>
        <v>205</v>
      </c>
      <c r="K50" s="19">
        <f t="shared" si="15"/>
        <v>208</v>
      </c>
      <c r="L50" s="19">
        <f t="shared" si="15"/>
        <v>200</v>
      </c>
      <c r="M50" s="19">
        <f t="shared" si="15"/>
        <v>175</v>
      </c>
      <c r="N50" s="19">
        <f t="shared" si="15"/>
        <v>217</v>
      </c>
      <c r="O50" s="19">
        <f t="shared" si="15"/>
        <v>220</v>
      </c>
      <c r="P50" s="19">
        <f t="shared" si="15"/>
        <v>203</v>
      </c>
      <c r="Q50" s="19">
        <f t="shared" si="15"/>
        <v>214</v>
      </c>
      <c r="R50" s="19">
        <f t="shared" si="15"/>
        <v>200</v>
      </c>
      <c r="S50" s="19">
        <f t="shared" si="15"/>
        <v>223</v>
      </c>
      <c r="T50" s="19">
        <f t="shared" si="15"/>
        <v>209</v>
      </c>
      <c r="U50" s="19">
        <f t="shared" si="15"/>
        <v>185</v>
      </c>
      <c r="V50" s="19">
        <f t="shared" si="15"/>
        <v>195</v>
      </c>
      <c r="W50" s="19">
        <f t="shared" si="15"/>
        <v>197</v>
      </c>
      <c r="X50" s="19">
        <f t="shared" si="15"/>
        <v>195</v>
      </c>
      <c r="Y50" s="19">
        <f t="shared" si="15"/>
        <v>185</v>
      </c>
      <c r="Z50" s="19">
        <f t="shared" si="15"/>
        <v>185</v>
      </c>
      <c r="AA50" s="19">
        <f t="shared" si="15"/>
        <v>172</v>
      </c>
      <c r="AB50" s="19">
        <f t="shared" si="15"/>
        <v>206</v>
      </c>
      <c r="AC50" s="19">
        <f t="shared" si="15"/>
        <v>203</v>
      </c>
      <c r="AD50" s="19">
        <f t="shared" si="15"/>
        <v>193</v>
      </c>
      <c r="AE50" s="13">
        <f t="shared" si="14"/>
        <v>5152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5.0</v>
      </c>
      <c r="F51" s="19">
        <v>4.0</v>
      </c>
      <c r="G51" s="19">
        <v>6.0</v>
      </c>
      <c r="H51" s="19">
        <v>7.0</v>
      </c>
      <c r="I51" s="19">
        <v>3.0</v>
      </c>
      <c r="J51" s="19">
        <v>5.0</v>
      </c>
      <c r="K51" s="19">
        <v>6.0</v>
      </c>
      <c r="L51" s="19">
        <v>6.0</v>
      </c>
      <c r="M51" s="19">
        <v>1.0</v>
      </c>
      <c r="N51" s="19">
        <v>3.0</v>
      </c>
      <c r="O51" s="19">
        <v>5.0</v>
      </c>
      <c r="P51" s="19">
        <v>5.0</v>
      </c>
      <c r="Q51" s="19">
        <v>1.0</v>
      </c>
      <c r="R51" s="19">
        <v>5.0</v>
      </c>
      <c r="S51" s="19">
        <v>4.0</v>
      </c>
      <c r="T51" s="19">
        <v>12.0</v>
      </c>
      <c r="U51" s="19">
        <v>8.0</v>
      </c>
      <c r="V51" s="19">
        <v>12.0</v>
      </c>
      <c r="W51" s="19">
        <v>2.0</v>
      </c>
      <c r="X51" s="19">
        <v>3.0</v>
      </c>
      <c r="Y51" s="19">
        <v>2.0</v>
      </c>
      <c r="Z51" s="19">
        <v>3.0</v>
      </c>
      <c r="AA51" s="19">
        <v>4.0</v>
      </c>
      <c r="AB51" s="19">
        <v>11.0</v>
      </c>
      <c r="AC51" s="19">
        <v>4.0</v>
      </c>
      <c r="AD51" s="19">
        <v>6.0</v>
      </c>
      <c r="AE51" s="13">
        <f t="shared" si="14"/>
        <v>133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AD52" si="16">SUM(E50:E51)</f>
        <v>135</v>
      </c>
      <c r="F52" s="13">
        <f t="shared" si="16"/>
        <v>198</v>
      </c>
      <c r="G52" s="13">
        <f t="shared" si="16"/>
        <v>219</v>
      </c>
      <c r="H52" s="13">
        <f t="shared" si="16"/>
        <v>218</v>
      </c>
      <c r="I52" s="13">
        <f t="shared" si="16"/>
        <v>217</v>
      </c>
      <c r="J52" s="13">
        <f t="shared" si="16"/>
        <v>210</v>
      </c>
      <c r="K52" s="13">
        <f t="shared" si="16"/>
        <v>214</v>
      </c>
      <c r="L52" s="13">
        <f t="shared" si="16"/>
        <v>206</v>
      </c>
      <c r="M52" s="13">
        <f t="shared" si="16"/>
        <v>176</v>
      </c>
      <c r="N52" s="13">
        <f t="shared" si="16"/>
        <v>220</v>
      </c>
      <c r="O52" s="13">
        <f t="shared" si="16"/>
        <v>225</v>
      </c>
      <c r="P52" s="13">
        <f t="shared" si="16"/>
        <v>208</v>
      </c>
      <c r="Q52" s="13">
        <f t="shared" si="16"/>
        <v>215</v>
      </c>
      <c r="R52" s="13">
        <f t="shared" si="16"/>
        <v>205</v>
      </c>
      <c r="S52" s="13">
        <f t="shared" si="16"/>
        <v>227</v>
      </c>
      <c r="T52" s="13">
        <f t="shared" si="16"/>
        <v>221</v>
      </c>
      <c r="U52" s="13">
        <f t="shared" si="16"/>
        <v>193</v>
      </c>
      <c r="V52" s="13">
        <f t="shared" si="16"/>
        <v>207</v>
      </c>
      <c r="W52" s="13">
        <f t="shared" si="16"/>
        <v>199</v>
      </c>
      <c r="X52" s="13">
        <f t="shared" si="16"/>
        <v>198</v>
      </c>
      <c r="Y52" s="13">
        <f t="shared" si="16"/>
        <v>187</v>
      </c>
      <c r="Z52" s="13">
        <f t="shared" si="16"/>
        <v>188</v>
      </c>
      <c r="AA52" s="13">
        <f t="shared" si="16"/>
        <v>176</v>
      </c>
      <c r="AB52" s="13">
        <f t="shared" si="16"/>
        <v>217</v>
      </c>
      <c r="AC52" s="13">
        <f t="shared" si="16"/>
        <v>207</v>
      </c>
      <c r="AD52" s="13">
        <f t="shared" si="16"/>
        <v>199</v>
      </c>
      <c r="AE52" s="13">
        <f t="shared" si="14"/>
        <v>5285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47">
    <cfRule type="containsBlanks" dxfId="1" priority="10">
      <formula>LEN(TRIM(E45))=0</formula>
    </cfRule>
  </conditionalFormatting>
  <conditionalFormatting sqref="E50:AD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13" t="s">
        <v>63</v>
      </c>
      <c r="Q13" s="13" t="s">
        <v>64</v>
      </c>
      <c r="R13" s="13" t="s">
        <v>66</v>
      </c>
      <c r="S13" s="13" t="s">
        <v>67</v>
      </c>
      <c r="T13" s="13" t="s">
        <v>68</v>
      </c>
      <c r="U13" s="13" t="s">
        <v>69</v>
      </c>
      <c r="V13" s="37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149.0</v>
      </c>
      <c r="G14" s="19">
        <v>146.0</v>
      </c>
      <c r="H14" s="19">
        <v>142.0</v>
      </c>
      <c r="I14" s="19">
        <v>149.0</v>
      </c>
      <c r="J14" s="19">
        <v>127.0</v>
      </c>
      <c r="K14" s="19">
        <v>131.0</v>
      </c>
      <c r="L14" s="19">
        <v>138.0</v>
      </c>
      <c r="M14" s="19">
        <v>144.0</v>
      </c>
      <c r="N14" s="19">
        <v>153.0</v>
      </c>
      <c r="O14" s="19">
        <v>138.0</v>
      </c>
      <c r="P14" s="19">
        <v>137.0</v>
      </c>
      <c r="Q14" s="19">
        <v>152.0</v>
      </c>
      <c r="R14" s="19">
        <v>140.0</v>
      </c>
      <c r="S14" s="19">
        <v>152.0</v>
      </c>
      <c r="T14" s="19">
        <v>147.0</v>
      </c>
      <c r="U14" s="19">
        <v>152.0</v>
      </c>
      <c r="V14" s="13">
        <f t="shared" ref="V14:V16" si="1">SUM(E14:U14)</f>
        <v>2440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144.0</v>
      </c>
      <c r="G15" s="19">
        <v>146.0</v>
      </c>
      <c r="H15" s="19">
        <v>137.0</v>
      </c>
      <c r="I15" s="19">
        <v>147.0</v>
      </c>
      <c r="J15" s="19">
        <v>129.0</v>
      </c>
      <c r="K15" s="19">
        <v>150.0</v>
      </c>
      <c r="L15" s="19">
        <v>142.0</v>
      </c>
      <c r="M15" s="19">
        <v>145.0</v>
      </c>
      <c r="N15" s="19">
        <v>121.0</v>
      </c>
      <c r="O15" s="19">
        <v>153.0</v>
      </c>
      <c r="P15" s="19">
        <v>132.0</v>
      </c>
      <c r="Q15" s="19">
        <v>143.0</v>
      </c>
      <c r="R15" s="19">
        <v>135.0</v>
      </c>
      <c r="S15" s="19">
        <v>140.0</v>
      </c>
      <c r="T15" s="19">
        <v>144.0</v>
      </c>
      <c r="U15" s="19">
        <v>145.0</v>
      </c>
      <c r="V15" s="13">
        <f t="shared" si="1"/>
        <v>2387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277</v>
      </c>
      <c r="F16" s="13">
        <f t="shared" si="2"/>
        <v>293</v>
      </c>
      <c r="G16" s="13">
        <f t="shared" si="2"/>
        <v>292</v>
      </c>
      <c r="H16" s="13">
        <f t="shared" si="2"/>
        <v>279</v>
      </c>
      <c r="I16" s="13">
        <f t="shared" si="2"/>
        <v>296</v>
      </c>
      <c r="J16" s="13">
        <f t="shared" si="2"/>
        <v>256</v>
      </c>
      <c r="K16" s="13">
        <f t="shared" si="2"/>
        <v>281</v>
      </c>
      <c r="L16" s="13">
        <f t="shared" si="2"/>
        <v>280</v>
      </c>
      <c r="M16" s="13">
        <f t="shared" si="2"/>
        <v>289</v>
      </c>
      <c r="N16" s="13">
        <f t="shared" si="2"/>
        <v>274</v>
      </c>
      <c r="O16" s="13">
        <f t="shared" si="2"/>
        <v>291</v>
      </c>
      <c r="P16" s="13">
        <f t="shared" si="2"/>
        <v>269</v>
      </c>
      <c r="Q16" s="13">
        <f t="shared" si="2"/>
        <v>295</v>
      </c>
      <c r="R16" s="13">
        <f t="shared" si="2"/>
        <v>275</v>
      </c>
      <c r="S16" s="13">
        <f t="shared" si="2"/>
        <v>292</v>
      </c>
      <c r="T16" s="13">
        <f t="shared" si="2"/>
        <v>291</v>
      </c>
      <c r="U16" s="13">
        <f t="shared" si="2"/>
        <v>297</v>
      </c>
      <c r="V16" s="13">
        <f t="shared" si="1"/>
        <v>4827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66" t="s">
        <v>61</v>
      </c>
      <c r="O18" s="13" t="s">
        <v>62</v>
      </c>
      <c r="P18" s="13" t="s">
        <v>63</v>
      </c>
      <c r="Q18" s="13" t="s">
        <v>64</v>
      </c>
      <c r="R18" s="13" t="s">
        <v>66</v>
      </c>
      <c r="S18" s="66" t="s">
        <v>67</v>
      </c>
      <c r="T18" s="13" t="s">
        <v>68</v>
      </c>
      <c r="U18" s="13" t="s">
        <v>69</v>
      </c>
      <c r="V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100.0</v>
      </c>
      <c r="F19" s="19">
        <v>113.0</v>
      </c>
      <c r="G19" s="19">
        <v>125.0</v>
      </c>
      <c r="H19" s="19">
        <v>112.0</v>
      </c>
      <c r="I19" s="19">
        <v>102.0</v>
      </c>
      <c r="J19" s="19">
        <v>112.0</v>
      </c>
      <c r="K19" s="19">
        <v>96.0</v>
      </c>
      <c r="L19" s="19">
        <v>108.0</v>
      </c>
      <c r="M19" s="19">
        <v>108.0</v>
      </c>
      <c r="N19" s="19">
        <v>113.0</v>
      </c>
      <c r="O19" s="19">
        <v>115.0</v>
      </c>
      <c r="P19" s="19">
        <v>102.0</v>
      </c>
      <c r="Q19" s="19">
        <v>116.0</v>
      </c>
      <c r="R19" s="19">
        <v>101.0</v>
      </c>
      <c r="S19" s="19">
        <v>114.0</v>
      </c>
      <c r="T19" s="19">
        <v>95.0</v>
      </c>
      <c r="U19" s="19">
        <v>110.0</v>
      </c>
      <c r="V19" s="13">
        <f t="shared" ref="V19:V30" si="3">SUM(E19:U19)</f>
        <v>1842</v>
      </c>
    </row>
    <row r="20" ht="12.75" customHeight="1">
      <c r="A20" s="34"/>
      <c r="B20" s="27"/>
      <c r="C20" s="35"/>
      <c r="D20" s="19" t="s">
        <v>13</v>
      </c>
      <c r="E20" s="19">
        <v>106.0</v>
      </c>
      <c r="F20" s="19">
        <v>116.0</v>
      </c>
      <c r="G20" s="19">
        <v>132.0</v>
      </c>
      <c r="H20" s="19">
        <v>118.0</v>
      </c>
      <c r="I20" s="19">
        <v>123.0</v>
      </c>
      <c r="J20" s="19">
        <v>116.0</v>
      </c>
      <c r="K20" s="19">
        <v>124.0</v>
      </c>
      <c r="L20" s="19">
        <v>114.0</v>
      </c>
      <c r="M20" s="19">
        <v>121.0</v>
      </c>
      <c r="N20" s="19">
        <v>111.0</v>
      </c>
      <c r="O20" s="19">
        <v>138.0</v>
      </c>
      <c r="P20" s="19">
        <v>96.0</v>
      </c>
      <c r="Q20" s="19">
        <v>107.0</v>
      </c>
      <c r="R20" s="19">
        <v>100.0</v>
      </c>
      <c r="S20" s="19">
        <v>119.0</v>
      </c>
      <c r="T20" s="19">
        <v>127.0</v>
      </c>
      <c r="U20" s="19">
        <v>119.0</v>
      </c>
      <c r="V20" s="13">
        <f t="shared" si="3"/>
        <v>1987</v>
      </c>
    </row>
    <row r="21" ht="12.75" customHeight="1">
      <c r="A21" s="36"/>
      <c r="B21" s="28"/>
      <c r="C21" s="37"/>
      <c r="D21" s="13" t="s">
        <v>14</v>
      </c>
      <c r="E21" s="13">
        <f t="shared" ref="E21:U21" si="4">SUM(E19:E20)</f>
        <v>206</v>
      </c>
      <c r="F21" s="13">
        <f t="shared" si="4"/>
        <v>229</v>
      </c>
      <c r="G21" s="13">
        <f t="shared" si="4"/>
        <v>257</v>
      </c>
      <c r="H21" s="13">
        <f t="shared" si="4"/>
        <v>230</v>
      </c>
      <c r="I21" s="13">
        <f t="shared" si="4"/>
        <v>225</v>
      </c>
      <c r="J21" s="13">
        <f t="shared" si="4"/>
        <v>228</v>
      </c>
      <c r="K21" s="13">
        <f t="shared" si="4"/>
        <v>220</v>
      </c>
      <c r="L21" s="13">
        <f t="shared" si="4"/>
        <v>222</v>
      </c>
      <c r="M21" s="13">
        <f t="shared" si="4"/>
        <v>229</v>
      </c>
      <c r="N21" s="13">
        <f t="shared" si="4"/>
        <v>224</v>
      </c>
      <c r="O21" s="13">
        <f t="shared" si="4"/>
        <v>253</v>
      </c>
      <c r="P21" s="13">
        <f t="shared" si="4"/>
        <v>198</v>
      </c>
      <c r="Q21" s="13">
        <f t="shared" si="4"/>
        <v>223</v>
      </c>
      <c r="R21" s="13">
        <f t="shared" si="4"/>
        <v>201</v>
      </c>
      <c r="S21" s="13">
        <f t="shared" si="4"/>
        <v>233</v>
      </c>
      <c r="T21" s="13">
        <f t="shared" si="4"/>
        <v>222</v>
      </c>
      <c r="U21" s="13">
        <f t="shared" si="4"/>
        <v>229</v>
      </c>
      <c r="V21" s="13">
        <f t="shared" si="3"/>
        <v>3829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7.0</v>
      </c>
      <c r="O23" s="19">
        <v>11.0</v>
      </c>
      <c r="P23" s="19">
        <v>12.0</v>
      </c>
      <c r="Q23" s="19">
        <v>10.0</v>
      </c>
      <c r="R23" s="19">
        <v>6.0</v>
      </c>
      <c r="S23" s="19">
        <v>0.0</v>
      </c>
      <c r="T23" s="19">
        <v>0.0</v>
      </c>
      <c r="U23" s="19">
        <v>0.0</v>
      </c>
      <c r="V23" s="13">
        <f t="shared" si="3"/>
        <v>47</v>
      </c>
    </row>
    <row r="24" ht="12.75" customHeight="1">
      <c r="A24" s="36"/>
      <c r="B24" s="28"/>
      <c r="C24" s="37"/>
      <c r="D24" s="13" t="s">
        <v>14</v>
      </c>
      <c r="E24" s="13">
        <f t="shared" ref="E24:U24" si="5">SUM(E22:E23)</f>
        <v>4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7</v>
      </c>
      <c r="O24" s="13">
        <f t="shared" si="5"/>
        <v>11</v>
      </c>
      <c r="P24" s="13">
        <f t="shared" si="5"/>
        <v>12</v>
      </c>
      <c r="Q24" s="13">
        <f t="shared" si="5"/>
        <v>10</v>
      </c>
      <c r="R24" s="13">
        <f t="shared" si="5"/>
        <v>6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50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4.0</v>
      </c>
      <c r="M25" s="19">
        <v>0.0</v>
      </c>
      <c r="N25" s="19">
        <v>1.0</v>
      </c>
      <c r="O25" s="19">
        <v>0.0</v>
      </c>
      <c r="P25" s="19">
        <v>1.0</v>
      </c>
      <c r="Q25" s="19">
        <v>2.0</v>
      </c>
      <c r="R25" s="19">
        <v>0.0</v>
      </c>
      <c r="S25" s="19">
        <v>2.0</v>
      </c>
      <c r="T25" s="19">
        <v>0.0</v>
      </c>
      <c r="U25" s="19">
        <v>5.0</v>
      </c>
      <c r="V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1.0</v>
      </c>
      <c r="K26" s="19">
        <v>3.0</v>
      </c>
      <c r="L26" s="19">
        <v>1.0</v>
      </c>
      <c r="M26" s="19">
        <v>1.0</v>
      </c>
      <c r="N26" s="19">
        <v>1.0</v>
      </c>
      <c r="O26" s="19">
        <v>0.0</v>
      </c>
      <c r="P26" s="19">
        <v>2.0</v>
      </c>
      <c r="Q26" s="19">
        <v>2.0</v>
      </c>
      <c r="R26" s="19">
        <v>0.0</v>
      </c>
      <c r="S26" s="19">
        <v>0.0</v>
      </c>
      <c r="T26" s="19">
        <v>0.0</v>
      </c>
      <c r="U26" s="19">
        <v>5.0</v>
      </c>
      <c r="V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3</v>
      </c>
      <c r="I27" s="13">
        <f t="shared" si="6"/>
        <v>1</v>
      </c>
      <c r="J27" s="13">
        <f t="shared" si="6"/>
        <v>1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10</v>
      </c>
      <c r="V27" s="13">
        <f t="shared" si="3"/>
        <v>37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U28" si="7">SUM(E19,E22,E25)</f>
        <v>103</v>
      </c>
      <c r="F28" s="13">
        <f t="shared" si="7"/>
        <v>113</v>
      </c>
      <c r="G28" s="13">
        <f t="shared" si="7"/>
        <v>126</v>
      </c>
      <c r="H28" s="13">
        <f t="shared" si="7"/>
        <v>113</v>
      </c>
      <c r="I28" s="13">
        <f t="shared" si="7"/>
        <v>102</v>
      </c>
      <c r="J28" s="13">
        <f t="shared" si="7"/>
        <v>112</v>
      </c>
      <c r="K28" s="13">
        <f t="shared" si="7"/>
        <v>96</v>
      </c>
      <c r="L28" s="13">
        <f t="shared" si="7"/>
        <v>112</v>
      </c>
      <c r="M28" s="13">
        <f t="shared" si="7"/>
        <v>108</v>
      </c>
      <c r="N28" s="13">
        <f t="shared" si="7"/>
        <v>114</v>
      </c>
      <c r="O28" s="13">
        <f t="shared" si="7"/>
        <v>115</v>
      </c>
      <c r="P28" s="13">
        <f t="shared" si="7"/>
        <v>103</v>
      </c>
      <c r="Q28" s="13">
        <f t="shared" si="7"/>
        <v>118</v>
      </c>
      <c r="R28" s="13">
        <f t="shared" si="7"/>
        <v>101</v>
      </c>
      <c r="S28" s="13">
        <f t="shared" si="7"/>
        <v>116</v>
      </c>
      <c r="T28" s="13">
        <f t="shared" si="7"/>
        <v>95</v>
      </c>
      <c r="U28" s="13">
        <f t="shared" si="7"/>
        <v>115</v>
      </c>
      <c r="V28" s="13">
        <f t="shared" si="3"/>
        <v>1862</v>
      </c>
    </row>
    <row r="29" ht="12.75" customHeight="1">
      <c r="A29" s="36"/>
      <c r="B29" s="27"/>
      <c r="C29" s="35"/>
      <c r="D29" s="13" t="s">
        <v>13</v>
      </c>
      <c r="E29" s="13">
        <f t="shared" ref="E29:U29" si="8">SUM(E20,E23,E26)</f>
        <v>107</v>
      </c>
      <c r="F29" s="13">
        <f t="shared" si="8"/>
        <v>116</v>
      </c>
      <c r="G29" s="13">
        <f t="shared" si="8"/>
        <v>133</v>
      </c>
      <c r="H29" s="13">
        <f t="shared" si="8"/>
        <v>120</v>
      </c>
      <c r="I29" s="13">
        <f t="shared" si="8"/>
        <v>124</v>
      </c>
      <c r="J29" s="13">
        <f t="shared" si="8"/>
        <v>117</v>
      </c>
      <c r="K29" s="13">
        <f t="shared" si="8"/>
        <v>127</v>
      </c>
      <c r="L29" s="13">
        <f t="shared" si="8"/>
        <v>115</v>
      </c>
      <c r="M29" s="13">
        <f t="shared" si="8"/>
        <v>122</v>
      </c>
      <c r="N29" s="13">
        <f t="shared" si="8"/>
        <v>119</v>
      </c>
      <c r="O29" s="13">
        <f t="shared" si="8"/>
        <v>149</v>
      </c>
      <c r="P29" s="13">
        <f t="shared" si="8"/>
        <v>110</v>
      </c>
      <c r="Q29" s="13">
        <f t="shared" si="8"/>
        <v>119</v>
      </c>
      <c r="R29" s="13">
        <f t="shared" si="8"/>
        <v>106</v>
      </c>
      <c r="S29" s="13">
        <f t="shared" si="8"/>
        <v>119</v>
      </c>
      <c r="T29" s="13">
        <f t="shared" si="8"/>
        <v>127</v>
      </c>
      <c r="U29" s="13">
        <f t="shared" si="8"/>
        <v>124</v>
      </c>
      <c r="V29" s="13">
        <f t="shared" si="3"/>
        <v>2054</v>
      </c>
    </row>
    <row r="30" ht="12.75" customHeight="1">
      <c r="A30" s="36"/>
      <c r="B30" s="28"/>
      <c r="C30" s="37"/>
      <c r="D30" s="13" t="s">
        <v>14</v>
      </c>
      <c r="E30" s="13">
        <f t="shared" ref="E30:U30" si="9">SUM(E28:E29)</f>
        <v>210</v>
      </c>
      <c r="F30" s="13">
        <f t="shared" si="9"/>
        <v>229</v>
      </c>
      <c r="G30" s="13">
        <f t="shared" si="9"/>
        <v>259</v>
      </c>
      <c r="H30" s="13">
        <f t="shared" si="9"/>
        <v>233</v>
      </c>
      <c r="I30" s="13">
        <f t="shared" si="9"/>
        <v>226</v>
      </c>
      <c r="J30" s="13">
        <f t="shared" si="9"/>
        <v>229</v>
      </c>
      <c r="K30" s="13">
        <f t="shared" si="9"/>
        <v>223</v>
      </c>
      <c r="L30" s="13">
        <f t="shared" si="9"/>
        <v>227</v>
      </c>
      <c r="M30" s="13">
        <f t="shared" si="9"/>
        <v>230</v>
      </c>
      <c r="N30" s="13">
        <f t="shared" si="9"/>
        <v>233</v>
      </c>
      <c r="O30" s="13">
        <f t="shared" si="9"/>
        <v>264</v>
      </c>
      <c r="P30" s="13">
        <f t="shared" si="9"/>
        <v>213</v>
      </c>
      <c r="Q30" s="13">
        <f t="shared" si="9"/>
        <v>237</v>
      </c>
      <c r="R30" s="13">
        <f t="shared" si="9"/>
        <v>207</v>
      </c>
      <c r="S30" s="13">
        <f t="shared" si="9"/>
        <v>235</v>
      </c>
      <c r="T30" s="13">
        <f t="shared" si="9"/>
        <v>222</v>
      </c>
      <c r="U30" s="13">
        <f t="shared" si="9"/>
        <v>239</v>
      </c>
      <c r="V30" s="13">
        <f t="shared" si="3"/>
        <v>3916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66" t="s">
        <v>61</v>
      </c>
      <c r="O32" s="13" t="s">
        <v>62</v>
      </c>
      <c r="P32" s="13" t="s">
        <v>63</v>
      </c>
      <c r="Q32" s="13" t="s">
        <v>64</v>
      </c>
      <c r="R32" s="13" t="s">
        <v>66</v>
      </c>
      <c r="S32" s="66" t="s">
        <v>67</v>
      </c>
      <c r="T32" s="13" t="s">
        <v>68</v>
      </c>
      <c r="U32" s="13" t="s">
        <v>69</v>
      </c>
      <c r="V32" s="62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298.0</v>
      </c>
      <c r="G33" s="19">
        <v>298.0</v>
      </c>
      <c r="H33" s="19">
        <v>284.0</v>
      </c>
      <c r="I33" s="19">
        <v>302.0</v>
      </c>
      <c r="J33" s="19">
        <v>262.0</v>
      </c>
      <c r="K33" s="19">
        <v>287.0</v>
      </c>
      <c r="L33" s="19">
        <v>286.0</v>
      </c>
      <c r="M33" s="19">
        <v>295.0</v>
      </c>
      <c r="N33" s="19">
        <v>280.0</v>
      </c>
      <c r="O33" s="19">
        <v>297.0</v>
      </c>
      <c r="P33" s="19">
        <v>276.0</v>
      </c>
      <c r="Q33" s="19">
        <v>300.0</v>
      </c>
      <c r="R33" s="19">
        <v>281.0</v>
      </c>
      <c r="S33" s="19">
        <v>298.0</v>
      </c>
      <c r="T33" s="19">
        <v>297.0</v>
      </c>
      <c r="U33" s="19">
        <v>305.0</v>
      </c>
      <c r="V33" s="13">
        <f t="shared" ref="V33:V36" si="10">SUM(E33:U33)</f>
        <v>4929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229.0</v>
      </c>
      <c r="G34" s="13">
        <v>259.0</v>
      </c>
      <c r="H34" s="13">
        <v>233.0</v>
      </c>
      <c r="I34" s="13">
        <v>226.0</v>
      </c>
      <c r="J34" s="13">
        <v>229.0</v>
      </c>
      <c r="K34" s="13">
        <v>223.0</v>
      </c>
      <c r="L34" s="13">
        <v>227.0</v>
      </c>
      <c r="M34" s="13">
        <v>230.0</v>
      </c>
      <c r="N34" s="13">
        <v>233.0</v>
      </c>
      <c r="O34" s="13">
        <v>264.0</v>
      </c>
      <c r="P34" s="13">
        <v>213.0</v>
      </c>
      <c r="Q34" s="13">
        <v>237.0</v>
      </c>
      <c r="R34" s="13">
        <v>207.0</v>
      </c>
      <c r="S34" s="13">
        <v>235.0</v>
      </c>
      <c r="T34" s="13">
        <v>222.0</v>
      </c>
      <c r="U34" s="13">
        <v>239.0</v>
      </c>
      <c r="V34" s="13">
        <f t="shared" si="10"/>
        <v>3916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0.0</v>
      </c>
      <c r="H35" s="19">
        <v>2.0</v>
      </c>
      <c r="I35" s="19">
        <v>0.0</v>
      </c>
      <c r="J35" s="19">
        <v>1.0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3.0</v>
      </c>
      <c r="V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73</v>
      </c>
      <c r="F36" s="13">
        <f t="shared" si="11"/>
        <v>66</v>
      </c>
      <c r="G36" s="13">
        <f t="shared" si="11"/>
        <v>39</v>
      </c>
      <c r="H36" s="13">
        <f t="shared" si="11"/>
        <v>49</v>
      </c>
      <c r="I36" s="13">
        <f t="shared" si="11"/>
        <v>76</v>
      </c>
      <c r="J36" s="13">
        <f t="shared" si="11"/>
        <v>32</v>
      </c>
      <c r="K36" s="13">
        <f t="shared" si="11"/>
        <v>64</v>
      </c>
      <c r="L36" s="13">
        <f t="shared" si="11"/>
        <v>59</v>
      </c>
      <c r="M36" s="13">
        <f t="shared" si="11"/>
        <v>62</v>
      </c>
      <c r="N36" s="13">
        <f t="shared" si="11"/>
        <v>47</v>
      </c>
      <c r="O36" s="13">
        <f t="shared" si="11"/>
        <v>33</v>
      </c>
      <c r="P36" s="13">
        <f t="shared" si="11"/>
        <v>62</v>
      </c>
      <c r="Q36" s="13">
        <f t="shared" si="11"/>
        <v>63</v>
      </c>
      <c r="R36" s="13">
        <f t="shared" si="11"/>
        <v>74</v>
      </c>
      <c r="S36" s="13">
        <f t="shared" si="11"/>
        <v>63</v>
      </c>
      <c r="T36" s="13">
        <f t="shared" si="11"/>
        <v>75</v>
      </c>
      <c r="U36" s="13">
        <f t="shared" si="11"/>
        <v>63</v>
      </c>
      <c r="V36" s="13">
        <f t="shared" si="10"/>
        <v>1000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66" t="s">
        <v>61</v>
      </c>
      <c r="O38" s="13" t="s">
        <v>62</v>
      </c>
      <c r="P38" s="13" t="s">
        <v>63</v>
      </c>
      <c r="Q38" s="13" t="s">
        <v>64</v>
      </c>
      <c r="R38" s="13" t="s">
        <v>66</v>
      </c>
      <c r="S38" s="66" t="s">
        <v>67</v>
      </c>
      <c r="T38" s="13" t="s">
        <v>68</v>
      </c>
      <c r="U38" s="13" t="s">
        <v>69</v>
      </c>
      <c r="V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1.0</v>
      </c>
      <c r="V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66" t="s">
        <v>61</v>
      </c>
      <c r="O43" s="13" t="s">
        <v>62</v>
      </c>
      <c r="P43" s="13" t="s">
        <v>63</v>
      </c>
      <c r="Q43" s="13" t="s">
        <v>64</v>
      </c>
      <c r="R43" s="13" t="s">
        <v>66</v>
      </c>
      <c r="S43" s="66" t="s">
        <v>67</v>
      </c>
      <c r="T43" s="13" t="s">
        <v>68</v>
      </c>
      <c r="U43" s="13" t="s">
        <v>69</v>
      </c>
      <c r="V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3"/>
    </row>
    <row r="45" ht="12.75" customHeight="1">
      <c r="A45" s="63"/>
      <c r="B45" s="49">
        <v>1.0</v>
      </c>
      <c r="C45" s="50" t="s">
        <v>37</v>
      </c>
      <c r="D45" s="16"/>
      <c r="E45" s="19">
        <v>46.0</v>
      </c>
      <c r="F45" s="19">
        <v>20.0</v>
      </c>
      <c r="G45" s="19">
        <v>45.0</v>
      </c>
      <c r="H45" s="19">
        <v>52.0</v>
      </c>
      <c r="I45" s="19">
        <v>22.0</v>
      </c>
      <c r="J45" s="19">
        <v>57.0</v>
      </c>
      <c r="K45" s="19">
        <v>38.0</v>
      </c>
      <c r="L45" s="19">
        <v>38.0</v>
      </c>
      <c r="M45" s="19">
        <v>18.0</v>
      </c>
      <c r="N45" s="19">
        <v>37.0</v>
      </c>
      <c r="O45" s="19">
        <v>17.0</v>
      </c>
      <c r="P45" s="19">
        <v>11.0</v>
      </c>
      <c r="Q45" s="19">
        <v>15.0</v>
      </c>
      <c r="R45" s="19">
        <v>22.0</v>
      </c>
      <c r="S45" s="19">
        <v>17.0</v>
      </c>
      <c r="T45" s="19">
        <v>8.0</v>
      </c>
      <c r="U45" s="19">
        <v>12.0</v>
      </c>
      <c r="V45" s="13">
        <f t="shared" ref="V45:V52" si="14">SUM(E45:U45)</f>
        <v>475</v>
      </c>
    </row>
    <row r="46" ht="12.75" customHeight="1">
      <c r="A46" s="18"/>
      <c r="B46" s="49">
        <v>2.0</v>
      </c>
      <c r="C46" s="50" t="s">
        <v>38</v>
      </c>
      <c r="D46" s="16"/>
      <c r="E46" s="19">
        <v>109.0</v>
      </c>
      <c r="F46" s="19">
        <v>168.0</v>
      </c>
      <c r="G46" s="19">
        <v>178.0</v>
      </c>
      <c r="H46" s="19">
        <v>155.0</v>
      </c>
      <c r="I46" s="19">
        <v>176.0</v>
      </c>
      <c r="J46" s="19">
        <v>145.0</v>
      </c>
      <c r="K46" s="19">
        <v>164.0</v>
      </c>
      <c r="L46" s="19">
        <v>153.0</v>
      </c>
      <c r="M46" s="19">
        <v>166.0</v>
      </c>
      <c r="N46" s="19">
        <v>169.0</v>
      </c>
      <c r="O46" s="19">
        <v>222.0</v>
      </c>
      <c r="P46" s="19">
        <v>177.0</v>
      </c>
      <c r="Q46" s="19">
        <v>169.0</v>
      </c>
      <c r="R46" s="19">
        <v>163.0</v>
      </c>
      <c r="S46" s="19">
        <v>199.0</v>
      </c>
      <c r="T46" s="19">
        <v>187.0</v>
      </c>
      <c r="U46" s="19">
        <v>186.0</v>
      </c>
      <c r="V46" s="13">
        <f t="shared" si="14"/>
        <v>2886</v>
      </c>
    </row>
    <row r="47" ht="12.75" customHeight="1">
      <c r="A47" s="47"/>
      <c r="B47" s="49">
        <v>3.0</v>
      </c>
      <c r="C47" s="50" t="s">
        <v>39</v>
      </c>
      <c r="D47" s="16"/>
      <c r="E47" s="19">
        <v>51.0</v>
      </c>
      <c r="F47" s="19">
        <v>37.0</v>
      </c>
      <c r="G47" s="19">
        <v>35.0</v>
      </c>
      <c r="H47" s="19">
        <v>25.0</v>
      </c>
      <c r="I47" s="19">
        <v>25.0</v>
      </c>
      <c r="J47" s="19">
        <v>25.0</v>
      </c>
      <c r="K47" s="19">
        <v>20.0</v>
      </c>
      <c r="L47" s="19">
        <v>32.0</v>
      </c>
      <c r="M47" s="19">
        <v>42.0</v>
      </c>
      <c r="N47" s="19">
        <v>19.0</v>
      </c>
      <c r="O47" s="19">
        <v>25.0</v>
      </c>
      <c r="P47" s="19">
        <v>23.0</v>
      </c>
      <c r="Q47" s="19">
        <v>44.0</v>
      </c>
      <c r="R47" s="19">
        <v>20.0</v>
      </c>
      <c r="S47" s="19">
        <v>19.0</v>
      </c>
      <c r="T47" s="19">
        <v>18.0</v>
      </c>
      <c r="U47" s="19">
        <v>40.0</v>
      </c>
      <c r="V47" s="13">
        <f t="shared" si="14"/>
        <v>500</v>
      </c>
    </row>
    <row r="48" ht="12.75" customHeight="1">
      <c r="V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 t="s">
        <v>62</v>
      </c>
      <c r="P49" s="13" t="s">
        <v>63</v>
      </c>
      <c r="Q49" s="13" t="s">
        <v>64</v>
      </c>
      <c r="R49" s="13" t="s">
        <v>66</v>
      </c>
      <c r="S49" s="13" t="s">
        <v>67</v>
      </c>
      <c r="T49" s="13" t="s">
        <v>68</v>
      </c>
      <c r="U49" s="13" t="s">
        <v>69</v>
      </c>
      <c r="V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U50" si="15">SUM(E45:E47)</f>
        <v>206</v>
      </c>
      <c r="F50" s="19">
        <f t="shared" si="15"/>
        <v>225</v>
      </c>
      <c r="G50" s="19">
        <f t="shared" si="15"/>
        <v>258</v>
      </c>
      <c r="H50" s="19">
        <f t="shared" si="15"/>
        <v>232</v>
      </c>
      <c r="I50" s="19">
        <f t="shared" si="15"/>
        <v>223</v>
      </c>
      <c r="J50" s="19">
        <f t="shared" si="15"/>
        <v>227</v>
      </c>
      <c r="K50" s="19">
        <f t="shared" si="15"/>
        <v>222</v>
      </c>
      <c r="L50" s="19">
        <f t="shared" si="15"/>
        <v>223</v>
      </c>
      <c r="M50" s="19">
        <f t="shared" si="15"/>
        <v>226</v>
      </c>
      <c r="N50" s="19">
        <f t="shared" si="15"/>
        <v>225</v>
      </c>
      <c r="O50" s="19">
        <f t="shared" si="15"/>
        <v>264</v>
      </c>
      <c r="P50" s="19">
        <f t="shared" si="15"/>
        <v>211</v>
      </c>
      <c r="Q50" s="19">
        <f t="shared" si="15"/>
        <v>228</v>
      </c>
      <c r="R50" s="19">
        <f t="shared" si="15"/>
        <v>205</v>
      </c>
      <c r="S50" s="19">
        <f t="shared" si="15"/>
        <v>235</v>
      </c>
      <c r="T50" s="19">
        <f t="shared" si="15"/>
        <v>213</v>
      </c>
      <c r="U50" s="19">
        <f t="shared" si="15"/>
        <v>238</v>
      </c>
      <c r="V50" s="13">
        <f t="shared" si="14"/>
        <v>3861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4.0</v>
      </c>
      <c r="F51" s="19">
        <v>4.0</v>
      </c>
      <c r="G51" s="19">
        <v>1.0</v>
      </c>
      <c r="H51" s="19">
        <v>1.0</v>
      </c>
      <c r="I51" s="19">
        <v>3.0</v>
      </c>
      <c r="J51" s="19">
        <v>2.0</v>
      </c>
      <c r="K51" s="19">
        <v>1.0</v>
      </c>
      <c r="L51" s="19">
        <v>4.0</v>
      </c>
      <c r="M51" s="19">
        <v>4.0</v>
      </c>
      <c r="N51" s="19">
        <v>8.0</v>
      </c>
      <c r="O51" s="19">
        <v>0.0</v>
      </c>
      <c r="P51" s="19">
        <v>2.0</v>
      </c>
      <c r="Q51" s="19">
        <v>9.0</v>
      </c>
      <c r="R51" s="19">
        <v>2.0</v>
      </c>
      <c r="S51" s="19">
        <v>0.0</v>
      </c>
      <c r="T51" s="19">
        <v>9.0</v>
      </c>
      <c r="U51" s="19">
        <v>1.0</v>
      </c>
      <c r="V51" s="13">
        <f t="shared" si="14"/>
        <v>55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U52" si="16">SUM(E50:E51)</f>
        <v>210</v>
      </c>
      <c r="F52" s="13">
        <f t="shared" si="16"/>
        <v>229</v>
      </c>
      <c r="G52" s="13">
        <f t="shared" si="16"/>
        <v>259</v>
      </c>
      <c r="H52" s="13">
        <f t="shared" si="16"/>
        <v>233</v>
      </c>
      <c r="I52" s="13">
        <f t="shared" si="16"/>
        <v>226</v>
      </c>
      <c r="J52" s="13">
        <f t="shared" si="16"/>
        <v>229</v>
      </c>
      <c r="K52" s="13">
        <f t="shared" si="16"/>
        <v>223</v>
      </c>
      <c r="L52" s="13">
        <f t="shared" si="16"/>
        <v>227</v>
      </c>
      <c r="M52" s="13">
        <f t="shared" si="16"/>
        <v>230</v>
      </c>
      <c r="N52" s="13">
        <f t="shared" si="16"/>
        <v>233</v>
      </c>
      <c r="O52" s="13">
        <f t="shared" si="16"/>
        <v>264</v>
      </c>
      <c r="P52" s="13">
        <f t="shared" si="16"/>
        <v>213</v>
      </c>
      <c r="Q52" s="13">
        <f t="shared" si="16"/>
        <v>237</v>
      </c>
      <c r="R52" s="13">
        <f t="shared" si="16"/>
        <v>207</v>
      </c>
      <c r="S52" s="13">
        <f t="shared" si="16"/>
        <v>235</v>
      </c>
      <c r="T52" s="13">
        <f t="shared" si="16"/>
        <v>222</v>
      </c>
      <c r="U52" s="13">
        <f t="shared" si="16"/>
        <v>239</v>
      </c>
      <c r="V52" s="13">
        <f t="shared" si="14"/>
        <v>3916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47">
    <cfRule type="containsBlanks" dxfId="1" priority="10">
      <formula>LEN(TRIM(E45))=0</formula>
    </cfRule>
  </conditionalFormatting>
  <conditionalFormatting sqref="E50:U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13" t="s">
        <v>62</v>
      </c>
      <c r="P13" s="37"/>
    </row>
    <row r="14" ht="12.75" customHeight="1">
      <c r="A14" s="18"/>
      <c r="B14" s="22" t="s">
        <v>11</v>
      </c>
      <c r="C14" s="23"/>
      <c r="D14" s="19" t="s">
        <v>12</v>
      </c>
      <c r="E14" s="19">
        <v>144.0</v>
      </c>
      <c r="F14" s="19">
        <v>132.0</v>
      </c>
      <c r="G14" s="19">
        <v>153.0</v>
      </c>
      <c r="H14" s="19">
        <v>134.0</v>
      </c>
      <c r="I14" s="19">
        <v>145.0</v>
      </c>
      <c r="J14" s="19">
        <v>144.0</v>
      </c>
      <c r="K14" s="19">
        <v>137.0</v>
      </c>
      <c r="L14" s="19">
        <v>136.0</v>
      </c>
      <c r="M14" s="19">
        <v>122.0</v>
      </c>
      <c r="N14" s="19">
        <v>118.0</v>
      </c>
      <c r="O14" s="19">
        <v>123.0</v>
      </c>
      <c r="P14" s="13">
        <f t="shared" ref="P14:P16" si="1">SUM(E14:O14)</f>
        <v>1488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153.0</v>
      </c>
      <c r="G15" s="19">
        <v>139.0</v>
      </c>
      <c r="H15" s="19">
        <v>143.0</v>
      </c>
      <c r="I15" s="19">
        <v>137.0</v>
      </c>
      <c r="J15" s="19">
        <v>139.0</v>
      </c>
      <c r="K15" s="19">
        <v>149.0</v>
      </c>
      <c r="L15" s="19">
        <v>143.0</v>
      </c>
      <c r="M15" s="19">
        <v>124.0</v>
      </c>
      <c r="N15" s="19">
        <v>115.0</v>
      </c>
      <c r="O15" s="19">
        <v>123.0</v>
      </c>
      <c r="P15" s="13">
        <f t="shared" si="1"/>
        <v>1511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290</v>
      </c>
      <c r="F16" s="13">
        <f t="shared" si="2"/>
        <v>285</v>
      </c>
      <c r="G16" s="13">
        <f t="shared" si="2"/>
        <v>292</v>
      </c>
      <c r="H16" s="13">
        <f t="shared" si="2"/>
        <v>277</v>
      </c>
      <c r="I16" s="13">
        <f t="shared" si="2"/>
        <v>282</v>
      </c>
      <c r="J16" s="13">
        <f t="shared" si="2"/>
        <v>283</v>
      </c>
      <c r="K16" s="13">
        <f t="shared" si="2"/>
        <v>286</v>
      </c>
      <c r="L16" s="13">
        <f t="shared" si="2"/>
        <v>279</v>
      </c>
      <c r="M16" s="13">
        <f t="shared" si="2"/>
        <v>246</v>
      </c>
      <c r="N16" s="13">
        <f t="shared" si="2"/>
        <v>233</v>
      </c>
      <c r="O16" s="13">
        <f t="shared" si="2"/>
        <v>246</v>
      </c>
      <c r="P16" s="13">
        <f t="shared" si="1"/>
        <v>2999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13" t="s">
        <v>61</v>
      </c>
      <c r="O18" s="13" t="s">
        <v>62</v>
      </c>
      <c r="P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110.0</v>
      </c>
      <c r="F19" s="19">
        <v>104.0</v>
      </c>
      <c r="G19" s="19">
        <v>120.0</v>
      </c>
      <c r="H19" s="19">
        <v>107.0</v>
      </c>
      <c r="I19" s="19">
        <v>131.0</v>
      </c>
      <c r="J19" s="19">
        <v>115.0</v>
      </c>
      <c r="K19" s="19">
        <v>112.0</v>
      </c>
      <c r="L19" s="19">
        <v>104.0</v>
      </c>
      <c r="M19" s="19">
        <v>108.0</v>
      </c>
      <c r="N19" s="19">
        <v>95.0</v>
      </c>
      <c r="O19" s="19">
        <v>98.0</v>
      </c>
      <c r="P19" s="13">
        <f t="shared" ref="P19:P30" si="3">SUM(E19:O19)</f>
        <v>1204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130.0</v>
      </c>
      <c r="G20" s="19">
        <v>117.0</v>
      </c>
      <c r="H20" s="19">
        <v>122.0</v>
      </c>
      <c r="I20" s="19">
        <v>123.0</v>
      </c>
      <c r="J20" s="19">
        <v>123.0</v>
      </c>
      <c r="K20" s="19">
        <v>128.0</v>
      </c>
      <c r="L20" s="19">
        <v>118.0</v>
      </c>
      <c r="M20" s="19">
        <v>111.0</v>
      </c>
      <c r="N20" s="19">
        <v>98.0</v>
      </c>
      <c r="O20" s="19">
        <v>112.0</v>
      </c>
      <c r="P20" s="13">
        <f t="shared" si="3"/>
        <v>1295</v>
      </c>
    </row>
    <row r="21" ht="12.75" customHeight="1">
      <c r="A21" s="36"/>
      <c r="B21" s="28"/>
      <c r="C21" s="37"/>
      <c r="D21" s="13" t="s">
        <v>14</v>
      </c>
      <c r="E21" s="13">
        <f t="shared" ref="E21:O21" si="4">SUM(E19:E20)</f>
        <v>223</v>
      </c>
      <c r="F21" s="13">
        <f t="shared" si="4"/>
        <v>234</v>
      </c>
      <c r="G21" s="13">
        <f t="shared" si="4"/>
        <v>237</v>
      </c>
      <c r="H21" s="13">
        <f t="shared" si="4"/>
        <v>229</v>
      </c>
      <c r="I21" s="13">
        <f t="shared" si="4"/>
        <v>254</v>
      </c>
      <c r="J21" s="13">
        <f t="shared" si="4"/>
        <v>238</v>
      </c>
      <c r="K21" s="13">
        <f t="shared" si="4"/>
        <v>240</v>
      </c>
      <c r="L21" s="13">
        <f t="shared" si="4"/>
        <v>222</v>
      </c>
      <c r="M21" s="13">
        <f t="shared" si="4"/>
        <v>219</v>
      </c>
      <c r="N21" s="13">
        <f t="shared" si="4"/>
        <v>193</v>
      </c>
      <c r="O21" s="13">
        <f t="shared" si="4"/>
        <v>210</v>
      </c>
      <c r="P21" s="13">
        <f t="shared" si="3"/>
        <v>2499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0.0</v>
      </c>
      <c r="P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3"/>
        <v>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O28" si="7">SUM(E19,E22,E25)</f>
        <v>110</v>
      </c>
      <c r="F28" s="13">
        <f t="shared" si="7"/>
        <v>104</v>
      </c>
      <c r="G28" s="13">
        <f t="shared" si="7"/>
        <v>120</v>
      </c>
      <c r="H28" s="13">
        <f t="shared" si="7"/>
        <v>107</v>
      </c>
      <c r="I28" s="13">
        <f t="shared" si="7"/>
        <v>132</v>
      </c>
      <c r="J28" s="13">
        <f t="shared" si="7"/>
        <v>115</v>
      </c>
      <c r="K28" s="13">
        <f t="shared" si="7"/>
        <v>112</v>
      </c>
      <c r="L28" s="13">
        <f t="shared" si="7"/>
        <v>104</v>
      </c>
      <c r="M28" s="13">
        <f t="shared" si="7"/>
        <v>108</v>
      </c>
      <c r="N28" s="13">
        <f t="shared" si="7"/>
        <v>95</v>
      </c>
      <c r="O28" s="13">
        <f t="shared" si="7"/>
        <v>98</v>
      </c>
      <c r="P28" s="13">
        <f t="shared" si="3"/>
        <v>1205</v>
      </c>
    </row>
    <row r="29" ht="12.75" customHeight="1">
      <c r="A29" s="36"/>
      <c r="B29" s="27"/>
      <c r="C29" s="35"/>
      <c r="D29" s="13" t="s">
        <v>13</v>
      </c>
      <c r="E29" s="13">
        <f t="shared" ref="E29:O29" si="8">SUM(E20,E23,E26)</f>
        <v>113</v>
      </c>
      <c r="F29" s="13">
        <f t="shared" si="8"/>
        <v>130</v>
      </c>
      <c r="G29" s="13">
        <f t="shared" si="8"/>
        <v>117</v>
      </c>
      <c r="H29" s="13">
        <f t="shared" si="8"/>
        <v>122</v>
      </c>
      <c r="I29" s="13">
        <f t="shared" si="8"/>
        <v>124</v>
      </c>
      <c r="J29" s="13">
        <f t="shared" si="8"/>
        <v>123</v>
      </c>
      <c r="K29" s="13">
        <f t="shared" si="8"/>
        <v>128</v>
      </c>
      <c r="L29" s="13">
        <f t="shared" si="8"/>
        <v>119</v>
      </c>
      <c r="M29" s="13">
        <f t="shared" si="8"/>
        <v>111</v>
      </c>
      <c r="N29" s="13">
        <f t="shared" si="8"/>
        <v>98</v>
      </c>
      <c r="O29" s="13">
        <f t="shared" si="8"/>
        <v>112</v>
      </c>
      <c r="P29" s="13">
        <f t="shared" si="3"/>
        <v>1297</v>
      </c>
    </row>
    <row r="30" ht="12.75" customHeight="1">
      <c r="A30" s="36"/>
      <c r="B30" s="28"/>
      <c r="C30" s="37"/>
      <c r="D30" s="13" t="s">
        <v>14</v>
      </c>
      <c r="E30" s="13">
        <f t="shared" ref="E30:O30" si="9">SUM(E28:E29)</f>
        <v>223</v>
      </c>
      <c r="F30" s="13">
        <f t="shared" si="9"/>
        <v>234</v>
      </c>
      <c r="G30" s="13">
        <f t="shared" si="9"/>
        <v>237</v>
      </c>
      <c r="H30" s="13">
        <f t="shared" si="9"/>
        <v>229</v>
      </c>
      <c r="I30" s="13">
        <f t="shared" si="9"/>
        <v>256</v>
      </c>
      <c r="J30" s="13">
        <f t="shared" si="9"/>
        <v>238</v>
      </c>
      <c r="K30" s="13">
        <f t="shared" si="9"/>
        <v>240</v>
      </c>
      <c r="L30" s="13">
        <f t="shared" si="9"/>
        <v>223</v>
      </c>
      <c r="M30" s="13">
        <f t="shared" si="9"/>
        <v>219</v>
      </c>
      <c r="N30" s="13">
        <f t="shared" si="9"/>
        <v>193</v>
      </c>
      <c r="O30" s="13">
        <f t="shared" si="9"/>
        <v>210</v>
      </c>
      <c r="P30" s="13">
        <f t="shared" si="3"/>
        <v>2502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62"/>
    </row>
    <row r="32" ht="12.75" customHeight="1">
      <c r="A32" s="43" t="s">
        <v>25</v>
      </c>
      <c r="B32" s="14" t="s">
        <v>26</v>
      </c>
      <c r="C32" s="15"/>
      <c r="D32" s="16"/>
      <c r="E32" s="65" t="s">
        <v>50</v>
      </c>
      <c r="F32" s="65" t="s">
        <v>51</v>
      </c>
      <c r="G32" s="65" t="s">
        <v>52</v>
      </c>
      <c r="H32" s="65" t="s">
        <v>53</v>
      </c>
      <c r="I32" s="65" t="s">
        <v>54</v>
      </c>
      <c r="J32" s="65" t="s">
        <v>55</v>
      </c>
      <c r="K32" s="65" t="s">
        <v>57</v>
      </c>
      <c r="L32" s="65" t="s">
        <v>58</v>
      </c>
      <c r="M32" s="65" t="s">
        <v>59</v>
      </c>
      <c r="N32" s="65" t="s">
        <v>61</v>
      </c>
      <c r="O32" s="65" t="s">
        <v>62</v>
      </c>
      <c r="P32" s="62"/>
    </row>
    <row r="33" ht="12.75" customHeight="1">
      <c r="A33" s="19">
        <v>1.0</v>
      </c>
      <c r="B33" s="20" t="s">
        <v>27</v>
      </c>
      <c r="C33" s="15"/>
      <c r="D33" s="16"/>
      <c r="E33" s="19">
        <v>298.0</v>
      </c>
      <c r="F33" s="19">
        <v>291.0</v>
      </c>
      <c r="G33" s="19">
        <v>301.0</v>
      </c>
      <c r="H33" s="19">
        <v>284.0</v>
      </c>
      <c r="I33" s="19">
        <v>288.0</v>
      </c>
      <c r="J33" s="19">
        <v>289.0</v>
      </c>
      <c r="K33" s="19">
        <v>292.0</v>
      </c>
      <c r="L33" s="19">
        <v>286.0</v>
      </c>
      <c r="M33" s="19">
        <v>251.0</v>
      </c>
      <c r="N33" s="19">
        <v>238.0</v>
      </c>
      <c r="O33" s="19">
        <v>251.0</v>
      </c>
      <c r="P33" s="13">
        <f t="shared" ref="P33:P36" si="10">SUM(E33:O33)</f>
        <v>3069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234.0</v>
      </c>
      <c r="G34" s="13">
        <v>237.0</v>
      </c>
      <c r="H34" s="13">
        <v>229.0</v>
      </c>
      <c r="I34" s="13">
        <v>256.0</v>
      </c>
      <c r="J34" s="13">
        <v>238.0</v>
      </c>
      <c r="K34" s="13">
        <v>240.0</v>
      </c>
      <c r="L34" s="13">
        <v>223.0</v>
      </c>
      <c r="M34" s="13">
        <v>219.0</v>
      </c>
      <c r="N34" s="13">
        <v>193.0</v>
      </c>
      <c r="O34" s="13">
        <v>210.0</v>
      </c>
      <c r="P34" s="13">
        <f t="shared" si="10"/>
        <v>2502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1.0</v>
      </c>
      <c r="O35" s="19">
        <v>0.0</v>
      </c>
      <c r="P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75</v>
      </c>
      <c r="F36" s="13">
        <f t="shared" si="11"/>
        <v>57</v>
      </c>
      <c r="G36" s="13">
        <f t="shared" si="11"/>
        <v>64</v>
      </c>
      <c r="H36" s="13">
        <f t="shared" si="11"/>
        <v>55</v>
      </c>
      <c r="I36" s="13">
        <f t="shared" si="11"/>
        <v>32</v>
      </c>
      <c r="J36" s="13">
        <f t="shared" si="11"/>
        <v>51</v>
      </c>
      <c r="K36" s="13">
        <f t="shared" si="11"/>
        <v>52</v>
      </c>
      <c r="L36" s="13">
        <f t="shared" si="11"/>
        <v>63</v>
      </c>
      <c r="M36" s="13">
        <f t="shared" si="11"/>
        <v>30</v>
      </c>
      <c r="N36" s="13">
        <f t="shared" si="11"/>
        <v>44</v>
      </c>
      <c r="O36" s="13">
        <f t="shared" si="11"/>
        <v>41</v>
      </c>
      <c r="P36" s="13">
        <f t="shared" si="10"/>
        <v>564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62"/>
    </row>
    <row r="38" ht="12.75" customHeight="1">
      <c r="A38" s="44" t="s">
        <v>31</v>
      </c>
      <c r="B38" s="14" t="s">
        <v>32</v>
      </c>
      <c r="C38" s="15"/>
      <c r="D38" s="16"/>
      <c r="E38" s="65" t="s">
        <v>50</v>
      </c>
      <c r="F38" s="65" t="s">
        <v>51</v>
      </c>
      <c r="G38" s="65" t="s">
        <v>52</v>
      </c>
      <c r="H38" s="65" t="s">
        <v>53</v>
      </c>
      <c r="I38" s="65" t="s">
        <v>54</v>
      </c>
      <c r="J38" s="65" t="s">
        <v>55</v>
      </c>
      <c r="K38" s="65" t="s">
        <v>57</v>
      </c>
      <c r="L38" s="65" t="s">
        <v>58</v>
      </c>
      <c r="M38" s="65" t="s">
        <v>59</v>
      </c>
      <c r="N38" s="65" t="s">
        <v>61</v>
      </c>
      <c r="O38" s="65" t="s">
        <v>62</v>
      </c>
      <c r="P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3"/>
    </row>
    <row r="43" ht="12.75" customHeight="1">
      <c r="A43" s="44" t="s">
        <v>34</v>
      </c>
      <c r="B43" s="14" t="s">
        <v>35</v>
      </c>
      <c r="C43" s="15"/>
      <c r="D43" s="16"/>
      <c r="E43" s="65" t="s">
        <v>50</v>
      </c>
      <c r="F43" s="65" t="s">
        <v>51</v>
      </c>
      <c r="G43" s="65" t="s">
        <v>52</v>
      </c>
      <c r="H43" s="65" t="s">
        <v>53</v>
      </c>
      <c r="I43" s="65" t="s">
        <v>54</v>
      </c>
      <c r="J43" s="65" t="s">
        <v>55</v>
      </c>
      <c r="K43" s="65" t="s">
        <v>57</v>
      </c>
      <c r="L43" s="65" t="s">
        <v>58</v>
      </c>
      <c r="M43" s="65" t="s">
        <v>59</v>
      </c>
      <c r="N43" s="65" t="s">
        <v>61</v>
      </c>
      <c r="O43" s="65" t="s">
        <v>62</v>
      </c>
      <c r="P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3"/>
    </row>
    <row r="45" ht="12.75" customHeight="1">
      <c r="A45" s="63"/>
      <c r="B45" s="49">
        <v>1.0</v>
      </c>
      <c r="C45" s="50" t="s">
        <v>37</v>
      </c>
      <c r="D45" s="16"/>
      <c r="E45" s="19">
        <v>29.0</v>
      </c>
      <c r="F45" s="19">
        <v>26.0</v>
      </c>
      <c r="G45" s="19">
        <v>27.0</v>
      </c>
      <c r="H45" s="19">
        <v>21.0</v>
      </c>
      <c r="I45" s="19">
        <v>22.0</v>
      </c>
      <c r="J45" s="19">
        <v>34.0</v>
      </c>
      <c r="K45" s="19">
        <v>47.0</v>
      </c>
      <c r="L45" s="19">
        <v>34.0</v>
      </c>
      <c r="M45" s="19">
        <v>11.0</v>
      </c>
      <c r="N45" s="19">
        <v>28.0</v>
      </c>
      <c r="O45" s="19">
        <v>19.0</v>
      </c>
      <c r="P45" s="13">
        <f t="shared" ref="P45:P52" si="14">SUM(E45:O45)</f>
        <v>298</v>
      </c>
    </row>
    <row r="46" ht="12.75" customHeight="1">
      <c r="A46" s="18"/>
      <c r="B46" s="49">
        <v>2.0</v>
      </c>
      <c r="C46" s="50" t="s">
        <v>38</v>
      </c>
      <c r="D46" s="16"/>
      <c r="E46" s="19">
        <v>154.0</v>
      </c>
      <c r="F46" s="19">
        <v>159.0</v>
      </c>
      <c r="G46" s="19">
        <v>182.0</v>
      </c>
      <c r="H46" s="19">
        <v>164.0</v>
      </c>
      <c r="I46" s="19">
        <v>210.0</v>
      </c>
      <c r="J46" s="19">
        <v>188.0</v>
      </c>
      <c r="K46" s="19">
        <v>155.0</v>
      </c>
      <c r="L46" s="19">
        <v>153.0</v>
      </c>
      <c r="M46" s="19">
        <v>143.0</v>
      </c>
      <c r="N46" s="19">
        <v>137.0</v>
      </c>
      <c r="O46" s="19">
        <v>153.0</v>
      </c>
      <c r="P46" s="13">
        <f t="shared" si="14"/>
        <v>1798</v>
      </c>
    </row>
    <row r="47" ht="12.75" customHeight="1">
      <c r="A47" s="47"/>
      <c r="B47" s="49">
        <v>3.0</v>
      </c>
      <c r="C47" s="50" t="s">
        <v>39</v>
      </c>
      <c r="D47" s="16"/>
      <c r="E47" s="19">
        <v>34.0</v>
      </c>
      <c r="F47" s="19">
        <v>38.0</v>
      </c>
      <c r="G47" s="19">
        <v>25.0</v>
      </c>
      <c r="H47" s="19">
        <v>35.0</v>
      </c>
      <c r="I47" s="19">
        <v>21.0</v>
      </c>
      <c r="J47" s="19">
        <v>14.0</v>
      </c>
      <c r="K47" s="19">
        <v>32.0</v>
      </c>
      <c r="L47" s="19">
        <v>28.0</v>
      </c>
      <c r="M47" s="19">
        <v>55.0</v>
      </c>
      <c r="N47" s="19">
        <v>17.0</v>
      </c>
      <c r="O47" s="19">
        <v>27.0</v>
      </c>
      <c r="P47" s="13">
        <f t="shared" si="14"/>
        <v>326</v>
      </c>
    </row>
    <row r="48" ht="12.75" customHeight="1">
      <c r="P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65" t="s">
        <v>50</v>
      </c>
      <c r="F49" s="65" t="s">
        <v>51</v>
      </c>
      <c r="G49" s="65" t="s">
        <v>52</v>
      </c>
      <c r="H49" s="65" t="s">
        <v>53</v>
      </c>
      <c r="I49" s="65" t="s">
        <v>54</v>
      </c>
      <c r="J49" s="65" t="s">
        <v>55</v>
      </c>
      <c r="K49" s="65" t="s">
        <v>57</v>
      </c>
      <c r="L49" s="65" t="s">
        <v>58</v>
      </c>
      <c r="M49" s="65" t="s">
        <v>59</v>
      </c>
      <c r="N49" s="65" t="s">
        <v>61</v>
      </c>
      <c r="O49" s="65" t="s">
        <v>62</v>
      </c>
      <c r="P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O50" si="15">SUM(E45:E47)</f>
        <v>217</v>
      </c>
      <c r="F50" s="19">
        <f t="shared" si="15"/>
        <v>223</v>
      </c>
      <c r="G50" s="19">
        <f t="shared" si="15"/>
        <v>234</v>
      </c>
      <c r="H50" s="19">
        <f t="shared" si="15"/>
        <v>220</v>
      </c>
      <c r="I50" s="19">
        <f t="shared" si="15"/>
        <v>253</v>
      </c>
      <c r="J50" s="19">
        <f t="shared" si="15"/>
        <v>236</v>
      </c>
      <c r="K50" s="19">
        <f t="shared" si="15"/>
        <v>234</v>
      </c>
      <c r="L50" s="19">
        <f t="shared" si="15"/>
        <v>215</v>
      </c>
      <c r="M50" s="19">
        <f t="shared" si="15"/>
        <v>209</v>
      </c>
      <c r="N50" s="19">
        <f t="shared" si="15"/>
        <v>182</v>
      </c>
      <c r="O50" s="19">
        <f t="shared" si="15"/>
        <v>199</v>
      </c>
      <c r="P50" s="13">
        <f t="shared" si="14"/>
        <v>2422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6.0</v>
      </c>
      <c r="F51" s="19">
        <v>11.0</v>
      </c>
      <c r="G51" s="19">
        <v>3.0</v>
      </c>
      <c r="H51" s="19">
        <v>9.0</v>
      </c>
      <c r="I51" s="19">
        <v>3.0</v>
      </c>
      <c r="J51" s="19">
        <v>2.0</v>
      </c>
      <c r="K51" s="19">
        <v>6.0</v>
      </c>
      <c r="L51" s="19">
        <v>8.0</v>
      </c>
      <c r="M51" s="19">
        <v>10.0</v>
      </c>
      <c r="N51" s="19">
        <v>11.0</v>
      </c>
      <c r="O51" s="19">
        <v>11.0</v>
      </c>
      <c r="P51" s="13">
        <f t="shared" si="14"/>
        <v>80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O52" si="16">SUM(E50:E51)</f>
        <v>223</v>
      </c>
      <c r="F52" s="13">
        <f t="shared" si="16"/>
        <v>234</v>
      </c>
      <c r="G52" s="13">
        <f t="shared" si="16"/>
        <v>237</v>
      </c>
      <c r="H52" s="13">
        <f t="shared" si="16"/>
        <v>229</v>
      </c>
      <c r="I52" s="13">
        <f t="shared" si="16"/>
        <v>256</v>
      </c>
      <c r="J52" s="13">
        <f t="shared" si="16"/>
        <v>238</v>
      </c>
      <c r="K52" s="13">
        <f t="shared" si="16"/>
        <v>240</v>
      </c>
      <c r="L52" s="13">
        <f t="shared" si="16"/>
        <v>223</v>
      </c>
      <c r="M52" s="13">
        <f t="shared" si="16"/>
        <v>219</v>
      </c>
      <c r="N52" s="13">
        <f t="shared" si="16"/>
        <v>193</v>
      </c>
      <c r="O52" s="13">
        <f t="shared" si="16"/>
        <v>210</v>
      </c>
      <c r="P52" s="13">
        <f t="shared" si="14"/>
        <v>2502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47">
    <cfRule type="containsBlanks" dxfId="1" priority="10">
      <formula>LEN(TRIM(E45))=0</formula>
    </cfRule>
  </conditionalFormatting>
  <conditionalFormatting sqref="E50:O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13" t="s">
        <v>59</v>
      </c>
      <c r="N13" s="13" t="s">
        <v>61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147.0</v>
      </c>
      <c r="G14" s="19">
        <v>147.0</v>
      </c>
      <c r="H14" s="19">
        <v>144.0</v>
      </c>
      <c r="I14" s="19">
        <v>135.0</v>
      </c>
      <c r="J14" s="19">
        <v>151.0</v>
      </c>
      <c r="K14" s="19">
        <v>138.0</v>
      </c>
      <c r="L14" s="19">
        <v>125.0</v>
      </c>
      <c r="M14" s="19">
        <v>126.0</v>
      </c>
      <c r="N14" s="19">
        <v>126.0</v>
      </c>
      <c r="O14" s="13">
        <f t="shared" ref="O14:O16" si="1">SUM(E14:N14)</f>
        <v>1384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141.0</v>
      </c>
      <c r="G15" s="19">
        <v>144.0</v>
      </c>
      <c r="H15" s="19">
        <v>141.0</v>
      </c>
      <c r="I15" s="19">
        <v>149.0</v>
      </c>
      <c r="J15" s="19">
        <v>133.0</v>
      </c>
      <c r="K15" s="19">
        <v>136.0</v>
      </c>
      <c r="L15" s="19">
        <v>119.0</v>
      </c>
      <c r="M15" s="19">
        <v>124.0</v>
      </c>
      <c r="N15" s="19">
        <v>124.0</v>
      </c>
      <c r="O15" s="13">
        <f t="shared" si="1"/>
        <v>1347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281</v>
      </c>
      <c r="F16" s="13">
        <f t="shared" si="2"/>
        <v>288</v>
      </c>
      <c r="G16" s="13">
        <f t="shared" si="2"/>
        <v>291</v>
      </c>
      <c r="H16" s="13">
        <f t="shared" si="2"/>
        <v>285</v>
      </c>
      <c r="I16" s="13">
        <f t="shared" si="2"/>
        <v>284</v>
      </c>
      <c r="J16" s="13">
        <f t="shared" si="2"/>
        <v>284</v>
      </c>
      <c r="K16" s="13">
        <f t="shared" si="2"/>
        <v>274</v>
      </c>
      <c r="L16" s="13">
        <f t="shared" si="2"/>
        <v>244</v>
      </c>
      <c r="M16" s="13">
        <f t="shared" si="2"/>
        <v>250</v>
      </c>
      <c r="N16" s="13">
        <f t="shared" si="2"/>
        <v>250</v>
      </c>
      <c r="O16" s="13">
        <f t="shared" si="1"/>
        <v>2731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13" t="s">
        <v>59</v>
      </c>
      <c r="N18" s="66" t="s">
        <v>61</v>
      </c>
      <c r="O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118.0</v>
      </c>
      <c r="F19" s="19">
        <v>126.0</v>
      </c>
      <c r="G19" s="19">
        <v>112.0</v>
      </c>
      <c r="H19" s="19">
        <v>110.0</v>
      </c>
      <c r="I19" s="19">
        <v>114.0</v>
      </c>
      <c r="J19" s="19">
        <v>124.0</v>
      </c>
      <c r="K19" s="19">
        <v>113.0</v>
      </c>
      <c r="L19" s="19">
        <v>102.0</v>
      </c>
      <c r="M19" s="19">
        <v>108.0</v>
      </c>
      <c r="N19" s="19">
        <v>110.0</v>
      </c>
      <c r="O19" s="13">
        <f t="shared" ref="O19:O30" si="3">SUM(E19:N19)</f>
        <v>1137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113.0</v>
      </c>
      <c r="G20" s="19">
        <v>132.0</v>
      </c>
      <c r="H20" s="19">
        <v>125.0</v>
      </c>
      <c r="I20" s="19">
        <v>130.0</v>
      </c>
      <c r="J20" s="19">
        <v>114.0</v>
      </c>
      <c r="K20" s="19">
        <v>117.0</v>
      </c>
      <c r="L20" s="19">
        <v>102.0</v>
      </c>
      <c r="M20" s="19">
        <v>113.0</v>
      </c>
      <c r="N20" s="19">
        <v>107.0</v>
      </c>
      <c r="O20" s="13">
        <f t="shared" si="3"/>
        <v>1169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234</v>
      </c>
      <c r="F21" s="13">
        <f t="shared" si="4"/>
        <v>239</v>
      </c>
      <c r="G21" s="13">
        <f t="shared" si="4"/>
        <v>244</v>
      </c>
      <c r="H21" s="13">
        <f t="shared" si="4"/>
        <v>235</v>
      </c>
      <c r="I21" s="13">
        <f t="shared" si="4"/>
        <v>244</v>
      </c>
      <c r="J21" s="13">
        <f t="shared" si="4"/>
        <v>238</v>
      </c>
      <c r="K21" s="13">
        <f t="shared" si="4"/>
        <v>230</v>
      </c>
      <c r="L21" s="13">
        <f t="shared" si="4"/>
        <v>204</v>
      </c>
      <c r="M21" s="13">
        <f t="shared" si="4"/>
        <v>221</v>
      </c>
      <c r="N21" s="13">
        <f t="shared" si="4"/>
        <v>217</v>
      </c>
      <c r="O21" s="13">
        <f t="shared" si="3"/>
        <v>2306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2.0</v>
      </c>
      <c r="M22" s="19">
        <v>0.0</v>
      </c>
      <c r="N22" s="19">
        <v>0.0</v>
      </c>
      <c r="O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2.0</v>
      </c>
      <c r="I25" s="19">
        <v>3.0</v>
      </c>
      <c r="J25" s="19">
        <v>0.0</v>
      </c>
      <c r="K25" s="19">
        <v>0.0</v>
      </c>
      <c r="L25" s="19">
        <v>3.0</v>
      </c>
      <c r="M25" s="19">
        <v>1.0</v>
      </c>
      <c r="N25" s="19">
        <v>0.0</v>
      </c>
      <c r="O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5.0</v>
      </c>
      <c r="F26" s="19">
        <v>3.0</v>
      </c>
      <c r="G26" s="19">
        <v>0.0</v>
      </c>
      <c r="H26" s="19">
        <v>1.0</v>
      </c>
      <c r="I26" s="19">
        <v>1.0</v>
      </c>
      <c r="J26" s="19">
        <v>3.0</v>
      </c>
      <c r="K26" s="19">
        <v>0.0</v>
      </c>
      <c r="L26" s="19">
        <v>3.0</v>
      </c>
      <c r="M26" s="19">
        <v>4.0</v>
      </c>
      <c r="N26" s="19">
        <v>0.0</v>
      </c>
      <c r="O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9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3</v>
      </c>
      <c r="K27" s="13">
        <f t="shared" si="6"/>
        <v>0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3"/>
        <v>35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128</v>
      </c>
      <c r="G28" s="13">
        <f t="shared" si="7"/>
        <v>112</v>
      </c>
      <c r="H28" s="13">
        <f t="shared" si="7"/>
        <v>112</v>
      </c>
      <c r="I28" s="13">
        <f t="shared" si="7"/>
        <v>118</v>
      </c>
      <c r="J28" s="13">
        <f t="shared" si="7"/>
        <v>125</v>
      </c>
      <c r="K28" s="13">
        <f t="shared" si="7"/>
        <v>113</v>
      </c>
      <c r="L28" s="13">
        <f t="shared" si="7"/>
        <v>107</v>
      </c>
      <c r="M28" s="13">
        <f t="shared" si="7"/>
        <v>109</v>
      </c>
      <c r="N28" s="13">
        <f t="shared" si="7"/>
        <v>110</v>
      </c>
      <c r="O28" s="13">
        <f t="shared" si="3"/>
        <v>1156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121</v>
      </c>
      <c r="F29" s="13">
        <f t="shared" si="8"/>
        <v>116</v>
      </c>
      <c r="G29" s="13">
        <f t="shared" si="8"/>
        <v>132</v>
      </c>
      <c r="H29" s="13">
        <f t="shared" si="8"/>
        <v>127</v>
      </c>
      <c r="I29" s="13">
        <f t="shared" si="8"/>
        <v>131</v>
      </c>
      <c r="J29" s="13">
        <f t="shared" si="8"/>
        <v>118</v>
      </c>
      <c r="K29" s="13">
        <f t="shared" si="8"/>
        <v>117</v>
      </c>
      <c r="L29" s="13">
        <f t="shared" si="8"/>
        <v>106</v>
      </c>
      <c r="M29" s="13">
        <f t="shared" si="8"/>
        <v>117</v>
      </c>
      <c r="N29" s="13">
        <f t="shared" si="8"/>
        <v>107</v>
      </c>
      <c r="O29" s="13">
        <f t="shared" si="3"/>
        <v>1192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243</v>
      </c>
      <c r="F30" s="13">
        <f t="shared" si="9"/>
        <v>244</v>
      </c>
      <c r="G30" s="13">
        <f t="shared" si="9"/>
        <v>244</v>
      </c>
      <c r="H30" s="13">
        <f t="shared" si="9"/>
        <v>239</v>
      </c>
      <c r="I30" s="13">
        <f t="shared" si="9"/>
        <v>249</v>
      </c>
      <c r="J30" s="13">
        <f t="shared" si="9"/>
        <v>243</v>
      </c>
      <c r="K30" s="13">
        <f t="shared" si="9"/>
        <v>230</v>
      </c>
      <c r="L30" s="13">
        <f t="shared" si="9"/>
        <v>213</v>
      </c>
      <c r="M30" s="13">
        <f t="shared" si="9"/>
        <v>226</v>
      </c>
      <c r="N30" s="13">
        <f t="shared" si="9"/>
        <v>217</v>
      </c>
      <c r="O30" s="13">
        <f t="shared" si="3"/>
        <v>2348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57</v>
      </c>
      <c r="L32" s="13" t="s">
        <v>58</v>
      </c>
      <c r="M32" s="13" t="s">
        <v>59</v>
      </c>
      <c r="N32" s="66" t="s">
        <v>61</v>
      </c>
      <c r="O32" s="62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290.0</v>
      </c>
      <c r="G33" s="19">
        <v>294.0</v>
      </c>
      <c r="H33" s="19">
        <v>289.0</v>
      </c>
      <c r="I33" s="19">
        <v>287.0</v>
      </c>
      <c r="J33" s="19">
        <v>286.0</v>
      </c>
      <c r="K33" s="19">
        <v>280.0</v>
      </c>
      <c r="L33" s="19">
        <v>250.0</v>
      </c>
      <c r="M33" s="19">
        <v>252.0</v>
      </c>
      <c r="N33" s="19">
        <v>255.0</v>
      </c>
      <c r="O33" s="13">
        <f t="shared" ref="O33:O36" si="10">SUM(E33:N33)</f>
        <v>2770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244.0</v>
      </c>
      <c r="G34" s="13">
        <v>244.0</v>
      </c>
      <c r="H34" s="13">
        <v>239.0</v>
      </c>
      <c r="I34" s="13">
        <v>249.0</v>
      </c>
      <c r="J34" s="13">
        <v>243.0</v>
      </c>
      <c r="K34" s="13">
        <v>230.0</v>
      </c>
      <c r="L34" s="13">
        <v>213.0</v>
      </c>
      <c r="M34" s="13">
        <v>226.0</v>
      </c>
      <c r="N34" s="13">
        <v>217.0</v>
      </c>
      <c r="O34" s="13">
        <f t="shared" si="10"/>
        <v>2348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44</v>
      </c>
      <c r="F36" s="13">
        <f t="shared" si="11"/>
        <v>46</v>
      </c>
      <c r="G36" s="13">
        <f t="shared" si="11"/>
        <v>50</v>
      </c>
      <c r="H36" s="13">
        <f t="shared" si="11"/>
        <v>49</v>
      </c>
      <c r="I36" s="13">
        <f t="shared" si="11"/>
        <v>38</v>
      </c>
      <c r="J36" s="13">
        <f t="shared" si="11"/>
        <v>43</v>
      </c>
      <c r="K36" s="13">
        <f t="shared" si="11"/>
        <v>50</v>
      </c>
      <c r="L36" s="13">
        <f t="shared" si="11"/>
        <v>37</v>
      </c>
      <c r="M36" s="13">
        <f t="shared" si="11"/>
        <v>26</v>
      </c>
      <c r="N36" s="13">
        <f t="shared" si="11"/>
        <v>38</v>
      </c>
      <c r="O36" s="13">
        <f t="shared" si="10"/>
        <v>421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57</v>
      </c>
      <c r="L38" s="13" t="s">
        <v>58</v>
      </c>
      <c r="M38" s="13" t="s">
        <v>59</v>
      </c>
      <c r="N38" s="66" t="s">
        <v>61</v>
      </c>
      <c r="O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2.0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2"/>
        <v>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57</v>
      </c>
      <c r="L43" s="13" t="s">
        <v>58</v>
      </c>
      <c r="M43" s="13" t="s">
        <v>59</v>
      </c>
      <c r="N43" s="66" t="s">
        <v>61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3"/>
    </row>
    <row r="45" ht="12.75" customHeight="1">
      <c r="A45" s="63"/>
      <c r="B45" s="49">
        <v>1.0</v>
      </c>
      <c r="C45" s="50" t="s">
        <v>37</v>
      </c>
      <c r="D45" s="16"/>
      <c r="E45" s="19">
        <v>25.0</v>
      </c>
      <c r="F45" s="19">
        <v>29.0</v>
      </c>
      <c r="G45" s="19">
        <v>22.0</v>
      </c>
      <c r="H45" s="19">
        <v>17.0</v>
      </c>
      <c r="I45" s="19">
        <v>21.0</v>
      </c>
      <c r="J45" s="19">
        <v>21.0</v>
      </c>
      <c r="K45" s="19">
        <v>25.0</v>
      </c>
      <c r="L45" s="19">
        <v>12.0</v>
      </c>
      <c r="M45" s="19">
        <v>24.0</v>
      </c>
      <c r="N45" s="19">
        <v>18.0</v>
      </c>
      <c r="O45" s="13">
        <f t="shared" ref="O45:O52" si="14">SUM(E45:N45)</f>
        <v>214</v>
      </c>
    </row>
    <row r="46" ht="12.75" customHeight="1">
      <c r="A46" s="18"/>
      <c r="B46" s="49">
        <v>2.0</v>
      </c>
      <c r="C46" s="50" t="s">
        <v>38</v>
      </c>
      <c r="D46" s="16"/>
      <c r="E46" s="19">
        <v>182.0</v>
      </c>
      <c r="F46" s="19">
        <v>193.0</v>
      </c>
      <c r="G46" s="19">
        <v>197.0</v>
      </c>
      <c r="H46" s="19">
        <v>213.0</v>
      </c>
      <c r="I46" s="19">
        <v>203.0</v>
      </c>
      <c r="J46" s="19">
        <v>198.0</v>
      </c>
      <c r="K46" s="19">
        <v>183.0</v>
      </c>
      <c r="L46" s="19">
        <v>167.0</v>
      </c>
      <c r="M46" s="19">
        <v>185.0</v>
      </c>
      <c r="N46" s="19">
        <v>183.0</v>
      </c>
      <c r="O46" s="13">
        <f t="shared" si="14"/>
        <v>1904</v>
      </c>
    </row>
    <row r="47" ht="12.75" customHeight="1">
      <c r="A47" s="47"/>
      <c r="B47" s="49">
        <v>3.0</v>
      </c>
      <c r="C47" s="50" t="s">
        <v>39</v>
      </c>
      <c r="D47" s="16"/>
      <c r="E47" s="19">
        <v>33.0</v>
      </c>
      <c r="F47" s="19">
        <v>19.0</v>
      </c>
      <c r="G47" s="19">
        <v>24.0</v>
      </c>
      <c r="H47" s="19">
        <v>6.0</v>
      </c>
      <c r="I47" s="19">
        <v>18.0</v>
      </c>
      <c r="J47" s="19">
        <v>18.0</v>
      </c>
      <c r="K47" s="19">
        <v>18.0</v>
      </c>
      <c r="L47" s="19">
        <v>23.0</v>
      </c>
      <c r="M47" s="19">
        <v>9.0</v>
      </c>
      <c r="N47" s="19">
        <v>12.0</v>
      </c>
      <c r="O47" s="13">
        <f t="shared" si="14"/>
        <v>180</v>
      </c>
    </row>
    <row r="48" ht="12.75" customHeight="1">
      <c r="O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57</v>
      </c>
      <c r="L49" s="13" t="s">
        <v>58</v>
      </c>
      <c r="M49" s="13" t="s">
        <v>59</v>
      </c>
      <c r="N49" s="13" t="s">
        <v>61</v>
      </c>
      <c r="O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N50" si="15">SUM(E45:E47)</f>
        <v>240</v>
      </c>
      <c r="F50" s="19">
        <f t="shared" si="15"/>
        <v>241</v>
      </c>
      <c r="G50" s="19">
        <f t="shared" si="15"/>
        <v>243</v>
      </c>
      <c r="H50" s="19">
        <f t="shared" si="15"/>
        <v>236</v>
      </c>
      <c r="I50" s="19">
        <f t="shared" si="15"/>
        <v>242</v>
      </c>
      <c r="J50" s="19">
        <f t="shared" si="15"/>
        <v>237</v>
      </c>
      <c r="K50" s="19">
        <f t="shared" si="15"/>
        <v>226</v>
      </c>
      <c r="L50" s="19">
        <f t="shared" si="15"/>
        <v>202</v>
      </c>
      <c r="M50" s="19">
        <f t="shared" si="15"/>
        <v>218</v>
      </c>
      <c r="N50" s="19">
        <f t="shared" si="15"/>
        <v>213</v>
      </c>
      <c r="O50" s="13">
        <f t="shared" si="14"/>
        <v>2298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3.0</v>
      </c>
      <c r="F51" s="19">
        <v>3.0</v>
      </c>
      <c r="G51" s="19">
        <v>1.0</v>
      </c>
      <c r="H51" s="19">
        <v>3.0</v>
      </c>
      <c r="I51" s="19">
        <v>7.0</v>
      </c>
      <c r="J51" s="19">
        <v>6.0</v>
      </c>
      <c r="K51" s="19">
        <v>4.0</v>
      </c>
      <c r="L51" s="19">
        <v>11.0</v>
      </c>
      <c r="M51" s="19">
        <v>8.0</v>
      </c>
      <c r="N51" s="19">
        <v>4.0</v>
      </c>
      <c r="O51" s="13">
        <f t="shared" si="14"/>
        <v>50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N52" si="16">SUM(E50:E51)</f>
        <v>243</v>
      </c>
      <c r="F52" s="13">
        <f t="shared" si="16"/>
        <v>244</v>
      </c>
      <c r="G52" s="13">
        <f t="shared" si="16"/>
        <v>244</v>
      </c>
      <c r="H52" s="13">
        <f t="shared" si="16"/>
        <v>239</v>
      </c>
      <c r="I52" s="13">
        <f t="shared" si="16"/>
        <v>249</v>
      </c>
      <c r="J52" s="13">
        <f t="shared" si="16"/>
        <v>243</v>
      </c>
      <c r="K52" s="13">
        <f t="shared" si="16"/>
        <v>230</v>
      </c>
      <c r="L52" s="13">
        <f t="shared" si="16"/>
        <v>213</v>
      </c>
      <c r="M52" s="13">
        <f t="shared" si="16"/>
        <v>226</v>
      </c>
      <c r="N52" s="13">
        <f t="shared" si="16"/>
        <v>217</v>
      </c>
      <c r="O52" s="13">
        <f t="shared" si="14"/>
        <v>2348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45:N47">
    <cfRule type="containsBlanks" dxfId="1" priority="6">
      <formula>LEN(TRIM(E45))=0</formula>
    </cfRule>
  </conditionalFormatting>
  <conditionalFormatting sqref="E50:N51">
    <cfRule type="containsBlanks" dxfId="1" priority="7">
      <formula>LEN(TRIM(E50))=0</formula>
    </cfRule>
  </conditionalFormatting>
  <conditionalFormatting sqref="E34:N34">
    <cfRule type="expression" dxfId="2" priority="8">
      <formula>E30&lt;&gt;E34</formula>
    </cfRule>
  </conditionalFormatting>
  <conditionalFormatting sqref="E34:N34">
    <cfRule type="expression" dxfId="3" priority="9">
      <formula>E30=E34</formula>
    </cfRule>
  </conditionalFormatting>
  <conditionalFormatting sqref="E34:N34">
    <cfRule type="expression" dxfId="0" priority="10">
      <formula>E34&lt;&gt;E30</formula>
    </cfRule>
  </conditionalFormatting>
  <conditionalFormatting sqref="E34:N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57</v>
      </c>
      <c r="L13" s="13" t="s">
        <v>58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136.0</v>
      </c>
      <c r="G14" s="19">
        <v>137.0</v>
      </c>
      <c r="H14" s="19">
        <v>146.0</v>
      </c>
      <c r="I14" s="19">
        <v>133.0</v>
      </c>
      <c r="J14" s="19">
        <v>138.0</v>
      </c>
      <c r="K14" s="19">
        <v>141.0</v>
      </c>
      <c r="L14" s="19">
        <v>147.0</v>
      </c>
      <c r="M14" s="13">
        <f t="shared" ref="M14:M16" si="1">SUM(E14:L14)</f>
        <v>1124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156.0</v>
      </c>
      <c r="G15" s="19">
        <v>135.0</v>
      </c>
      <c r="H15" s="19">
        <v>135.0</v>
      </c>
      <c r="I15" s="19">
        <v>147.0</v>
      </c>
      <c r="J15" s="19">
        <v>144.0</v>
      </c>
      <c r="K15" s="19">
        <v>143.0</v>
      </c>
      <c r="L15" s="19">
        <v>144.0</v>
      </c>
      <c r="M15" s="13">
        <f t="shared" si="1"/>
        <v>1140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282</v>
      </c>
      <c r="F16" s="13">
        <f t="shared" si="2"/>
        <v>292</v>
      </c>
      <c r="G16" s="13">
        <f t="shared" si="2"/>
        <v>272</v>
      </c>
      <c r="H16" s="13">
        <f t="shared" si="2"/>
        <v>281</v>
      </c>
      <c r="I16" s="13">
        <f t="shared" si="2"/>
        <v>280</v>
      </c>
      <c r="J16" s="13">
        <f t="shared" si="2"/>
        <v>282</v>
      </c>
      <c r="K16" s="13">
        <f t="shared" si="2"/>
        <v>284</v>
      </c>
      <c r="L16" s="13">
        <f t="shared" si="2"/>
        <v>291</v>
      </c>
      <c r="M16" s="13">
        <f t="shared" si="1"/>
        <v>2264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2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57</v>
      </c>
      <c r="L18" s="13" t="s">
        <v>58</v>
      </c>
      <c r="M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102.0</v>
      </c>
      <c r="F19" s="19">
        <v>116.0</v>
      </c>
      <c r="G19" s="19">
        <v>91.0</v>
      </c>
      <c r="H19" s="19">
        <v>110.0</v>
      </c>
      <c r="I19" s="19">
        <v>103.0</v>
      </c>
      <c r="J19" s="19">
        <v>106.0</v>
      </c>
      <c r="K19" s="19">
        <v>112.0</v>
      </c>
      <c r="L19" s="19">
        <v>129.0</v>
      </c>
      <c r="M19" s="13">
        <f t="shared" ref="M19:M30" si="3">SUM(E19:L19)</f>
        <v>869</v>
      </c>
    </row>
    <row r="20" ht="12.75" customHeight="1">
      <c r="A20" s="34"/>
      <c r="B20" s="27"/>
      <c r="C20" s="35"/>
      <c r="D20" s="19" t="s">
        <v>13</v>
      </c>
      <c r="E20" s="19">
        <v>108.0</v>
      </c>
      <c r="F20" s="19">
        <v>116.0</v>
      </c>
      <c r="G20" s="19">
        <v>101.0</v>
      </c>
      <c r="H20" s="19">
        <v>115.0</v>
      </c>
      <c r="I20" s="19">
        <v>118.0</v>
      </c>
      <c r="J20" s="19">
        <v>126.0</v>
      </c>
      <c r="K20" s="19">
        <v>119.0</v>
      </c>
      <c r="L20" s="19">
        <v>115.0</v>
      </c>
      <c r="M20" s="13">
        <f t="shared" si="3"/>
        <v>918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210</v>
      </c>
      <c r="F21" s="13">
        <f t="shared" si="4"/>
        <v>232</v>
      </c>
      <c r="G21" s="13">
        <f t="shared" si="4"/>
        <v>192</v>
      </c>
      <c r="H21" s="13">
        <f t="shared" si="4"/>
        <v>225</v>
      </c>
      <c r="I21" s="13">
        <f t="shared" si="4"/>
        <v>221</v>
      </c>
      <c r="J21" s="13">
        <f t="shared" si="4"/>
        <v>232</v>
      </c>
      <c r="K21" s="13">
        <f t="shared" si="4"/>
        <v>231</v>
      </c>
      <c r="L21" s="13">
        <f t="shared" si="4"/>
        <v>244</v>
      </c>
      <c r="M21" s="13">
        <f t="shared" si="3"/>
        <v>1787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2.0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3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L28" si="7">SUM(E19,E22,E25)</f>
        <v>103</v>
      </c>
      <c r="F28" s="13">
        <f t="shared" si="7"/>
        <v>117</v>
      </c>
      <c r="G28" s="13">
        <f t="shared" si="7"/>
        <v>94</v>
      </c>
      <c r="H28" s="13">
        <f t="shared" si="7"/>
        <v>110</v>
      </c>
      <c r="I28" s="13">
        <f t="shared" si="7"/>
        <v>104</v>
      </c>
      <c r="J28" s="13">
        <f t="shared" si="7"/>
        <v>106</v>
      </c>
      <c r="K28" s="13">
        <f t="shared" si="7"/>
        <v>112</v>
      </c>
      <c r="L28" s="13">
        <f t="shared" si="7"/>
        <v>129</v>
      </c>
      <c r="M28" s="13">
        <f t="shared" si="3"/>
        <v>875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110</v>
      </c>
      <c r="F29" s="13">
        <f t="shared" si="8"/>
        <v>117</v>
      </c>
      <c r="G29" s="13">
        <f t="shared" si="8"/>
        <v>102</v>
      </c>
      <c r="H29" s="13">
        <f t="shared" si="8"/>
        <v>115</v>
      </c>
      <c r="I29" s="13">
        <f t="shared" si="8"/>
        <v>118</v>
      </c>
      <c r="J29" s="13">
        <f t="shared" si="8"/>
        <v>126</v>
      </c>
      <c r="K29" s="13">
        <f t="shared" si="8"/>
        <v>119</v>
      </c>
      <c r="L29" s="13">
        <f t="shared" si="8"/>
        <v>115</v>
      </c>
      <c r="M29" s="13">
        <f t="shared" si="3"/>
        <v>922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213</v>
      </c>
      <c r="F30" s="13">
        <f t="shared" si="9"/>
        <v>234</v>
      </c>
      <c r="G30" s="13">
        <f t="shared" si="9"/>
        <v>196</v>
      </c>
      <c r="H30" s="13">
        <f t="shared" si="9"/>
        <v>225</v>
      </c>
      <c r="I30" s="13">
        <f t="shared" si="9"/>
        <v>222</v>
      </c>
      <c r="J30" s="13">
        <f t="shared" si="9"/>
        <v>232</v>
      </c>
      <c r="K30" s="13">
        <f t="shared" si="9"/>
        <v>231</v>
      </c>
      <c r="L30" s="13">
        <f t="shared" si="9"/>
        <v>244</v>
      </c>
      <c r="M30" s="13">
        <f t="shared" si="3"/>
        <v>1797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2"/>
    </row>
    <row r="32" ht="12.75" customHeight="1">
      <c r="A32" s="43" t="s">
        <v>25</v>
      </c>
      <c r="B32" s="14" t="s">
        <v>26</v>
      </c>
      <c r="C32" s="15"/>
      <c r="D32" s="16"/>
      <c r="E32" s="65" t="s">
        <v>50</v>
      </c>
      <c r="F32" s="65" t="s">
        <v>51</v>
      </c>
      <c r="G32" s="65" t="s">
        <v>52</v>
      </c>
      <c r="H32" s="65" t="s">
        <v>53</v>
      </c>
      <c r="I32" s="65" t="s">
        <v>54</v>
      </c>
      <c r="J32" s="65" t="s">
        <v>55</v>
      </c>
      <c r="K32" s="65" t="s">
        <v>57</v>
      </c>
      <c r="L32" s="65" t="s">
        <v>58</v>
      </c>
      <c r="M32" s="62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298.0</v>
      </c>
      <c r="G33" s="19">
        <v>278.0</v>
      </c>
      <c r="H33" s="19">
        <v>287.0</v>
      </c>
      <c r="I33" s="19">
        <v>286.0</v>
      </c>
      <c r="J33" s="19">
        <v>287.0</v>
      </c>
      <c r="K33" s="19">
        <v>289.0</v>
      </c>
      <c r="L33" s="19">
        <v>298.0</v>
      </c>
      <c r="M33" s="13">
        <f t="shared" ref="M33:M36" si="10">SUM(E33:L33)</f>
        <v>2313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234.0</v>
      </c>
      <c r="G34" s="13">
        <v>196.0</v>
      </c>
      <c r="H34" s="13">
        <v>225.0</v>
      </c>
      <c r="I34" s="13">
        <v>222.0</v>
      </c>
      <c r="J34" s="13">
        <v>232.0</v>
      </c>
      <c r="K34" s="13">
        <v>231.0</v>
      </c>
      <c r="L34" s="13">
        <v>244.0</v>
      </c>
      <c r="M34" s="13">
        <f t="shared" si="10"/>
        <v>1797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77</v>
      </c>
      <c r="F36" s="13">
        <f t="shared" si="11"/>
        <v>64</v>
      </c>
      <c r="G36" s="13">
        <f t="shared" si="11"/>
        <v>82</v>
      </c>
      <c r="H36" s="13">
        <f t="shared" si="11"/>
        <v>62</v>
      </c>
      <c r="I36" s="13">
        <f t="shared" si="11"/>
        <v>64</v>
      </c>
      <c r="J36" s="13">
        <f t="shared" si="11"/>
        <v>55</v>
      </c>
      <c r="K36" s="13">
        <f t="shared" si="11"/>
        <v>58</v>
      </c>
      <c r="L36" s="13">
        <f t="shared" si="11"/>
        <v>54</v>
      </c>
      <c r="M36" s="13">
        <f t="shared" si="10"/>
        <v>516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62"/>
    </row>
    <row r="38" ht="12.75" customHeight="1">
      <c r="A38" s="44" t="s">
        <v>31</v>
      </c>
      <c r="B38" s="14" t="s">
        <v>32</v>
      </c>
      <c r="C38" s="15"/>
      <c r="D38" s="16"/>
      <c r="E38" s="65" t="s">
        <v>50</v>
      </c>
      <c r="F38" s="65" t="s">
        <v>51</v>
      </c>
      <c r="G38" s="65" t="s">
        <v>52</v>
      </c>
      <c r="H38" s="65" t="s">
        <v>53</v>
      </c>
      <c r="I38" s="65" t="s">
        <v>54</v>
      </c>
      <c r="J38" s="65" t="s">
        <v>55</v>
      </c>
      <c r="K38" s="65" t="s">
        <v>57</v>
      </c>
      <c r="L38" s="65" t="s">
        <v>58</v>
      </c>
      <c r="M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5.0</v>
      </c>
      <c r="I39" s="19">
        <v>0.0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7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5.0</v>
      </c>
      <c r="H40" s="19">
        <v>10.0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15</v>
      </c>
    </row>
    <row r="41" ht="12.75" customHeight="1">
      <c r="A41" s="43"/>
      <c r="B41" s="46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15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4" t="s">
        <v>34</v>
      </c>
      <c r="B43" s="14" t="s">
        <v>35</v>
      </c>
      <c r="C43" s="15"/>
      <c r="D43" s="16"/>
      <c r="E43" s="65" t="s">
        <v>50</v>
      </c>
      <c r="F43" s="65" t="s">
        <v>51</v>
      </c>
      <c r="G43" s="65" t="s">
        <v>52</v>
      </c>
      <c r="H43" s="65" t="s">
        <v>53</v>
      </c>
      <c r="I43" s="65" t="s">
        <v>54</v>
      </c>
      <c r="J43" s="65" t="s">
        <v>55</v>
      </c>
      <c r="K43" s="65" t="s">
        <v>57</v>
      </c>
      <c r="L43" s="65" t="s">
        <v>58</v>
      </c>
      <c r="M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3"/>
      <c r="B45" s="49">
        <v>1.0</v>
      </c>
      <c r="C45" s="50" t="s">
        <v>37</v>
      </c>
      <c r="D45" s="16"/>
      <c r="E45" s="19">
        <v>24.0</v>
      </c>
      <c r="F45" s="19">
        <v>39.0</v>
      </c>
      <c r="G45" s="19">
        <v>28.0</v>
      </c>
      <c r="H45" s="19">
        <v>27.0</v>
      </c>
      <c r="I45" s="19">
        <v>34.0</v>
      </c>
      <c r="J45" s="19">
        <v>47.0</v>
      </c>
      <c r="K45" s="19">
        <v>27.0</v>
      </c>
      <c r="L45" s="19">
        <v>17.0</v>
      </c>
      <c r="M45" s="13">
        <f t="shared" ref="M45:M52" si="14">SUM(E45:L45)</f>
        <v>243</v>
      </c>
    </row>
    <row r="46" ht="12.75" customHeight="1">
      <c r="A46" s="18"/>
      <c r="B46" s="49">
        <v>2.0</v>
      </c>
      <c r="C46" s="50" t="s">
        <v>38</v>
      </c>
      <c r="D46" s="16"/>
      <c r="E46" s="19">
        <v>177.0</v>
      </c>
      <c r="F46" s="19">
        <v>186.0</v>
      </c>
      <c r="G46" s="19">
        <v>148.0</v>
      </c>
      <c r="H46" s="19">
        <v>174.0</v>
      </c>
      <c r="I46" s="19">
        <v>173.0</v>
      </c>
      <c r="J46" s="19">
        <v>156.0</v>
      </c>
      <c r="K46" s="19">
        <v>187.0</v>
      </c>
      <c r="L46" s="19">
        <v>198.0</v>
      </c>
      <c r="M46" s="13">
        <f t="shared" si="14"/>
        <v>1399</v>
      </c>
    </row>
    <row r="47" ht="12.75" customHeight="1">
      <c r="A47" s="47"/>
      <c r="B47" s="49">
        <v>3.0</v>
      </c>
      <c r="C47" s="50" t="s">
        <v>39</v>
      </c>
      <c r="D47" s="16"/>
      <c r="E47" s="19">
        <v>10.0</v>
      </c>
      <c r="F47" s="19">
        <v>8.0</v>
      </c>
      <c r="G47" s="19">
        <v>15.0</v>
      </c>
      <c r="H47" s="19">
        <v>14.0</v>
      </c>
      <c r="I47" s="19">
        <v>11.0</v>
      </c>
      <c r="J47" s="19">
        <v>26.0</v>
      </c>
      <c r="K47" s="19">
        <v>13.0</v>
      </c>
      <c r="L47" s="19">
        <v>17.0</v>
      </c>
      <c r="M47" s="13">
        <f t="shared" si="14"/>
        <v>114</v>
      </c>
    </row>
    <row r="48" ht="12.75" customHeight="1">
      <c r="M48" s="13">
        <f t="shared" si="14"/>
        <v>0</v>
      </c>
    </row>
    <row r="49" ht="12.75" customHeight="1">
      <c r="A49" s="44" t="s">
        <v>40</v>
      </c>
      <c r="B49" s="14" t="s">
        <v>41</v>
      </c>
      <c r="C49" s="15"/>
      <c r="D49" s="16"/>
      <c r="E49" s="65" t="s">
        <v>50</v>
      </c>
      <c r="F49" s="65" t="s">
        <v>51</v>
      </c>
      <c r="G49" s="65" t="s">
        <v>52</v>
      </c>
      <c r="H49" s="65" t="s">
        <v>53</v>
      </c>
      <c r="I49" s="65" t="s">
        <v>54</v>
      </c>
      <c r="J49" s="65" t="s">
        <v>55</v>
      </c>
      <c r="K49" s="65" t="s">
        <v>57</v>
      </c>
      <c r="L49" s="65" t="s">
        <v>58</v>
      </c>
      <c r="M49" s="13">
        <f t="shared" si="14"/>
        <v>0</v>
      </c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L50" si="15">SUM(E45:E47)</f>
        <v>211</v>
      </c>
      <c r="F50" s="19">
        <f t="shared" si="15"/>
        <v>233</v>
      </c>
      <c r="G50" s="19">
        <f t="shared" si="15"/>
        <v>191</v>
      </c>
      <c r="H50" s="19">
        <f t="shared" si="15"/>
        <v>215</v>
      </c>
      <c r="I50" s="19">
        <f t="shared" si="15"/>
        <v>218</v>
      </c>
      <c r="J50" s="19">
        <f t="shared" si="15"/>
        <v>229</v>
      </c>
      <c r="K50" s="19">
        <f t="shared" si="15"/>
        <v>227</v>
      </c>
      <c r="L50" s="19">
        <f t="shared" si="15"/>
        <v>232</v>
      </c>
      <c r="M50" s="13">
        <f t="shared" si="14"/>
        <v>1756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2.0</v>
      </c>
      <c r="F51" s="19">
        <v>1.0</v>
      </c>
      <c r="G51" s="19">
        <v>5.0</v>
      </c>
      <c r="H51" s="19">
        <v>10.0</v>
      </c>
      <c r="I51" s="19">
        <v>4.0</v>
      </c>
      <c r="J51" s="19">
        <v>3.0</v>
      </c>
      <c r="K51" s="19">
        <v>4.0</v>
      </c>
      <c r="L51" s="19">
        <v>12.0</v>
      </c>
      <c r="M51" s="13">
        <f t="shared" si="14"/>
        <v>41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L52" si="16">SUM(E50:E51)</f>
        <v>213</v>
      </c>
      <c r="F52" s="13">
        <f t="shared" si="16"/>
        <v>234</v>
      </c>
      <c r="G52" s="13">
        <f t="shared" si="16"/>
        <v>196</v>
      </c>
      <c r="H52" s="13">
        <f t="shared" si="16"/>
        <v>225</v>
      </c>
      <c r="I52" s="13">
        <f t="shared" si="16"/>
        <v>222</v>
      </c>
      <c r="J52" s="13">
        <f t="shared" si="16"/>
        <v>232</v>
      </c>
      <c r="K52" s="13">
        <f t="shared" si="16"/>
        <v>231</v>
      </c>
      <c r="L52" s="13">
        <f t="shared" si="16"/>
        <v>244</v>
      </c>
      <c r="M52" s="13">
        <f t="shared" si="14"/>
        <v>1797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2"/>
      <c r="O131" s="52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2"/>
      <c r="O142" s="52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2"/>
      <c r="O152" s="52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2"/>
      <c r="O166" s="52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2"/>
      <c r="O199" s="52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2"/>
      <c r="O208" s="52"/>
    </row>
    <row r="209" ht="12.75" customHeight="1">
      <c r="N209" s="52"/>
      <c r="O209" s="52"/>
    </row>
    <row r="210" ht="12.75" customHeight="1">
      <c r="N210" s="52"/>
      <c r="O210" s="52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2"/>
      <c r="O219" s="52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2"/>
      <c r="O230" s="52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45:L47">
    <cfRule type="containsBlanks" dxfId="1" priority="6">
      <formula>LEN(TRIM(E45))=0</formula>
    </cfRule>
  </conditionalFormatting>
  <conditionalFormatting sqref="E50:L51">
    <cfRule type="containsBlanks" dxfId="1" priority="7">
      <formula>LEN(TRIM(E50))=0</formula>
    </cfRule>
  </conditionalFormatting>
  <conditionalFormatting sqref="E34:L34">
    <cfRule type="expression" dxfId="2" priority="8">
      <formula>E30&lt;&gt;E34</formula>
    </cfRule>
  </conditionalFormatting>
  <conditionalFormatting sqref="E34:L34">
    <cfRule type="expression" dxfId="3" priority="9">
      <formula>E30=E34</formula>
    </cfRule>
  </conditionalFormatting>
  <conditionalFormatting sqref="E34:L34">
    <cfRule type="expression" dxfId="0" priority="10">
      <formula>E34&lt;&gt;E30</formula>
    </cfRule>
  </conditionalFormatting>
  <conditionalFormatting sqref="E34:L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