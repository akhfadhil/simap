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PWP" sheetId="1" r:id="rId4"/>
    <sheet state="visible" name="GENTENG KULON" sheetId="2" r:id="rId5"/>
    <sheet state="visible" name="GENTENG WETAN" sheetId="3" r:id="rId6"/>
    <sheet state="visible" name="KALIGONDO" sheetId="4" r:id="rId7"/>
    <sheet state="visible" name="KEMBIRITAN" sheetId="5" r:id="rId8"/>
    <sheet state="visible" name="SETAIL" sheetId="6" r:id="rId9"/>
  </sheets>
  <definedNames/>
  <calcPr/>
  <extLst>
    <ext uri="GoogleSheetsCustomDataVersion2">
      <go:sheetsCustomData xmlns:go="http://customooxmlschemas.google.com/" r:id="rId10" roundtripDataChecksum="QtPRFGhoRhzooFyXo76kJzTKQMqki0Sx2Rs6MM6kXc4="/>
    </ext>
  </extLst>
</workbook>
</file>

<file path=xl/sharedStrings.xml><?xml version="1.0" encoding="utf-8"?>
<sst xmlns="http://schemas.openxmlformats.org/spreadsheetml/2006/main" count="668" uniqueCount="118">
  <si>
    <t>Kecamatan</t>
  </si>
  <si>
    <t>GENTENG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</si>
  <si>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</si>
  <si>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</si>
  <si>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</si>
  <si>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</si>
  <si>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</si>
  <si>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</si>
  <si>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</si>
  <si>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</si>
  <si>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</si>
  <si>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</si>
  <si>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</si>
  <si>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</si>
  <si>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</si>
  <si>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</si>
  <si>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</si>
  <si>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</si>
  <si>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</si>
  <si>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</si>
  <si>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</si>
  <si>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</si>
  <si>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</si>
  <si>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</si>
  <si>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</si>
  <si>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</si>
  <si>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</si>
  <si>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</si>
  <si>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</si>
  <si>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</si>
  <si>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</si>
  <si>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</si>
  <si>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</si>
  <si>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</si>
  <si>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</si>
  <si>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</si>
  <si>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</si>
  <si>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H. ANIES RASYID BASWEDAN, Ph.D. - Dr. (H.C.) H. A. MUHAIMIN ISKANDAR</t>
  </si>
  <si>
    <t>H. PRABOWO SUBIANTO - GIBRAN RAKABUMING RAKA</t>
  </si>
  <si>
    <t>H. GANJAR PRANOWO, S.H., M.I.P. - Prof. Dr. H. M. MAHFUD MD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</si>
  <si>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</si>
  <si>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</si>
  <si>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</si>
  <si>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</si>
  <si>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</si>
  <si>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</si>
  <si>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</si>
  <si>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</si>
  <si>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</si>
  <si>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GENTENG KULON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</si>
  <si>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</si>
  <si>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</si>
  <si>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</si>
  <si>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</si>
  <si>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</si>
  <si>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</si>
  <si>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</si>
  <si>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</si>
  <si>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</si>
  <si>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</si>
  <si>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</si>
  <si>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</si>
  <si>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</si>
  <si>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</si>
  <si>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</si>
  <si>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</si>
  <si>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</si>
  <si>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</si>
  <si>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</si>
  <si>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</si>
  <si>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</si>
  <si>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</si>
  <si>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</si>
  <si>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</si>
  <si>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</si>
  <si>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</si>
  <si>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</si>
  <si>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</si>
  <si>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</si>
  <si>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</si>
  <si>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</si>
  <si>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</si>
  <si>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</si>
  <si>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</si>
  <si>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</si>
  <si>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</si>
  <si>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</si>
  <si>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</si>
  <si>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</si>
  <si>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</si>
  <si>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</si>
  <si>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</si>
  <si>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</si>
  <si>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</si>
  <si>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</si>
  <si>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TPS 046</t>
  </si>
  <si>
    <t>TPS 047</t>
  </si>
  <si>
    <t>TPS 048</t>
  </si>
  <si>
    <t>TPS 049</t>
  </si>
  <si>
    <t>TPS 050</t>
  </si>
  <si>
    <t>TPS 051</t>
  </si>
  <si>
    <t>TPS 052</t>
  </si>
  <si>
    <t>TPS 053</t>
  </si>
  <si>
    <t>TPS 054</t>
  </si>
  <si>
    <t>TPS 055</t>
  </si>
  <si>
    <t>TPS 056</t>
  </si>
  <si>
    <t>TPS 057</t>
  </si>
  <si>
    <t>TPS 058</t>
  </si>
  <si>
    <t>GENTENG WETAN</t>
  </si>
  <si>
    <t>TPS 059</t>
  </si>
  <si>
    <t>KALIGONDO</t>
  </si>
  <si>
    <t>KEMBIRITAN</t>
  </si>
  <si>
    <t>TPS 060</t>
  </si>
  <si>
    <t>TPS 061</t>
  </si>
  <si>
    <t>TPS 062</t>
  </si>
  <si>
    <t>TPS 063</t>
  </si>
  <si>
    <t>TPS 064</t>
  </si>
  <si>
    <t>SETAIL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</si>
</sst>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13" fillId="0" fontId="3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5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'GENTENG KULON'!BK14+'GENTENG WETAN'!BL14+KALIGONDO!BB14+KEMBIRITAN!BQ14+SETAIL!BC14</f>
        <v>36085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'GENTENG KULON'!BK15+'GENTENG WETAN'!BL15+KALIGONDO!BB15+KEMBIRITAN!BQ15+SETAIL!BC15</f>
        <v>36168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72253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'GENTENG KULON'!BK19+'GENTENG WETAN'!BL19+KALIGONDO!BB19+KEMBIRITAN!BQ19+SETAIL!BC19</f>
        <v>26161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'GENTENG KULON'!BK20+'GENTENG WETAN'!BL20+KALIGONDO!BB20+KEMBIRITAN!BQ20+SETAIL!BC20</f>
        <v>28216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54377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'GENTENG KULON'!BK22+'GENTENG WETAN'!BL22+KALIGONDO!BB22+KEMBIRITAN!BQ22+SETAIL!BC22</f>
        <v>249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'GENTENG KULON'!BK23+'GENTENG WETAN'!BL23+KALIGONDO!BB23+KEMBIRITAN!BQ23+SETAIL!BC23</f>
        <v>199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448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'GENTENG KULON'!BK25+'GENTENG WETAN'!BL25+KALIGONDO!BB25+KEMBIRITAN!BQ25+SETAIL!BC25</f>
        <v>284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'GENTENG KULON'!BK26+'GENTENG WETAN'!BL26+KALIGONDO!BB26+KEMBIRITAN!BQ26+SETAIL!BC26</f>
        <v>398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682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26694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28813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55507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'GENTENG KULON'!BK33+'GENTENG WETAN'!BL33+KALIGONDO!BB33+KEMBIRITAN!BQ33+SETAIL!BC33</f>
        <v>73909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'GENTENG KULON'!BK34+'GENTENG WETAN'!BL34+KALIGONDO!BB34+KEMBIRITAN!BQ34+SETAIL!BC34</f>
        <v>55507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'GENTENG KULON'!BK35+'GENTENG WETAN'!BL35+KALIGONDO!BB35+KEMBIRITAN!BQ35+SETAIL!BC35</f>
        <v>77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18325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'GENTENG KULON'!BK39+'GENTENG WETAN'!BL39+KALIGONDO!BB39+KEMBIRITAN!BQ39+SETAIL!BC39</f>
        <v>47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'GENTENG KULON'!BK40+'GENTENG WETAN'!BL40+KALIGONDO!BB40+KEMBIRITAN!BQ40+SETAIL!BC40</f>
        <v>49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96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/>
      <c r="B45" s="47">
        <v>1.0</v>
      </c>
      <c r="C45" s="48" t="s">
        <v>37</v>
      </c>
      <c r="D45" s="16"/>
      <c r="E45" s="24">
        <f>'GENTENG KULON'!BK45+'GENTENG WETAN'!BL45+KALIGONDO!BB45+KEMBIRITAN!BQ45+SETAIL!BC45</f>
        <v>7895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33"/>
      <c r="B46" s="47">
        <v>2.0</v>
      </c>
      <c r="C46" s="48" t="s">
        <v>38</v>
      </c>
      <c r="D46" s="16"/>
      <c r="E46" s="24">
        <f>'GENTENG KULON'!BK46+'GENTENG WETAN'!BL46+KALIGONDO!BB46+KEMBIRITAN!BQ46+SETAIL!BC46</f>
        <v>36179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3"/>
      <c r="B47" s="47">
        <v>3.0</v>
      </c>
      <c r="C47" s="48" t="s">
        <v>39</v>
      </c>
      <c r="D47" s="16"/>
      <c r="E47" s="24">
        <f>'GENTENG KULON'!BK47+'GENTENG WETAN'!BL47+KALIGONDO!BB47+KEMBIRITAN!BQ47+SETAIL!BC47</f>
        <v>10586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F48" s="18"/>
      <c r="G48" s="5"/>
      <c r="H48" s="5"/>
      <c r="I48" s="5"/>
      <c r="J48" s="5"/>
      <c r="K48" s="5"/>
      <c r="L48" s="5"/>
      <c r="M48" s="5"/>
      <c r="N48" s="5"/>
      <c r="O48" s="5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2" t="s">
        <v>40</v>
      </c>
      <c r="B49" s="14" t="s">
        <v>41</v>
      </c>
      <c r="C49" s="15"/>
      <c r="D49" s="16"/>
      <c r="E49" s="13"/>
      <c r="F49" s="18"/>
      <c r="G49" s="5"/>
      <c r="H49" s="5"/>
      <c r="I49" s="5"/>
      <c r="J49" s="5"/>
      <c r="K49" s="5"/>
      <c r="L49" s="5"/>
      <c r="M49" s="5"/>
      <c r="N49" s="5"/>
      <c r="O49" s="5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2"/>
      <c r="B50" s="54" t="s">
        <v>42</v>
      </c>
      <c r="C50" s="55" t="s">
        <v>43</v>
      </c>
      <c r="D50" s="16"/>
      <c r="E50" s="24">
        <f>'GENTENG KULON'!BK50+'GENTENG WETAN'!BL50+KALIGONDO!BB50+KEMBIRITAN!BQ50+SETAIL!BC50</f>
        <v>54660</v>
      </c>
      <c r="F50" s="18"/>
      <c r="G50" s="5"/>
      <c r="H50" s="5"/>
      <c r="I50" s="5"/>
      <c r="J50" s="5"/>
      <c r="K50" s="5"/>
      <c r="L50" s="5"/>
      <c r="M50" s="5"/>
      <c r="N50" s="5"/>
      <c r="O50" s="1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5"/>
      <c r="B51" s="54" t="s">
        <v>44</v>
      </c>
      <c r="C51" s="55" t="s">
        <v>45</v>
      </c>
      <c r="D51" s="16"/>
      <c r="E51" s="24">
        <f>'GENTENG KULON'!BK51+'GENTENG WETAN'!BL51+KALIGONDO!BB51+KEMBIRITAN!BQ51+SETAIL!BC51</f>
        <v>847</v>
      </c>
      <c r="F51" s="18"/>
      <c r="G51" s="5"/>
      <c r="H51" s="5"/>
      <c r="I51" s="5"/>
      <c r="J51" s="5"/>
      <c r="K51" s="5"/>
      <c r="L51" s="5"/>
      <c r="M51" s="5"/>
      <c r="N51" s="5"/>
      <c r="O51" s="10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1"/>
      <c r="B52" s="54" t="s">
        <v>46</v>
      </c>
      <c r="C52" s="55" t="s">
        <v>47</v>
      </c>
      <c r="D52" s="16"/>
      <c r="E52" s="13">
        <f>SUM(E50:E51)</f>
        <v>55507</v>
      </c>
      <c r="F52" s="18"/>
      <c r="G52" s="5"/>
      <c r="H52" s="5"/>
      <c r="I52" s="5"/>
      <c r="J52" s="5"/>
      <c r="K52" s="5"/>
      <c r="L52" s="5"/>
      <c r="M52" s="5"/>
      <c r="N52" s="5"/>
      <c r="O52" s="10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"/>
      <c r="B53" s="56"/>
      <c r="C53" s="5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0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"/>
      <c r="B54" s="56"/>
      <c r="C54" s="5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0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"/>
      <c r="B55" s="56"/>
      <c r="C55" s="5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0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hidden="1" customHeight="1">
      <c r="A56" s="5"/>
      <c r="B56" s="56"/>
      <c r="C56" s="5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10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hidden="1" customHeight="1">
      <c r="A57" s="5"/>
      <c r="B57" s="56"/>
      <c r="C57" s="5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10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hidden="1" customHeight="1">
      <c r="A58" s="5"/>
      <c r="B58" s="56"/>
      <c r="C58" s="5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10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hidden="1" customHeight="1">
      <c r="A59" s="5"/>
      <c r="B59" s="56"/>
      <c r="C59" s="5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10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hidden="1" customHeight="1">
      <c r="A60" s="5"/>
      <c r="B60" s="56"/>
      <c r="C60" s="5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hidden="1" customHeight="1">
      <c r="A61" s="5"/>
      <c r="B61" s="56"/>
      <c r="C61" s="5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hidden="1" customHeight="1">
      <c r="A62" s="5"/>
      <c r="B62" s="56"/>
      <c r="C62" s="5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hidden="1" customHeight="1">
      <c r="A63" s="5"/>
      <c r="B63" s="56"/>
      <c r="C63" s="5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hidden="1" customHeight="1">
      <c r="A64" s="5"/>
      <c r="B64" s="56"/>
      <c r="C64" s="5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hidden="1" customHeight="1">
      <c r="A65" s="5"/>
      <c r="B65" s="56"/>
      <c r="C65" s="5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6"/>
      <c r="C66" s="5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6"/>
      <c r="C67" s="5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6"/>
      <c r="C68" s="5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6"/>
      <c r="C69" s="5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6"/>
      <c r="C70" s="5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6"/>
      <c r="C71" s="5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6"/>
      <c r="C72" s="5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6"/>
      <c r="C73" s="5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6"/>
      <c r="C74" s="5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6"/>
      <c r="C75" s="5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6"/>
      <c r="C76" s="5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6"/>
      <c r="C77" s="5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6"/>
      <c r="C78" s="5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6"/>
      <c r="C79" s="5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6"/>
      <c r="C80" s="5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6"/>
      <c r="C81" s="5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6"/>
      <c r="C82" s="5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6"/>
      <c r="C83" s="5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6"/>
      <c r="C84" s="5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6"/>
      <c r="C85" s="5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6"/>
      <c r="C86" s="5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6"/>
      <c r="C87" s="5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6"/>
      <c r="C88" s="5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6"/>
      <c r="C89" s="5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6"/>
      <c r="C90" s="5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6"/>
      <c r="C91" s="5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6"/>
      <c r="C92" s="5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6"/>
      <c r="C93" s="5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6"/>
      <c r="C94" s="5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6"/>
      <c r="C95" s="5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6"/>
      <c r="C96" s="5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6"/>
      <c r="C97" s="5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6"/>
      <c r="C98" s="5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6"/>
      <c r="C99" s="5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6"/>
      <c r="C100" s="5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6"/>
      <c r="C101" s="5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6"/>
      <c r="C102" s="5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6"/>
      <c r="C103" s="5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6"/>
      <c r="C104" s="5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6"/>
      <c r="C105" s="5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6"/>
      <c r="C106" s="5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6"/>
      <c r="C107" s="5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6"/>
      <c r="C108" s="5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6"/>
      <c r="C109" s="5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6"/>
      <c r="C110" s="5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6"/>
      <c r="C111" s="5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6"/>
      <c r="C112" s="5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6"/>
      <c r="C113" s="5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6"/>
      <c r="C114" s="5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6"/>
      <c r="C115" s="5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6"/>
      <c r="C116" s="5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6"/>
      <c r="C117" s="5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6"/>
      <c r="C118" s="5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6"/>
      <c r="C119" s="5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6"/>
      <c r="C120" s="5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6"/>
      <c r="C121" s="5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6"/>
      <c r="C122" s="5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6"/>
      <c r="C123" s="5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6"/>
      <c r="C124" s="5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6"/>
      <c r="C125" s="5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6"/>
      <c r="C126" s="5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6"/>
      <c r="C127" s="5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6"/>
      <c r="C128" s="5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6"/>
      <c r="C129" s="5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6"/>
      <c r="C130" s="5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6"/>
      <c r="C131" s="5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6"/>
      <c r="C132" s="5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6"/>
      <c r="C133" s="5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6"/>
      <c r="C134" s="5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6"/>
      <c r="C135" s="5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6"/>
      <c r="C136" s="5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6"/>
      <c r="C137" s="5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6"/>
      <c r="C138" s="5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6"/>
      <c r="C139" s="5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6"/>
      <c r="C140" s="5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6"/>
      <c r="C141" s="5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6"/>
      <c r="C142" s="5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6"/>
      <c r="C143" s="5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6"/>
      <c r="C144" s="5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6"/>
      <c r="C145" s="5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6"/>
      <c r="C146" s="5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6"/>
      <c r="C147" s="5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6"/>
      <c r="C148" s="5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6"/>
      <c r="C149" s="5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6"/>
      <c r="C150" s="5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6"/>
      <c r="C151" s="5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6"/>
      <c r="C152" s="5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6"/>
      <c r="C153" s="5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6"/>
      <c r="C154" s="5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6"/>
      <c r="C155" s="5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6"/>
      <c r="C156" s="5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6"/>
      <c r="C157" s="5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6"/>
      <c r="C158" s="5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6"/>
      <c r="C159" s="5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6"/>
      <c r="C160" s="5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6"/>
      <c r="C161" s="5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6"/>
      <c r="C162" s="5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6"/>
      <c r="C163" s="5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6"/>
      <c r="C164" s="5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6"/>
      <c r="C165" s="5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6"/>
      <c r="C166" s="5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6"/>
      <c r="C167" s="5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6"/>
      <c r="C168" s="5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6"/>
      <c r="C169" s="5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6"/>
      <c r="C170" s="5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6"/>
      <c r="C171" s="5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6"/>
      <c r="C172" s="5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6"/>
      <c r="C173" s="5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6"/>
      <c r="C174" s="5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6"/>
      <c r="C175" s="5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6"/>
      <c r="C176" s="5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6"/>
      <c r="C177" s="5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6"/>
      <c r="C178" s="5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6"/>
      <c r="C179" s="5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6"/>
      <c r="C180" s="5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6"/>
      <c r="C181" s="5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6"/>
      <c r="C182" s="5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6"/>
      <c r="C183" s="5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6"/>
      <c r="C184" s="5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6"/>
      <c r="C185" s="5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6"/>
      <c r="C186" s="5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6"/>
      <c r="C187" s="5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6"/>
      <c r="C188" s="5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6"/>
      <c r="C189" s="5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6"/>
      <c r="C190" s="5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6"/>
      <c r="C191" s="5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6"/>
      <c r="C192" s="5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6"/>
      <c r="C193" s="5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6"/>
      <c r="C194" s="5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6"/>
      <c r="C195" s="5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6"/>
      <c r="C196" s="5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6"/>
      <c r="C197" s="5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6"/>
      <c r="C198" s="5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6"/>
      <c r="C199" s="5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6"/>
      <c r="C200" s="5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6"/>
      <c r="C201" s="5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6"/>
      <c r="C202" s="5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6"/>
      <c r="C203" s="5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6"/>
      <c r="C204" s="5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6"/>
      <c r="C205" s="5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6"/>
      <c r="C206" s="5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6"/>
      <c r="C207" s="5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6"/>
      <c r="C208" s="5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6"/>
      <c r="C209" s="5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6"/>
      <c r="C210" s="5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6"/>
      <c r="C211" s="5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6"/>
      <c r="C212" s="5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6"/>
      <c r="C213" s="5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6"/>
      <c r="C214" s="5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6"/>
      <c r="C215" s="5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6"/>
      <c r="C216" s="5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6"/>
      <c r="C217" s="5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6"/>
      <c r="C218" s="5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6"/>
      <c r="C219" s="5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6"/>
      <c r="C220" s="5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6"/>
      <c r="C221" s="5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6"/>
      <c r="C222" s="5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6"/>
      <c r="C223" s="5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6"/>
      <c r="C224" s="5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6"/>
      <c r="C225" s="5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6"/>
      <c r="C226" s="5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6"/>
      <c r="C227" s="5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6"/>
      <c r="C228" s="5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6"/>
      <c r="C229" s="5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6"/>
      <c r="C230" s="5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6"/>
      <c r="C231" s="5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6"/>
      <c r="C232" s="5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6"/>
      <c r="C233" s="5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6"/>
      <c r="C234" s="5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6"/>
      <c r="C235" s="5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6"/>
      <c r="C236" s="5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6"/>
      <c r="C237" s="5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6"/>
      <c r="C238" s="5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6"/>
      <c r="C239" s="5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6"/>
      <c r="C240" s="5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6"/>
      <c r="C241" s="5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6"/>
      <c r="C242" s="5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6"/>
      <c r="C243" s="5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6"/>
      <c r="C244" s="5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6"/>
      <c r="C245" s="5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6"/>
      <c r="C246" s="5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6"/>
      <c r="C247" s="5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6"/>
      <c r="C248" s="5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6"/>
      <c r="C249" s="5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6"/>
      <c r="C250" s="57"/>
      <c r="D250" s="5"/>
      <c r="E250" s="5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6"/>
      <c r="C251" s="57"/>
      <c r="D251" s="5"/>
      <c r="E251" s="5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6"/>
      <c r="C252" s="57"/>
      <c r="D252" s="5"/>
      <c r="E252" s="5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C47:D47"/>
    <mergeCell ref="B49:D49"/>
    <mergeCell ref="C50:D50"/>
    <mergeCell ref="C51:D51"/>
    <mergeCell ref="C52:D52"/>
    <mergeCell ref="B38:D38"/>
    <mergeCell ref="B39:C41"/>
    <mergeCell ref="A42:D42"/>
    <mergeCell ref="B43:D43"/>
    <mergeCell ref="A44:D44"/>
    <mergeCell ref="C45:D45"/>
    <mergeCell ref="C46:D46"/>
  </mergeCells>
  <conditionalFormatting sqref="E30">
    <cfRule type="expression" dxfId="0" priority="1">
      <formula>E30&lt;&gt;E52</formula>
    </cfRule>
  </conditionalFormatting>
  <conditionalFormatting sqref="E30">
    <cfRule type="expression" dxfId="0" priority="2">
      <formula>E30&lt;&gt;E34</formula>
    </cfRule>
  </conditionalFormatting>
  <conditionalFormatting sqref="F48:O4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62" width="8.71"/>
    <col customWidth="1" min="63" max="63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49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  <c r="BC11" s="1"/>
      <c r="BD11" s="1"/>
      <c r="BE11" s="1"/>
      <c r="BF11" s="1"/>
      <c r="BG11" s="2"/>
      <c r="BH11" s="1"/>
      <c r="BI11" s="1"/>
      <c r="BJ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74</v>
      </c>
      <c r="AD13" s="13" t="s">
        <v>75</v>
      </c>
      <c r="AE13" s="13" t="s">
        <v>76</v>
      </c>
      <c r="AF13" s="13" t="s">
        <v>77</v>
      </c>
      <c r="AG13" s="13" t="s">
        <v>78</v>
      </c>
      <c r="AH13" s="13" t="s">
        <v>79</v>
      </c>
      <c r="AI13" s="13" t="s">
        <v>80</v>
      </c>
      <c r="AJ13" s="13" t="s">
        <v>81</v>
      </c>
      <c r="AK13" s="13" t="s">
        <v>82</v>
      </c>
      <c r="AL13" s="13" t="s">
        <v>83</v>
      </c>
      <c r="AM13" s="13" t="s">
        <v>84</v>
      </c>
      <c r="AN13" s="13" t="s">
        <v>85</v>
      </c>
      <c r="AO13" s="13" t="s">
        <v>86</v>
      </c>
      <c r="AP13" s="13" t="s">
        <v>87</v>
      </c>
      <c r="AQ13" s="13" t="s">
        <v>88</v>
      </c>
      <c r="AR13" s="13" t="s">
        <v>89</v>
      </c>
      <c r="AS13" s="13" t="s">
        <v>90</v>
      </c>
      <c r="AT13" s="13" t="s">
        <v>91</v>
      </c>
      <c r="AU13" s="13" t="s">
        <v>92</v>
      </c>
      <c r="AV13" s="13" t="s">
        <v>93</v>
      </c>
      <c r="AW13" s="13" t="s">
        <v>94</v>
      </c>
      <c r="AX13" s="13" t="s">
        <v>95</v>
      </c>
      <c r="AY13" s="13" t="s">
        <v>96</v>
      </c>
      <c r="AZ13" s="13" t="s">
        <v>97</v>
      </c>
      <c r="BA13" s="13" t="s">
        <v>98</v>
      </c>
      <c r="BB13" s="13" t="s">
        <v>99</v>
      </c>
      <c r="BC13" s="13" t="s">
        <v>100</v>
      </c>
      <c r="BD13" s="13" t="s">
        <v>101</v>
      </c>
      <c r="BE13" s="13" t="s">
        <v>102</v>
      </c>
      <c r="BF13" s="13" t="s">
        <v>103</v>
      </c>
      <c r="BG13" s="13" t="s">
        <v>104</v>
      </c>
      <c r="BH13" s="13" t="s">
        <v>105</v>
      </c>
      <c r="BI13" s="13" t="s">
        <v>106</v>
      </c>
      <c r="BJ13" s="13" t="s">
        <v>107</v>
      </c>
      <c r="BK13" s="36"/>
    </row>
    <row r="14" ht="12.75" customHeight="1">
      <c r="A14" s="18"/>
      <c r="B14" s="22" t="s">
        <v>11</v>
      </c>
      <c r="C14" s="23"/>
      <c r="D14" s="19" t="s">
        <v>12</v>
      </c>
      <c r="E14" s="19">
        <v>131.0</v>
      </c>
      <c r="F14" s="19">
        <v>130.0</v>
      </c>
      <c r="G14" s="19">
        <v>125.0</v>
      </c>
      <c r="H14" s="19">
        <v>107.0</v>
      </c>
      <c r="I14" s="19">
        <v>129.0</v>
      </c>
      <c r="J14" s="19">
        <v>136.0</v>
      </c>
      <c r="K14" s="19">
        <v>143.0</v>
      </c>
      <c r="L14" s="19">
        <v>137.0</v>
      </c>
      <c r="M14" s="19">
        <v>136.0</v>
      </c>
      <c r="N14" s="19">
        <v>124.0</v>
      </c>
      <c r="O14" s="19">
        <v>130.0</v>
      </c>
      <c r="P14" s="19">
        <v>128.0</v>
      </c>
      <c r="Q14" s="19">
        <v>134.0</v>
      </c>
      <c r="R14" s="19">
        <v>106.0</v>
      </c>
      <c r="S14" s="19">
        <v>122.0</v>
      </c>
      <c r="T14" s="19">
        <v>126.0</v>
      </c>
      <c r="U14" s="19">
        <v>133.0</v>
      </c>
      <c r="V14" s="19">
        <v>140.0</v>
      </c>
      <c r="W14" s="19">
        <v>137.0</v>
      </c>
      <c r="X14" s="19">
        <v>141.0</v>
      </c>
      <c r="Y14" s="19">
        <v>134.0</v>
      </c>
      <c r="Z14" s="19">
        <v>127.0</v>
      </c>
      <c r="AA14" s="19">
        <v>135.0</v>
      </c>
      <c r="AB14" s="19">
        <v>127.0</v>
      </c>
      <c r="AC14" s="19">
        <v>133.0</v>
      </c>
      <c r="AD14" s="19">
        <v>139.0</v>
      </c>
      <c r="AE14" s="19">
        <v>134.0</v>
      </c>
      <c r="AF14" s="19">
        <v>139.0</v>
      </c>
      <c r="AG14" s="19">
        <v>136.0</v>
      </c>
      <c r="AH14" s="19">
        <v>137.0</v>
      </c>
      <c r="AI14" s="19">
        <v>128.0</v>
      </c>
      <c r="AJ14" s="19">
        <v>148.0</v>
      </c>
      <c r="AK14" s="19">
        <v>131.0</v>
      </c>
      <c r="AL14" s="19">
        <v>142.0</v>
      </c>
      <c r="AM14" s="19">
        <v>115.0</v>
      </c>
      <c r="AN14" s="19">
        <v>136.0</v>
      </c>
      <c r="AO14" s="19">
        <v>105.0</v>
      </c>
      <c r="AP14" s="19">
        <v>103.0</v>
      </c>
      <c r="AQ14" s="19">
        <v>145.0</v>
      </c>
      <c r="AR14" s="19">
        <v>150.0</v>
      </c>
      <c r="AS14" s="19">
        <v>125.0</v>
      </c>
      <c r="AT14" s="19">
        <v>126.0</v>
      </c>
      <c r="AU14" s="19">
        <v>141.0</v>
      </c>
      <c r="AV14" s="19">
        <v>141.0</v>
      </c>
      <c r="AW14" s="19">
        <v>154.0</v>
      </c>
      <c r="AX14" s="19">
        <v>130.0</v>
      </c>
      <c r="AY14" s="19">
        <v>145.0</v>
      </c>
      <c r="AZ14" s="19">
        <v>138.0</v>
      </c>
      <c r="BA14" s="19">
        <v>150.0</v>
      </c>
      <c r="BB14" s="19">
        <v>148.0</v>
      </c>
      <c r="BC14" s="19">
        <v>132.0</v>
      </c>
      <c r="BD14" s="19">
        <v>129.0</v>
      </c>
      <c r="BE14" s="19">
        <v>136.0</v>
      </c>
      <c r="BF14" s="19">
        <v>127.0</v>
      </c>
      <c r="BG14" s="19">
        <v>137.0</v>
      </c>
      <c r="BH14" s="19">
        <v>143.0</v>
      </c>
      <c r="BI14" s="19">
        <v>124.0</v>
      </c>
      <c r="BJ14" s="19">
        <v>135.0</v>
      </c>
      <c r="BK14" s="13">
        <f t="shared" ref="BK14:BK16" si="1">SUM(E14:BJ14)</f>
        <v>7700</v>
      </c>
    </row>
    <row r="15" ht="12.75" customHeight="1">
      <c r="A15" s="18"/>
      <c r="B15" s="26"/>
      <c r="C15" s="27"/>
      <c r="D15" s="19" t="s">
        <v>13</v>
      </c>
      <c r="E15" s="19">
        <v>121.0</v>
      </c>
      <c r="F15" s="19">
        <v>134.0</v>
      </c>
      <c r="G15" s="19">
        <v>121.0</v>
      </c>
      <c r="H15" s="19">
        <v>141.0</v>
      </c>
      <c r="I15" s="19">
        <v>126.0</v>
      </c>
      <c r="J15" s="19">
        <v>147.0</v>
      </c>
      <c r="K15" s="19">
        <v>133.0</v>
      </c>
      <c r="L15" s="19">
        <v>145.0</v>
      </c>
      <c r="M15" s="19">
        <v>143.0</v>
      </c>
      <c r="N15" s="19">
        <v>139.0</v>
      </c>
      <c r="O15" s="19">
        <v>153.0</v>
      </c>
      <c r="P15" s="19">
        <v>148.0</v>
      </c>
      <c r="Q15" s="19">
        <v>149.0</v>
      </c>
      <c r="R15" s="19">
        <v>114.0</v>
      </c>
      <c r="S15" s="19">
        <v>159.0</v>
      </c>
      <c r="T15" s="19">
        <v>138.0</v>
      </c>
      <c r="U15" s="19">
        <v>145.0</v>
      </c>
      <c r="V15" s="19">
        <v>136.0</v>
      </c>
      <c r="W15" s="19">
        <v>138.0</v>
      </c>
      <c r="X15" s="19">
        <v>137.0</v>
      </c>
      <c r="Y15" s="19">
        <v>147.0</v>
      </c>
      <c r="Z15" s="19">
        <v>149.0</v>
      </c>
      <c r="AA15" s="19">
        <v>139.0</v>
      </c>
      <c r="AB15" s="19">
        <v>149.0</v>
      </c>
      <c r="AC15" s="19">
        <v>142.0</v>
      </c>
      <c r="AD15" s="19">
        <v>142.0</v>
      </c>
      <c r="AE15" s="19">
        <v>132.0</v>
      </c>
      <c r="AF15" s="19">
        <v>132.0</v>
      </c>
      <c r="AG15" s="19">
        <v>143.0</v>
      </c>
      <c r="AH15" s="19">
        <v>141.0</v>
      </c>
      <c r="AI15" s="19">
        <v>149.0</v>
      </c>
      <c r="AJ15" s="19">
        <v>137.0</v>
      </c>
      <c r="AK15" s="19">
        <v>156.0</v>
      </c>
      <c r="AL15" s="19">
        <v>147.0</v>
      </c>
      <c r="AM15" s="19">
        <v>137.0</v>
      </c>
      <c r="AN15" s="19">
        <v>140.0</v>
      </c>
      <c r="AO15" s="19">
        <v>118.0</v>
      </c>
      <c r="AP15" s="19">
        <v>116.0</v>
      </c>
      <c r="AQ15" s="19">
        <v>143.0</v>
      </c>
      <c r="AR15" s="19">
        <v>142.0</v>
      </c>
      <c r="AS15" s="19">
        <v>145.0</v>
      </c>
      <c r="AT15" s="19">
        <v>151.0</v>
      </c>
      <c r="AU15" s="19">
        <v>150.0</v>
      </c>
      <c r="AV15" s="19">
        <v>145.0</v>
      </c>
      <c r="AW15" s="19">
        <v>138.0</v>
      </c>
      <c r="AX15" s="19">
        <v>153.0</v>
      </c>
      <c r="AY15" s="19">
        <v>141.0</v>
      </c>
      <c r="AZ15" s="19">
        <v>144.0</v>
      </c>
      <c r="BA15" s="19">
        <v>137.0</v>
      </c>
      <c r="BB15" s="19">
        <v>141.0</v>
      </c>
      <c r="BC15" s="19">
        <v>149.0</v>
      </c>
      <c r="BD15" s="19">
        <v>135.0</v>
      </c>
      <c r="BE15" s="19">
        <v>142.0</v>
      </c>
      <c r="BF15" s="19">
        <v>121.0</v>
      </c>
      <c r="BG15" s="19">
        <v>130.0</v>
      </c>
      <c r="BH15" s="19">
        <v>128.0</v>
      </c>
      <c r="BI15" s="19">
        <v>133.0</v>
      </c>
      <c r="BJ15" s="19">
        <v>128.0</v>
      </c>
      <c r="BK15" s="13">
        <f t="shared" si="1"/>
        <v>8079</v>
      </c>
    </row>
    <row r="16" ht="12.75" customHeight="1">
      <c r="A16" s="25"/>
      <c r="B16" s="21"/>
      <c r="C16" s="28"/>
      <c r="D16" s="13" t="s">
        <v>14</v>
      </c>
      <c r="E16" s="13">
        <f t="shared" ref="E16:BJ16" si="2">SUM(E14:E15)</f>
        <v>252</v>
      </c>
      <c r="F16" s="13">
        <f t="shared" si="2"/>
        <v>264</v>
      </c>
      <c r="G16" s="13">
        <f t="shared" si="2"/>
        <v>246</v>
      </c>
      <c r="H16" s="13">
        <f t="shared" si="2"/>
        <v>248</v>
      </c>
      <c r="I16" s="13">
        <f t="shared" si="2"/>
        <v>255</v>
      </c>
      <c r="J16" s="13">
        <f t="shared" si="2"/>
        <v>283</v>
      </c>
      <c r="K16" s="13">
        <f t="shared" si="2"/>
        <v>276</v>
      </c>
      <c r="L16" s="13">
        <f t="shared" si="2"/>
        <v>282</v>
      </c>
      <c r="M16" s="13">
        <f t="shared" si="2"/>
        <v>279</v>
      </c>
      <c r="N16" s="13">
        <f t="shared" si="2"/>
        <v>263</v>
      </c>
      <c r="O16" s="13">
        <f t="shared" si="2"/>
        <v>283</v>
      </c>
      <c r="P16" s="13">
        <f t="shared" si="2"/>
        <v>276</v>
      </c>
      <c r="Q16" s="13">
        <f t="shared" si="2"/>
        <v>283</v>
      </c>
      <c r="R16" s="13">
        <f t="shared" si="2"/>
        <v>220</v>
      </c>
      <c r="S16" s="13">
        <f t="shared" si="2"/>
        <v>281</v>
      </c>
      <c r="T16" s="13">
        <f t="shared" si="2"/>
        <v>264</v>
      </c>
      <c r="U16" s="13">
        <f t="shared" si="2"/>
        <v>278</v>
      </c>
      <c r="V16" s="13">
        <f t="shared" si="2"/>
        <v>276</v>
      </c>
      <c r="W16" s="13">
        <f t="shared" si="2"/>
        <v>275</v>
      </c>
      <c r="X16" s="13">
        <f t="shared" si="2"/>
        <v>278</v>
      </c>
      <c r="Y16" s="13">
        <f t="shared" si="2"/>
        <v>281</v>
      </c>
      <c r="Z16" s="13">
        <f t="shared" si="2"/>
        <v>276</v>
      </c>
      <c r="AA16" s="13">
        <f t="shared" si="2"/>
        <v>274</v>
      </c>
      <c r="AB16" s="13">
        <f t="shared" si="2"/>
        <v>276</v>
      </c>
      <c r="AC16" s="13">
        <f t="shared" si="2"/>
        <v>275</v>
      </c>
      <c r="AD16" s="13">
        <f t="shared" si="2"/>
        <v>281</v>
      </c>
      <c r="AE16" s="13">
        <f t="shared" si="2"/>
        <v>266</v>
      </c>
      <c r="AF16" s="13">
        <f t="shared" si="2"/>
        <v>271</v>
      </c>
      <c r="AG16" s="13">
        <f t="shared" si="2"/>
        <v>279</v>
      </c>
      <c r="AH16" s="13">
        <f t="shared" si="2"/>
        <v>278</v>
      </c>
      <c r="AI16" s="13">
        <f t="shared" si="2"/>
        <v>277</v>
      </c>
      <c r="AJ16" s="13">
        <f t="shared" si="2"/>
        <v>285</v>
      </c>
      <c r="AK16" s="13">
        <f t="shared" si="2"/>
        <v>287</v>
      </c>
      <c r="AL16" s="13">
        <f t="shared" si="2"/>
        <v>289</v>
      </c>
      <c r="AM16" s="13">
        <f t="shared" si="2"/>
        <v>252</v>
      </c>
      <c r="AN16" s="13">
        <f t="shared" si="2"/>
        <v>276</v>
      </c>
      <c r="AO16" s="13">
        <f t="shared" si="2"/>
        <v>223</v>
      </c>
      <c r="AP16" s="13">
        <f t="shared" si="2"/>
        <v>219</v>
      </c>
      <c r="AQ16" s="13">
        <f t="shared" si="2"/>
        <v>288</v>
      </c>
      <c r="AR16" s="13">
        <f t="shared" si="2"/>
        <v>292</v>
      </c>
      <c r="AS16" s="13">
        <f t="shared" si="2"/>
        <v>270</v>
      </c>
      <c r="AT16" s="13">
        <f t="shared" si="2"/>
        <v>277</v>
      </c>
      <c r="AU16" s="13">
        <f t="shared" si="2"/>
        <v>291</v>
      </c>
      <c r="AV16" s="13">
        <f t="shared" si="2"/>
        <v>286</v>
      </c>
      <c r="AW16" s="13">
        <f t="shared" si="2"/>
        <v>292</v>
      </c>
      <c r="AX16" s="13">
        <f t="shared" si="2"/>
        <v>283</v>
      </c>
      <c r="AY16" s="13">
        <f t="shared" si="2"/>
        <v>286</v>
      </c>
      <c r="AZ16" s="13">
        <f t="shared" si="2"/>
        <v>282</v>
      </c>
      <c r="BA16" s="13">
        <f t="shared" si="2"/>
        <v>287</v>
      </c>
      <c r="BB16" s="13">
        <f t="shared" si="2"/>
        <v>289</v>
      </c>
      <c r="BC16" s="13">
        <f t="shared" si="2"/>
        <v>281</v>
      </c>
      <c r="BD16" s="13">
        <f t="shared" si="2"/>
        <v>264</v>
      </c>
      <c r="BE16" s="13">
        <f t="shared" si="2"/>
        <v>278</v>
      </c>
      <c r="BF16" s="13">
        <f t="shared" si="2"/>
        <v>248</v>
      </c>
      <c r="BG16" s="13">
        <f t="shared" si="2"/>
        <v>267</v>
      </c>
      <c r="BH16" s="13">
        <f t="shared" si="2"/>
        <v>271</v>
      </c>
      <c r="BI16" s="13">
        <f t="shared" si="2"/>
        <v>257</v>
      </c>
      <c r="BJ16" s="13">
        <f t="shared" si="2"/>
        <v>263</v>
      </c>
      <c r="BK16" s="13">
        <f t="shared" si="1"/>
        <v>15779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19"/>
      <c r="Q17" s="19"/>
      <c r="R17" s="19"/>
      <c r="S17" s="59"/>
      <c r="T17" s="19"/>
      <c r="U17" s="19"/>
      <c r="V17" s="19"/>
      <c r="W17" s="19"/>
      <c r="X17" s="59"/>
      <c r="Y17" s="19"/>
      <c r="Z17" s="19"/>
      <c r="AA17" s="19"/>
      <c r="AB17" s="19"/>
      <c r="AC17" s="59"/>
      <c r="AD17" s="19"/>
      <c r="AE17" s="19"/>
      <c r="AF17" s="19"/>
      <c r="AG17" s="19"/>
      <c r="AH17" s="59"/>
      <c r="AI17" s="19"/>
      <c r="AJ17" s="19"/>
      <c r="AK17" s="19"/>
      <c r="AL17" s="19"/>
      <c r="AM17" s="59"/>
      <c r="AN17" s="19"/>
      <c r="AO17" s="19"/>
      <c r="AP17" s="19"/>
      <c r="AQ17" s="19"/>
      <c r="AR17" s="59"/>
      <c r="AS17" s="19"/>
      <c r="AT17" s="19"/>
      <c r="AU17" s="19"/>
      <c r="AV17" s="19"/>
      <c r="AW17" s="59"/>
      <c r="AX17" s="19"/>
      <c r="AY17" s="19"/>
      <c r="AZ17" s="19"/>
      <c r="BA17" s="19"/>
      <c r="BB17" s="59"/>
      <c r="BC17" s="19"/>
      <c r="BD17" s="19"/>
      <c r="BE17" s="19"/>
      <c r="BF17" s="19"/>
      <c r="BG17" s="59"/>
      <c r="BH17" s="19"/>
      <c r="BI17" s="19"/>
      <c r="BJ17" s="19"/>
      <c r="BK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19"/>
      <c r="Q18" s="19"/>
      <c r="R18" s="19"/>
      <c r="S18" s="59"/>
      <c r="T18" s="19"/>
      <c r="U18" s="19"/>
      <c r="V18" s="19"/>
      <c r="W18" s="19"/>
      <c r="X18" s="59"/>
      <c r="Y18" s="19"/>
      <c r="Z18" s="19"/>
      <c r="AA18" s="19"/>
      <c r="AB18" s="19"/>
      <c r="AC18" s="59"/>
      <c r="AD18" s="19"/>
      <c r="AE18" s="19"/>
      <c r="AF18" s="19"/>
      <c r="AG18" s="19"/>
      <c r="AH18" s="59"/>
      <c r="AI18" s="19"/>
      <c r="AJ18" s="19"/>
      <c r="AK18" s="19"/>
      <c r="AL18" s="19"/>
      <c r="AM18" s="59"/>
      <c r="AN18" s="19"/>
      <c r="AO18" s="19"/>
      <c r="AP18" s="19"/>
      <c r="AQ18" s="19"/>
      <c r="AR18" s="59"/>
      <c r="AS18" s="19"/>
      <c r="AT18" s="19"/>
      <c r="AU18" s="19"/>
      <c r="AV18" s="19"/>
      <c r="AW18" s="59"/>
      <c r="AX18" s="19"/>
      <c r="AY18" s="19"/>
      <c r="AZ18" s="19"/>
      <c r="BA18" s="19"/>
      <c r="BB18" s="59"/>
      <c r="BC18" s="19"/>
      <c r="BD18" s="19"/>
      <c r="BE18" s="19"/>
      <c r="BF18" s="19"/>
      <c r="BG18" s="59"/>
      <c r="BH18" s="19"/>
      <c r="BI18" s="19"/>
      <c r="BJ18" s="19"/>
      <c r="BK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92.0</v>
      </c>
      <c r="F19" s="19">
        <v>92.0</v>
      </c>
      <c r="G19" s="19">
        <v>90.0</v>
      </c>
      <c r="H19" s="19">
        <v>70.0</v>
      </c>
      <c r="I19" s="19">
        <v>93.0</v>
      </c>
      <c r="J19" s="19">
        <v>91.0</v>
      </c>
      <c r="K19" s="19">
        <v>106.0</v>
      </c>
      <c r="L19" s="19">
        <v>94.0</v>
      </c>
      <c r="M19" s="19">
        <v>90.0</v>
      </c>
      <c r="N19" s="19">
        <v>78.0</v>
      </c>
      <c r="O19" s="19">
        <v>90.0</v>
      </c>
      <c r="P19" s="19">
        <v>95.0</v>
      </c>
      <c r="Q19" s="19">
        <v>103.0</v>
      </c>
      <c r="R19" s="19">
        <v>82.0</v>
      </c>
      <c r="S19" s="19">
        <v>84.0</v>
      </c>
      <c r="T19" s="19">
        <v>80.0</v>
      </c>
      <c r="U19" s="19">
        <v>93.0</v>
      </c>
      <c r="V19" s="19">
        <v>101.0</v>
      </c>
      <c r="W19" s="19">
        <v>98.0</v>
      </c>
      <c r="X19" s="19">
        <v>98.0</v>
      </c>
      <c r="Y19" s="19">
        <v>91.0</v>
      </c>
      <c r="Z19" s="19">
        <v>84.0</v>
      </c>
      <c r="AA19" s="19">
        <v>106.0</v>
      </c>
      <c r="AB19" s="19">
        <v>93.0</v>
      </c>
      <c r="AC19" s="19">
        <v>96.0</v>
      </c>
      <c r="AD19" s="19">
        <v>89.0</v>
      </c>
      <c r="AE19" s="19">
        <v>99.0</v>
      </c>
      <c r="AF19" s="19">
        <v>107.0</v>
      </c>
      <c r="AG19" s="19">
        <v>99.0</v>
      </c>
      <c r="AH19" s="19">
        <v>91.0</v>
      </c>
      <c r="AI19" s="19">
        <v>107.0</v>
      </c>
      <c r="AJ19" s="19">
        <v>104.0</v>
      </c>
      <c r="AK19" s="19">
        <v>97.0</v>
      </c>
      <c r="AL19" s="19">
        <v>101.0</v>
      </c>
      <c r="AM19" s="19">
        <v>78.0</v>
      </c>
      <c r="AN19" s="19">
        <v>95.0</v>
      </c>
      <c r="AO19" s="19">
        <v>77.0</v>
      </c>
      <c r="AP19" s="19">
        <v>85.0</v>
      </c>
      <c r="AQ19" s="19">
        <v>102.0</v>
      </c>
      <c r="AR19" s="19">
        <v>108.0</v>
      </c>
      <c r="AS19" s="19">
        <v>89.0</v>
      </c>
      <c r="AT19" s="19">
        <v>91.0</v>
      </c>
      <c r="AU19" s="19">
        <v>105.0</v>
      </c>
      <c r="AV19" s="19">
        <v>98.0</v>
      </c>
      <c r="AW19" s="19">
        <v>119.0</v>
      </c>
      <c r="AX19" s="19">
        <v>102.0</v>
      </c>
      <c r="AY19" s="19">
        <v>105.0</v>
      </c>
      <c r="AZ19" s="19">
        <v>105.0</v>
      </c>
      <c r="BA19" s="19">
        <v>118.0</v>
      </c>
      <c r="BB19" s="19">
        <v>119.0</v>
      </c>
      <c r="BC19" s="19">
        <v>94.0</v>
      </c>
      <c r="BD19" s="19">
        <v>96.0</v>
      </c>
      <c r="BE19" s="19">
        <v>105.0</v>
      </c>
      <c r="BF19" s="19">
        <v>93.0</v>
      </c>
      <c r="BG19" s="19">
        <v>105.0</v>
      </c>
      <c r="BH19" s="19">
        <v>104.0</v>
      </c>
      <c r="BI19" s="19">
        <v>101.0</v>
      </c>
      <c r="BJ19" s="19">
        <v>102.0</v>
      </c>
      <c r="BK19" s="13">
        <f t="shared" ref="BK19:BK30" si="3">SUM(E19:BJ19)</f>
        <v>5580</v>
      </c>
    </row>
    <row r="20" ht="12.75" customHeight="1">
      <c r="A20" s="33"/>
      <c r="B20" s="27"/>
      <c r="C20" s="34"/>
      <c r="D20" s="19" t="s">
        <v>13</v>
      </c>
      <c r="E20" s="19">
        <v>96.0</v>
      </c>
      <c r="F20" s="19">
        <v>101.0</v>
      </c>
      <c r="G20" s="19">
        <v>93.0</v>
      </c>
      <c r="H20" s="19">
        <v>102.0</v>
      </c>
      <c r="I20" s="19">
        <v>92.0</v>
      </c>
      <c r="J20" s="19">
        <v>108.0</v>
      </c>
      <c r="K20" s="19">
        <v>105.0</v>
      </c>
      <c r="L20" s="19">
        <v>106.0</v>
      </c>
      <c r="M20" s="19">
        <v>96.0</v>
      </c>
      <c r="N20" s="19">
        <v>97.0</v>
      </c>
      <c r="O20" s="19">
        <v>115.0</v>
      </c>
      <c r="P20" s="19">
        <v>99.0</v>
      </c>
      <c r="Q20" s="19">
        <v>107.0</v>
      </c>
      <c r="R20" s="19">
        <v>86.0</v>
      </c>
      <c r="S20" s="19">
        <v>125.0</v>
      </c>
      <c r="T20" s="19">
        <v>102.0</v>
      </c>
      <c r="U20" s="19">
        <v>99.0</v>
      </c>
      <c r="V20" s="19">
        <v>108.0</v>
      </c>
      <c r="W20" s="19">
        <v>95.0</v>
      </c>
      <c r="X20" s="19">
        <v>105.0</v>
      </c>
      <c r="Y20" s="19">
        <v>108.0</v>
      </c>
      <c r="Z20" s="19">
        <v>110.0</v>
      </c>
      <c r="AA20" s="19">
        <v>110.0</v>
      </c>
      <c r="AB20" s="19">
        <v>111.0</v>
      </c>
      <c r="AC20" s="19">
        <v>114.0</v>
      </c>
      <c r="AD20" s="19">
        <v>105.0</v>
      </c>
      <c r="AE20" s="19">
        <v>104.0</v>
      </c>
      <c r="AF20" s="19">
        <v>104.0</v>
      </c>
      <c r="AG20" s="19">
        <v>121.0</v>
      </c>
      <c r="AH20" s="19">
        <v>98.0</v>
      </c>
      <c r="AI20" s="19">
        <v>98.0</v>
      </c>
      <c r="AJ20" s="19">
        <v>100.0</v>
      </c>
      <c r="AK20" s="19">
        <v>117.0</v>
      </c>
      <c r="AL20" s="19">
        <v>112.0</v>
      </c>
      <c r="AM20" s="19">
        <v>96.0</v>
      </c>
      <c r="AN20" s="19">
        <v>106.0</v>
      </c>
      <c r="AO20" s="19">
        <v>93.0</v>
      </c>
      <c r="AP20" s="19">
        <v>94.0</v>
      </c>
      <c r="AQ20" s="19">
        <v>106.0</v>
      </c>
      <c r="AR20" s="19">
        <v>111.0</v>
      </c>
      <c r="AS20" s="19">
        <v>100.0</v>
      </c>
      <c r="AT20" s="19">
        <v>110.0</v>
      </c>
      <c r="AU20" s="19">
        <v>137.0</v>
      </c>
      <c r="AV20" s="19">
        <v>104.0</v>
      </c>
      <c r="AW20" s="19">
        <v>105.0</v>
      </c>
      <c r="AX20" s="19">
        <v>112.0</v>
      </c>
      <c r="AY20" s="19">
        <v>113.0</v>
      </c>
      <c r="AZ20" s="19">
        <v>116.0</v>
      </c>
      <c r="BA20" s="19">
        <v>115.0</v>
      </c>
      <c r="BB20" s="19">
        <v>119.0</v>
      </c>
      <c r="BC20" s="19">
        <v>114.0</v>
      </c>
      <c r="BD20" s="19">
        <v>106.0</v>
      </c>
      <c r="BE20" s="19">
        <v>124.0</v>
      </c>
      <c r="BF20" s="19">
        <v>95.0</v>
      </c>
      <c r="BG20" s="19">
        <v>107.0</v>
      </c>
      <c r="BH20" s="19">
        <v>104.0</v>
      </c>
      <c r="BI20" s="19">
        <v>111.0</v>
      </c>
      <c r="BJ20" s="19">
        <v>106.0</v>
      </c>
      <c r="BK20" s="13">
        <f t="shared" si="3"/>
        <v>6153</v>
      </c>
    </row>
    <row r="21" ht="12.75" customHeight="1">
      <c r="A21" s="35"/>
      <c r="B21" s="28"/>
      <c r="C21" s="36"/>
      <c r="D21" s="13" t="s">
        <v>14</v>
      </c>
      <c r="E21" s="13">
        <f t="shared" ref="E21:BJ21" si="4">SUM(E19:E20)</f>
        <v>188</v>
      </c>
      <c r="F21" s="13">
        <f t="shared" si="4"/>
        <v>193</v>
      </c>
      <c r="G21" s="13">
        <f t="shared" si="4"/>
        <v>183</v>
      </c>
      <c r="H21" s="13">
        <f t="shared" si="4"/>
        <v>172</v>
      </c>
      <c r="I21" s="13">
        <f t="shared" si="4"/>
        <v>185</v>
      </c>
      <c r="J21" s="13">
        <f t="shared" si="4"/>
        <v>199</v>
      </c>
      <c r="K21" s="13">
        <f t="shared" si="4"/>
        <v>211</v>
      </c>
      <c r="L21" s="13">
        <f t="shared" si="4"/>
        <v>200</v>
      </c>
      <c r="M21" s="13">
        <f t="shared" si="4"/>
        <v>186</v>
      </c>
      <c r="N21" s="13">
        <f t="shared" si="4"/>
        <v>175</v>
      </c>
      <c r="O21" s="13">
        <f t="shared" si="4"/>
        <v>205</v>
      </c>
      <c r="P21" s="13">
        <f t="shared" si="4"/>
        <v>194</v>
      </c>
      <c r="Q21" s="13">
        <f t="shared" si="4"/>
        <v>210</v>
      </c>
      <c r="R21" s="13">
        <f t="shared" si="4"/>
        <v>168</v>
      </c>
      <c r="S21" s="13">
        <f t="shared" si="4"/>
        <v>209</v>
      </c>
      <c r="T21" s="13">
        <f t="shared" si="4"/>
        <v>182</v>
      </c>
      <c r="U21" s="13">
        <f t="shared" si="4"/>
        <v>192</v>
      </c>
      <c r="V21" s="13">
        <f t="shared" si="4"/>
        <v>209</v>
      </c>
      <c r="W21" s="13">
        <f t="shared" si="4"/>
        <v>193</v>
      </c>
      <c r="X21" s="13">
        <f t="shared" si="4"/>
        <v>203</v>
      </c>
      <c r="Y21" s="13">
        <f t="shared" si="4"/>
        <v>199</v>
      </c>
      <c r="Z21" s="13">
        <f t="shared" si="4"/>
        <v>194</v>
      </c>
      <c r="AA21" s="13">
        <f t="shared" si="4"/>
        <v>216</v>
      </c>
      <c r="AB21" s="13">
        <f t="shared" si="4"/>
        <v>204</v>
      </c>
      <c r="AC21" s="13">
        <f t="shared" si="4"/>
        <v>210</v>
      </c>
      <c r="AD21" s="13">
        <f t="shared" si="4"/>
        <v>194</v>
      </c>
      <c r="AE21" s="13">
        <f t="shared" si="4"/>
        <v>203</v>
      </c>
      <c r="AF21" s="13">
        <f t="shared" si="4"/>
        <v>211</v>
      </c>
      <c r="AG21" s="13">
        <f t="shared" si="4"/>
        <v>220</v>
      </c>
      <c r="AH21" s="13">
        <f t="shared" si="4"/>
        <v>189</v>
      </c>
      <c r="AI21" s="13">
        <f t="shared" si="4"/>
        <v>205</v>
      </c>
      <c r="AJ21" s="13">
        <f t="shared" si="4"/>
        <v>204</v>
      </c>
      <c r="AK21" s="13">
        <f t="shared" si="4"/>
        <v>214</v>
      </c>
      <c r="AL21" s="13">
        <f t="shared" si="4"/>
        <v>213</v>
      </c>
      <c r="AM21" s="13">
        <f t="shared" si="4"/>
        <v>174</v>
      </c>
      <c r="AN21" s="13">
        <f t="shared" si="4"/>
        <v>201</v>
      </c>
      <c r="AO21" s="13">
        <f t="shared" si="4"/>
        <v>170</v>
      </c>
      <c r="AP21" s="13">
        <f t="shared" si="4"/>
        <v>179</v>
      </c>
      <c r="AQ21" s="13">
        <f t="shared" si="4"/>
        <v>208</v>
      </c>
      <c r="AR21" s="13">
        <f t="shared" si="4"/>
        <v>219</v>
      </c>
      <c r="AS21" s="13">
        <f t="shared" si="4"/>
        <v>189</v>
      </c>
      <c r="AT21" s="13">
        <f t="shared" si="4"/>
        <v>201</v>
      </c>
      <c r="AU21" s="13">
        <f t="shared" si="4"/>
        <v>242</v>
      </c>
      <c r="AV21" s="13">
        <f t="shared" si="4"/>
        <v>202</v>
      </c>
      <c r="AW21" s="13">
        <f t="shared" si="4"/>
        <v>224</v>
      </c>
      <c r="AX21" s="13">
        <f t="shared" si="4"/>
        <v>214</v>
      </c>
      <c r="AY21" s="13">
        <f t="shared" si="4"/>
        <v>218</v>
      </c>
      <c r="AZ21" s="13">
        <f t="shared" si="4"/>
        <v>221</v>
      </c>
      <c r="BA21" s="13">
        <f t="shared" si="4"/>
        <v>233</v>
      </c>
      <c r="BB21" s="13">
        <f t="shared" si="4"/>
        <v>238</v>
      </c>
      <c r="BC21" s="13">
        <f t="shared" si="4"/>
        <v>208</v>
      </c>
      <c r="BD21" s="13">
        <f t="shared" si="4"/>
        <v>202</v>
      </c>
      <c r="BE21" s="13">
        <f t="shared" si="4"/>
        <v>229</v>
      </c>
      <c r="BF21" s="13">
        <f t="shared" si="4"/>
        <v>188</v>
      </c>
      <c r="BG21" s="13">
        <f t="shared" si="4"/>
        <v>212</v>
      </c>
      <c r="BH21" s="13">
        <f t="shared" si="4"/>
        <v>208</v>
      </c>
      <c r="BI21" s="13">
        <f t="shared" si="4"/>
        <v>212</v>
      </c>
      <c r="BJ21" s="13">
        <f t="shared" si="4"/>
        <v>208</v>
      </c>
      <c r="BK21" s="13">
        <f t="shared" si="3"/>
        <v>11733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0.0</v>
      </c>
      <c r="H22" s="19">
        <v>0.0</v>
      </c>
      <c r="I22" s="19">
        <v>1.0</v>
      </c>
      <c r="J22" s="19">
        <v>1.0</v>
      </c>
      <c r="K22" s="19">
        <v>0.0</v>
      </c>
      <c r="L22" s="19">
        <v>1.0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1.0</v>
      </c>
      <c r="T22" s="19">
        <v>2.0</v>
      </c>
      <c r="U22" s="19">
        <v>0.0</v>
      </c>
      <c r="V22" s="19">
        <v>1.0</v>
      </c>
      <c r="W22" s="19">
        <v>1.0</v>
      </c>
      <c r="X22" s="19">
        <v>1.0</v>
      </c>
      <c r="Y22" s="19">
        <v>0.0</v>
      </c>
      <c r="Z22" s="19">
        <v>0.0</v>
      </c>
      <c r="AA22" s="19">
        <v>0.0</v>
      </c>
      <c r="AB22" s="19">
        <v>0.0</v>
      </c>
      <c r="AC22" s="19">
        <v>1.0</v>
      </c>
      <c r="AD22" s="19">
        <v>0.0</v>
      </c>
      <c r="AE22" s="19">
        <v>0.0</v>
      </c>
      <c r="AF22" s="19">
        <v>1.0</v>
      </c>
      <c r="AG22" s="19">
        <v>0.0</v>
      </c>
      <c r="AH22" s="19">
        <v>0.0</v>
      </c>
      <c r="AI22" s="19"/>
      <c r="AJ22" s="19">
        <v>2.0</v>
      </c>
      <c r="AK22" s="19"/>
      <c r="AL22" s="19">
        <v>3.0</v>
      </c>
      <c r="AM22" s="19"/>
      <c r="AN22" s="19"/>
      <c r="AO22" s="19">
        <v>1.0</v>
      </c>
      <c r="AP22" s="19">
        <v>1.0</v>
      </c>
      <c r="AQ22" s="19"/>
      <c r="AR22" s="19"/>
      <c r="AS22" s="19">
        <v>1.0</v>
      </c>
      <c r="AT22" s="19"/>
      <c r="AU22" s="19"/>
      <c r="AV22" s="19"/>
      <c r="AW22" s="19"/>
      <c r="AX22" s="19"/>
      <c r="AY22" s="19"/>
      <c r="AZ22" s="19"/>
      <c r="BA22" s="19"/>
      <c r="BB22" s="19">
        <v>2.0</v>
      </c>
      <c r="BC22" s="19">
        <v>1.0</v>
      </c>
      <c r="BD22" s="19"/>
      <c r="BE22" s="19"/>
      <c r="BF22" s="19"/>
      <c r="BG22" s="19"/>
      <c r="BH22" s="19"/>
      <c r="BI22" s="19">
        <v>3.0</v>
      </c>
      <c r="BJ22" s="19"/>
      <c r="BK22" s="13">
        <f t="shared" si="3"/>
        <v>26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2.0</v>
      </c>
      <c r="G23" s="19">
        <v>0.0</v>
      </c>
      <c r="H23" s="19">
        <v>0.0</v>
      </c>
      <c r="I23" s="19">
        <v>3.0</v>
      </c>
      <c r="J23" s="19">
        <v>0.0</v>
      </c>
      <c r="K23" s="19">
        <v>0.0</v>
      </c>
      <c r="L23" s="19">
        <v>2.0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1.0</v>
      </c>
      <c r="S23" s="19">
        <v>1.0</v>
      </c>
      <c r="T23" s="19">
        <v>2.0</v>
      </c>
      <c r="U23" s="19">
        <v>0.0</v>
      </c>
      <c r="V23" s="19">
        <v>1.0</v>
      </c>
      <c r="W23" s="19">
        <v>0.0</v>
      </c>
      <c r="X23" s="19">
        <v>0.0</v>
      </c>
      <c r="Y23" s="19">
        <v>0.0</v>
      </c>
      <c r="Z23" s="19">
        <v>0.0</v>
      </c>
      <c r="AA23" s="19"/>
      <c r="AB23" s="19">
        <v>1.0</v>
      </c>
      <c r="AC23" s="19"/>
      <c r="AD23" s="19"/>
      <c r="AE23" s="19"/>
      <c r="AF23" s="19">
        <v>1.0</v>
      </c>
      <c r="AG23" s="19"/>
      <c r="AH23" s="19"/>
      <c r="AI23" s="19"/>
      <c r="AJ23" s="19">
        <v>1.0</v>
      </c>
      <c r="AK23" s="19"/>
      <c r="AL23" s="19">
        <v>1.0</v>
      </c>
      <c r="AM23" s="19"/>
      <c r="AN23" s="19">
        <v>1.0</v>
      </c>
      <c r="AO23" s="19">
        <v>2.0</v>
      </c>
      <c r="AP23" s="19"/>
      <c r="AQ23" s="19"/>
      <c r="AR23" s="19">
        <v>1.0</v>
      </c>
      <c r="AS23" s="19">
        <v>0.0</v>
      </c>
      <c r="AT23" s="19"/>
      <c r="AU23" s="19"/>
      <c r="AV23" s="19"/>
      <c r="AW23" s="19"/>
      <c r="AX23" s="19"/>
      <c r="AY23" s="19"/>
      <c r="AZ23" s="19"/>
      <c r="BA23" s="19"/>
      <c r="BB23" s="19">
        <v>2.0</v>
      </c>
      <c r="BC23" s="19"/>
      <c r="BD23" s="19"/>
      <c r="BE23" s="19"/>
      <c r="BF23" s="19"/>
      <c r="BG23" s="19"/>
      <c r="BH23" s="19"/>
      <c r="BI23" s="19">
        <v>3.0</v>
      </c>
      <c r="BJ23" s="19">
        <v>1.0</v>
      </c>
      <c r="BK23" s="13">
        <f t="shared" si="3"/>
        <v>26</v>
      </c>
    </row>
    <row r="24" ht="12.75" customHeight="1">
      <c r="A24" s="35"/>
      <c r="B24" s="28"/>
      <c r="C24" s="36"/>
      <c r="D24" s="13" t="s">
        <v>14</v>
      </c>
      <c r="E24" s="13">
        <f t="shared" ref="E24:BJ24" si="5">SUM(E22:E23)</f>
        <v>1</v>
      </c>
      <c r="F24" s="13">
        <f t="shared" si="5"/>
        <v>2</v>
      </c>
      <c r="G24" s="13">
        <f t="shared" si="5"/>
        <v>0</v>
      </c>
      <c r="H24" s="13">
        <f t="shared" si="5"/>
        <v>0</v>
      </c>
      <c r="I24" s="13">
        <f t="shared" si="5"/>
        <v>4</v>
      </c>
      <c r="J24" s="13">
        <f t="shared" si="5"/>
        <v>1</v>
      </c>
      <c r="K24" s="13">
        <f t="shared" si="5"/>
        <v>0</v>
      </c>
      <c r="L24" s="13">
        <f t="shared" si="5"/>
        <v>3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1</v>
      </c>
      <c r="S24" s="13">
        <f t="shared" si="5"/>
        <v>2</v>
      </c>
      <c r="T24" s="13">
        <f t="shared" si="5"/>
        <v>4</v>
      </c>
      <c r="U24" s="13">
        <f t="shared" si="5"/>
        <v>0</v>
      </c>
      <c r="V24" s="13">
        <f t="shared" si="5"/>
        <v>2</v>
      </c>
      <c r="W24" s="13">
        <f t="shared" si="5"/>
        <v>1</v>
      </c>
      <c r="X24" s="13">
        <f t="shared" si="5"/>
        <v>1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1</v>
      </c>
      <c r="AC24" s="13">
        <f t="shared" si="5"/>
        <v>1</v>
      </c>
      <c r="AD24" s="13">
        <f t="shared" si="5"/>
        <v>0</v>
      </c>
      <c r="AE24" s="13">
        <f t="shared" si="5"/>
        <v>0</v>
      </c>
      <c r="AF24" s="13">
        <f t="shared" si="5"/>
        <v>2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3</v>
      </c>
      <c r="AK24" s="13">
        <f t="shared" si="5"/>
        <v>0</v>
      </c>
      <c r="AL24" s="13">
        <f t="shared" si="5"/>
        <v>4</v>
      </c>
      <c r="AM24" s="13">
        <f t="shared" si="5"/>
        <v>0</v>
      </c>
      <c r="AN24" s="13">
        <f t="shared" si="5"/>
        <v>1</v>
      </c>
      <c r="AO24" s="13">
        <f t="shared" si="5"/>
        <v>3</v>
      </c>
      <c r="AP24" s="13">
        <f t="shared" si="5"/>
        <v>1</v>
      </c>
      <c r="AQ24" s="13">
        <f t="shared" si="5"/>
        <v>0</v>
      </c>
      <c r="AR24" s="13">
        <f t="shared" si="5"/>
        <v>1</v>
      </c>
      <c r="AS24" s="13">
        <f t="shared" si="5"/>
        <v>1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f t="shared" si="5"/>
        <v>0</v>
      </c>
      <c r="AY24" s="13">
        <f t="shared" si="5"/>
        <v>0</v>
      </c>
      <c r="AZ24" s="13">
        <f t="shared" si="5"/>
        <v>0</v>
      </c>
      <c r="BA24" s="13">
        <f t="shared" si="5"/>
        <v>0</v>
      </c>
      <c r="BB24" s="13">
        <f t="shared" si="5"/>
        <v>4</v>
      </c>
      <c r="BC24" s="13">
        <f t="shared" si="5"/>
        <v>1</v>
      </c>
      <c r="BD24" s="13">
        <f t="shared" si="5"/>
        <v>0</v>
      </c>
      <c r="BE24" s="13">
        <f t="shared" si="5"/>
        <v>0</v>
      </c>
      <c r="BF24" s="13">
        <f t="shared" si="5"/>
        <v>0</v>
      </c>
      <c r="BG24" s="13">
        <f t="shared" si="5"/>
        <v>0</v>
      </c>
      <c r="BH24" s="13">
        <f t="shared" si="5"/>
        <v>0</v>
      </c>
      <c r="BI24" s="13">
        <f t="shared" si="5"/>
        <v>6</v>
      </c>
      <c r="BJ24" s="13">
        <f t="shared" si="5"/>
        <v>1</v>
      </c>
      <c r="BK24" s="13">
        <f t="shared" si="3"/>
        <v>52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3.0</v>
      </c>
      <c r="G25" s="19">
        <v>1.0</v>
      </c>
      <c r="H25" s="19">
        <v>1.0</v>
      </c>
      <c r="I25" s="19">
        <v>1.0</v>
      </c>
      <c r="J25" s="19">
        <v>3.0</v>
      </c>
      <c r="K25" s="19">
        <v>4.0</v>
      </c>
      <c r="L25" s="19">
        <v>0.0</v>
      </c>
      <c r="M25" s="19">
        <v>0.0</v>
      </c>
      <c r="N25" s="19">
        <v>1.0</v>
      </c>
      <c r="O25" s="19">
        <v>1.0</v>
      </c>
      <c r="P25" s="19">
        <v>2.0</v>
      </c>
      <c r="Q25" s="19">
        <v>0.0</v>
      </c>
      <c r="R25" s="19">
        <v>1.0</v>
      </c>
      <c r="S25" s="19">
        <v>0.0</v>
      </c>
      <c r="T25" s="19">
        <v>0.0</v>
      </c>
      <c r="U25" s="19">
        <v>1.0</v>
      </c>
      <c r="V25" s="19">
        <v>1.0</v>
      </c>
      <c r="W25" s="19"/>
      <c r="X25" s="19">
        <v>1.0</v>
      </c>
      <c r="Y25" s="19"/>
      <c r="Z25" s="19"/>
      <c r="AA25" s="19">
        <v>1.0</v>
      </c>
      <c r="AB25" s="19"/>
      <c r="AC25" s="19"/>
      <c r="AD25" s="19">
        <v>1.0</v>
      </c>
      <c r="AE25" s="19">
        <v>2.0</v>
      </c>
      <c r="AF25" s="19">
        <v>4.0</v>
      </c>
      <c r="AG25" s="19"/>
      <c r="AH25" s="19"/>
      <c r="AI25" s="19">
        <v>0.0</v>
      </c>
      <c r="AJ25" s="19">
        <v>0.0</v>
      </c>
      <c r="AK25" s="19"/>
      <c r="AL25" s="19">
        <v>4.0</v>
      </c>
      <c r="AM25" s="19">
        <v>2.0</v>
      </c>
      <c r="AN25" s="19">
        <v>3.0</v>
      </c>
      <c r="AO25" s="19">
        <v>3.0</v>
      </c>
      <c r="AP25" s="19"/>
      <c r="AQ25" s="19"/>
      <c r="AR25" s="19"/>
      <c r="AS25" s="19"/>
      <c r="AT25" s="19"/>
      <c r="AU25" s="19">
        <v>2.0</v>
      </c>
      <c r="AV25" s="19"/>
      <c r="AW25" s="19"/>
      <c r="AX25" s="19">
        <v>6.0</v>
      </c>
      <c r="AY25" s="19">
        <v>1.0</v>
      </c>
      <c r="AZ25" s="19"/>
      <c r="BA25" s="19">
        <v>3.0</v>
      </c>
      <c r="BB25" s="19">
        <v>6.0</v>
      </c>
      <c r="BC25" s="19"/>
      <c r="BD25" s="19">
        <v>4.0</v>
      </c>
      <c r="BE25" s="19"/>
      <c r="BF25" s="19"/>
      <c r="BG25" s="19"/>
      <c r="BH25" s="19"/>
      <c r="BI25" s="19"/>
      <c r="BJ25" s="19"/>
      <c r="BK25" s="13">
        <f t="shared" si="3"/>
        <v>64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3.0</v>
      </c>
      <c r="G26" s="19">
        <v>1.0</v>
      </c>
      <c r="H26" s="19">
        <v>0.0</v>
      </c>
      <c r="I26" s="19">
        <v>4.0</v>
      </c>
      <c r="J26" s="19">
        <v>6.0</v>
      </c>
      <c r="K26" s="19">
        <v>2.0</v>
      </c>
      <c r="L26" s="19">
        <v>0.0</v>
      </c>
      <c r="M26" s="19">
        <v>0.0</v>
      </c>
      <c r="N26" s="19">
        <v>0.0</v>
      </c>
      <c r="O26" s="19">
        <v>1.0</v>
      </c>
      <c r="P26" s="19">
        <v>5.0</v>
      </c>
      <c r="Q26" s="19">
        <v>1.0</v>
      </c>
      <c r="R26" s="19">
        <v>0.0</v>
      </c>
      <c r="S26" s="19">
        <v>1.0</v>
      </c>
      <c r="T26" s="19">
        <v>2.0</v>
      </c>
      <c r="U26" s="19">
        <v>1.0</v>
      </c>
      <c r="V26" s="19">
        <v>0.0</v>
      </c>
      <c r="W26" s="19">
        <v>0.0</v>
      </c>
      <c r="X26" s="19">
        <v>2.0</v>
      </c>
      <c r="Y26" s="19">
        <v>1.0</v>
      </c>
      <c r="Z26" s="19"/>
      <c r="AA26" s="19">
        <v>3.0</v>
      </c>
      <c r="AB26" s="19"/>
      <c r="AC26" s="19">
        <v>2.0</v>
      </c>
      <c r="AD26" s="19">
        <v>1.0</v>
      </c>
      <c r="AE26" s="19"/>
      <c r="AF26" s="19">
        <v>1.0</v>
      </c>
      <c r="AG26" s="19"/>
      <c r="AH26" s="19"/>
      <c r="AI26" s="19">
        <v>0.0</v>
      </c>
      <c r="AJ26" s="19">
        <v>2.0</v>
      </c>
      <c r="AK26" s="19">
        <v>1.0</v>
      </c>
      <c r="AL26" s="19">
        <v>2.0</v>
      </c>
      <c r="AM26" s="19">
        <v>1.0</v>
      </c>
      <c r="AN26" s="19">
        <v>2.0</v>
      </c>
      <c r="AO26" s="19">
        <v>1.0</v>
      </c>
      <c r="AP26" s="19"/>
      <c r="AQ26" s="19"/>
      <c r="AR26" s="19">
        <v>1.0</v>
      </c>
      <c r="AS26" s="19"/>
      <c r="AT26" s="19"/>
      <c r="AU26" s="19">
        <v>1.0</v>
      </c>
      <c r="AV26" s="19"/>
      <c r="AW26" s="19">
        <v>1.0</v>
      </c>
      <c r="AX26" s="19">
        <v>4.0</v>
      </c>
      <c r="AY26" s="19">
        <v>2.0</v>
      </c>
      <c r="AZ26" s="19"/>
      <c r="BA26" s="19">
        <v>4.0</v>
      </c>
      <c r="BB26" s="19">
        <v>3.0</v>
      </c>
      <c r="BC26" s="19">
        <v>1.0</v>
      </c>
      <c r="BD26" s="19">
        <v>3.0</v>
      </c>
      <c r="BE26" s="19"/>
      <c r="BF26" s="19"/>
      <c r="BG26" s="19"/>
      <c r="BH26" s="19">
        <v>1.0</v>
      </c>
      <c r="BI26" s="19"/>
      <c r="BJ26" s="19"/>
      <c r="BK26" s="13">
        <f t="shared" si="3"/>
        <v>67</v>
      </c>
    </row>
    <row r="27" ht="12.75" customHeight="1">
      <c r="A27" s="35"/>
      <c r="B27" s="28"/>
      <c r="C27" s="36"/>
      <c r="D27" s="13" t="s">
        <v>14</v>
      </c>
      <c r="E27" s="13">
        <f t="shared" ref="E27:BJ27" si="6">SUM(E25:E26)</f>
        <v>1</v>
      </c>
      <c r="F27" s="13">
        <f t="shared" si="6"/>
        <v>6</v>
      </c>
      <c r="G27" s="13">
        <f t="shared" si="6"/>
        <v>2</v>
      </c>
      <c r="H27" s="13">
        <f t="shared" si="6"/>
        <v>1</v>
      </c>
      <c r="I27" s="13">
        <f t="shared" si="6"/>
        <v>5</v>
      </c>
      <c r="J27" s="13">
        <f t="shared" si="6"/>
        <v>9</v>
      </c>
      <c r="K27" s="13">
        <f t="shared" si="6"/>
        <v>6</v>
      </c>
      <c r="L27" s="13">
        <f t="shared" si="6"/>
        <v>0</v>
      </c>
      <c r="M27" s="13">
        <f t="shared" si="6"/>
        <v>0</v>
      </c>
      <c r="N27" s="13">
        <f t="shared" si="6"/>
        <v>1</v>
      </c>
      <c r="O27" s="13">
        <f t="shared" si="6"/>
        <v>2</v>
      </c>
      <c r="P27" s="13">
        <f t="shared" si="6"/>
        <v>7</v>
      </c>
      <c r="Q27" s="13">
        <f t="shared" si="6"/>
        <v>1</v>
      </c>
      <c r="R27" s="13">
        <f t="shared" si="6"/>
        <v>1</v>
      </c>
      <c r="S27" s="13">
        <f t="shared" si="6"/>
        <v>1</v>
      </c>
      <c r="T27" s="13">
        <f t="shared" si="6"/>
        <v>2</v>
      </c>
      <c r="U27" s="13">
        <f t="shared" si="6"/>
        <v>2</v>
      </c>
      <c r="V27" s="13">
        <f t="shared" si="6"/>
        <v>1</v>
      </c>
      <c r="W27" s="13">
        <f t="shared" si="6"/>
        <v>0</v>
      </c>
      <c r="X27" s="13">
        <f t="shared" si="6"/>
        <v>3</v>
      </c>
      <c r="Y27" s="13">
        <f t="shared" si="6"/>
        <v>1</v>
      </c>
      <c r="Z27" s="13">
        <f t="shared" si="6"/>
        <v>0</v>
      </c>
      <c r="AA27" s="13">
        <f t="shared" si="6"/>
        <v>4</v>
      </c>
      <c r="AB27" s="13">
        <f t="shared" si="6"/>
        <v>0</v>
      </c>
      <c r="AC27" s="13">
        <f t="shared" si="6"/>
        <v>2</v>
      </c>
      <c r="AD27" s="13">
        <f t="shared" si="6"/>
        <v>2</v>
      </c>
      <c r="AE27" s="13">
        <f t="shared" si="6"/>
        <v>2</v>
      </c>
      <c r="AF27" s="13">
        <f t="shared" si="6"/>
        <v>5</v>
      </c>
      <c r="AG27" s="13">
        <f t="shared" si="6"/>
        <v>0</v>
      </c>
      <c r="AH27" s="13">
        <f t="shared" si="6"/>
        <v>0</v>
      </c>
      <c r="AI27" s="13">
        <f t="shared" si="6"/>
        <v>0</v>
      </c>
      <c r="AJ27" s="13">
        <f t="shared" si="6"/>
        <v>2</v>
      </c>
      <c r="AK27" s="13">
        <f t="shared" si="6"/>
        <v>1</v>
      </c>
      <c r="AL27" s="13">
        <f t="shared" si="6"/>
        <v>6</v>
      </c>
      <c r="AM27" s="13">
        <f t="shared" si="6"/>
        <v>3</v>
      </c>
      <c r="AN27" s="13">
        <f t="shared" si="6"/>
        <v>5</v>
      </c>
      <c r="AO27" s="13">
        <f t="shared" si="6"/>
        <v>4</v>
      </c>
      <c r="AP27" s="13">
        <f t="shared" si="6"/>
        <v>0</v>
      </c>
      <c r="AQ27" s="13">
        <f t="shared" si="6"/>
        <v>0</v>
      </c>
      <c r="AR27" s="13">
        <f t="shared" si="6"/>
        <v>1</v>
      </c>
      <c r="AS27" s="13">
        <f t="shared" si="6"/>
        <v>0</v>
      </c>
      <c r="AT27" s="13">
        <f t="shared" si="6"/>
        <v>0</v>
      </c>
      <c r="AU27" s="13">
        <f t="shared" si="6"/>
        <v>3</v>
      </c>
      <c r="AV27" s="13">
        <f t="shared" si="6"/>
        <v>0</v>
      </c>
      <c r="AW27" s="13">
        <f t="shared" si="6"/>
        <v>1</v>
      </c>
      <c r="AX27" s="13">
        <f t="shared" si="6"/>
        <v>10</v>
      </c>
      <c r="AY27" s="13">
        <f t="shared" si="6"/>
        <v>3</v>
      </c>
      <c r="AZ27" s="13">
        <f t="shared" si="6"/>
        <v>0</v>
      </c>
      <c r="BA27" s="13">
        <f t="shared" si="6"/>
        <v>7</v>
      </c>
      <c r="BB27" s="13">
        <f t="shared" si="6"/>
        <v>9</v>
      </c>
      <c r="BC27" s="13">
        <f t="shared" si="6"/>
        <v>1</v>
      </c>
      <c r="BD27" s="13">
        <f t="shared" si="6"/>
        <v>7</v>
      </c>
      <c r="BE27" s="13">
        <f t="shared" si="6"/>
        <v>0</v>
      </c>
      <c r="BF27" s="13">
        <f t="shared" si="6"/>
        <v>0</v>
      </c>
      <c r="BG27" s="13">
        <f t="shared" si="6"/>
        <v>0</v>
      </c>
      <c r="BH27" s="13">
        <f t="shared" si="6"/>
        <v>1</v>
      </c>
      <c r="BI27" s="13">
        <f t="shared" si="6"/>
        <v>0</v>
      </c>
      <c r="BJ27" s="13">
        <f t="shared" si="6"/>
        <v>0</v>
      </c>
      <c r="BK27" s="13">
        <f t="shared" si="3"/>
        <v>131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BJ28" si="7">SUM(E19,E22,E25)</f>
        <v>94</v>
      </c>
      <c r="F28" s="13">
        <f t="shared" si="7"/>
        <v>95</v>
      </c>
      <c r="G28" s="13">
        <f t="shared" si="7"/>
        <v>91</v>
      </c>
      <c r="H28" s="13">
        <f t="shared" si="7"/>
        <v>71</v>
      </c>
      <c r="I28" s="13">
        <f t="shared" si="7"/>
        <v>95</v>
      </c>
      <c r="J28" s="13">
        <f t="shared" si="7"/>
        <v>95</v>
      </c>
      <c r="K28" s="13">
        <f t="shared" si="7"/>
        <v>110</v>
      </c>
      <c r="L28" s="13">
        <f t="shared" si="7"/>
        <v>95</v>
      </c>
      <c r="M28" s="13">
        <f t="shared" si="7"/>
        <v>90</v>
      </c>
      <c r="N28" s="13">
        <f t="shared" si="7"/>
        <v>79</v>
      </c>
      <c r="O28" s="13">
        <f t="shared" si="7"/>
        <v>91</v>
      </c>
      <c r="P28" s="13">
        <f t="shared" si="7"/>
        <v>97</v>
      </c>
      <c r="Q28" s="13">
        <f t="shared" si="7"/>
        <v>103</v>
      </c>
      <c r="R28" s="13">
        <f t="shared" si="7"/>
        <v>83</v>
      </c>
      <c r="S28" s="13">
        <f t="shared" si="7"/>
        <v>85</v>
      </c>
      <c r="T28" s="13">
        <f t="shared" si="7"/>
        <v>82</v>
      </c>
      <c r="U28" s="13">
        <f t="shared" si="7"/>
        <v>94</v>
      </c>
      <c r="V28" s="13">
        <f t="shared" si="7"/>
        <v>103</v>
      </c>
      <c r="W28" s="13">
        <f t="shared" si="7"/>
        <v>99</v>
      </c>
      <c r="X28" s="13">
        <f t="shared" si="7"/>
        <v>100</v>
      </c>
      <c r="Y28" s="13">
        <f t="shared" si="7"/>
        <v>91</v>
      </c>
      <c r="Z28" s="13">
        <f t="shared" si="7"/>
        <v>84</v>
      </c>
      <c r="AA28" s="13">
        <f t="shared" si="7"/>
        <v>107</v>
      </c>
      <c r="AB28" s="13">
        <f t="shared" si="7"/>
        <v>93</v>
      </c>
      <c r="AC28" s="13">
        <f t="shared" si="7"/>
        <v>97</v>
      </c>
      <c r="AD28" s="13">
        <f t="shared" si="7"/>
        <v>90</v>
      </c>
      <c r="AE28" s="13">
        <f t="shared" si="7"/>
        <v>101</v>
      </c>
      <c r="AF28" s="13">
        <f t="shared" si="7"/>
        <v>112</v>
      </c>
      <c r="AG28" s="13">
        <f t="shared" si="7"/>
        <v>99</v>
      </c>
      <c r="AH28" s="13">
        <f t="shared" si="7"/>
        <v>91</v>
      </c>
      <c r="AI28" s="13">
        <f t="shared" si="7"/>
        <v>107</v>
      </c>
      <c r="AJ28" s="13">
        <f t="shared" si="7"/>
        <v>106</v>
      </c>
      <c r="AK28" s="13">
        <f t="shared" si="7"/>
        <v>97</v>
      </c>
      <c r="AL28" s="13">
        <f t="shared" si="7"/>
        <v>108</v>
      </c>
      <c r="AM28" s="13">
        <f t="shared" si="7"/>
        <v>80</v>
      </c>
      <c r="AN28" s="13">
        <f t="shared" si="7"/>
        <v>98</v>
      </c>
      <c r="AO28" s="13">
        <f t="shared" si="7"/>
        <v>81</v>
      </c>
      <c r="AP28" s="13">
        <f t="shared" si="7"/>
        <v>86</v>
      </c>
      <c r="AQ28" s="13">
        <f t="shared" si="7"/>
        <v>102</v>
      </c>
      <c r="AR28" s="13">
        <f t="shared" si="7"/>
        <v>108</v>
      </c>
      <c r="AS28" s="13">
        <f t="shared" si="7"/>
        <v>90</v>
      </c>
      <c r="AT28" s="13">
        <f t="shared" si="7"/>
        <v>91</v>
      </c>
      <c r="AU28" s="13">
        <f t="shared" si="7"/>
        <v>107</v>
      </c>
      <c r="AV28" s="13">
        <f t="shared" si="7"/>
        <v>98</v>
      </c>
      <c r="AW28" s="13">
        <f t="shared" si="7"/>
        <v>119</v>
      </c>
      <c r="AX28" s="13">
        <f t="shared" si="7"/>
        <v>108</v>
      </c>
      <c r="AY28" s="13">
        <f t="shared" si="7"/>
        <v>106</v>
      </c>
      <c r="AZ28" s="13">
        <f t="shared" si="7"/>
        <v>105</v>
      </c>
      <c r="BA28" s="13">
        <f t="shared" si="7"/>
        <v>121</v>
      </c>
      <c r="BB28" s="13">
        <f t="shared" si="7"/>
        <v>127</v>
      </c>
      <c r="BC28" s="13">
        <f t="shared" si="7"/>
        <v>95</v>
      </c>
      <c r="BD28" s="13">
        <f t="shared" si="7"/>
        <v>100</v>
      </c>
      <c r="BE28" s="13">
        <f t="shared" si="7"/>
        <v>105</v>
      </c>
      <c r="BF28" s="13">
        <f t="shared" si="7"/>
        <v>93</v>
      </c>
      <c r="BG28" s="13">
        <f t="shared" si="7"/>
        <v>105</v>
      </c>
      <c r="BH28" s="13">
        <f t="shared" si="7"/>
        <v>104</v>
      </c>
      <c r="BI28" s="13">
        <f t="shared" si="7"/>
        <v>104</v>
      </c>
      <c r="BJ28" s="13">
        <f t="shared" si="7"/>
        <v>102</v>
      </c>
      <c r="BK28" s="13">
        <f t="shared" si="3"/>
        <v>5670</v>
      </c>
    </row>
    <row r="29" ht="12.75" customHeight="1">
      <c r="A29" s="35"/>
      <c r="B29" s="27"/>
      <c r="C29" s="34"/>
      <c r="D29" s="13" t="s">
        <v>13</v>
      </c>
      <c r="E29" s="13">
        <f t="shared" ref="E29:BJ29" si="8">SUM(E20,E23,E26)</f>
        <v>96</v>
      </c>
      <c r="F29" s="13">
        <f t="shared" si="8"/>
        <v>106</v>
      </c>
      <c r="G29" s="13">
        <f t="shared" si="8"/>
        <v>94</v>
      </c>
      <c r="H29" s="13">
        <f t="shared" si="8"/>
        <v>102</v>
      </c>
      <c r="I29" s="13">
        <f t="shared" si="8"/>
        <v>99</v>
      </c>
      <c r="J29" s="13">
        <f t="shared" si="8"/>
        <v>114</v>
      </c>
      <c r="K29" s="13">
        <f t="shared" si="8"/>
        <v>107</v>
      </c>
      <c r="L29" s="13">
        <f t="shared" si="8"/>
        <v>108</v>
      </c>
      <c r="M29" s="13">
        <f t="shared" si="8"/>
        <v>96</v>
      </c>
      <c r="N29" s="13">
        <f t="shared" si="8"/>
        <v>97</v>
      </c>
      <c r="O29" s="13">
        <f t="shared" si="8"/>
        <v>116</v>
      </c>
      <c r="P29" s="13">
        <f t="shared" si="8"/>
        <v>104</v>
      </c>
      <c r="Q29" s="13">
        <f t="shared" si="8"/>
        <v>108</v>
      </c>
      <c r="R29" s="13">
        <f t="shared" si="8"/>
        <v>87</v>
      </c>
      <c r="S29" s="13">
        <f t="shared" si="8"/>
        <v>127</v>
      </c>
      <c r="T29" s="13">
        <f t="shared" si="8"/>
        <v>106</v>
      </c>
      <c r="U29" s="13">
        <f t="shared" si="8"/>
        <v>100</v>
      </c>
      <c r="V29" s="13">
        <f t="shared" si="8"/>
        <v>109</v>
      </c>
      <c r="W29" s="13">
        <f t="shared" si="8"/>
        <v>95</v>
      </c>
      <c r="X29" s="13">
        <f t="shared" si="8"/>
        <v>107</v>
      </c>
      <c r="Y29" s="13">
        <f t="shared" si="8"/>
        <v>109</v>
      </c>
      <c r="Z29" s="13">
        <f t="shared" si="8"/>
        <v>110</v>
      </c>
      <c r="AA29" s="13">
        <f t="shared" si="8"/>
        <v>113</v>
      </c>
      <c r="AB29" s="13">
        <f t="shared" si="8"/>
        <v>112</v>
      </c>
      <c r="AC29" s="13">
        <f t="shared" si="8"/>
        <v>116</v>
      </c>
      <c r="AD29" s="13">
        <f t="shared" si="8"/>
        <v>106</v>
      </c>
      <c r="AE29" s="13">
        <f t="shared" si="8"/>
        <v>104</v>
      </c>
      <c r="AF29" s="13">
        <f t="shared" si="8"/>
        <v>106</v>
      </c>
      <c r="AG29" s="13">
        <f t="shared" si="8"/>
        <v>121</v>
      </c>
      <c r="AH29" s="13">
        <f t="shared" si="8"/>
        <v>98</v>
      </c>
      <c r="AI29" s="13">
        <f t="shared" si="8"/>
        <v>98</v>
      </c>
      <c r="AJ29" s="13">
        <f t="shared" si="8"/>
        <v>103</v>
      </c>
      <c r="AK29" s="13">
        <f t="shared" si="8"/>
        <v>118</v>
      </c>
      <c r="AL29" s="13">
        <f t="shared" si="8"/>
        <v>115</v>
      </c>
      <c r="AM29" s="13">
        <f t="shared" si="8"/>
        <v>97</v>
      </c>
      <c r="AN29" s="13">
        <f t="shared" si="8"/>
        <v>109</v>
      </c>
      <c r="AO29" s="13">
        <f t="shared" si="8"/>
        <v>96</v>
      </c>
      <c r="AP29" s="13">
        <f t="shared" si="8"/>
        <v>94</v>
      </c>
      <c r="AQ29" s="13">
        <f t="shared" si="8"/>
        <v>106</v>
      </c>
      <c r="AR29" s="13">
        <f t="shared" si="8"/>
        <v>113</v>
      </c>
      <c r="AS29" s="13">
        <f t="shared" si="8"/>
        <v>100</v>
      </c>
      <c r="AT29" s="13">
        <f t="shared" si="8"/>
        <v>110</v>
      </c>
      <c r="AU29" s="13">
        <f t="shared" si="8"/>
        <v>138</v>
      </c>
      <c r="AV29" s="13">
        <f t="shared" si="8"/>
        <v>104</v>
      </c>
      <c r="AW29" s="13">
        <f t="shared" si="8"/>
        <v>106</v>
      </c>
      <c r="AX29" s="13">
        <f t="shared" si="8"/>
        <v>116</v>
      </c>
      <c r="AY29" s="13">
        <f t="shared" si="8"/>
        <v>115</v>
      </c>
      <c r="AZ29" s="13">
        <f t="shared" si="8"/>
        <v>116</v>
      </c>
      <c r="BA29" s="13">
        <f t="shared" si="8"/>
        <v>119</v>
      </c>
      <c r="BB29" s="13">
        <f t="shared" si="8"/>
        <v>124</v>
      </c>
      <c r="BC29" s="13">
        <f t="shared" si="8"/>
        <v>115</v>
      </c>
      <c r="BD29" s="13">
        <f t="shared" si="8"/>
        <v>109</v>
      </c>
      <c r="BE29" s="13">
        <f t="shared" si="8"/>
        <v>124</v>
      </c>
      <c r="BF29" s="13">
        <f t="shared" si="8"/>
        <v>95</v>
      </c>
      <c r="BG29" s="13">
        <f t="shared" si="8"/>
        <v>107</v>
      </c>
      <c r="BH29" s="13">
        <f t="shared" si="8"/>
        <v>105</v>
      </c>
      <c r="BI29" s="13">
        <f t="shared" si="8"/>
        <v>114</v>
      </c>
      <c r="BJ29" s="13">
        <f t="shared" si="8"/>
        <v>107</v>
      </c>
      <c r="BK29" s="13">
        <f t="shared" si="3"/>
        <v>6246</v>
      </c>
    </row>
    <row r="30" ht="12.75" customHeight="1">
      <c r="A30" s="35"/>
      <c r="B30" s="28"/>
      <c r="C30" s="36"/>
      <c r="D30" s="13" t="s">
        <v>14</v>
      </c>
      <c r="E30" s="13">
        <f t="shared" ref="E30:BJ30" si="9">SUM(E28:E29)</f>
        <v>190</v>
      </c>
      <c r="F30" s="13">
        <f t="shared" si="9"/>
        <v>201</v>
      </c>
      <c r="G30" s="13">
        <f t="shared" si="9"/>
        <v>185</v>
      </c>
      <c r="H30" s="13">
        <f t="shared" si="9"/>
        <v>173</v>
      </c>
      <c r="I30" s="13">
        <f t="shared" si="9"/>
        <v>194</v>
      </c>
      <c r="J30" s="13">
        <f t="shared" si="9"/>
        <v>209</v>
      </c>
      <c r="K30" s="13">
        <f t="shared" si="9"/>
        <v>217</v>
      </c>
      <c r="L30" s="13">
        <f t="shared" si="9"/>
        <v>203</v>
      </c>
      <c r="M30" s="13">
        <f t="shared" si="9"/>
        <v>186</v>
      </c>
      <c r="N30" s="13">
        <f t="shared" si="9"/>
        <v>176</v>
      </c>
      <c r="O30" s="13">
        <f t="shared" si="9"/>
        <v>207</v>
      </c>
      <c r="P30" s="13">
        <f t="shared" si="9"/>
        <v>201</v>
      </c>
      <c r="Q30" s="13">
        <f t="shared" si="9"/>
        <v>211</v>
      </c>
      <c r="R30" s="13">
        <f t="shared" si="9"/>
        <v>170</v>
      </c>
      <c r="S30" s="13">
        <f t="shared" si="9"/>
        <v>212</v>
      </c>
      <c r="T30" s="13">
        <f t="shared" si="9"/>
        <v>188</v>
      </c>
      <c r="U30" s="13">
        <f t="shared" si="9"/>
        <v>194</v>
      </c>
      <c r="V30" s="13">
        <f t="shared" si="9"/>
        <v>212</v>
      </c>
      <c r="W30" s="13">
        <f t="shared" si="9"/>
        <v>194</v>
      </c>
      <c r="X30" s="13">
        <f t="shared" si="9"/>
        <v>207</v>
      </c>
      <c r="Y30" s="13">
        <f t="shared" si="9"/>
        <v>200</v>
      </c>
      <c r="Z30" s="13">
        <f t="shared" si="9"/>
        <v>194</v>
      </c>
      <c r="AA30" s="13">
        <f t="shared" si="9"/>
        <v>220</v>
      </c>
      <c r="AB30" s="13">
        <f t="shared" si="9"/>
        <v>205</v>
      </c>
      <c r="AC30" s="13">
        <f t="shared" si="9"/>
        <v>213</v>
      </c>
      <c r="AD30" s="13">
        <f t="shared" si="9"/>
        <v>196</v>
      </c>
      <c r="AE30" s="13">
        <f t="shared" si="9"/>
        <v>205</v>
      </c>
      <c r="AF30" s="13">
        <f t="shared" si="9"/>
        <v>218</v>
      </c>
      <c r="AG30" s="13">
        <f t="shared" si="9"/>
        <v>220</v>
      </c>
      <c r="AH30" s="13">
        <f t="shared" si="9"/>
        <v>189</v>
      </c>
      <c r="AI30" s="13">
        <f t="shared" si="9"/>
        <v>205</v>
      </c>
      <c r="AJ30" s="13">
        <f t="shared" si="9"/>
        <v>209</v>
      </c>
      <c r="AK30" s="13">
        <f t="shared" si="9"/>
        <v>215</v>
      </c>
      <c r="AL30" s="13">
        <f t="shared" si="9"/>
        <v>223</v>
      </c>
      <c r="AM30" s="13">
        <f t="shared" si="9"/>
        <v>177</v>
      </c>
      <c r="AN30" s="13">
        <f t="shared" si="9"/>
        <v>207</v>
      </c>
      <c r="AO30" s="13">
        <f t="shared" si="9"/>
        <v>177</v>
      </c>
      <c r="AP30" s="13">
        <f t="shared" si="9"/>
        <v>180</v>
      </c>
      <c r="AQ30" s="13">
        <f t="shared" si="9"/>
        <v>208</v>
      </c>
      <c r="AR30" s="13">
        <f t="shared" si="9"/>
        <v>221</v>
      </c>
      <c r="AS30" s="13">
        <f t="shared" si="9"/>
        <v>190</v>
      </c>
      <c r="AT30" s="13">
        <f t="shared" si="9"/>
        <v>201</v>
      </c>
      <c r="AU30" s="13">
        <f t="shared" si="9"/>
        <v>245</v>
      </c>
      <c r="AV30" s="13">
        <f t="shared" si="9"/>
        <v>202</v>
      </c>
      <c r="AW30" s="13">
        <f t="shared" si="9"/>
        <v>225</v>
      </c>
      <c r="AX30" s="13">
        <f t="shared" si="9"/>
        <v>224</v>
      </c>
      <c r="AY30" s="13">
        <f t="shared" si="9"/>
        <v>221</v>
      </c>
      <c r="AZ30" s="13">
        <f t="shared" si="9"/>
        <v>221</v>
      </c>
      <c r="BA30" s="13">
        <f t="shared" si="9"/>
        <v>240</v>
      </c>
      <c r="BB30" s="13">
        <f t="shared" si="9"/>
        <v>251</v>
      </c>
      <c r="BC30" s="13">
        <f t="shared" si="9"/>
        <v>210</v>
      </c>
      <c r="BD30" s="13">
        <f t="shared" si="9"/>
        <v>209</v>
      </c>
      <c r="BE30" s="13">
        <f t="shared" si="9"/>
        <v>229</v>
      </c>
      <c r="BF30" s="13">
        <f t="shared" si="9"/>
        <v>188</v>
      </c>
      <c r="BG30" s="13">
        <f t="shared" si="9"/>
        <v>212</v>
      </c>
      <c r="BH30" s="13">
        <f t="shared" si="9"/>
        <v>209</v>
      </c>
      <c r="BI30" s="13">
        <f t="shared" si="9"/>
        <v>218</v>
      </c>
      <c r="BJ30" s="13">
        <f t="shared" si="9"/>
        <v>209</v>
      </c>
      <c r="BK30" s="13">
        <f t="shared" si="3"/>
        <v>11916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19"/>
      <c r="Q31" s="19"/>
      <c r="R31" s="19"/>
      <c r="S31" s="59"/>
      <c r="T31" s="19"/>
      <c r="U31" s="19"/>
      <c r="V31" s="19"/>
      <c r="W31" s="19"/>
      <c r="X31" s="59"/>
      <c r="Y31" s="19"/>
      <c r="Z31" s="19"/>
      <c r="AA31" s="19"/>
      <c r="AB31" s="19"/>
      <c r="AC31" s="59"/>
      <c r="AD31" s="19"/>
      <c r="AE31" s="19"/>
      <c r="AF31" s="19"/>
      <c r="AG31" s="19"/>
      <c r="AH31" s="59"/>
      <c r="AI31" s="19"/>
      <c r="AJ31" s="19"/>
      <c r="AK31" s="19"/>
      <c r="AL31" s="19"/>
      <c r="AM31" s="59"/>
      <c r="AN31" s="19"/>
      <c r="AO31" s="19"/>
      <c r="AP31" s="19"/>
      <c r="AQ31" s="19"/>
      <c r="AR31" s="59"/>
      <c r="AS31" s="19"/>
      <c r="AT31" s="19"/>
      <c r="AU31" s="19"/>
      <c r="AV31" s="19"/>
      <c r="AW31" s="59"/>
      <c r="AX31" s="19"/>
      <c r="AY31" s="19"/>
      <c r="AZ31" s="19"/>
      <c r="BA31" s="19"/>
      <c r="BB31" s="59"/>
      <c r="BC31" s="19"/>
      <c r="BD31" s="19"/>
      <c r="BE31" s="19"/>
      <c r="BF31" s="19"/>
      <c r="BG31" s="59"/>
      <c r="BH31" s="19"/>
      <c r="BI31" s="19"/>
      <c r="BJ31" s="19"/>
      <c r="BK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13"/>
      <c r="Q32" s="13"/>
      <c r="R32" s="13"/>
      <c r="S32" s="61"/>
      <c r="T32" s="13"/>
      <c r="U32" s="13"/>
      <c r="V32" s="13"/>
      <c r="W32" s="13"/>
      <c r="X32" s="61"/>
      <c r="Y32" s="13"/>
      <c r="Z32" s="13"/>
      <c r="AA32" s="13"/>
      <c r="AB32" s="13"/>
      <c r="AC32" s="61"/>
      <c r="AD32" s="13"/>
      <c r="AE32" s="13"/>
      <c r="AF32" s="13"/>
      <c r="AG32" s="13"/>
      <c r="AH32" s="61"/>
      <c r="AI32" s="13"/>
      <c r="AJ32" s="13"/>
      <c r="AK32" s="13"/>
      <c r="AL32" s="13"/>
      <c r="AM32" s="61"/>
      <c r="AN32" s="13"/>
      <c r="AO32" s="13"/>
      <c r="AP32" s="13"/>
      <c r="AQ32" s="13"/>
      <c r="AR32" s="61"/>
      <c r="AS32" s="13"/>
      <c r="AT32" s="13"/>
      <c r="AU32" s="13"/>
      <c r="AV32" s="13"/>
      <c r="AW32" s="61"/>
      <c r="AX32" s="13"/>
      <c r="AY32" s="13"/>
      <c r="AZ32" s="13"/>
      <c r="BA32" s="13"/>
      <c r="BB32" s="61"/>
      <c r="BC32" s="13"/>
      <c r="BD32" s="13"/>
      <c r="BE32" s="13"/>
      <c r="BF32" s="13"/>
      <c r="BG32" s="61"/>
      <c r="BH32" s="13"/>
      <c r="BI32" s="13"/>
      <c r="BJ32" s="13"/>
      <c r="BK32" s="60"/>
    </row>
    <row r="33" ht="12.75" customHeight="1">
      <c r="A33" s="19">
        <v>1.0</v>
      </c>
      <c r="B33" s="20" t="s">
        <v>27</v>
      </c>
      <c r="C33" s="15"/>
      <c r="D33" s="16"/>
      <c r="E33" s="19">
        <v>258.0</v>
      </c>
      <c r="F33" s="19">
        <v>271.0</v>
      </c>
      <c r="G33" s="19">
        <v>251.0</v>
      </c>
      <c r="H33" s="19">
        <v>253.0</v>
      </c>
      <c r="I33" s="19">
        <v>261.0</v>
      </c>
      <c r="J33" s="19">
        <v>286.0</v>
      </c>
      <c r="K33" s="19">
        <v>278.0</v>
      </c>
      <c r="L33" s="19">
        <v>288.0</v>
      </c>
      <c r="M33" s="19">
        <v>279.0</v>
      </c>
      <c r="N33" s="19">
        <v>269.0</v>
      </c>
      <c r="O33" s="19">
        <v>288.0</v>
      </c>
      <c r="P33" s="19">
        <v>283.0</v>
      </c>
      <c r="Q33" s="19">
        <v>290.0</v>
      </c>
      <c r="R33" s="19">
        <v>231.0</v>
      </c>
      <c r="S33" s="19">
        <v>287.0</v>
      </c>
      <c r="T33" s="19">
        <v>270.0</v>
      </c>
      <c r="U33" s="19">
        <v>289.0</v>
      </c>
      <c r="V33" s="19">
        <v>284.0</v>
      </c>
      <c r="W33" s="19">
        <v>281.0</v>
      </c>
      <c r="X33" s="19">
        <v>284.0</v>
      </c>
      <c r="Y33" s="19">
        <v>287.0</v>
      </c>
      <c r="Z33" s="19">
        <v>282.0</v>
      </c>
      <c r="AA33" s="19">
        <v>280.0</v>
      </c>
      <c r="AB33" s="19">
        <v>282.0</v>
      </c>
      <c r="AC33" s="19">
        <v>281.0</v>
      </c>
      <c r="AD33" s="19">
        <v>287.0</v>
      </c>
      <c r="AE33" s="19">
        <v>271.0</v>
      </c>
      <c r="AF33" s="19">
        <v>277.0</v>
      </c>
      <c r="AG33" s="19">
        <v>285.0</v>
      </c>
      <c r="AH33" s="19">
        <v>285.0</v>
      </c>
      <c r="AI33" s="19">
        <v>283.0</v>
      </c>
      <c r="AJ33" s="19">
        <v>291.0</v>
      </c>
      <c r="AK33" s="19">
        <v>293.0</v>
      </c>
      <c r="AL33" s="19">
        <v>297.0</v>
      </c>
      <c r="AM33" s="19">
        <v>238.0</v>
      </c>
      <c r="AN33" s="19">
        <v>282.0</v>
      </c>
      <c r="AO33" s="19">
        <v>228.0</v>
      </c>
      <c r="AP33" s="19">
        <v>230.0</v>
      </c>
      <c r="AQ33" s="19">
        <v>294.0</v>
      </c>
      <c r="AR33" s="19">
        <v>298.0</v>
      </c>
      <c r="AS33" s="19">
        <v>252.0</v>
      </c>
      <c r="AT33" s="19">
        <v>283.0</v>
      </c>
      <c r="AU33" s="19">
        <v>297.0</v>
      </c>
      <c r="AV33" s="19">
        <v>290.0</v>
      </c>
      <c r="AW33" s="19">
        <v>289.0</v>
      </c>
      <c r="AX33" s="19">
        <v>290.0</v>
      </c>
      <c r="AY33" s="19">
        <v>297.0</v>
      </c>
      <c r="AZ33" s="19">
        <v>288.0</v>
      </c>
      <c r="BA33" s="19">
        <v>295.0</v>
      </c>
      <c r="BB33" s="19">
        <v>290.0</v>
      </c>
      <c r="BC33" s="19">
        <v>288.0</v>
      </c>
      <c r="BD33" s="19">
        <v>270.0</v>
      </c>
      <c r="BE33" s="19">
        <v>284.0</v>
      </c>
      <c r="BF33" s="19">
        <v>253.0</v>
      </c>
      <c r="BG33" s="19">
        <v>273.0</v>
      </c>
      <c r="BH33" s="19">
        <v>277.0</v>
      </c>
      <c r="BI33" s="19">
        <v>273.0</v>
      </c>
      <c r="BJ33" s="19">
        <v>269.0</v>
      </c>
      <c r="BK33" s="13">
        <f t="shared" ref="BK33:BK36" si="10">SUM(E33:BJ33)</f>
        <v>16090</v>
      </c>
    </row>
    <row r="34" ht="12.75" customHeight="1">
      <c r="A34" s="19">
        <v>2.0</v>
      </c>
      <c r="B34" s="20" t="s">
        <v>28</v>
      </c>
      <c r="C34" s="15"/>
      <c r="D34" s="16"/>
      <c r="E34" s="13">
        <v>190.0</v>
      </c>
      <c r="F34" s="13">
        <v>201.0</v>
      </c>
      <c r="G34" s="13">
        <v>185.0</v>
      </c>
      <c r="H34" s="13">
        <v>173.0</v>
      </c>
      <c r="I34" s="13">
        <v>194.0</v>
      </c>
      <c r="J34" s="13">
        <v>209.0</v>
      </c>
      <c r="K34" s="13">
        <v>217.0</v>
      </c>
      <c r="L34" s="13">
        <v>203.0</v>
      </c>
      <c r="M34" s="13">
        <v>186.0</v>
      </c>
      <c r="N34" s="13">
        <v>176.0</v>
      </c>
      <c r="O34" s="13">
        <v>207.0</v>
      </c>
      <c r="P34" s="13">
        <v>201.0</v>
      </c>
      <c r="Q34" s="13">
        <v>211.0</v>
      </c>
      <c r="R34" s="13">
        <v>170.0</v>
      </c>
      <c r="S34" s="13">
        <v>212.0</v>
      </c>
      <c r="T34" s="13">
        <v>188.0</v>
      </c>
      <c r="U34" s="13">
        <v>194.0</v>
      </c>
      <c r="V34" s="13">
        <v>212.0</v>
      </c>
      <c r="W34" s="13">
        <v>194.0</v>
      </c>
      <c r="X34" s="13">
        <v>207.0</v>
      </c>
      <c r="Y34" s="13">
        <v>200.0</v>
      </c>
      <c r="Z34" s="13">
        <v>194.0</v>
      </c>
      <c r="AA34" s="13">
        <v>220.0</v>
      </c>
      <c r="AB34" s="13">
        <v>205.0</v>
      </c>
      <c r="AC34" s="13">
        <v>213.0</v>
      </c>
      <c r="AD34" s="13">
        <v>196.0</v>
      </c>
      <c r="AE34" s="13">
        <v>205.0</v>
      </c>
      <c r="AF34" s="13">
        <v>218.0</v>
      </c>
      <c r="AG34" s="13">
        <v>220.0</v>
      </c>
      <c r="AH34" s="13">
        <v>189.0</v>
      </c>
      <c r="AI34" s="13">
        <v>205.0</v>
      </c>
      <c r="AJ34" s="13">
        <v>209.0</v>
      </c>
      <c r="AK34" s="13">
        <v>215.0</v>
      </c>
      <c r="AL34" s="13">
        <v>223.0</v>
      </c>
      <c r="AM34" s="13">
        <v>177.0</v>
      </c>
      <c r="AN34" s="13">
        <v>207.0</v>
      </c>
      <c r="AO34" s="13">
        <v>177.0</v>
      </c>
      <c r="AP34" s="13">
        <v>180.0</v>
      </c>
      <c r="AQ34" s="13">
        <v>208.0</v>
      </c>
      <c r="AR34" s="13">
        <v>221.0</v>
      </c>
      <c r="AS34" s="13">
        <v>190.0</v>
      </c>
      <c r="AT34" s="13">
        <v>201.0</v>
      </c>
      <c r="AU34" s="13">
        <v>245.0</v>
      </c>
      <c r="AV34" s="13">
        <v>202.0</v>
      </c>
      <c r="AW34" s="13">
        <v>225.0</v>
      </c>
      <c r="AX34" s="13">
        <v>224.0</v>
      </c>
      <c r="AY34" s="13">
        <v>221.0</v>
      </c>
      <c r="AZ34" s="13">
        <v>221.0</v>
      </c>
      <c r="BA34" s="13">
        <v>240.0</v>
      </c>
      <c r="BB34" s="13">
        <v>251.0</v>
      </c>
      <c r="BC34" s="13">
        <v>210.0</v>
      </c>
      <c r="BD34" s="13">
        <v>209.0</v>
      </c>
      <c r="BE34" s="13">
        <v>229.0</v>
      </c>
      <c r="BF34" s="13">
        <v>188.0</v>
      </c>
      <c r="BG34" s="13">
        <v>212.0</v>
      </c>
      <c r="BH34" s="13">
        <v>209.0</v>
      </c>
      <c r="BI34" s="13">
        <v>218.0</v>
      </c>
      <c r="BJ34" s="13">
        <v>209.0</v>
      </c>
      <c r="BK34" s="13">
        <f t="shared" si="10"/>
        <v>11916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3.0</v>
      </c>
      <c r="H35" s="19">
        <v>0.0</v>
      </c>
      <c r="I35" s="19">
        <v>0.0</v>
      </c>
      <c r="J35" s="19">
        <v>1.0</v>
      </c>
      <c r="K35" s="19">
        <v>0.0</v>
      </c>
      <c r="L35" s="19">
        <v>0.0</v>
      </c>
      <c r="M35" s="19">
        <v>1.0</v>
      </c>
      <c r="N35" s="19">
        <v>0.0</v>
      </c>
      <c r="O35" s="19">
        <v>0.0</v>
      </c>
      <c r="P35" s="19">
        <v>0.0</v>
      </c>
      <c r="Q35" s="19">
        <v>4.0</v>
      </c>
      <c r="R35" s="19">
        <v>1.0</v>
      </c>
      <c r="S35" s="19">
        <v>0.0</v>
      </c>
      <c r="T35" s="19"/>
      <c r="U35" s="19"/>
      <c r="V35" s="19"/>
      <c r="W35" s="19">
        <v>11.0</v>
      </c>
      <c r="X35" s="19"/>
      <c r="Y35" s="19"/>
      <c r="Z35" s="19"/>
      <c r="AA35" s="19"/>
      <c r="AB35" s="19"/>
      <c r="AC35" s="19">
        <v>1.0</v>
      </c>
      <c r="AD35" s="19"/>
      <c r="AE35" s="19"/>
      <c r="AF35" s="19">
        <v>2.0</v>
      </c>
      <c r="AG35" s="19"/>
      <c r="AH35" s="19">
        <v>2.0</v>
      </c>
      <c r="AI35" s="19"/>
      <c r="AJ35" s="19"/>
      <c r="AK35" s="19"/>
      <c r="AL35" s="19">
        <v>2.0</v>
      </c>
      <c r="AM35" s="19"/>
      <c r="AN35" s="19"/>
      <c r="AO35" s="19"/>
      <c r="AP35" s="19"/>
      <c r="AQ35" s="19">
        <v>1.0</v>
      </c>
      <c r="AR35" s="19">
        <v>1.0</v>
      </c>
      <c r="AS35" s="19"/>
      <c r="AT35" s="19"/>
      <c r="AU35" s="19"/>
      <c r="AV35" s="19"/>
      <c r="AW35" s="19"/>
      <c r="AX35" s="19">
        <v>1.0</v>
      </c>
      <c r="AY35" s="19">
        <v>1.0</v>
      </c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3">
        <f t="shared" si="10"/>
        <v>32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BJ36" si="11">E33-(E34+E35)</f>
        <v>68</v>
      </c>
      <c r="F36" s="13">
        <f t="shared" si="11"/>
        <v>70</v>
      </c>
      <c r="G36" s="13">
        <f t="shared" si="11"/>
        <v>63</v>
      </c>
      <c r="H36" s="13">
        <f t="shared" si="11"/>
        <v>80</v>
      </c>
      <c r="I36" s="13">
        <f t="shared" si="11"/>
        <v>67</v>
      </c>
      <c r="J36" s="13">
        <f t="shared" si="11"/>
        <v>76</v>
      </c>
      <c r="K36" s="13">
        <f t="shared" si="11"/>
        <v>61</v>
      </c>
      <c r="L36" s="13">
        <f t="shared" si="11"/>
        <v>85</v>
      </c>
      <c r="M36" s="13">
        <f t="shared" si="11"/>
        <v>92</v>
      </c>
      <c r="N36" s="13">
        <f t="shared" si="11"/>
        <v>93</v>
      </c>
      <c r="O36" s="13">
        <f t="shared" si="11"/>
        <v>81</v>
      </c>
      <c r="P36" s="13">
        <f t="shared" si="11"/>
        <v>82</v>
      </c>
      <c r="Q36" s="13">
        <f t="shared" si="11"/>
        <v>75</v>
      </c>
      <c r="R36" s="13">
        <f t="shared" si="11"/>
        <v>60</v>
      </c>
      <c r="S36" s="13">
        <f t="shared" si="11"/>
        <v>75</v>
      </c>
      <c r="T36" s="13">
        <f t="shared" si="11"/>
        <v>82</v>
      </c>
      <c r="U36" s="13">
        <f t="shared" si="11"/>
        <v>95</v>
      </c>
      <c r="V36" s="13">
        <f t="shared" si="11"/>
        <v>72</v>
      </c>
      <c r="W36" s="13">
        <f t="shared" si="11"/>
        <v>76</v>
      </c>
      <c r="X36" s="13">
        <f t="shared" si="11"/>
        <v>77</v>
      </c>
      <c r="Y36" s="13">
        <f t="shared" si="11"/>
        <v>87</v>
      </c>
      <c r="Z36" s="13">
        <f t="shared" si="11"/>
        <v>88</v>
      </c>
      <c r="AA36" s="13">
        <f t="shared" si="11"/>
        <v>60</v>
      </c>
      <c r="AB36" s="13">
        <f t="shared" si="11"/>
        <v>77</v>
      </c>
      <c r="AC36" s="13">
        <f t="shared" si="11"/>
        <v>67</v>
      </c>
      <c r="AD36" s="13">
        <f t="shared" si="11"/>
        <v>91</v>
      </c>
      <c r="AE36" s="13">
        <f t="shared" si="11"/>
        <v>66</v>
      </c>
      <c r="AF36" s="13">
        <f t="shared" si="11"/>
        <v>57</v>
      </c>
      <c r="AG36" s="13">
        <f t="shared" si="11"/>
        <v>65</v>
      </c>
      <c r="AH36" s="13">
        <f t="shared" si="11"/>
        <v>94</v>
      </c>
      <c r="AI36" s="13">
        <f t="shared" si="11"/>
        <v>78</v>
      </c>
      <c r="AJ36" s="13">
        <f t="shared" si="11"/>
        <v>82</v>
      </c>
      <c r="AK36" s="13">
        <f t="shared" si="11"/>
        <v>78</v>
      </c>
      <c r="AL36" s="13">
        <f t="shared" si="11"/>
        <v>72</v>
      </c>
      <c r="AM36" s="13">
        <f t="shared" si="11"/>
        <v>61</v>
      </c>
      <c r="AN36" s="13">
        <f t="shared" si="11"/>
        <v>75</v>
      </c>
      <c r="AO36" s="13">
        <f t="shared" si="11"/>
        <v>51</v>
      </c>
      <c r="AP36" s="13">
        <f t="shared" si="11"/>
        <v>50</v>
      </c>
      <c r="AQ36" s="13">
        <f t="shared" si="11"/>
        <v>85</v>
      </c>
      <c r="AR36" s="13">
        <f t="shared" si="11"/>
        <v>76</v>
      </c>
      <c r="AS36" s="13">
        <f t="shared" si="11"/>
        <v>62</v>
      </c>
      <c r="AT36" s="13">
        <f t="shared" si="11"/>
        <v>82</v>
      </c>
      <c r="AU36" s="13">
        <f t="shared" si="11"/>
        <v>52</v>
      </c>
      <c r="AV36" s="13">
        <f t="shared" si="11"/>
        <v>88</v>
      </c>
      <c r="AW36" s="13">
        <f t="shared" si="11"/>
        <v>64</v>
      </c>
      <c r="AX36" s="13">
        <f t="shared" si="11"/>
        <v>65</v>
      </c>
      <c r="AY36" s="13">
        <f t="shared" si="11"/>
        <v>75</v>
      </c>
      <c r="AZ36" s="13">
        <f t="shared" si="11"/>
        <v>67</v>
      </c>
      <c r="BA36" s="13">
        <f t="shared" si="11"/>
        <v>55</v>
      </c>
      <c r="BB36" s="13">
        <f t="shared" si="11"/>
        <v>39</v>
      </c>
      <c r="BC36" s="13">
        <f t="shared" si="11"/>
        <v>78</v>
      </c>
      <c r="BD36" s="13">
        <f t="shared" si="11"/>
        <v>61</v>
      </c>
      <c r="BE36" s="13">
        <f t="shared" si="11"/>
        <v>55</v>
      </c>
      <c r="BF36" s="13">
        <f t="shared" si="11"/>
        <v>65</v>
      </c>
      <c r="BG36" s="13">
        <f t="shared" si="11"/>
        <v>61</v>
      </c>
      <c r="BH36" s="13">
        <f t="shared" si="11"/>
        <v>68</v>
      </c>
      <c r="BI36" s="13">
        <f t="shared" si="11"/>
        <v>55</v>
      </c>
      <c r="BJ36" s="13">
        <f t="shared" si="11"/>
        <v>60</v>
      </c>
      <c r="BK36" s="13">
        <f t="shared" si="10"/>
        <v>4142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19"/>
      <c r="P37" s="19"/>
      <c r="Q37" s="19"/>
      <c r="R37" s="19"/>
      <c r="S37" s="59"/>
      <c r="T37" s="19"/>
      <c r="U37" s="19"/>
      <c r="V37" s="19"/>
      <c r="W37" s="19"/>
      <c r="X37" s="59"/>
      <c r="Y37" s="19"/>
      <c r="Z37" s="19"/>
      <c r="AA37" s="19"/>
      <c r="AB37" s="19"/>
      <c r="AC37" s="59"/>
      <c r="AD37" s="19"/>
      <c r="AE37" s="19"/>
      <c r="AF37" s="19"/>
      <c r="AG37" s="19"/>
      <c r="AH37" s="59"/>
      <c r="AI37" s="19"/>
      <c r="AJ37" s="19"/>
      <c r="AK37" s="19"/>
      <c r="AL37" s="19"/>
      <c r="AM37" s="59"/>
      <c r="AN37" s="19"/>
      <c r="AO37" s="19"/>
      <c r="AP37" s="19"/>
      <c r="AQ37" s="19"/>
      <c r="AR37" s="59"/>
      <c r="AS37" s="19"/>
      <c r="AT37" s="19"/>
      <c r="AU37" s="19"/>
      <c r="AV37" s="19"/>
      <c r="AW37" s="59"/>
      <c r="AX37" s="19"/>
      <c r="AY37" s="19"/>
      <c r="AZ37" s="19"/>
      <c r="BA37" s="19"/>
      <c r="BB37" s="59"/>
      <c r="BC37" s="19"/>
      <c r="BD37" s="19"/>
      <c r="BE37" s="19"/>
      <c r="BF37" s="19"/>
      <c r="BG37" s="59"/>
      <c r="BH37" s="19"/>
      <c r="BI37" s="19"/>
      <c r="BJ37" s="19"/>
      <c r="BK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13"/>
      <c r="Q38" s="13"/>
      <c r="R38" s="13"/>
      <c r="S38" s="61"/>
      <c r="T38" s="13"/>
      <c r="U38" s="13"/>
      <c r="V38" s="13"/>
      <c r="W38" s="13"/>
      <c r="X38" s="61"/>
      <c r="Y38" s="13"/>
      <c r="Z38" s="13"/>
      <c r="AA38" s="13"/>
      <c r="AB38" s="13"/>
      <c r="AC38" s="61"/>
      <c r="AD38" s="13"/>
      <c r="AE38" s="13"/>
      <c r="AF38" s="13"/>
      <c r="AG38" s="13"/>
      <c r="AH38" s="61"/>
      <c r="AI38" s="13"/>
      <c r="AJ38" s="13"/>
      <c r="AK38" s="13"/>
      <c r="AL38" s="13"/>
      <c r="AM38" s="61"/>
      <c r="AN38" s="13"/>
      <c r="AO38" s="13"/>
      <c r="AP38" s="13"/>
      <c r="AQ38" s="13"/>
      <c r="AR38" s="61"/>
      <c r="AS38" s="13"/>
      <c r="AT38" s="13"/>
      <c r="AU38" s="13"/>
      <c r="AV38" s="13"/>
      <c r="AW38" s="61"/>
      <c r="AX38" s="13"/>
      <c r="AY38" s="13"/>
      <c r="AZ38" s="13"/>
      <c r="BA38" s="13"/>
      <c r="BB38" s="61"/>
      <c r="BC38" s="13"/>
      <c r="BD38" s="13"/>
      <c r="BE38" s="13"/>
      <c r="BF38" s="13"/>
      <c r="BG38" s="61"/>
      <c r="BH38" s="13"/>
      <c r="BI38" s="13"/>
      <c r="BJ38" s="13"/>
      <c r="BK38" s="6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2.0</v>
      </c>
      <c r="R39" s="19">
        <v>1.0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2.0</v>
      </c>
      <c r="AB39" s="19">
        <v>1.0</v>
      </c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>
        <v>1.0</v>
      </c>
      <c r="AY39" s="19"/>
      <c r="AZ39" s="19"/>
      <c r="BA39" s="19"/>
      <c r="BB39" s="19">
        <v>2.0</v>
      </c>
      <c r="BC39" s="19"/>
      <c r="BD39" s="19"/>
      <c r="BE39" s="19">
        <v>2.0</v>
      </c>
      <c r="BF39" s="19"/>
      <c r="BG39" s="19"/>
      <c r="BH39" s="19">
        <v>1.0</v>
      </c>
      <c r="BI39" s="19"/>
      <c r="BJ39" s="19"/>
      <c r="BK39" s="13">
        <f t="shared" ref="BK39:BK41" si="12">SUM(E39:BJ39)</f>
        <v>12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1.0</v>
      </c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>
        <v>2.0</v>
      </c>
      <c r="AB40" s="19">
        <v>1.0</v>
      </c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>
        <v>1.0</v>
      </c>
      <c r="AQ40" s="19"/>
      <c r="AR40" s="19"/>
      <c r="AS40" s="19"/>
      <c r="AT40" s="19"/>
      <c r="AU40" s="19"/>
      <c r="AV40" s="19"/>
      <c r="AW40" s="19"/>
      <c r="AX40" s="19">
        <v>1.0</v>
      </c>
      <c r="AY40" s="19"/>
      <c r="AZ40" s="19"/>
      <c r="BA40" s="19"/>
      <c r="BB40" s="19"/>
      <c r="BC40" s="19"/>
      <c r="BD40" s="19"/>
      <c r="BE40" s="19">
        <v>2.0</v>
      </c>
      <c r="BF40" s="19"/>
      <c r="BG40" s="19"/>
      <c r="BH40" s="19">
        <v>1.0</v>
      </c>
      <c r="BI40" s="19"/>
      <c r="BJ40" s="19"/>
      <c r="BK40" s="13">
        <f t="shared" si="12"/>
        <v>9</v>
      </c>
    </row>
    <row r="41" ht="12.75" customHeight="1">
      <c r="A41" s="41"/>
      <c r="B41" s="44"/>
      <c r="C41" s="28"/>
      <c r="D41" s="13" t="s">
        <v>14</v>
      </c>
      <c r="E41" s="13">
        <f t="shared" ref="E41:BJ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2</v>
      </c>
      <c r="R41" s="13">
        <f t="shared" si="13"/>
        <v>1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4</v>
      </c>
      <c r="AB41" s="13">
        <f t="shared" si="13"/>
        <v>2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1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2</v>
      </c>
      <c r="AY41" s="13">
        <f t="shared" si="13"/>
        <v>0</v>
      </c>
      <c r="AZ41" s="13">
        <f t="shared" si="13"/>
        <v>0</v>
      </c>
      <c r="BA41" s="13">
        <f t="shared" si="13"/>
        <v>0</v>
      </c>
      <c r="BB41" s="13">
        <f t="shared" si="13"/>
        <v>2</v>
      </c>
      <c r="BC41" s="13">
        <f t="shared" si="13"/>
        <v>0</v>
      </c>
      <c r="BD41" s="13">
        <f t="shared" si="13"/>
        <v>0</v>
      </c>
      <c r="BE41" s="13">
        <f t="shared" si="13"/>
        <v>4</v>
      </c>
      <c r="BF41" s="13">
        <f t="shared" si="13"/>
        <v>0</v>
      </c>
      <c r="BG41" s="13">
        <f t="shared" si="13"/>
        <v>0</v>
      </c>
      <c r="BH41" s="13">
        <f t="shared" si="13"/>
        <v>2</v>
      </c>
      <c r="BI41" s="13">
        <f t="shared" si="13"/>
        <v>0</v>
      </c>
      <c r="BJ41" s="13">
        <f t="shared" si="13"/>
        <v>0</v>
      </c>
      <c r="BK41" s="13">
        <f t="shared" si="12"/>
        <v>21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19"/>
      <c r="Q42" s="19"/>
      <c r="R42" s="19"/>
      <c r="S42" s="59"/>
      <c r="T42" s="19"/>
      <c r="U42" s="19"/>
      <c r="V42" s="19"/>
      <c r="W42" s="19"/>
      <c r="X42" s="59"/>
      <c r="Y42" s="19"/>
      <c r="Z42" s="19"/>
      <c r="AA42" s="19"/>
      <c r="AB42" s="19"/>
      <c r="AC42" s="59"/>
      <c r="AD42" s="19"/>
      <c r="AE42" s="19"/>
      <c r="AF42" s="19"/>
      <c r="AG42" s="19"/>
      <c r="AH42" s="59"/>
      <c r="AI42" s="19"/>
      <c r="AJ42" s="19"/>
      <c r="AK42" s="19"/>
      <c r="AL42" s="19"/>
      <c r="AM42" s="59"/>
      <c r="AN42" s="19"/>
      <c r="AO42" s="19"/>
      <c r="AP42" s="19"/>
      <c r="AQ42" s="19"/>
      <c r="AR42" s="59"/>
      <c r="AS42" s="19"/>
      <c r="AT42" s="19"/>
      <c r="AU42" s="19"/>
      <c r="AV42" s="19"/>
      <c r="AW42" s="59"/>
      <c r="AX42" s="19"/>
      <c r="AY42" s="19"/>
      <c r="AZ42" s="19"/>
      <c r="BA42" s="19"/>
      <c r="BB42" s="59"/>
      <c r="BC42" s="19"/>
      <c r="BD42" s="19"/>
      <c r="BE42" s="19"/>
      <c r="BF42" s="19"/>
      <c r="BG42" s="59"/>
      <c r="BH42" s="19"/>
      <c r="BI42" s="19"/>
      <c r="BJ42" s="19"/>
      <c r="BK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  <c r="Q43" s="13"/>
      <c r="R43" s="13"/>
      <c r="S43" s="61"/>
      <c r="T43" s="13"/>
      <c r="U43" s="13"/>
      <c r="V43" s="13"/>
      <c r="W43" s="13"/>
      <c r="X43" s="61"/>
      <c r="Y43" s="13"/>
      <c r="Z43" s="13"/>
      <c r="AA43" s="13"/>
      <c r="AB43" s="13"/>
      <c r="AC43" s="61"/>
      <c r="AD43" s="13"/>
      <c r="AE43" s="13"/>
      <c r="AF43" s="13"/>
      <c r="AG43" s="13"/>
      <c r="AH43" s="61"/>
      <c r="AI43" s="13"/>
      <c r="AJ43" s="13"/>
      <c r="AK43" s="13"/>
      <c r="AL43" s="13"/>
      <c r="AM43" s="61"/>
      <c r="AN43" s="13"/>
      <c r="AO43" s="13"/>
      <c r="AP43" s="13"/>
      <c r="AQ43" s="13"/>
      <c r="AR43" s="61"/>
      <c r="AS43" s="13"/>
      <c r="AT43" s="13"/>
      <c r="AU43" s="13"/>
      <c r="AV43" s="13"/>
      <c r="AW43" s="61"/>
      <c r="AX43" s="13"/>
      <c r="AY43" s="13"/>
      <c r="AZ43" s="13"/>
      <c r="BA43" s="13"/>
      <c r="BB43" s="61"/>
      <c r="BC43" s="13"/>
      <c r="BD43" s="13"/>
      <c r="BE43" s="13"/>
      <c r="BF43" s="13"/>
      <c r="BG43" s="61"/>
      <c r="BH43" s="13"/>
      <c r="BI43" s="13"/>
      <c r="BJ43" s="13"/>
      <c r="BK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9"/>
      <c r="Q44" s="19"/>
      <c r="R44" s="19"/>
      <c r="S44" s="59"/>
      <c r="T44" s="19"/>
      <c r="U44" s="19"/>
      <c r="V44" s="19"/>
      <c r="W44" s="19"/>
      <c r="X44" s="59"/>
      <c r="Y44" s="19"/>
      <c r="Z44" s="19"/>
      <c r="AA44" s="19"/>
      <c r="AB44" s="19"/>
      <c r="AC44" s="59"/>
      <c r="AD44" s="19"/>
      <c r="AE44" s="19"/>
      <c r="AF44" s="19"/>
      <c r="AG44" s="19"/>
      <c r="AH44" s="59"/>
      <c r="AI44" s="19"/>
      <c r="AJ44" s="19"/>
      <c r="AK44" s="19"/>
      <c r="AL44" s="19"/>
      <c r="AM44" s="59"/>
      <c r="AN44" s="19"/>
      <c r="AO44" s="19"/>
      <c r="AP44" s="19"/>
      <c r="AQ44" s="19"/>
      <c r="AR44" s="59"/>
      <c r="AS44" s="19"/>
      <c r="AT44" s="19"/>
      <c r="AU44" s="19"/>
      <c r="AV44" s="19"/>
      <c r="AW44" s="59"/>
      <c r="AX44" s="19"/>
      <c r="AY44" s="19"/>
      <c r="AZ44" s="19"/>
      <c r="BA44" s="19"/>
      <c r="BB44" s="59"/>
      <c r="BC44" s="19"/>
      <c r="BD44" s="19"/>
      <c r="BE44" s="19"/>
      <c r="BF44" s="19"/>
      <c r="BG44" s="59"/>
      <c r="BH44" s="19"/>
      <c r="BI44" s="19"/>
      <c r="BJ44" s="19"/>
      <c r="BK44" s="13"/>
    </row>
    <row r="45" ht="12.75" customHeight="1">
      <c r="A45" s="62"/>
      <c r="B45" s="47">
        <v>1.0</v>
      </c>
      <c r="C45" s="48" t="s">
        <v>37</v>
      </c>
      <c r="D45" s="16"/>
      <c r="E45" s="19">
        <v>44.0</v>
      </c>
      <c r="F45" s="19">
        <v>49.0</v>
      </c>
      <c r="G45" s="19">
        <v>38.0</v>
      </c>
      <c r="H45" s="19">
        <v>35.0</v>
      </c>
      <c r="I45" s="19">
        <v>32.0</v>
      </c>
      <c r="J45" s="19">
        <v>44.0</v>
      </c>
      <c r="K45" s="19">
        <v>47.0</v>
      </c>
      <c r="L45" s="19">
        <v>27.0</v>
      </c>
      <c r="M45" s="19">
        <v>14.0</v>
      </c>
      <c r="N45" s="19">
        <v>14.0</v>
      </c>
      <c r="O45" s="19">
        <v>10.0</v>
      </c>
      <c r="P45" s="19">
        <v>14.0</v>
      </c>
      <c r="Q45" s="19">
        <v>24.0</v>
      </c>
      <c r="R45" s="19">
        <v>44.0</v>
      </c>
      <c r="S45" s="19">
        <v>64.0</v>
      </c>
      <c r="T45" s="19">
        <v>44.0</v>
      </c>
      <c r="U45" s="19">
        <v>40.0</v>
      </c>
      <c r="V45" s="19">
        <v>28.0</v>
      </c>
      <c r="W45" s="19">
        <v>35.0</v>
      </c>
      <c r="X45" s="19">
        <v>30.0</v>
      </c>
      <c r="Y45" s="19">
        <v>20.0</v>
      </c>
      <c r="Z45" s="19">
        <v>24.0</v>
      </c>
      <c r="AA45" s="19">
        <v>55.0</v>
      </c>
      <c r="AB45" s="19">
        <v>11.0</v>
      </c>
      <c r="AC45" s="19">
        <v>28.0</v>
      </c>
      <c r="AD45" s="19">
        <v>14.0</v>
      </c>
      <c r="AE45" s="19">
        <v>18.0</v>
      </c>
      <c r="AF45" s="19">
        <v>27.0</v>
      </c>
      <c r="AG45" s="19">
        <v>28.0</v>
      </c>
      <c r="AH45" s="19">
        <v>37.0</v>
      </c>
      <c r="AI45" s="19">
        <v>15.0</v>
      </c>
      <c r="AJ45" s="19">
        <v>19.0</v>
      </c>
      <c r="AK45" s="19">
        <v>24.0</v>
      </c>
      <c r="AL45" s="19">
        <v>23.0</v>
      </c>
      <c r="AM45" s="19">
        <v>17.0</v>
      </c>
      <c r="AN45" s="19">
        <v>10.0</v>
      </c>
      <c r="AO45" s="19">
        <v>17.0</v>
      </c>
      <c r="AP45" s="19">
        <v>19.0</v>
      </c>
      <c r="AQ45" s="19">
        <v>36.0</v>
      </c>
      <c r="AR45" s="19">
        <v>31.0</v>
      </c>
      <c r="AS45" s="19">
        <v>13.0</v>
      </c>
      <c r="AT45" s="19">
        <v>24.0</v>
      </c>
      <c r="AU45" s="19">
        <v>55.0</v>
      </c>
      <c r="AV45" s="19">
        <v>33.0</v>
      </c>
      <c r="AW45" s="19">
        <v>35.0</v>
      </c>
      <c r="AX45" s="19">
        <v>10.0</v>
      </c>
      <c r="AY45" s="19">
        <v>49.0</v>
      </c>
      <c r="AZ45" s="19">
        <v>38.0</v>
      </c>
      <c r="BA45" s="19">
        <v>58.0</v>
      </c>
      <c r="BB45" s="19">
        <v>53.0</v>
      </c>
      <c r="BC45" s="19">
        <v>41.0</v>
      </c>
      <c r="BD45" s="19">
        <v>20.0</v>
      </c>
      <c r="BE45" s="19">
        <v>55.0</v>
      </c>
      <c r="BF45" s="19">
        <v>33.0</v>
      </c>
      <c r="BG45" s="19">
        <v>20.0</v>
      </c>
      <c r="BH45" s="19">
        <v>37.0</v>
      </c>
      <c r="BI45" s="19">
        <v>18.0</v>
      </c>
      <c r="BJ45" s="19">
        <v>60.0</v>
      </c>
      <c r="BK45" s="13">
        <f t="shared" ref="BK45:BK47" si="14">SUM(E45:BJ45)</f>
        <v>1802</v>
      </c>
    </row>
    <row r="46" ht="12.75" customHeight="1">
      <c r="A46" s="18"/>
      <c r="B46" s="47">
        <v>2.0</v>
      </c>
      <c r="C46" s="48" t="s">
        <v>38</v>
      </c>
      <c r="D46" s="16"/>
      <c r="E46" s="19">
        <v>96.0</v>
      </c>
      <c r="F46" s="19">
        <v>119.0</v>
      </c>
      <c r="G46" s="19">
        <v>107.0</v>
      </c>
      <c r="H46" s="19">
        <v>75.0</v>
      </c>
      <c r="I46" s="19">
        <v>115.0</v>
      </c>
      <c r="J46" s="19">
        <v>124.0</v>
      </c>
      <c r="K46" s="19">
        <v>131.0</v>
      </c>
      <c r="L46" s="19">
        <v>130.0</v>
      </c>
      <c r="M46" s="19">
        <v>115.0</v>
      </c>
      <c r="N46" s="19">
        <v>123.0</v>
      </c>
      <c r="O46" s="19">
        <v>142.0</v>
      </c>
      <c r="P46" s="19">
        <v>132.0</v>
      </c>
      <c r="Q46" s="19">
        <v>139.0</v>
      </c>
      <c r="R46" s="19">
        <v>86.0</v>
      </c>
      <c r="S46" s="19">
        <v>107.0</v>
      </c>
      <c r="T46" s="19">
        <v>103.0</v>
      </c>
      <c r="U46" s="19">
        <v>119.0</v>
      </c>
      <c r="V46" s="19">
        <v>138.0</v>
      </c>
      <c r="W46" s="19">
        <v>118.0</v>
      </c>
      <c r="X46" s="19">
        <v>130.0</v>
      </c>
      <c r="Y46" s="19">
        <v>133.0</v>
      </c>
      <c r="Z46" s="19">
        <v>129.0</v>
      </c>
      <c r="AA46" s="19">
        <v>129.0</v>
      </c>
      <c r="AB46" s="19">
        <v>136.0</v>
      </c>
      <c r="AC46" s="19">
        <v>133.0</v>
      </c>
      <c r="AD46" s="19">
        <v>129.0</v>
      </c>
      <c r="AE46" s="19">
        <v>135.0</v>
      </c>
      <c r="AF46" s="19">
        <v>130.0</v>
      </c>
      <c r="AG46" s="19">
        <v>124.0</v>
      </c>
      <c r="AH46" s="19">
        <v>113.0</v>
      </c>
      <c r="AI46" s="19">
        <v>122.0</v>
      </c>
      <c r="AJ46" s="19">
        <v>125.0</v>
      </c>
      <c r="AK46" s="19">
        <v>126.0</v>
      </c>
      <c r="AL46" s="19">
        <v>130.0</v>
      </c>
      <c r="AM46" s="19">
        <v>109.0</v>
      </c>
      <c r="AN46" s="19">
        <v>125.0</v>
      </c>
      <c r="AO46" s="19">
        <v>80.0</v>
      </c>
      <c r="AP46" s="19">
        <v>119.0</v>
      </c>
      <c r="AQ46" s="19">
        <v>131.0</v>
      </c>
      <c r="AR46" s="19">
        <v>130.0</v>
      </c>
      <c r="AS46" s="19">
        <v>133.0</v>
      </c>
      <c r="AT46" s="19">
        <v>115.0</v>
      </c>
      <c r="AU46" s="19">
        <v>148.0</v>
      </c>
      <c r="AV46" s="19">
        <v>130.0</v>
      </c>
      <c r="AW46" s="19">
        <v>149.0</v>
      </c>
      <c r="AX46" s="19">
        <v>166.0</v>
      </c>
      <c r="AY46" s="19">
        <v>114.0</v>
      </c>
      <c r="AZ46" s="19">
        <v>132.0</v>
      </c>
      <c r="BA46" s="19">
        <v>140.0</v>
      </c>
      <c r="BB46" s="19">
        <v>141.0</v>
      </c>
      <c r="BC46" s="19">
        <v>136.0</v>
      </c>
      <c r="BD46" s="19">
        <v>129.0</v>
      </c>
      <c r="BE46" s="19">
        <v>138.0</v>
      </c>
      <c r="BF46" s="19">
        <v>121.0</v>
      </c>
      <c r="BG46" s="19">
        <v>163.0</v>
      </c>
      <c r="BH46" s="19">
        <v>124.0</v>
      </c>
      <c r="BI46" s="19">
        <v>166.0</v>
      </c>
      <c r="BJ46" s="19">
        <v>117.0</v>
      </c>
      <c r="BK46" s="13">
        <f t="shared" si="14"/>
        <v>7299</v>
      </c>
    </row>
    <row r="47" ht="12.75" customHeight="1">
      <c r="A47" s="45"/>
      <c r="B47" s="47">
        <v>3.0</v>
      </c>
      <c r="C47" s="48" t="s">
        <v>39</v>
      </c>
      <c r="D47" s="16"/>
      <c r="E47" s="19">
        <v>49.0</v>
      </c>
      <c r="F47" s="19">
        <v>31.0</v>
      </c>
      <c r="G47" s="19">
        <v>38.0</v>
      </c>
      <c r="H47" s="19">
        <v>62.0</v>
      </c>
      <c r="I47" s="19">
        <v>47.0</v>
      </c>
      <c r="J47" s="19">
        <v>38.0</v>
      </c>
      <c r="K47" s="19">
        <v>35.0</v>
      </c>
      <c r="L47" s="19">
        <v>43.0</v>
      </c>
      <c r="M47" s="19">
        <v>51.0</v>
      </c>
      <c r="N47" s="19">
        <v>36.0</v>
      </c>
      <c r="O47" s="19">
        <v>52.0</v>
      </c>
      <c r="P47" s="19">
        <v>53.0</v>
      </c>
      <c r="Q47" s="19">
        <v>44.0</v>
      </c>
      <c r="R47" s="19">
        <v>36.0</v>
      </c>
      <c r="S47" s="19">
        <v>41.0</v>
      </c>
      <c r="T47" s="19">
        <v>38.0</v>
      </c>
      <c r="U47" s="19">
        <v>34.0</v>
      </c>
      <c r="V47" s="19">
        <v>39.0</v>
      </c>
      <c r="W47" s="19">
        <v>38.0</v>
      </c>
      <c r="X47" s="19">
        <v>44.0</v>
      </c>
      <c r="Y47" s="19">
        <v>42.0</v>
      </c>
      <c r="Z47" s="19">
        <v>41.0</v>
      </c>
      <c r="AA47" s="19">
        <v>36.0</v>
      </c>
      <c r="AB47" s="19">
        <v>54.0</v>
      </c>
      <c r="AC47" s="19">
        <v>49.0</v>
      </c>
      <c r="AD47" s="19">
        <v>52.0</v>
      </c>
      <c r="AE47" s="19">
        <v>45.0</v>
      </c>
      <c r="AF47" s="19">
        <v>58.0</v>
      </c>
      <c r="AG47" s="19">
        <v>67.0</v>
      </c>
      <c r="AH47" s="19">
        <v>39.0</v>
      </c>
      <c r="AI47" s="19">
        <v>67.0</v>
      </c>
      <c r="AJ47" s="19">
        <v>60.0</v>
      </c>
      <c r="AK47" s="19">
        <v>61.0</v>
      </c>
      <c r="AL47" s="19">
        <v>68.0</v>
      </c>
      <c r="AM47" s="19">
        <v>48.0</v>
      </c>
      <c r="AN47" s="19">
        <v>69.0</v>
      </c>
      <c r="AO47" s="19">
        <v>79.0</v>
      </c>
      <c r="AP47" s="19">
        <v>39.0</v>
      </c>
      <c r="AQ47" s="19">
        <v>37.0</v>
      </c>
      <c r="AR47" s="19">
        <v>60.0</v>
      </c>
      <c r="AS47" s="19">
        <v>44.0</v>
      </c>
      <c r="AT47" s="19">
        <v>57.0</v>
      </c>
      <c r="AU47" s="19">
        <v>42.0</v>
      </c>
      <c r="AV47" s="19">
        <v>37.0</v>
      </c>
      <c r="AW47" s="19">
        <v>39.0</v>
      </c>
      <c r="AX47" s="19">
        <v>47.0</v>
      </c>
      <c r="AY47" s="19">
        <v>57.0</v>
      </c>
      <c r="AZ47" s="19">
        <v>48.0</v>
      </c>
      <c r="BA47" s="19">
        <v>34.0</v>
      </c>
      <c r="BB47" s="19">
        <v>53.0</v>
      </c>
      <c r="BC47" s="19">
        <v>31.0</v>
      </c>
      <c r="BD47" s="19">
        <v>58.0</v>
      </c>
      <c r="BE47" s="19">
        <v>35.0</v>
      </c>
      <c r="BF47" s="19">
        <v>31.0</v>
      </c>
      <c r="BG47" s="19">
        <v>27.0</v>
      </c>
      <c r="BH47" s="19">
        <v>42.0</v>
      </c>
      <c r="BI47" s="19">
        <v>31.0</v>
      </c>
      <c r="BJ47" s="19">
        <v>26.0</v>
      </c>
      <c r="BK47" s="13">
        <f t="shared" si="14"/>
        <v>2659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13"/>
      <c r="P49" s="13"/>
      <c r="Q49" s="13"/>
      <c r="R49" s="13"/>
      <c r="S49" s="61"/>
      <c r="T49" s="13"/>
      <c r="U49" s="13"/>
      <c r="V49" s="13"/>
      <c r="W49" s="13"/>
      <c r="X49" s="61"/>
      <c r="Y49" s="13"/>
      <c r="Z49" s="13"/>
      <c r="AA49" s="13"/>
      <c r="AB49" s="13"/>
      <c r="AC49" s="61"/>
      <c r="AD49" s="13"/>
      <c r="AE49" s="13"/>
      <c r="AF49" s="13"/>
      <c r="AG49" s="13"/>
      <c r="AH49" s="61"/>
      <c r="AI49" s="13"/>
      <c r="AJ49" s="13"/>
      <c r="AK49" s="13"/>
      <c r="AL49" s="13"/>
      <c r="AM49" s="61"/>
      <c r="AN49" s="13"/>
      <c r="AO49" s="13"/>
      <c r="AP49" s="13"/>
      <c r="AQ49" s="13"/>
      <c r="AR49" s="61"/>
      <c r="AS49" s="13"/>
      <c r="AT49" s="13"/>
      <c r="AU49" s="13"/>
      <c r="AV49" s="13"/>
      <c r="AW49" s="61"/>
      <c r="AX49" s="13"/>
      <c r="AY49" s="13"/>
      <c r="AZ49" s="13"/>
      <c r="BA49" s="13"/>
      <c r="BB49" s="61"/>
      <c r="BC49" s="13"/>
      <c r="BD49" s="13"/>
      <c r="BE49" s="13"/>
      <c r="BF49" s="13"/>
      <c r="BG49" s="61"/>
      <c r="BH49" s="13"/>
      <c r="BI49" s="13"/>
      <c r="BJ49" s="13"/>
      <c r="BK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BJ50" si="15">SUM(E45:E47)</f>
        <v>189</v>
      </c>
      <c r="F50" s="19">
        <f t="shared" si="15"/>
        <v>199</v>
      </c>
      <c r="G50" s="19">
        <f t="shared" si="15"/>
        <v>183</v>
      </c>
      <c r="H50" s="19">
        <f t="shared" si="15"/>
        <v>172</v>
      </c>
      <c r="I50" s="19">
        <f t="shared" si="15"/>
        <v>194</v>
      </c>
      <c r="J50" s="19">
        <f t="shared" si="15"/>
        <v>206</v>
      </c>
      <c r="K50" s="19">
        <f t="shared" si="15"/>
        <v>213</v>
      </c>
      <c r="L50" s="19">
        <f t="shared" si="15"/>
        <v>200</v>
      </c>
      <c r="M50" s="19">
        <f t="shared" si="15"/>
        <v>180</v>
      </c>
      <c r="N50" s="19">
        <f t="shared" si="15"/>
        <v>173</v>
      </c>
      <c r="O50" s="19">
        <f t="shared" si="15"/>
        <v>204</v>
      </c>
      <c r="P50" s="19">
        <f t="shared" si="15"/>
        <v>199</v>
      </c>
      <c r="Q50" s="19">
        <f t="shared" si="15"/>
        <v>207</v>
      </c>
      <c r="R50" s="19">
        <f t="shared" si="15"/>
        <v>166</v>
      </c>
      <c r="S50" s="19">
        <f t="shared" si="15"/>
        <v>212</v>
      </c>
      <c r="T50" s="19">
        <f t="shared" si="15"/>
        <v>185</v>
      </c>
      <c r="U50" s="19">
        <f t="shared" si="15"/>
        <v>193</v>
      </c>
      <c r="V50" s="19">
        <f t="shared" si="15"/>
        <v>205</v>
      </c>
      <c r="W50" s="19">
        <f t="shared" si="15"/>
        <v>191</v>
      </c>
      <c r="X50" s="19">
        <f t="shared" si="15"/>
        <v>204</v>
      </c>
      <c r="Y50" s="19">
        <f t="shared" si="15"/>
        <v>195</v>
      </c>
      <c r="Z50" s="19">
        <f t="shared" si="15"/>
        <v>194</v>
      </c>
      <c r="AA50" s="19">
        <f t="shared" si="15"/>
        <v>220</v>
      </c>
      <c r="AB50" s="19">
        <f t="shared" si="15"/>
        <v>201</v>
      </c>
      <c r="AC50" s="19">
        <f t="shared" si="15"/>
        <v>210</v>
      </c>
      <c r="AD50" s="19">
        <f t="shared" si="15"/>
        <v>195</v>
      </c>
      <c r="AE50" s="19">
        <f t="shared" si="15"/>
        <v>198</v>
      </c>
      <c r="AF50" s="19">
        <f t="shared" si="15"/>
        <v>215</v>
      </c>
      <c r="AG50" s="19">
        <f t="shared" si="15"/>
        <v>219</v>
      </c>
      <c r="AH50" s="19">
        <f t="shared" si="15"/>
        <v>189</v>
      </c>
      <c r="AI50" s="19">
        <f t="shared" si="15"/>
        <v>204</v>
      </c>
      <c r="AJ50" s="19">
        <f t="shared" si="15"/>
        <v>204</v>
      </c>
      <c r="AK50" s="19">
        <f t="shared" si="15"/>
        <v>211</v>
      </c>
      <c r="AL50" s="19">
        <f t="shared" si="15"/>
        <v>221</v>
      </c>
      <c r="AM50" s="19">
        <f t="shared" si="15"/>
        <v>174</v>
      </c>
      <c r="AN50" s="19">
        <f t="shared" si="15"/>
        <v>204</v>
      </c>
      <c r="AO50" s="19">
        <f t="shared" si="15"/>
        <v>176</v>
      </c>
      <c r="AP50" s="19">
        <f t="shared" si="15"/>
        <v>177</v>
      </c>
      <c r="AQ50" s="19">
        <f t="shared" si="15"/>
        <v>204</v>
      </c>
      <c r="AR50" s="19">
        <f t="shared" si="15"/>
        <v>221</v>
      </c>
      <c r="AS50" s="19">
        <f t="shared" si="15"/>
        <v>190</v>
      </c>
      <c r="AT50" s="19">
        <f t="shared" si="15"/>
        <v>196</v>
      </c>
      <c r="AU50" s="19">
        <f t="shared" si="15"/>
        <v>245</v>
      </c>
      <c r="AV50" s="19">
        <f t="shared" si="15"/>
        <v>200</v>
      </c>
      <c r="AW50" s="19">
        <f t="shared" si="15"/>
        <v>223</v>
      </c>
      <c r="AX50" s="19">
        <f t="shared" si="15"/>
        <v>223</v>
      </c>
      <c r="AY50" s="19">
        <f t="shared" si="15"/>
        <v>220</v>
      </c>
      <c r="AZ50" s="19">
        <f t="shared" si="15"/>
        <v>218</v>
      </c>
      <c r="BA50" s="19">
        <f t="shared" si="15"/>
        <v>232</v>
      </c>
      <c r="BB50" s="19">
        <f t="shared" si="15"/>
        <v>247</v>
      </c>
      <c r="BC50" s="19">
        <f t="shared" si="15"/>
        <v>208</v>
      </c>
      <c r="BD50" s="19">
        <f t="shared" si="15"/>
        <v>207</v>
      </c>
      <c r="BE50" s="19">
        <f t="shared" si="15"/>
        <v>228</v>
      </c>
      <c r="BF50" s="19">
        <f t="shared" si="15"/>
        <v>185</v>
      </c>
      <c r="BG50" s="19">
        <f t="shared" si="15"/>
        <v>210</v>
      </c>
      <c r="BH50" s="19">
        <f t="shared" si="15"/>
        <v>203</v>
      </c>
      <c r="BI50" s="19">
        <f t="shared" si="15"/>
        <v>215</v>
      </c>
      <c r="BJ50" s="19">
        <f t="shared" si="15"/>
        <v>203</v>
      </c>
      <c r="BK50" s="13">
        <f t="shared" ref="BK50:BK52" si="16">SUM(E50:BJ50)</f>
        <v>11760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1.0</v>
      </c>
      <c r="F51" s="19">
        <v>2.0</v>
      </c>
      <c r="G51" s="19">
        <v>2.0</v>
      </c>
      <c r="H51" s="19">
        <v>1.0</v>
      </c>
      <c r="I51" s="19"/>
      <c r="J51" s="19">
        <v>3.0</v>
      </c>
      <c r="K51" s="19">
        <v>4.0</v>
      </c>
      <c r="L51" s="19">
        <v>3.0</v>
      </c>
      <c r="M51" s="19">
        <v>6.0</v>
      </c>
      <c r="N51" s="19">
        <v>3.0</v>
      </c>
      <c r="O51" s="19">
        <v>3.0</v>
      </c>
      <c r="P51" s="19">
        <v>2.0</v>
      </c>
      <c r="Q51" s="19">
        <v>4.0</v>
      </c>
      <c r="R51" s="19">
        <v>4.0</v>
      </c>
      <c r="S51" s="19">
        <v>0.0</v>
      </c>
      <c r="T51" s="19">
        <v>3.0</v>
      </c>
      <c r="U51" s="19">
        <v>1.0</v>
      </c>
      <c r="V51" s="19">
        <v>7.0</v>
      </c>
      <c r="W51" s="19">
        <v>3.0</v>
      </c>
      <c r="X51" s="19">
        <v>3.0</v>
      </c>
      <c r="Y51" s="19">
        <v>5.0</v>
      </c>
      <c r="Z51" s="19"/>
      <c r="AA51" s="19"/>
      <c r="AB51" s="19">
        <v>4.0</v>
      </c>
      <c r="AC51" s="19">
        <v>3.0</v>
      </c>
      <c r="AD51" s="19">
        <v>1.0</v>
      </c>
      <c r="AE51" s="19">
        <v>7.0</v>
      </c>
      <c r="AF51" s="19">
        <v>3.0</v>
      </c>
      <c r="AG51" s="19">
        <v>1.0</v>
      </c>
      <c r="AH51" s="19">
        <v>0.0</v>
      </c>
      <c r="AI51" s="19">
        <v>1.0</v>
      </c>
      <c r="AJ51" s="19">
        <v>5.0</v>
      </c>
      <c r="AK51" s="19">
        <v>4.0</v>
      </c>
      <c r="AL51" s="19">
        <v>2.0</v>
      </c>
      <c r="AM51" s="19">
        <v>3.0</v>
      </c>
      <c r="AN51" s="19">
        <v>3.0</v>
      </c>
      <c r="AO51" s="19">
        <v>1.0</v>
      </c>
      <c r="AP51" s="19">
        <v>3.0</v>
      </c>
      <c r="AQ51" s="19">
        <v>4.0</v>
      </c>
      <c r="AR51" s="19">
        <v>0.0</v>
      </c>
      <c r="AS51" s="19">
        <v>0.0</v>
      </c>
      <c r="AT51" s="19">
        <v>5.0</v>
      </c>
      <c r="AU51" s="19">
        <v>0.0</v>
      </c>
      <c r="AV51" s="19">
        <v>2.0</v>
      </c>
      <c r="AW51" s="19">
        <v>2.0</v>
      </c>
      <c r="AX51" s="19">
        <v>1.0</v>
      </c>
      <c r="AY51" s="19">
        <v>1.0</v>
      </c>
      <c r="AZ51" s="19">
        <v>3.0</v>
      </c>
      <c r="BA51" s="19">
        <v>8.0</v>
      </c>
      <c r="BB51" s="19">
        <v>4.0</v>
      </c>
      <c r="BC51" s="19">
        <v>2.0</v>
      </c>
      <c r="BD51" s="19">
        <v>2.0</v>
      </c>
      <c r="BE51" s="19">
        <v>1.0</v>
      </c>
      <c r="BF51" s="19">
        <v>3.0</v>
      </c>
      <c r="BG51" s="19">
        <v>2.0</v>
      </c>
      <c r="BH51" s="19">
        <v>6.0</v>
      </c>
      <c r="BI51" s="19">
        <v>3.0</v>
      </c>
      <c r="BJ51" s="19">
        <v>6.0</v>
      </c>
      <c r="BK51" s="13">
        <f t="shared" si="16"/>
        <v>156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BJ52" si="17">SUM(E50:E51)</f>
        <v>190</v>
      </c>
      <c r="F52" s="13">
        <f t="shared" si="17"/>
        <v>201</v>
      </c>
      <c r="G52" s="13">
        <f t="shared" si="17"/>
        <v>185</v>
      </c>
      <c r="H52" s="13">
        <f t="shared" si="17"/>
        <v>173</v>
      </c>
      <c r="I52" s="13">
        <f t="shared" si="17"/>
        <v>194</v>
      </c>
      <c r="J52" s="13">
        <f t="shared" si="17"/>
        <v>209</v>
      </c>
      <c r="K52" s="13">
        <f t="shared" si="17"/>
        <v>217</v>
      </c>
      <c r="L52" s="13">
        <f t="shared" si="17"/>
        <v>203</v>
      </c>
      <c r="M52" s="13">
        <f t="shared" si="17"/>
        <v>186</v>
      </c>
      <c r="N52" s="13">
        <f t="shared" si="17"/>
        <v>176</v>
      </c>
      <c r="O52" s="13">
        <f t="shared" si="17"/>
        <v>207</v>
      </c>
      <c r="P52" s="13">
        <f t="shared" si="17"/>
        <v>201</v>
      </c>
      <c r="Q52" s="13">
        <f t="shared" si="17"/>
        <v>211</v>
      </c>
      <c r="R52" s="13">
        <f t="shared" si="17"/>
        <v>170</v>
      </c>
      <c r="S52" s="13">
        <f t="shared" si="17"/>
        <v>212</v>
      </c>
      <c r="T52" s="13">
        <f t="shared" si="17"/>
        <v>188</v>
      </c>
      <c r="U52" s="13">
        <f t="shared" si="17"/>
        <v>194</v>
      </c>
      <c r="V52" s="13">
        <f t="shared" si="17"/>
        <v>212</v>
      </c>
      <c r="W52" s="13">
        <f t="shared" si="17"/>
        <v>194</v>
      </c>
      <c r="X52" s="13">
        <f t="shared" si="17"/>
        <v>207</v>
      </c>
      <c r="Y52" s="13">
        <f t="shared" si="17"/>
        <v>200</v>
      </c>
      <c r="Z52" s="13">
        <f t="shared" si="17"/>
        <v>194</v>
      </c>
      <c r="AA52" s="13">
        <f t="shared" si="17"/>
        <v>220</v>
      </c>
      <c r="AB52" s="13">
        <f t="shared" si="17"/>
        <v>205</v>
      </c>
      <c r="AC52" s="13">
        <f t="shared" si="17"/>
        <v>213</v>
      </c>
      <c r="AD52" s="13">
        <f t="shared" si="17"/>
        <v>196</v>
      </c>
      <c r="AE52" s="13">
        <f t="shared" si="17"/>
        <v>205</v>
      </c>
      <c r="AF52" s="13">
        <f t="shared" si="17"/>
        <v>218</v>
      </c>
      <c r="AG52" s="13">
        <f t="shared" si="17"/>
        <v>220</v>
      </c>
      <c r="AH52" s="13">
        <f t="shared" si="17"/>
        <v>189</v>
      </c>
      <c r="AI52" s="13">
        <f t="shared" si="17"/>
        <v>205</v>
      </c>
      <c r="AJ52" s="13">
        <f t="shared" si="17"/>
        <v>209</v>
      </c>
      <c r="AK52" s="13">
        <f t="shared" si="17"/>
        <v>215</v>
      </c>
      <c r="AL52" s="13">
        <f t="shared" si="17"/>
        <v>223</v>
      </c>
      <c r="AM52" s="13">
        <f t="shared" si="17"/>
        <v>177</v>
      </c>
      <c r="AN52" s="13">
        <f t="shared" si="17"/>
        <v>207</v>
      </c>
      <c r="AO52" s="13">
        <f t="shared" si="17"/>
        <v>177</v>
      </c>
      <c r="AP52" s="13">
        <f t="shared" si="17"/>
        <v>180</v>
      </c>
      <c r="AQ52" s="13">
        <f t="shared" si="17"/>
        <v>208</v>
      </c>
      <c r="AR52" s="13">
        <f t="shared" si="17"/>
        <v>221</v>
      </c>
      <c r="AS52" s="13">
        <f t="shared" si="17"/>
        <v>190</v>
      </c>
      <c r="AT52" s="13">
        <f t="shared" si="17"/>
        <v>201</v>
      </c>
      <c r="AU52" s="13">
        <f t="shared" si="17"/>
        <v>245</v>
      </c>
      <c r="AV52" s="13">
        <f t="shared" si="17"/>
        <v>202</v>
      </c>
      <c r="AW52" s="13">
        <f t="shared" si="17"/>
        <v>225</v>
      </c>
      <c r="AX52" s="13">
        <f t="shared" si="17"/>
        <v>224</v>
      </c>
      <c r="AY52" s="13">
        <f t="shared" si="17"/>
        <v>221</v>
      </c>
      <c r="AZ52" s="13">
        <f t="shared" si="17"/>
        <v>221</v>
      </c>
      <c r="BA52" s="13">
        <f t="shared" si="17"/>
        <v>240</v>
      </c>
      <c r="BB52" s="13">
        <f t="shared" si="17"/>
        <v>251</v>
      </c>
      <c r="BC52" s="13">
        <f t="shared" si="17"/>
        <v>210</v>
      </c>
      <c r="BD52" s="13">
        <f t="shared" si="17"/>
        <v>209</v>
      </c>
      <c r="BE52" s="13">
        <f t="shared" si="17"/>
        <v>229</v>
      </c>
      <c r="BF52" s="13">
        <f t="shared" si="17"/>
        <v>188</v>
      </c>
      <c r="BG52" s="13">
        <f t="shared" si="17"/>
        <v>212</v>
      </c>
      <c r="BH52" s="13">
        <f t="shared" si="17"/>
        <v>209</v>
      </c>
      <c r="BI52" s="13">
        <f t="shared" si="17"/>
        <v>218</v>
      </c>
      <c r="BJ52" s="13">
        <f t="shared" si="17"/>
        <v>209</v>
      </c>
      <c r="BK52" s="13">
        <f t="shared" si="16"/>
        <v>11916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BJ12"/>
    <mergeCell ref="BK12:B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BJ15 E45:BJ47">
    <cfRule type="containsBlanks" dxfId="1" priority="1">
      <formula>LEN(TRIM(E14))=0</formula>
    </cfRule>
  </conditionalFormatting>
  <conditionalFormatting sqref="E19:BJ20">
    <cfRule type="containsBlanks" dxfId="1" priority="2">
      <formula>LEN(TRIM(E19))=0</formula>
    </cfRule>
  </conditionalFormatting>
  <conditionalFormatting sqref="E22:BJ23 E25:BJ26 E33:BJ33 E35:BJ35 E39:BJ40">
    <cfRule type="containsBlanks" dxfId="1" priority="3">
      <formula>LEN(TRIM(E22))=0</formula>
    </cfRule>
  </conditionalFormatting>
  <conditionalFormatting sqref="E30:BJ30">
    <cfRule type="expression" dxfId="0" priority="4">
      <formula>E30&lt;&gt;E46</formula>
    </cfRule>
  </conditionalFormatting>
  <conditionalFormatting sqref="E30:BJ30">
    <cfRule type="expression" dxfId="0" priority="5">
      <formula>E30&lt;&gt;E34</formula>
    </cfRule>
  </conditionalFormatting>
  <conditionalFormatting sqref="E34:BJ34">
    <cfRule type="expression" dxfId="2" priority="6">
      <formula>E30&lt;&gt;E34</formula>
    </cfRule>
  </conditionalFormatting>
  <conditionalFormatting sqref="E34:BJ34">
    <cfRule type="expression" dxfId="3" priority="7">
      <formula>E30=E34</formula>
    </cfRule>
  </conditionalFormatting>
  <conditionalFormatting sqref="E34:BJ34">
    <cfRule type="expression" dxfId="0" priority="8">
      <formula>E34&lt;&gt;E30</formula>
    </cfRule>
  </conditionalFormatting>
  <conditionalFormatting sqref="E34:BJ34">
    <cfRule type="expression" dxfId="0" priority="9">
      <formula>E34&lt;&gt;#REF!</formula>
    </cfRule>
  </conditionalFormatting>
  <conditionalFormatting sqref="E50:BJ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63" width="8.71"/>
    <col customWidth="1" min="64" max="64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108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  <c r="BC11" s="1"/>
      <c r="BD11" s="1"/>
      <c r="BE11" s="1"/>
      <c r="BF11" s="1"/>
      <c r="BG11" s="2"/>
      <c r="BH11" s="1"/>
      <c r="BI11" s="1"/>
      <c r="BJ11" s="1"/>
      <c r="BK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74</v>
      </c>
      <c r="AD13" s="13" t="s">
        <v>75</v>
      </c>
      <c r="AE13" s="13" t="s">
        <v>76</v>
      </c>
      <c r="AF13" s="13" t="s">
        <v>77</v>
      </c>
      <c r="AG13" s="13" t="s">
        <v>78</v>
      </c>
      <c r="AH13" s="13" t="s">
        <v>79</v>
      </c>
      <c r="AI13" s="13" t="s">
        <v>80</v>
      </c>
      <c r="AJ13" s="13" t="s">
        <v>81</v>
      </c>
      <c r="AK13" s="13" t="s">
        <v>82</v>
      </c>
      <c r="AL13" s="13" t="s">
        <v>83</v>
      </c>
      <c r="AM13" s="13" t="s">
        <v>84</v>
      </c>
      <c r="AN13" s="13" t="s">
        <v>85</v>
      </c>
      <c r="AO13" s="13" t="s">
        <v>86</v>
      </c>
      <c r="AP13" s="13" t="s">
        <v>87</v>
      </c>
      <c r="AQ13" s="13" t="s">
        <v>88</v>
      </c>
      <c r="AR13" s="13" t="s">
        <v>89</v>
      </c>
      <c r="AS13" s="13" t="s">
        <v>90</v>
      </c>
      <c r="AT13" s="13" t="s">
        <v>91</v>
      </c>
      <c r="AU13" s="13" t="s">
        <v>92</v>
      </c>
      <c r="AV13" s="13" t="s">
        <v>93</v>
      </c>
      <c r="AW13" s="13" t="s">
        <v>94</v>
      </c>
      <c r="AX13" s="13" t="s">
        <v>95</v>
      </c>
      <c r="AY13" s="13" t="s">
        <v>96</v>
      </c>
      <c r="AZ13" s="13" t="s">
        <v>97</v>
      </c>
      <c r="BA13" s="13" t="s">
        <v>98</v>
      </c>
      <c r="BB13" s="13" t="s">
        <v>99</v>
      </c>
      <c r="BC13" s="13" t="s">
        <v>100</v>
      </c>
      <c r="BD13" s="13" t="s">
        <v>101</v>
      </c>
      <c r="BE13" s="13" t="s">
        <v>102</v>
      </c>
      <c r="BF13" s="13" t="s">
        <v>103</v>
      </c>
      <c r="BG13" s="13" t="s">
        <v>104</v>
      </c>
      <c r="BH13" s="13" t="s">
        <v>105</v>
      </c>
      <c r="BI13" s="13" t="s">
        <v>106</v>
      </c>
      <c r="BJ13" s="13" t="s">
        <v>107</v>
      </c>
      <c r="BK13" s="13" t="s">
        <v>109</v>
      </c>
      <c r="BL13" s="36"/>
    </row>
    <row r="14" ht="12.75" customHeight="1">
      <c r="A14" s="18"/>
      <c r="B14" s="22" t="s">
        <v>11</v>
      </c>
      <c r="C14" s="23"/>
      <c r="D14" s="19" t="s">
        <v>12</v>
      </c>
      <c r="E14" s="19">
        <v>135.0</v>
      </c>
      <c r="F14" s="19">
        <v>138.0</v>
      </c>
      <c r="G14" s="19">
        <v>127.0</v>
      </c>
      <c r="H14" s="19">
        <v>144.0</v>
      </c>
      <c r="I14" s="19">
        <v>151.0</v>
      </c>
      <c r="J14" s="19">
        <v>137.0</v>
      </c>
      <c r="K14" s="19">
        <v>134.0</v>
      </c>
      <c r="L14" s="19">
        <v>144.0</v>
      </c>
      <c r="M14" s="19">
        <v>137.0</v>
      </c>
      <c r="N14" s="19">
        <v>140.0</v>
      </c>
      <c r="O14" s="19">
        <v>137.0</v>
      </c>
      <c r="P14" s="19">
        <v>141.0</v>
      </c>
      <c r="Q14" s="19">
        <v>142.0</v>
      </c>
      <c r="R14" s="19">
        <v>129.0</v>
      </c>
      <c r="S14" s="19">
        <v>138.0</v>
      </c>
      <c r="T14" s="19">
        <v>149.0</v>
      </c>
      <c r="U14" s="19">
        <v>151.0</v>
      </c>
      <c r="V14" s="19">
        <v>148.0</v>
      </c>
      <c r="W14" s="19">
        <v>151.0</v>
      </c>
      <c r="X14" s="19">
        <v>143.0</v>
      </c>
      <c r="Y14" s="19">
        <v>141.0</v>
      </c>
      <c r="Z14" s="19">
        <v>154.0</v>
      </c>
      <c r="AA14" s="19">
        <v>147.0</v>
      </c>
      <c r="AB14" s="19">
        <v>148.0</v>
      </c>
      <c r="AC14" s="19">
        <v>153.0</v>
      </c>
      <c r="AD14" s="19">
        <v>139.0</v>
      </c>
      <c r="AE14" s="19">
        <v>134.0</v>
      </c>
      <c r="AF14" s="19">
        <v>130.0</v>
      </c>
      <c r="AG14" s="19">
        <v>126.0</v>
      </c>
      <c r="AH14" s="19">
        <v>135.0</v>
      </c>
      <c r="AI14" s="19">
        <v>107.0</v>
      </c>
      <c r="AJ14" s="19">
        <v>120.0</v>
      </c>
      <c r="AK14" s="19">
        <v>109.0</v>
      </c>
      <c r="AL14" s="19">
        <v>145.0</v>
      </c>
      <c r="AM14" s="19">
        <v>117.0</v>
      </c>
      <c r="AN14" s="19">
        <v>116.0</v>
      </c>
      <c r="AO14" s="19">
        <v>121.0</v>
      </c>
      <c r="AP14" s="19">
        <v>118.0</v>
      </c>
      <c r="AQ14" s="19">
        <v>125.0</v>
      </c>
      <c r="AR14" s="19">
        <v>132.0</v>
      </c>
      <c r="AS14" s="19">
        <v>110.0</v>
      </c>
      <c r="AT14" s="19">
        <v>119.0</v>
      </c>
      <c r="AU14" s="19">
        <v>119.0</v>
      </c>
      <c r="AV14" s="19">
        <v>139.0</v>
      </c>
      <c r="AW14" s="19">
        <v>124.0</v>
      </c>
      <c r="AX14" s="19">
        <v>140.0</v>
      </c>
      <c r="AY14" s="19">
        <v>134.0</v>
      </c>
      <c r="AZ14" s="19">
        <v>141.0</v>
      </c>
      <c r="BA14" s="19">
        <v>148.0</v>
      </c>
      <c r="BB14" s="19">
        <v>138.0</v>
      </c>
      <c r="BC14" s="19">
        <v>140.0</v>
      </c>
      <c r="BD14" s="19">
        <v>131.0</v>
      </c>
      <c r="BE14" s="19">
        <v>143.0</v>
      </c>
      <c r="BF14" s="19">
        <v>135.0</v>
      </c>
      <c r="BG14" s="19">
        <v>121.0</v>
      </c>
      <c r="BH14" s="19">
        <v>152.0</v>
      </c>
      <c r="BI14" s="19">
        <v>141.0</v>
      </c>
      <c r="BJ14" s="19">
        <v>140.0</v>
      </c>
      <c r="BK14" s="19">
        <v>126.0</v>
      </c>
      <c r="BL14" s="13">
        <f t="shared" ref="BL14:BL16" si="1">SUM(E14:BK14)</f>
        <v>7974</v>
      </c>
    </row>
    <row r="15" ht="12.75" customHeight="1">
      <c r="A15" s="18"/>
      <c r="B15" s="26"/>
      <c r="C15" s="27"/>
      <c r="D15" s="19" t="s">
        <v>13</v>
      </c>
      <c r="E15" s="19">
        <v>137.0</v>
      </c>
      <c r="F15" s="19">
        <v>150.0</v>
      </c>
      <c r="G15" s="19">
        <v>144.0</v>
      </c>
      <c r="H15" s="19">
        <v>133.0</v>
      </c>
      <c r="I15" s="19">
        <v>142.0</v>
      </c>
      <c r="J15" s="19">
        <v>127.0</v>
      </c>
      <c r="K15" s="19">
        <v>141.0</v>
      </c>
      <c r="L15" s="19">
        <v>126.0</v>
      </c>
      <c r="M15" s="19">
        <v>150.0</v>
      </c>
      <c r="N15" s="19">
        <v>112.0</v>
      </c>
      <c r="O15" s="19">
        <v>145.0</v>
      </c>
      <c r="P15" s="19">
        <v>124.0</v>
      </c>
      <c r="Q15" s="19">
        <v>122.0</v>
      </c>
      <c r="R15" s="19">
        <v>114.0</v>
      </c>
      <c r="S15" s="19">
        <v>151.0</v>
      </c>
      <c r="T15" s="19">
        <v>145.0</v>
      </c>
      <c r="U15" s="19">
        <v>130.0</v>
      </c>
      <c r="V15" s="19">
        <v>139.0</v>
      </c>
      <c r="W15" s="19">
        <v>128.0</v>
      </c>
      <c r="X15" s="19">
        <v>151.0</v>
      </c>
      <c r="Y15" s="19">
        <v>132.0</v>
      </c>
      <c r="Z15" s="19">
        <v>134.0</v>
      </c>
      <c r="AA15" s="19">
        <v>140.0</v>
      </c>
      <c r="AB15" s="19">
        <v>146.0</v>
      </c>
      <c r="AC15" s="19">
        <v>141.0</v>
      </c>
      <c r="AD15" s="19">
        <v>139.0</v>
      </c>
      <c r="AE15" s="19">
        <v>129.0</v>
      </c>
      <c r="AF15" s="19">
        <v>123.0</v>
      </c>
      <c r="AG15" s="19">
        <v>148.0</v>
      </c>
      <c r="AH15" s="19">
        <v>138.0</v>
      </c>
      <c r="AI15" s="19">
        <v>101.0</v>
      </c>
      <c r="AJ15" s="19">
        <v>112.0</v>
      </c>
      <c r="AK15" s="19">
        <v>117.0</v>
      </c>
      <c r="AL15" s="19">
        <v>146.0</v>
      </c>
      <c r="AM15" s="19">
        <v>128.0</v>
      </c>
      <c r="AN15" s="19">
        <v>126.0</v>
      </c>
      <c r="AO15" s="19">
        <v>122.0</v>
      </c>
      <c r="AP15" s="19">
        <v>129.0</v>
      </c>
      <c r="AQ15" s="19">
        <v>152.0</v>
      </c>
      <c r="AR15" s="19">
        <v>133.0</v>
      </c>
      <c r="AS15" s="19">
        <v>114.0</v>
      </c>
      <c r="AT15" s="19">
        <v>98.0</v>
      </c>
      <c r="AU15" s="19">
        <v>115.0</v>
      </c>
      <c r="AV15" s="19">
        <v>147.0</v>
      </c>
      <c r="AW15" s="19">
        <v>126.0</v>
      </c>
      <c r="AX15" s="19">
        <v>139.0</v>
      </c>
      <c r="AY15" s="19">
        <v>138.0</v>
      </c>
      <c r="AZ15" s="19">
        <v>139.0</v>
      </c>
      <c r="BA15" s="19">
        <v>144.0</v>
      </c>
      <c r="BB15" s="19">
        <v>136.0</v>
      </c>
      <c r="BC15" s="19">
        <v>132.0</v>
      </c>
      <c r="BD15" s="19">
        <v>144.0</v>
      </c>
      <c r="BE15" s="19">
        <v>132.0</v>
      </c>
      <c r="BF15" s="19">
        <v>144.0</v>
      </c>
      <c r="BG15" s="19">
        <v>134.0</v>
      </c>
      <c r="BH15" s="19">
        <v>141.0</v>
      </c>
      <c r="BI15" s="19">
        <v>140.0</v>
      </c>
      <c r="BJ15" s="19">
        <v>143.0</v>
      </c>
      <c r="BK15" s="19">
        <v>156.0</v>
      </c>
      <c r="BL15" s="13">
        <f t="shared" si="1"/>
        <v>7909</v>
      </c>
    </row>
    <row r="16" ht="12.75" customHeight="1">
      <c r="A16" s="25"/>
      <c r="B16" s="21"/>
      <c r="C16" s="28"/>
      <c r="D16" s="13" t="s">
        <v>14</v>
      </c>
      <c r="E16" s="13">
        <f t="shared" ref="E16:BK16" si="2">SUM(E14:E15)</f>
        <v>272</v>
      </c>
      <c r="F16" s="13">
        <f t="shared" si="2"/>
        <v>288</v>
      </c>
      <c r="G16" s="13">
        <f t="shared" si="2"/>
        <v>271</v>
      </c>
      <c r="H16" s="13">
        <f t="shared" si="2"/>
        <v>277</v>
      </c>
      <c r="I16" s="13">
        <f t="shared" si="2"/>
        <v>293</v>
      </c>
      <c r="J16" s="13">
        <f t="shared" si="2"/>
        <v>264</v>
      </c>
      <c r="K16" s="13">
        <f t="shared" si="2"/>
        <v>275</v>
      </c>
      <c r="L16" s="13">
        <f t="shared" si="2"/>
        <v>270</v>
      </c>
      <c r="M16" s="13">
        <f t="shared" si="2"/>
        <v>287</v>
      </c>
      <c r="N16" s="13">
        <f t="shared" si="2"/>
        <v>252</v>
      </c>
      <c r="O16" s="13">
        <f t="shared" si="2"/>
        <v>282</v>
      </c>
      <c r="P16" s="13">
        <f t="shared" si="2"/>
        <v>265</v>
      </c>
      <c r="Q16" s="13">
        <f t="shared" si="2"/>
        <v>264</v>
      </c>
      <c r="R16" s="13">
        <f t="shared" si="2"/>
        <v>243</v>
      </c>
      <c r="S16" s="13">
        <f t="shared" si="2"/>
        <v>289</v>
      </c>
      <c r="T16" s="13">
        <f t="shared" si="2"/>
        <v>294</v>
      </c>
      <c r="U16" s="13">
        <f t="shared" si="2"/>
        <v>281</v>
      </c>
      <c r="V16" s="13">
        <f t="shared" si="2"/>
        <v>287</v>
      </c>
      <c r="W16" s="13">
        <f t="shared" si="2"/>
        <v>279</v>
      </c>
      <c r="X16" s="13">
        <f t="shared" si="2"/>
        <v>294</v>
      </c>
      <c r="Y16" s="13">
        <f t="shared" si="2"/>
        <v>273</v>
      </c>
      <c r="Z16" s="13">
        <f t="shared" si="2"/>
        <v>288</v>
      </c>
      <c r="AA16" s="13">
        <f t="shared" si="2"/>
        <v>287</v>
      </c>
      <c r="AB16" s="13">
        <f t="shared" si="2"/>
        <v>294</v>
      </c>
      <c r="AC16" s="13">
        <f t="shared" si="2"/>
        <v>294</v>
      </c>
      <c r="AD16" s="13">
        <f t="shared" si="2"/>
        <v>278</v>
      </c>
      <c r="AE16" s="13">
        <f t="shared" si="2"/>
        <v>263</v>
      </c>
      <c r="AF16" s="13">
        <f t="shared" si="2"/>
        <v>253</v>
      </c>
      <c r="AG16" s="13">
        <f t="shared" si="2"/>
        <v>274</v>
      </c>
      <c r="AH16" s="13">
        <f t="shared" si="2"/>
        <v>273</v>
      </c>
      <c r="AI16" s="13">
        <f t="shared" si="2"/>
        <v>208</v>
      </c>
      <c r="AJ16" s="13">
        <f t="shared" si="2"/>
        <v>232</v>
      </c>
      <c r="AK16" s="13">
        <f t="shared" si="2"/>
        <v>226</v>
      </c>
      <c r="AL16" s="13">
        <f t="shared" si="2"/>
        <v>291</v>
      </c>
      <c r="AM16" s="13">
        <f t="shared" si="2"/>
        <v>245</v>
      </c>
      <c r="AN16" s="13">
        <f t="shared" si="2"/>
        <v>242</v>
      </c>
      <c r="AO16" s="13">
        <f t="shared" si="2"/>
        <v>243</v>
      </c>
      <c r="AP16" s="13">
        <f t="shared" si="2"/>
        <v>247</v>
      </c>
      <c r="AQ16" s="13">
        <f t="shared" si="2"/>
        <v>277</v>
      </c>
      <c r="AR16" s="13">
        <f t="shared" si="2"/>
        <v>265</v>
      </c>
      <c r="AS16" s="13">
        <f t="shared" si="2"/>
        <v>224</v>
      </c>
      <c r="AT16" s="13">
        <f t="shared" si="2"/>
        <v>217</v>
      </c>
      <c r="AU16" s="13">
        <f t="shared" si="2"/>
        <v>234</v>
      </c>
      <c r="AV16" s="13">
        <f t="shared" si="2"/>
        <v>286</v>
      </c>
      <c r="AW16" s="13">
        <f t="shared" si="2"/>
        <v>250</v>
      </c>
      <c r="AX16" s="13">
        <f t="shared" si="2"/>
        <v>279</v>
      </c>
      <c r="AY16" s="13">
        <f t="shared" si="2"/>
        <v>272</v>
      </c>
      <c r="AZ16" s="13">
        <f t="shared" si="2"/>
        <v>280</v>
      </c>
      <c r="BA16" s="13">
        <f t="shared" si="2"/>
        <v>292</v>
      </c>
      <c r="BB16" s="13">
        <f t="shared" si="2"/>
        <v>274</v>
      </c>
      <c r="BC16" s="13">
        <f t="shared" si="2"/>
        <v>272</v>
      </c>
      <c r="BD16" s="13">
        <f t="shared" si="2"/>
        <v>275</v>
      </c>
      <c r="BE16" s="13">
        <f t="shared" si="2"/>
        <v>275</v>
      </c>
      <c r="BF16" s="13">
        <f t="shared" si="2"/>
        <v>279</v>
      </c>
      <c r="BG16" s="13">
        <f t="shared" si="2"/>
        <v>255</v>
      </c>
      <c r="BH16" s="13">
        <f t="shared" si="2"/>
        <v>293</v>
      </c>
      <c r="BI16" s="13">
        <f t="shared" si="2"/>
        <v>281</v>
      </c>
      <c r="BJ16" s="13">
        <f t="shared" si="2"/>
        <v>283</v>
      </c>
      <c r="BK16" s="13">
        <f t="shared" si="2"/>
        <v>282</v>
      </c>
      <c r="BL16" s="13">
        <f t="shared" si="1"/>
        <v>15883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19"/>
      <c r="Q17" s="19"/>
      <c r="R17" s="19"/>
      <c r="S17" s="59"/>
      <c r="T17" s="19"/>
      <c r="U17" s="19"/>
      <c r="V17" s="19"/>
      <c r="W17" s="19"/>
      <c r="X17" s="59"/>
      <c r="Y17" s="19"/>
      <c r="Z17" s="19"/>
      <c r="AA17" s="19"/>
      <c r="AB17" s="19"/>
      <c r="AC17" s="59"/>
      <c r="AD17" s="19"/>
      <c r="AE17" s="19"/>
      <c r="AF17" s="19"/>
      <c r="AG17" s="19"/>
      <c r="AH17" s="59"/>
      <c r="AI17" s="19"/>
      <c r="AJ17" s="19"/>
      <c r="AK17" s="19"/>
      <c r="AL17" s="19"/>
      <c r="AM17" s="59"/>
      <c r="AN17" s="19"/>
      <c r="AO17" s="19"/>
      <c r="AP17" s="19"/>
      <c r="AQ17" s="19"/>
      <c r="AR17" s="59"/>
      <c r="AS17" s="19"/>
      <c r="AT17" s="19"/>
      <c r="AU17" s="19"/>
      <c r="AV17" s="19"/>
      <c r="AW17" s="59"/>
      <c r="AX17" s="19"/>
      <c r="AY17" s="19"/>
      <c r="AZ17" s="19"/>
      <c r="BA17" s="19"/>
      <c r="BB17" s="59"/>
      <c r="BC17" s="19"/>
      <c r="BD17" s="19"/>
      <c r="BE17" s="19"/>
      <c r="BF17" s="19"/>
      <c r="BG17" s="59"/>
      <c r="BH17" s="19"/>
      <c r="BI17" s="19"/>
      <c r="BJ17" s="19"/>
      <c r="BK17" s="19"/>
      <c r="BL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19"/>
      <c r="Q18" s="19"/>
      <c r="R18" s="19"/>
      <c r="S18" s="59"/>
      <c r="T18" s="19"/>
      <c r="U18" s="19"/>
      <c r="V18" s="19"/>
      <c r="W18" s="19"/>
      <c r="X18" s="59"/>
      <c r="Y18" s="19"/>
      <c r="Z18" s="19"/>
      <c r="AA18" s="19"/>
      <c r="AB18" s="19"/>
      <c r="AC18" s="59"/>
      <c r="AD18" s="19"/>
      <c r="AE18" s="19"/>
      <c r="AF18" s="19"/>
      <c r="AG18" s="19"/>
      <c r="AH18" s="59"/>
      <c r="AI18" s="19"/>
      <c r="AJ18" s="19"/>
      <c r="AK18" s="19"/>
      <c r="AL18" s="19"/>
      <c r="AM18" s="59"/>
      <c r="AN18" s="19"/>
      <c r="AO18" s="19"/>
      <c r="AP18" s="19"/>
      <c r="AQ18" s="19"/>
      <c r="AR18" s="59"/>
      <c r="AS18" s="19"/>
      <c r="AT18" s="19"/>
      <c r="AU18" s="19"/>
      <c r="AV18" s="19"/>
      <c r="AW18" s="59"/>
      <c r="AX18" s="19"/>
      <c r="AY18" s="19"/>
      <c r="AZ18" s="19"/>
      <c r="BA18" s="19"/>
      <c r="BB18" s="59"/>
      <c r="BC18" s="19"/>
      <c r="BD18" s="19"/>
      <c r="BE18" s="19"/>
      <c r="BF18" s="19"/>
      <c r="BG18" s="59"/>
      <c r="BH18" s="19"/>
      <c r="BI18" s="19"/>
      <c r="BJ18" s="19"/>
      <c r="BK18" s="19"/>
      <c r="BL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85.0</v>
      </c>
      <c r="F19" s="19">
        <v>99.0</v>
      </c>
      <c r="G19" s="19">
        <v>93.0</v>
      </c>
      <c r="H19" s="19">
        <v>108.0</v>
      </c>
      <c r="I19" s="19">
        <v>112.0</v>
      </c>
      <c r="J19" s="19">
        <v>104.0</v>
      </c>
      <c r="K19" s="19">
        <v>91.0</v>
      </c>
      <c r="L19" s="19">
        <v>115.0</v>
      </c>
      <c r="M19" s="19">
        <v>112.0</v>
      </c>
      <c r="N19" s="19">
        <v>98.0</v>
      </c>
      <c r="O19" s="19">
        <v>97.0</v>
      </c>
      <c r="P19" s="19">
        <v>96.0</v>
      </c>
      <c r="Q19" s="19">
        <v>118.0</v>
      </c>
      <c r="R19" s="19">
        <v>99.0</v>
      </c>
      <c r="S19" s="19">
        <v>93.0</v>
      </c>
      <c r="T19" s="19">
        <v>106.0</v>
      </c>
      <c r="U19" s="19">
        <v>107.0</v>
      </c>
      <c r="V19" s="19">
        <v>106.0</v>
      </c>
      <c r="W19" s="19">
        <v>116.0</v>
      </c>
      <c r="X19" s="19">
        <v>109.0</v>
      </c>
      <c r="Y19" s="19">
        <v>87.0</v>
      </c>
      <c r="Z19" s="19">
        <v>99.0</v>
      </c>
      <c r="AA19" s="19">
        <v>101.0</v>
      </c>
      <c r="AB19" s="19">
        <v>105.0</v>
      </c>
      <c r="AC19" s="19">
        <v>104.0</v>
      </c>
      <c r="AD19" s="19">
        <v>109.0</v>
      </c>
      <c r="AE19" s="19">
        <v>109.0</v>
      </c>
      <c r="AF19" s="19">
        <v>102.0</v>
      </c>
      <c r="AG19" s="19">
        <v>102.0</v>
      </c>
      <c r="AH19" s="19">
        <v>96.0</v>
      </c>
      <c r="AI19" s="19">
        <v>70.0</v>
      </c>
      <c r="AJ19" s="19">
        <v>92.0</v>
      </c>
      <c r="AK19" s="19">
        <v>78.0</v>
      </c>
      <c r="AL19" s="19">
        <v>105.0</v>
      </c>
      <c r="AM19" s="19">
        <v>86.0</v>
      </c>
      <c r="AN19" s="19">
        <v>86.0</v>
      </c>
      <c r="AO19" s="19">
        <v>90.0</v>
      </c>
      <c r="AP19" s="19">
        <v>79.0</v>
      </c>
      <c r="AQ19" s="19">
        <v>90.0</v>
      </c>
      <c r="AR19" s="19">
        <v>97.0</v>
      </c>
      <c r="AS19" s="19">
        <v>80.0</v>
      </c>
      <c r="AT19" s="19">
        <v>80.0</v>
      </c>
      <c r="AU19" s="19">
        <v>77.0</v>
      </c>
      <c r="AV19" s="19">
        <v>86.0</v>
      </c>
      <c r="AW19" s="19">
        <v>97.0</v>
      </c>
      <c r="AX19" s="19">
        <v>109.0</v>
      </c>
      <c r="AY19" s="19">
        <v>84.0</v>
      </c>
      <c r="AZ19" s="19">
        <v>101.0</v>
      </c>
      <c r="BA19" s="19">
        <v>106.0</v>
      </c>
      <c r="BB19" s="19">
        <v>91.0</v>
      </c>
      <c r="BC19" s="19">
        <v>92.0</v>
      </c>
      <c r="BD19" s="19">
        <v>91.0</v>
      </c>
      <c r="BE19" s="19">
        <v>81.0</v>
      </c>
      <c r="BF19" s="19">
        <v>81.0</v>
      </c>
      <c r="BG19" s="19">
        <v>83.0</v>
      </c>
      <c r="BH19" s="19">
        <v>123.0</v>
      </c>
      <c r="BI19" s="19">
        <v>101.0</v>
      </c>
      <c r="BJ19" s="19">
        <v>90.0</v>
      </c>
      <c r="BK19" s="19">
        <v>88.0</v>
      </c>
      <c r="BL19" s="13">
        <f t="shared" ref="BL19:BL30" si="3">SUM(E19:BK19)</f>
        <v>5692</v>
      </c>
    </row>
    <row r="20" ht="12.75" customHeight="1">
      <c r="A20" s="33"/>
      <c r="B20" s="27"/>
      <c r="C20" s="34"/>
      <c r="D20" s="19" t="s">
        <v>13</v>
      </c>
      <c r="E20" s="19">
        <v>93.0</v>
      </c>
      <c r="F20" s="19">
        <v>127.0</v>
      </c>
      <c r="G20" s="19">
        <v>117.0</v>
      </c>
      <c r="H20" s="19">
        <v>112.0</v>
      </c>
      <c r="I20" s="19">
        <v>113.0</v>
      </c>
      <c r="J20" s="19">
        <v>104.0</v>
      </c>
      <c r="K20" s="19">
        <v>107.0</v>
      </c>
      <c r="L20" s="19">
        <v>103.0</v>
      </c>
      <c r="M20" s="19">
        <v>108.0</v>
      </c>
      <c r="N20" s="19">
        <v>93.0</v>
      </c>
      <c r="O20" s="19">
        <v>119.0</v>
      </c>
      <c r="P20" s="19">
        <v>100.0</v>
      </c>
      <c r="Q20" s="19">
        <v>105.0</v>
      </c>
      <c r="R20" s="19">
        <v>92.0</v>
      </c>
      <c r="S20" s="19">
        <v>109.0</v>
      </c>
      <c r="T20" s="19">
        <v>111.0</v>
      </c>
      <c r="U20" s="19">
        <v>100.0</v>
      </c>
      <c r="V20" s="19">
        <v>118.0</v>
      </c>
      <c r="W20" s="19">
        <v>100.0</v>
      </c>
      <c r="X20" s="19">
        <v>122.0</v>
      </c>
      <c r="Y20" s="19">
        <v>101.0</v>
      </c>
      <c r="Z20" s="19">
        <v>112.0</v>
      </c>
      <c r="AA20" s="19">
        <v>108.0</v>
      </c>
      <c r="AB20" s="19">
        <v>109.0</v>
      </c>
      <c r="AC20" s="19">
        <v>110.0</v>
      </c>
      <c r="AD20" s="19">
        <v>103.0</v>
      </c>
      <c r="AE20" s="19">
        <v>102.0</v>
      </c>
      <c r="AF20" s="19">
        <v>102.0</v>
      </c>
      <c r="AG20" s="19">
        <v>115.0</v>
      </c>
      <c r="AH20" s="19">
        <v>105.0</v>
      </c>
      <c r="AI20" s="19">
        <v>76.0</v>
      </c>
      <c r="AJ20" s="19">
        <v>85.0</v>
      </c>
      <c r="AK20" s="19">
        <v>89.0</v>
      </c>
      <c r="AL20" s="19">
        <v>112.0</v>
      </c>
      <c r="AM20" s="19">
        <v>98.0</v>
      </c>
      <c r="AN20" s="19">
        <v>106.0</v>
      </c>
      <c r="AO20" s="19">
        <v>91.0</v>
      </c>
      <c r="AP20" s="19">
        <v>96.0</v>
      </c>
      <c r="AQ20" s="19">
        <v>120.0</v>
      </c>
      <c r="AR20" s="19">
        <v>101.0</v>
      </c>
      <c r="AS20" s="19">
        <v>82.0</v>
      </c>
      <c r="AT20" s="19">
        <v>70.0</v>
      </c>
      <c r="AU20" s="19">
        <v>91.0</v>
      </c>
      <c r="AV20" s="19">
        <v>102.0</v>
      </c>
      <c r="AW20" s="19">
        <v>95.0</v>
      </c>
      <c r="AX20" s="19">
        <v>115.0</v>
      </c>
      <c r="AY20" s="19">
        <v>103.0</v>
      </c>
      <c r="AZ20" s="19">
        <v>110.0</v>
      </c>
      <c r="BA20" s="19">
        <v>109.0</v>
      </c>
      <c r="BB20" s="19">
        <v>113.0</v>
      </c>
      <c r="BC20" s="19">
        <v>88.0</v>
      </c>
      <c r="BD20" s="19">
        <v>107.0</v>
      </c>
      <c r="BE20" s="19">
        <v>82.0</v>
      </c>
      <c r="BF20" s="19">
        <v>103.0</v>
      </c>
      <c r="BG20" s="19">
        <v>99.0</v>
      </c>
      <c r="BH20" s="19">
        <v>117.0</v>
      </c>
      <c r="BI20" s="19">
        <v>110.0</v>
      </c>
      <c r="BJ20" s="19">
        <v>103.0</v>
      </c>
      <c r="BK20" s="19">
        <v>112.0</v>
      </c>
      <c r="BL20" s="13">
        <f t="shared" si="3"/>
        <v>6105</v>
      </c>
    </row>
    <row r="21" ht="12.75" customHeight="1">
      <c r="A21" s="35"/>
      <c r="B21" s="28"/>
      <c r="C21" s="36"/>
      <c r="D21" s="13" t="s">
        <v>14</v>
      </c>
      <c r="E21" s="13">
        <f t="shared" ref="E21:BK21" si="4">SUM(E19:E20)</f>
        <v>178</v>
      </c>
      <c r="F21" s="13">
        <f t="shared" si="4"/>
        <v>226</v>
      </c>
      <c r="G21" s="13">
        <f t="shared" si="4"/>
        <v>210</v>
      </c>
      <c r="H21" s="13">
        <f t="shared" si="4"/>
        <v>220</v>
      </c>
      <c r="I21" s="13">
        <f t="shared" si="4"/>
        <v>225</v>
      </c>
      <c r="J21" s="13">
        <f t="shared" si="4"/>
        <v>208</v>
      </c>
      <c r="K21" s="13">
        <f t="shared" si="4"/>
        <v>198</v>
      </c>
      <c r="L21" s="13">
        <f t="shared" si="4"/>
        <v>218</v>
      </c>
      <c r="M21" s="13">
        <f t="shared" si="4"/>
        <v>220</v>
      </c>
      <c r="N21" s="13">
        <f t="shared" si="4"/>
        <v>191</v>
      </c>
      <c r="O21" s="13">
        <f t="shared" si="4"/>
        <v>216</v>
      </c>
      <c r="P21" s="13">
        <f t="shared" si="4"/>
        <v>196</v>
      </c>
      <c r="Q21" s="13">
        <f t="shared" si="4"/>
        <v>223</v>
      </c>
      <c r="R21" s="13">
        <f t="shared" si="4"/>
        <v>191</v>
      </c>
      <c r="S21" s="13">
        <f t="shared" si="4"/>
        <v>202</v>
      </c>
      <c r="T21" s="13">
        <f t="shared" si="4"/>
        <v>217</v>
      </c>
      <c r="U21" s="13">
        <f t="shared" si="4"/>
        <v>207</v>
      </c>
      <c r="V21" s="13">
        <f t="shared" si="4"/>
        <v>224</v>
      </c>
      <c r="W21" s="13">
        <f t="shared" si="4"/>
        <v>216</v>
      </c>
      <c r="X21" s="13">
        <f t="shared" si="4"/>
        <v>231</v>
      </c>
      <c r="Y21" s="13">
        <f t="shared" si="4"/>
        <v>188</v>
      </c>
      <c r="Z21" s="13">
        <f t="shared" si="4"/>
        <v>211</v>
      </c>
      <c r="AA21" s="13">
        <f t="shared" si="4"/>
        <v>209</v>
      </c>
      <c r="AB21" s="13">
        <f t="shared" si="4"/>
        <v>214</v>
      </c>
      <c r="AC21" s="13">
        <f t="shared" si="4"/>
        <v>214</v>
      </c>
      <c r="AD21" s="13">
        <f t="shared" si="4"/>
        <v>212</v>
      </c>
      <c r="AE21" s="13">
        <f t="shared" si="4"/>
        <v>211</v>
      </c>
      <c r="AF21" s="13">
        <f t="shared" si="4"/>
        <v>204</v>
      </c>
      <c r="AG21" s="13">
        <f t="shared" si="4"/>
        <v>217</v>
      </c>
      <c r="AH21" s="13">
        <f t="shared" si="4"/>
        <v>201</v>
      </c>
      <c r="AI21" s="13">
        <f t="shared" si="4"/>
        <v>146</v>
      </c>
      <c r="AJ21" s="13">
        <f t="shared" si="4"/>
        <v>177</v>
      </c>
      <c r="AK21" s="13">
        <f t="shared" si="4"/>
        <v>167</v>
      </c>
      <c r="AL21" s="13">
        <f t="shared" si="4"/>
        <v>217</v>
      </c>
      <c r="AM21" s="13">
        <f t="shared" si="4"/>
        <v>184</v>
      </c>
      <c r="AN21" s="13">
        <f t="shared" si="4"/>
        <v>192</v>
      </c>
      <c r="AO21" s="13">
        <f t="shared" si="4"/>
        <v>181</v>
      </c>
      <c r="AP21" s="13">
        <f t="shared" si="4"/>
        <v>175</v>
      </c>
      <c r="AQ21" s="13">
        <f t="shared" si="4"/>
        <v>210</v>
      </c>
      <c r="AR21" s="13">
        <f t="shared" si="4"/>
        <v>198</v>
      </c>
      <c r="AS21" s="13">
        <f t="shared" si="4"/>
        <v>162</v>
      </c>
      <c r="AT21" s="13">
        <f t="shared" si="4"/>
        <v>150</v>
      </c>
      <c r="AU21" s="13">
        <f t="shared" si="4"/>
        <v>168</v>
      </c>
      <c r="AV21" s="13">
        <f t="shared" si="4"/>
        <v>188</v>
      </c>
      <c r="AW21" s="13">
        <f t="shared" si="4"/>
        <v>192</v>
      </c>
      <c r="AX21" s="13">
        <f t="shared" si="4"/>
        <v>224</v>
      </c>
      <c r="AY21" s="13">
        <f t="shared" si="4"/>
        <v>187</v>
      </c>
      <c r="AZ21" s="13">
        <f t="shared" si="4"/>
        <v>211</v>
      </c>
      <c r="BA21" s="13">
        <f t="shared" si="4"/>
        <v>215</v>
      </c>
      <c r="BB21" s="13">
        <f t="shared" si="4"/>
        <v>204</v>
      </c>
      <c r="BC21" s="13">
        <f t="shared" si="4"/>
        <v>180</v>
      </c>
      <c r="BD21" s="13">
        <f t="shared" si="4"/>
        <v>198</v>
      </c>
      <c r="BE21" s="13">
        <f t="shared" si="4"/>
        <v>163</v>
      </c>
      <c r="BF21" s="13">
        <f t="shared" si="4"/>
        <v>184</v>
      </c>
      <c r="BG21" s="13">
        <f t="shared" si="4"/>
        <v>182</v>
      </c>
      <c r="BH21" s="13">
        <f t="shared" si="4"/>
        <v>240</v>
      </c>
      <c r="BI21" s="13">
        <f t="shared" si="4"/>
        <v>211</v>
      </c>
      <c r="BJ21" s="13">
        <f t="shared" si="4"/>
        <v>193</v>
      </c>
      <c r="BK21" s="13">
        <f t="shared" si="4"/>
        <v>200</v>
      </c>
      <c r="BL21" s="13">
        <f t="shared" si="3"/>
        <v>11797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>
        <v>1.0</v>
      </c>
      <c r="G22" s="19">
        <v>1.0</v>
      </c>
      <c r="H22" s="19"/>
      <c r="I22" s="19">
        <v>1.0</v>
      </c>
      <c r="J22" s="19">
        <v>3.0</v>
      </c>
      <c r="K22" s="19"/>
      <c r="L22" s="19"/>
      <c r="M22" s="19">
        <v>1.0</v>
      </c>
      <c r="N22" s="19"/>
      <c r="O22" s="19">
        <v>1.0</v>
      </c>
      <c r="P22" s="19"/>
      <c r="Q22" s="19"/>
      <c r="R22" s="19"/>
      <c r="S22" s="19"/>
      <c r="T22" s="19">
        <v>2.0</v>
      </c>
      <c r="U22" s="19"/>
      <c r="V22" s="19"/>
      <c r="W22" s="19">
        <v>2.0</v>
      </c>
      <c r="X22" s="19"/>
      <c r="Y22" s="19"/>
      <c r="Z22" s="19"/>
      <c r="AA22" s="19"/>
      <c r="AB22" s="19"/>
      <c r="AC22" s="19">
        <v>1.0</v>
      </c>
      <c r="AD22" s="19">
        <v>1.0</v>
      </c>
      <c r="AE22" s="19"/>
      <c r="AF22" s="19"/>
      <c r="AG22" s="19"/>
      <c r="AH22" s="19"/>
      <c r="AI22" s="19"/>
      <c r="AJ22" s="19"/>
      <c r="AK22" s="19"/>
      <c r="AL22" s="19">
        <v>5.0</v>
      </c>
      <c r="AM22" s="19"/>
      <c r="AN22" s="19"/>
      <c r="AO22" s="19"/>
      <c r="AP22" s="19"/>
      <c r="AQ22" s="19"/>
      <c r="AR22" s="19"/>
      <c r="AS22" s="19"/>
      <c r="AT22" s="19"/>
      <c r="AU22" s="19">
        <v>1.0</v>
      </c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>
        <v>1.0</v>
      </c>
      <c r="BG22" s="19">
        <v>1.0</v>
      </c>
      <c r="BH22" s="19"/>
      <c r="BI22" s="19"/>
      <c r="BJ22" s="19">
        <v>1.0</v>
      </c>
      <c r="BK22" s="19"/>
      <c r="BL22" s="13">
        <f t="shared" si="3"/>
        <v>23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>
        <v>1.0</v>
      </c>
      <c r="K23" s="19"/>
      <c r="L23" s="19"/>
      <c r="M23" s="19">
        <v>3.0</v>
      </c>
      <c r="N23" s="19"/>
      <c r="O23" s="19"/>
      <c r="P23" s="19"/>
      <c r="Q23" s="19"/>
      <c r="R23" s="19"/>
      <c r="S23" s="19"/>
      <c r="T23" s="19">
        <v>6.0</v>
      </c>
      <c r="U23" s="19"/>
      <c r="V23" s="19"/>
      <c r="W23" s="19">
        <v>1.0</v>
      </c>
      <c r="X23" s="19"/>
      <c r="Y23" s="19"/>
      <c r="Z23" s="19"/>
      <c r="AA23" s="19"/>
      <c r="AB23" s="19"/>
      <c r="AC23" s="19"/>
      <c r="AD23" s="19">
        <v>3.0</v>
      </c>
      <c r="AE23" s="19">
        <v>1.0</v>
      </c>
      <c r="AF23" s="19"/>
      <c r="AG23" s="19"/>
      <c r="AH23" s="19"/>
      <c r="AI23" s="19">
        <v>1.0</v>
      </c>
      <c r="AJ23" s="19">
        <v>1.0</v>
      </c>
      <c r="AK23" s="19"/>
      <c r="AL23" s="19">
        <v>3.0</v>
      </c>
      <c r="AM23" s="19">
        <v>1.0</v>
      </c>
      <c r="AN23" s="19">
        <v>1.0</v>
      </c>
      <c r="AO23" s="19">
        <v>1.0</v>
      </c>
      <c r="AP23" s="19"/>
      <c r="AQ23" s="19"/>
      <c r="AR23" s="19"/>
      <c r="AS23" s="19"/>
      <c r="AT23" s="19">
        <v>1.0</v>
      </c>
      <c r="AU23" s="19"/>
      <c r="AV23" s="19">
        <v>2.0</v>
      </c>
      <c r="AW23" s="19"/>
      <c r="AX23" s="19"/>
      <c r="AY23" s="19">
        <v>1.0</v>
      </c>
      <c r="AZ23" s="19"/>
      <c r="BA23" s="19"/>
      <c r="BB23" s="19">
        <v>1.0</v>
      </c>
      <c r="BC23" s="19"/>
      <c r="BD23" s="19"/>
      <c r="BE23" s="19"/>
      <c r="BF23" s="19"/>
      <c r="BG23" s="19"/>
      <c r="BH23" s="19"/>
      <c r="BI23" s="19"/>
      <c r="BJ23" s="19"/>
      <c r="BK23" s="19"/>
      <c r="BL23" s="13">
        <f t="shared" si="3"/>
        <v>28</v>
      </c>
    </row>
    <row r="24" ht="12.75" customHeight="1">
      <c r="A24" s="35"/>
      <c r="B24" s="28"/>
      <c r="C24" s="36"/>
      <c r="D24" s="13" t="s">
        <v>14</v>
      </c>
      <c r="E24" s="13">
        <f t="shared" ref="E24:BK24" si="5">SUM(E22:E23)</f>
        <v>0</v>
      </c>
      <c r="F24" s="13">
        <f t="shared" si="5"/>
        <v>1</v>
      </c>
      <c r="G24" s="13">
        <f t="shared" si="5"/>
        <v>1</v>
      </c>
      <c r="H24" s="13">
        <f t="shared" si="5"/>
        <v>0</v>
      </c>
      <c r="I24" s="13">
        <f t="shared" si="5"/>
        <v>1</v>
      </c>
      <c r="J24" s="13">
        <f t="shared" si="5"/>
        <v>4</v>
      </c>
      <c r="K24" s="13">
        <f t="shared" si="5"/>
        <v>0</v>
      </c>
      <c r="L24" s="13">
        <f t="shared" si="5"/>
        <v>0</v>
      </c>
      <c r="M24" s="13">
        <f t="shared" si="5"/>
        <v>4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8</v>
      </c>
      <c r="U24" s="13">
        <f t="shared" si="5"/>
        <v>0</v>
      </c>
      <c r="V24" s="13">
        <f t="shared" si="5"/>
        <v>0</v>
      </c>
      <c r="W24" s="13">
        <f t="shared" si="5"/>
        <v>3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1</v>
      </c>
      <c r="AD24" s="13">
        <f t="shared" si="5"/>
        <v>4</v>
      </c>
      <c r="AE24" s="13">
        <f t="shared" si="5"/>
        <v>1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1</v>
      </c>
      <c r="AJ24" s="13">
        <f t="shared" si="5"/>
        <v>1</v>
      </c>
      <c r="AK24" s="13">
        <f t="shared" si="5"/>
        <v>0</v>
      </c>
      <c r="AL24" s="13">
        <f t="shared" si="5"/>
        <v>8</v>
      </c>
      <c r="AM24" s="13">
        <f t="shared" si="5"/>
        <v>1</v>
      </c>
      <c r="AN24" s="13">
        <f t="shared" si="5"/>
        <v>1</v>
      </c>
      <c r="AO24" s="13">
        <f t="shared" si="5"/>
        <v>1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1</v>
      </c>
      <c r="AU24" s="13">
        <f t="shared" si="5"/>
        <v>1</v>
      </c>
      <c r="AV24" s="13">
        <f t="shared" si="5"/>
        <v>2</v>
      </c>
      <c r="AW24" s="13">
        <f t="shared" si="5"/>
        <v>0</v>
      </c>
      <c r="AX24" s="13">
        <f t="shared" si="5"/>
        <v>0</v>
      </c>
      <c r="AY24" s="13">
        <f t="shared" si="5"/>
        <v>1</v>
      </c>
      <c r="AZ24" s="13">
        <f t="shared" si="5"/>
        <v>0</v>
      </c>
      <c r="BA24" s="13">
        <f t="shared" si="5"/>
        <v>0</v>
      </c>
      <c r="BB24" s="13">
        <f t="shared" si="5"/>
        <v>1</v>
      </c>
      <c r="BC24" s="13">
        <f t="shared" si="5"/>
        <v>0</v>
      </c>
      <c r="BD24" s="13">
        <f t="shared" si="5"/>
        <v>0</v>
      </c>
      <c r="BE24" s="13">
        <f t="shared" si="5"/>
        <v>0</v>
      </c>
      <c r="BF24" s="13">
        <f t="shared" si="5"/>
        <v>1</v>
      </c>
      <c r="BG24" s="13">
        <f t="shared" si="5"/>
        <v>1</v>
      </c>
      <c r="BH24" s="13">
        <f t="shared" si="5"/>
        <v>0</v>
      </c>
      <c r="BI24" s="13">
        <f t="shared" si="5"/>
        <v>0</v>
      </c>
      <c r="BJ24" s="13">
        <f t="shared" si="5"/>
        <v>1</v>
      </c>
      <c r="BK24" s="13">
        <f t="shared" si="5"/>
        <v>0</v>
      </c>
      <c r="BL24" s="13">
        <f t="shared" si="3"/>
        <v>51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/>
      <c r="G25" s="19"/>
      <c r="H25" s="19"/>
      <c r="I25" s="19">
        <v>2.0</v>
      </c>
      <c r="J25" s="19"/>
      <c r="K25" s="19">
        <v>1.0</v>
      </c>
      <c r="L25" s="19"/>
      <c r="M25" s="19"/>
      <c r="N25" s="19">
        <v>1.0</v>
      </c>
      <c r="O25" s="19">
        <v>1.0</v>
      </c>
      <c r="P25" s="19">
        <v>4.0</v>
      </c>
      <c r="Q25" s="19">
        <v>3.0</v>
      </c>
      <c r="R25" s="19">
        <v>1.0</v>
      </c>
      <c r="S25" s="19">
        <v>2.0</v>
      </c>
      <c r="T25" s="19">
        <v>2.0</v>
      </c>
      <c r="U25" s="19">
        <v>3.0</v>
      </c>
      <c r="V25" s="19">
        <v>2.0</v>
      </c>
      <c r="W25" s="19">
        <v>5.0</v>
      </c>
      <c r="X25" s="19"/>
      <c r="Y25" s="19">
        <v>5.0</v>
      </c>
      <c r="Z25" s="19"/>
      <c r="AA25" s="19"/>
      <c r="AB25" s="19">
        <v>4.0</v>
      </c>
      <c r="AC25" s="19">
        <v>1.0</v>
      </c>
      <c r="AD25" s="19">
        <v>2.0</v>
      </c>
      <c r="AE25" s="19"/>
      <c r="AF25" s="19">
        <v>2.0</v>
      </c>
      <c r="AG25" s="19">
        <v>1.0</v>
      </c>
      <c r="AH25" s="19"/>
      <c r="AI25" s="19">
        <v>2.0</v>
      </c>
      <c r="AJ25" s="19">
        <v>0.0</v>
      </c>
      <c r="AK25" s="19">
        <v>1.0</v>
      </c>
      <c r="AL25" s="19"/>
      <c r="AM25" s="19"/>
      <c r="AN25" s="19"/>
      <c r="AO25" s="19">
        <v>1.0</v>
      </c>
      <c r="AP25" s="19"/>
      <c r="AQ25" s="19"/>
      <c r="AR25" s="19">
        <v>3.0</v>
      </c>
      <c r="AS25" s="19">
        <v>1.0</v>
      </c>
      <c r="AT25" s="19">
        <v>4.0</v>
      </c>
      <c r="AU25" s="19">
        <v>1.0</v>
      </c>
      <c r="AV25" s="19">
        <v>4.0</v>
      </c>
      <c r="AW25" s="19"/>
      <c r="AX25" s="19"/>
      <c r="AY25" s="19"/>
      <c r="AZ25" s="19"/>
      <c r="BA25" s="19"/>
      <c r="BB25" s="19"/>
      <c r="BC25" s="19">
        <v>2.0</v>
      </c>
      <c r="BD25" s="19">
        <v>3.0</v>
      </c>
      <c r="BE25" s="19">
        <v>1.0</v>
      </c>
      <c r="BF25" s="19">
        <v>4.0</v>
      </c>
      <c r="BG25" s="19">
        <v>1.0</v>
      </c>
      <c r="BH25" s="19"/>
      <c r="BI25" s="19"/>
      <c r="BJ25" s="19">
        <v>1.0</v>
      </c>
      <c r="BK25" s="19">
        <v>2.0</v>
      </c>
      <c r="BL25" s="13">
        <f t="shared" si="3"/>
        <v>75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/>
      <c r="G26" s="19"/>
      <c r="H26" s="19">
        <v>1.0</v>
      </c>
      <c r="I26" s="19">
        <v>1.0</v>
      </c>
      <c r="J26" s="19">
        <v>1.0</v>
      </c>
      <c r="K26" s="19"/>
      <c r="L26" s="19">
        <v>3.0</v>
      </c>
      <c r="M26" s="19"/>
      <c r="N26" s="19">
        <v>2.0</v>
      </c>
      <c r="O26" s="19">
        <v>2.0</v>
      </c>
      <c r="P26" s="19">
        <v>3.0</v>
      </c>
      <c r="Q26" s="19">
        <v>4.0</v>
      </c>
      <c r="R26" s="19">
        <v>5.0</v>
      </c>
      <c r="S26" s="19">
        <v>5.0</v>
      </c>
      <c r="T26" s="19">
        <v>3.0</v>
      </c>
      <c r="U26" s="19">
        <v>4.0</v>
      </c>
      <c r="V26" s="19">
        <v>2.0</v>
      </c>
      <c r="W26" s="19">
        <v>4.0</v>
      </c>
      <c r="X26" s="19">
        <v>1.0</v>
      </c>
      <c r="Y26" s="19"/>
      <c r="Z26" s="19">
        <v>3.0</v>
      </c>
      <c r="AA26" s="19">
        <v>4.0</v>
      </c>
      <c r="AB26" s="19">
        <v>4.0</v>
      </c>
      <c r="AC26" s="19">
        <v>4.0</v>
      </c>
      <c r="AD26" s="19">
        <v>3.0</v>
      </c>
      <c r="AE26" s="19">
        <v>3.0</v>
      </c>
      <c r="AF26" s="19">
        <v>2.0</v>
      </c>
      <c r="AG26" s="19">
        <v>4.0</v>
      </c>
      <c r="AH26" s="19"/>
      <c r="AI26" s="19">
        <v>1.0</v>
      </c>
      <c r="AJ26" s="19">
        <v>1.0</v>
      </c>
      <c r="AK26" s="19">
        <v>3.0</v>
      </c>
      <c r="AL26" s="19">
        <v>2.0</v>
      </c>
      <c r="AM26" s="19">
        <v>2.0</v>
      </c>
      <c r="AN26" s="19"/>
      <c r="AO26" s="19">
        <v>5.0</v>
      </c>
      <c r="AP26" s="19"/>
      <c r="AQ26" s="19">
        <v>1.0</v>
      </c>
      <c r="AR26" s="19">
        <v>2.0</v>
      </c>
      <c r="AS26" s="19">
        <v>1.0</v>
      </c>
      <c r="AT26" s="19">
        <v>2.0</v>
      </c>
      <c r="AU26" s="19">
        <v>2.0</v>
      </c>
      <c r="AV26" s="19">
        <v>5.0</v>
      </c>
      <c r="AW26" s="19">
        <v>2.0</v>
      </c>
      <c r="AX26" s="19"/>
      <c r="AY26" s="19"/>
      <c r="AZ26" s="19"/>
      <c r="BA26" s="19"/>
      <c r="BB26" s="19"/>
      <c r="BC26" s="19">
        <v>3.0</v>
      </c>
      <c r="BD26" s="19">
        <v>2.0</v>
      </c>
      <c r="BE26" s="19"/>
      <c r="BF26" s="19">
        <v>5.0</v>
      </c>
      <c r="BG26" s="19"/>
      <c r="BH26" s="19"/>
      <c r="BI26" s="19"/>
      <c r="BJ26" s="19">
        <v>1.0</v>
      </c>
      <c r="BK26" s="19">
        <v>6.0</v>
      </c>
      <c r="BL26" s="13">
        <f t="shared" si="3"/>
        <v>115</v>
      </c>
    </row>
    <row r="27" ht="12.75" customHeight="1">
      <c r="A27" s="35"/>
      <c r="B27" s="28"/>
      <c r="C27" s="36"/>
      <c r="D27" s="13" t="s">
        <v>14</v>
      </c>
      <c r="E27" s="13">
        <f t="shared" ref="E27:BK27" si="6">SUM(E25:E26)</f>
        <v>3</v>
      </c>
      <c r="F27" s="13">
        <f t="shared" si="6"/>
        <v>0</v>
      </c>
      <c r="G27" s="13">
        <f t="shared" si="6"/>
        <v>0</v>
      </c>
      <c r="H27" s="13">
        <f t="shared" si="6"/>
        <v>1</v>
      </c>
      <c r="I27" s="13">
        <f t="shared" si="6"/>
        <v>3</v>
      </c>
      <c r="J27" s="13">
        <f t="shared" si="6"/>
        <v>1</v>
      </c>
      <c r="K27" s="13">
        <f t="shared" si="6"/>
        <v>1</v>
      </c>
      <c r="L27" s="13">
        <f t="shared" si="6"/>
        <v>3</v>
      </c>
      <c r="M27" s="13">
        <f t="shared" si="6"/>
        <v>0</v>
      </c>
      <c r="N27" s="13">
        <f t="shared" si="6"/>
        <v>3</v>
      </c>
      <c r="O27" s="13">
        <f t="shared" si="6"/>
        <v>3</v>
      </c>
      <c r="P27" s="13">
        <f t="shared" si="6"/>
        <v>7</v>
      </c>
      <c r="Q27" s="13">
        <f t="shared" si="6"/>
        <v>7</v>
      </c>
      <c r="R27" s="13">
        <f t="shared" si="6"/>
        <v>6</v>
      </c>
      <c r="S27" s="13">
        <f t="shared" si="6"/>
        <v>7</v>
      </c>
      <c r="T27" s="13">
        <f t="shared" si="6"/>
        <v>5</v>
      </c>
      <c r="U27" s="13">
        <f t="shared" si="6"/>
        <v>7</v>
      </c>
      <c r="V27" s="13">
        <f t="shared" si="6"/>
        <v>4</v>
      </c>
      <c r="W27" s="13">
        <f t="shared" si="6"/>
        <v>9</v>
      </c>
      <c r="X27" s="13">
        <f t="shared" si="6"/>
        <v>1</v>
      </c>
      <c r="Y27" s="13">
        <f t="shared" si="6"/>
        <v>5</v>
      </c>
      <c r="Z27" s="13">
        <f t="shared" si="6"/>
        <v>3</v>
      </c>
      <c r="AA27" s="13">
        <f t="shared" si="6"/>
        <v>4</v>
      </c>
      <c r="AB27" s="13">
        <f t="shared" si="6"/>
        <v>8</v>
      </c>
      <c r="AC27" s="13">
        <f t="shared" si="6"/>
        <v>5</v>
      </c>
      <c r="AD27" s="13">
        <f t="shared" si="6"/>
        <v>5</v>
      </c>
      <c r="AE27" s="13">
        <f t="shared" si="6"/>
        <v>3</v>
      </c>
      <c r="AF27" s="13">
        <f t="shared" si="6"/>
        <v>4</v>
      </c>
      <c r="AG27" s="13">
        <f t="shared" si="6"/>
        <v>5</v>
      </c>
      <c r="AH27" s="13">
        <f t="shared" si="6"/>
        <v>0</v>
      </c>
      <c r="AI27" s="13">
        <f t="shared" si="6"/>
        <v>3</v>
      </c>
      <c r="AJ27" s="13">
        <f t="shared" si="6"/>
        <v>1</v>
      </c>
      <c r="AK27" s="13">
        <f t="shared" si="6"/>
        <v>4</v>
      </c>
      <c r="AL27" s="13">
        <f t="shared" si="6"/>
        <v>2</v>
      </c>
      <c r="AM27" s="13">
        <f t="shared" si="6"/>
        <v>2</v>
      </c>
      <c r="AN27" s="13">
        <f t="shared" si="6"/>
        <v>0</v>
      </c>
      <c r="AO27" s="13">
        <f t="shared" si="6"/>
        <v>6</v>
      </c>
      <c r="AP27" s="13">
        <f t="shared" si="6"/>
        <v>0</v>
      </c>
      <c r="AQ27" s="13">
        <f t="shared" si="6"/>
        <v>1</v>
      </c>
      <c r="AR27" s="13">
        <f t="shared" si="6"/>
        <v>5</v>
      </c>
      <c r="AS27" s="13">
        <f t="shared" si="6"/>
        <v>2</v>
      </c>
      <c r="AT27" s="13">
        <f t="shared" si="6"/>
        <v>6</v>
      </c>
      <c r="AU27" s="13">
        <f t="shared" si="6"/>
        <v>3</v>
      </c>
      <c r="AV27" s="13">
        <f t="shared" si="6"/>
        <v>9</v>
      </c>
      <c r="AW27" s="13">
        <f t="shared" si="6"/>
        <v>2</v>
      </c>
      <c r="AX27" s="13">
        <f t="shared" si="6"/>
        <v>0</v>
      </c>
      <c r="AY27" s="13">
        <f t="shared" si="6"/>
        <v>0</v>
      </c>
      <c r="AZ27" s="13">
        <f t="shared" si="6"/>
        <v>0</v>
      </c>
      <c r="BA27" s="13">
        <f t="shared" si="6"/>
        <v>0</v>
      </c>
      <c r="BB27" s="13">
        <f t="shared" si="6"/>
        <v>0</v>
      </c>
      <c r="BC27" s="13">
        <f t="shared" si="6"/>
        <v>5</v>
      </c>
      <c r="BD27" s="13">
        <f t="shared" si="6"/>
        <v>5</v>
      </c>
      <c r="BE27" s="13">
        <f t="shared" si="6"/>
        <v>1</v>
      </c>
      <c r="BF27" s="13">
        <f t="shared" si="6"/>
        <v>9</v>
      </c>
      <c r="BG27" s="13">
        <f t="shared" si="6"/>
        <v>1</v>
      </c>
      <c r="BH27" s="13">
        <f t="shared" si="6"/>
        <v>0</v>
      </c>
      <c r="BI27" s="13">
        <f t="shared" si="6"/>
        <v>0</v>
      </c>
      <c r="BJ27" s="13">
        <f t="shared" si="6"/>
        <v>2</v>
      </c>
      <c r="BK27" s="13">
        <f t="shared" si="6"/>
        <v>8</v>
      </c>
      <c r="BL27" s="13">
        <f t="shared" si="3"/>
        <v>190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BK28" si="7">SUM(E19,E22,E25)</f>
        <v>87</v>
      </c>
      <c r="F28" s="13">
        <f t="shared" si="7"/>
        <v>100</v>
      </c>
      <c r="G28" s="13">
        <f t="shared" si="7"/>
        <v>94</v>
      </c>
      <c r="H28" s="13">
        <f t="shared" si="7"/>
        <v>108</v>
      </c>
      <c r="I28" s="13">
        <f t="shared" si="7"/>
        <v>115</v>
      </c>
      <c r="J28" s="13">
        <f t="shared" si="7"/>
        <v>107</v>
      </c>
      <c r="K28" s="13">
        <f t="shared" si="7"/>
        <v>92</v>
      </c>
      <c r="L28" s="13">
        <f t="shared" si="7"/>
        <v>115</v>
      </c>
      <c r="M28" s="13">
        <f t="shared" si="7"/>
        <v>113</v>
      </c>
      <c r="N28" s="13">
        <f t="shared" si="7"/>
        <v>99</v>
      </c>
      <c r="O28" s="13">
        <f t="shared" si="7"/>
        <v>99</v>
      </c>
      <c r="P28" s="13">
        <f t="shared" si="7"/>
        <v>100</v>
      </c>
      <c r="Q28" s="13">
        <f t="shared" si="7"/>
        <v>121</v>
      </c>
      <c r="R28" s="13">
        <f t="shared" si="7"/>
        <v>100</v>
      </c>
      <c r="S28" s="13">
        <f t="shared" si="7"/>
        <v>95</v>
      </c>
      <c r="T28" s="13">
        <f t="shared" si="7"/>
        <v>110</v>
      </c>
      <c r="U28" s="13">
        <f t="shared" si="7"/>
        <v>110</v>
      </c>
      <c r="V28" s="13">
        <f t="shared" si="7"/>
        <v>108</v>
      </c>
      <c r="W28" s="13">
        <f t="shared" si="7"/>
        <v>123</v>
      </c>
      <c r="X28" s="13">
        <f t="shared" si="7"/>
        <v>109</v>
      </c>
      <c r="Y28" s="13">
        <f t="shared" si="7"/>
        <v>92</v>
      </c>
      <c r="Z28" s="13">
        <f t="shared" si="7"/>
        <v>99</v>
      </c>
      <c r="AA28" s="13">
        <f t="shared" si="7"/>
        <v>101</v>
      </c>
      <c r="AB28" s="13">
        <f t="shared" si="7"/>
        <v>109</v>
      </c>
      <c r="AC28" s="13">
        <f t="shared" si="7"/>
        <v>106</v>
      </c>
      <c r="AD28" s="13">
        <f t="shared" si="7"/>
        <v>112</v>
      </c>
      <c r="AE28" s="13">
        <f t="shared" si="7"/>
        <v>109</v>
      </c>
      <c r="AF28" s="13">
        <f t="shared" si="7"/>
        <v>104</v>
      </c>
      <c r="AG28" s="13">
        <f t="shared" si="7"/>
        <v>103</v>
      </c>
      <c r="AH28" s="13">
        <f t="shared" si="7"/>
        <v>96</v>
      </c>
      <c r="AI28" s="13">
        <f t="shared" si="7"/>
        <v>72</v>
      </c>
      <c r="AJ28" s="13">
        <f t="shared" si="7"/>
        <v>92</v>
      </c>
      <c r="AK28" s="13">
        <f t="shared" si="7"/>
        <v>79</v>
      </c>
      <c r="AL28" s="13">
        <f t="shared" si="7"/>
        <v>110</v>
      </c>
      <c r="AM28" s="13">
        <f t="shared" si="7"/>
        <v>86</v>
      </c>
      <c r="AN28" s="13">
        <f t="shared" si="7"/>
        <v>86</v>
      </c>
      <c r="AO28" s="13">
        <f t="shared" si="7"/>
        <v>91</v>
      </c>
      <c r="AP28" s="13">
        <f t="shared" si="7"/>
        <v>79</v>
      </c>
      <c r="AQ28" s="13">
        <f t="shared" si="7"/>
        <v>90</v>
      </c>
      <c r="AR28" s="13">
        <f t="shared" si="7"/>
        <v>100</v>
      </c>
      <c r="AS28" s="13">
        <f t="shared" si="7"/>
        <v>81</v>
      </c>
      <c r="AT28" s="13">
        <f t="shared" si="7"/>
        <v>84</v>
      </c>
      <c r="AU28" s="13">
        <f t="shared" si="7"/>
        <v>79</v>
      </c>
      <c r="AV28" s="13">
        <f t="shared" si="7"/>
        <v>90</v>
      </c>
      <c r="AW28" s="13">
        <f t="shared" si="7"/>
        <v>97</v>
      </c>
      <c r="AX28" s="13">
        <f t="shared" si="7"/>
        <v>109</v>
      </c>
      <c r="AY28" s="13">
        <f t="shared" si="7"/>
        <v>84</v>
      </c>
      <c r="AZ28" s="13">
        <f t="shared" si="7"/>
        <v>101</v>
      </c>
      <c r="BA28" s="13">
        <f t="shared" si="7"/>
        <v>106</v>
      </c>
      <c r="BB28" s="13">
        <f t="shared" si="7"/>
        <v>91</v>
      </c>
      <c r="BC28" s="13">
        <f t="shared" si="7"/>
        <v>94</v>
      </c>
      <c r="BD28" s="13">
        <f t="shared" si="7"/>
        <v>94</v>
      </c>
      <c r="BE28" s="13">
        <f t="shared" si="7"/>
        <v>82</v>
      </c>
      <c r="BF28" s="13">
        <f t="shared" si="7"/>
        <v>86</v>
      </c>
      <c r="BG28" s="13">
        <f t="shared" si="7"/>
        <v>85</v>
      </c>
      <c r="BH28" s="13">
        <f t="shared" si="7"/>
        <v>123</v>
      </c>
      <c r="BI28" s="13">
        <f t="shared" si="7"/>
        <v>101</v>
      </c>
      <c r="BJ28" s="13">
        <f t="shared" si="7"/>
        <v>92</v>
      </c>
      <c r="BK28" s="13">
        <f t="shared" si="7"/>
        <v>90</v>
      </c>
      <c r="BL28" s="13">
        <f t="shared" si="3"/>
        <v>5790</v>
      </c>
    </row>
    <row r="29" ht="12.75" customHeight="1">
      <c r="A29" s="35"/>
      <c r="B29" s="27"/>
      <c r="C29" s="34"/>
      <c r="D29" s="13" t="s">
        <v>13</v>
      </c>
      <c r="E29" s="13">
        <f t="shared" ref="E29:BK29" si="8">SUM(E20,E23,E26)</f>
        <v>94</v>
      </c>
      <c r="F29" s="13">
        <f t="shared" si="8"/>
        <v>127</v>
      </c>
      <c r="G29" s="13">
        <f t="shared" si="8"/>
        <v>117</v>
      </c>
      <c r="H29" s="13">
        <f t="shared" si="8"/>
        <v>113</v>
      </c>
      <c r="I29" s="13">
        <f t="shared" si="8"/>
        <v>114</v>
      </c>
      <c r="J29" s="13">
        <f t="shared" si="8"/>
        <v>106</v>
      </c>
      <c r="K29" s="13">
        <f t="shared" si="8"/>
        <v>107</v>
      </c>
      <c r="L29" s="13">
        <f t="shared" si="8"/>
        <v>106</v>
      </c>
      <c r="M29" s="13">
        <f t="shared" si="8"/>
        <v>111</v>
      </c>
      <c r="N29" s="13">
        <f t="shared" si="8"/>
        <v>95</v>
      </c>
      <c r="O29" s="13">
        <f t="shared" si="8"/>
        <v>121</v>
      </c>
      <c r="P29" s="13">
        <f t="shared" si="8"/>
        <v>103</v>
      </c>
      <c r="Q29" s="13">
        <f t="shared" si="8"/>
        <v>109</v>
      </c>
      <c r="R29" s="13">
        <f t="shared" si="8"/>
        <v>97</v>
      </c>
      <c r="S29" s="13">
        <f t="shared" si="8"/>
        <v>114</v>
      </c>
      <c r="T29" s="13">
        <f t="shared" si="8"/>
        <v>120</v>
      </c>
      <c r="U29" s="13">
        <f t="shared" si="8"/>
        <v>104</v>
      </c>
      <c r="V29" s="13">
        <f t="shared" si="8"/>
        <v>120</v>
      </c>
      <c r="W29" s="13">
        <f t="shared" si="8"/>
        <v>105</v>
      </c>
      <c r="X29" s="13">
        <f t="shared" si="8"/>
        <v>123</v>
      </c>
      <c r="Y29" s="13">
        <f t="shared" si="8"/>
        <v>101</v>
      </c>
      <c r="Z29" s="13">
        <f t="shared" si="8"/>
        <v>115</v>
      </c>
      <c r="AA29" s="13">
        <f t="shared" si="8"/>
        <v>112</v>
      </c>
      <c r="AB29" s="13">
        <f t="shared" si="8"/>
        <v>113</v>
      </c>
      <c r="AC29" s="13">
        <f t="shared" si="8"/>
        <v>114</v>
      </c>
      <c r="AD29" s="13">
        <f t="shared" si="8"/>
        <v>109</v>
      </c>
      <c r="AE29" s="13">
        <f t="shared" si="8"/>
        <v>106</v>
      </c>
      <c r="AF29" s="13">
        <f t="shared" si="8"/>
        <v>104</v>
      </c>
      <c r="AG29" s="13">
        <f t="shared" si="8"/>
        <v>119</v>
      </c>
      <c r="AH29" s="13">
        <f t="shared" si="8"/>
        <v>105</v>
      </c>
      <c r="AI29" s="13">
        <f t="shared" si="8"/>
        <v>78</v>
      </c>
      <c r="AJ29" s="13">
        <f t="shared" si="8"/>
        <v>87</v>
      </c>
      <c r="AK29" s="13">
        <f t="shared" si="8"/>
        <v>92</v>
      </c>
      <c r="AL29" s="13">
        <f t="shared" si="8"/>
        <v>117</v>
      </c>
      <c r="AM29" s="13">
        <f t="shared" si="8"/>
        <v>101</v>
      </c>
      <c r="AN29" s="13">
        <f t="shared" si="8"/>
        <v>107</v>
      </c>
      <c r="AO29" s="13">
        <f t="shared" si="8"/>
        <v>97</v>
      </c>
      <c r="AP29" s="13">
        <f t="shared" si="8"/>
        <v>96</v>
      </c>
      <c r="AQ29" s="13">
        <f t="shared" si="8"/>
        <v>121</v>
      </c>
      <c r="AR29" s="13">
        <f t="shared" si="8"/>
        <v>103</v>
      </c>
      <c r="AS29" s="13">
        <f t="shared" si="8"/>
        <v>83</v>
      </c>
      <c r="AT29" s="13">
        <f t="shared" si="8"/>
        <v>73</v>
      </c>
      <c r="AU29" s="13">
        <f t="shared" si="8"/>
        <v>93</v>
      </c>
      <c r="AV29" s="13">
        <f t="shared" si="8"/>
        <v>109</v>
      </c>
      <c r="AW29" s="13">
        <f t="shared" si="8"/>
        <v>97</v>
      </c>
      <c r="AX29" s="13">
        <f t="shared" si="8"/>
        <v>115</v>
      </c>
      <c r="AY29" s="13">
        <f t="shared" si="8"/>
        <v>104</v>
      </c>
      <c r="AZ29" s="13">
        <f t="shared" si="8"/>
        <v>110</v>
      </c>
      <c r="BA29" s="13">
        <f t="shared" si="8"/>
        <v>109</v>
      </c>
      <c r="BB29" s="13">
        <f t="shared" si="8"/>
        <v>114</v>
      </c>
      <c r="BC29" s="13">
        <f t="shared" si="8"/>
        <v>91</v>
      </c>
      <c r="BD29" s="13">
        <f t="shared" si="8"/>
        <v>109</v>
      </c>
      <c r="BE29" s="13">
        <f t="shared" si="8"/>
        <v>82</v>
      </c>
      <c r="BF29" s="13">
        <f t="shared" si="8"/>
        <v>108</v>
      </c>
      <c r="BG29" s="13">
        <f t="shared" si="8"/>
        <v>99</v>
      </c>
      <c r="BH29" s="13">
        <f t="shared" si="8"/>
        <v>117</v>
      </c>
      <c r="BI29" s="13">
        <f t="shared" si="8"/>
        <v>110</v>
      </c>
      <c r="BJ29" s="13">
        <f t="shared" si="8"/>
        <v>104</v>
      </c>
      <c r="BK29" s="13">
        <f t="shared" si="8"/>
        <v>118</v>
      </c>
      <c r="BL29" s="13">
        <f t="shared" si="3"/>
        <v>6248</v>
      </c>
    </row>
    <row r="30" ht="12.75" customHeight="1">
      <c r="A30" s="35"/>
      <c r="B30" s="28"/>
      <c r="C30" s="36"/>
      <c r="D30" s="13" t="s">
        <v>14</v>
      </c>
      <c r="E30" s="13">
        <f t="shared" ref="E30:BK30" si="9">SUM(E28:E29)</f>
        <v>181</v>
      </c>
      <c r="F30" s="13">
        <f t="shared" si="9"/>
        <v>227</v>
      </c>
      <c r="G30" s="13">
        <f t="shared" si="9"/>
        <v>211</v>
      </c>
      <c r="H30" s="13">
        <f t="shared" si="9"/>
        <v>221</v>
      </c>
      <c r="I30" s="13">
        <f t="shared" si="9"/>
        <v>229</v>
      </c>
      <c r="J30" s="13">
        <f t="shared" si="9"/>
        <v>213</v>
      </c>
      <c r="K30" s="13">
        <f t="shared" si="9"/>
        <v>199</v>
      </c>
      <c r="L30" s="13">
        <f t="shared" si="9"/>
        <v>221</v>
      </c>
      <c r="M30" s="13">
        <f t="shared" si="9"/>
        <v>224</v>
      </c>
      <c r="N30" s="13">
        <f t="shared" si="9"/>
        <v>194</v>
      </c>
      <c r="O30" s="13">
        <f t="shared" si="9"/>
        <v>220</v>
      </c>
      <c r="P30" s="13">
        <f t="shared" si="9"/>
        <v>203</v>
      </c>
      <c r="Q30" s="13">
        <f t="shared" si="9"/>
        <v>230</v>
      </c>
      <c r="R30" s="13">
        <f t="shared" si="9"/>
        <v>197</v>
      </c>
      <c r="S30" s="13">
        <f t="shared" si="9"/>
        <v>209</v>
      </c>
      <c r="T30" s="13">
        <f t="shared" si="9"/>
        <v>230</v>
      </c>
      <c r="U30" s="13">
        <f t="shared" si="9"/>
        <v>214</v>
      </c>
      <c r="V30" s="13">
        <f t="shared" si="9"/>
        <v>228</v>
      </c>
      <c r="W30" s="13">
        <f t="shared" si="9"/>
        <v>228</v>
      </c>
      <c r="X30" s="13">
        <f t="shared" si="9"/>
        <v>232</v>
      </c>
      <c r="Y30" s="13">
        <f t="shared" si="9"/>
        <v>193</v>
      </c>
      <c r="Z30" s="13">
        <f t="shared" si="9"/>
        <v>214</v>
      </c>
      <c r="AA30" s="13">
        <f t="shared" si="9"/>
        <v>213</v>
      </c>
      <c r="AB30" s="13">
        <f t="shared" si="9"/>
        <v>222</v>
      </c>
      <c r="AC30" s="13">
        <f t="shared" si="9"/>
        <v>220</v>
      </c>
      <c r="AD30" s="13">
        <f t="shared" si="9"/>
        <v>221</v>
      </c>
      <c r="AE30" s="13">
        <f t="shared" si="9"/>
        <v>215</v>
      </c>
      <c r="AF30" s="13">
        <f t="shared" si="9"/>
        <v>208</v>
      </c>
      <c r="AG30" s="13">
        <f t="shared" si="9"/>
        <v>222</v>
      </c>
      <c r="AH30" s="13">
        <f t="shared" si="9"/>
        <v>201</v>
      </c>
      <c r="AI30" s="13">
        <f t="shared" si="9"/>
        <v>150</v>
      </c>
      <c r="AJ30" s="13">
        <f t="shared" si="9"/>
        <v>179</v>
      </c>
      <c r="AK30" s="13">
        <f t="shared" si="9"/>
        <v>171</v>
      </c>
      <c r="AL30" s="13">
        <f t="shared" si="9"/>
        <v>227</v>
      </c>
      <c r="AM30" s="13">
        <f t="shared" si="9"/>
        <v>187</v>
      </c>
      <c r="AN30" s="13">
        <f t="shared" si="9"/>
        <v>193</v>
      </c>
      <c r="AO30" s="13">
        <f t="shared" si="9"/>
        <v>188</v>
      </c>
      <c r="AP30" s="13">
        <f t="shared" si="9"/>
        <v>175</v>
      </c>
      <c r="AQ30" s="13">
        <f t="shared" si="9"/>
        <v>211</v>
      </c>
      <c r="AR30" s="13">
        <f t="shared" si="9"/>
        <v>203</v>
      </c>
      <c r="AS30" s="13">
        <f t="shared" si="9"/>
        <v>164</v>
      </c>
      <c r="AT30" s="13">
        <f t="shared" si="9"/>
        <v>157</v>
      </c>
      <c r="AU30" s="13">
        <f t="shared" si="9"/>
        <v>172</v>
      </c>
      <c r="AV30" s="13">
        <f t="shared" si="9"/>
        <v>199</v>
      </c>
      <c r="AW30" s="13">
        <f t="shared" si="9"/>
        <v>194</v>
      </c>
      <c r="AX30" s="13">
        <f t="shared" si="9"/>
        <v>224</v>
      </c>
      <c r="AY30" s="13">
        <f t="shared" si="9"/>
        <v>188</v>
      </c>
      <c r="AZ30" s="13">
        <f t="shared" si="9"/>
        <v>211</v>
      </c>
      <c r="BA30" s="13">
        <f t="shared" si="9"/>
        <v>215</v>
      </c>
      <c r="BB30" s="13">
        <f t="shared" si="9"/>
        <v>205</v>
      </c>
      <c r="BC30" s="13">
        <f t="shared" si="9"/>
        <v>185</v>
      </c>
      <c r="BD30" s="13">
        <f t="shared" si="9"/>
        <v>203</v>
      </c>
      <c r="BE30" s="13">
        <f t="shared" si="9"/>
        <v>164</v>
      </c>
      <c r="BF30" s="13">
        <f t="shared" si="9"/>
        <v>194</v>
      </c>
      <c r="BG30" s="13">
        <f t="shared" si="9"/>
        <v>184</v>
      </c>
      <c r="BH30" s="13">
        <f t="shared" si="9"/>
        <v>240</v>
      </c>
      <c r="BI30" s="13">
        <f t="shared" si="9"/>
        <v>211</v>
      </c>
      <c r="BJ30" s="13">
        <f t="shared" si="9"/>
        <v>196</v>
      </c>
      <c r="BK30" s="13">
        <f t="shared" si="9"/>
        <v>208</v>
      </c>
      <c r="BL30" s="13">
        <f t="shared" si="3"/>
        <v>12038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19"/>
      <c r="Q31" s="19"/>
      <c r="R31" s="19"/>
      <c r="S31" s="59"/>
      <c r="T31" s="19"/>
      <c r="U31" s="19"/>
      <c r="V31" s="19"/>
      <c r="W31" s="19"/>
      <c r="X31" s="59"/>
      <c r="Y31" s="19"/>
      <c r="Z31" s="19"/>
      <c r="AA31" s="19"/>
      <c r="AB31" s="19"/>
      <c r="AC31" s="59"/>
      <c r="AD31" s="19"/>
      <c r="AE31" s="19"/>
      <c r="AF31" s="19"/>
      <c r="AG31" s="19"/>
      <c r="AH31" s="59"/>
      <c r="AI31" s="19"/>
      <c r="AJ31" s="19"/>
      <c r="AK31" s="19"/>
      <c r="AL31" s="19"/>
      <c r="AM31" s="59"/>
      <c r="AN31" s="19"/>
      <c r="AO31" s="19"/>
      <c r="AP31" s="19"/>
      <c r="AQ31" s="19"/>
      <c r="AR31" s="59"/>
      <c r="AS31" s="19"/>
      <c r="AT31" s="19"/>
      <c r="AU31" s="19"/>
      <c r="AV31" s="19"/>
      <c r="AW31" s="59"/>
      <c r="AX31" s="19"/>
      <c r="AY31" s="19"/>
      <c r="AZ31" s="19"/>
      <c r="BA31" s="19"/>
      <c r="BB31" s="59"/>
      <c r="BC31" s="19"/>
      <c r="BD31" s="19"/>
      <c r="BE31" s="19"/>
      <c r="BF31" s="19"/>
      <c r="BG31" s="59"/>
      <c r="BH31" s="19"/>
      <c r="BI31" s="19"/>
      <c r="BJ31" s="19"/>
      <c r="BK31" s="19"/>
      <c r="BL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13"/>
      <c r="Q32" s="13"/>
      <c r="R32" s="13"/>
      <c r="S32" s="61"/>
      <c r="T32" s="13"/>
      <c r="U32" s="13"/>
      <c r="V32" s="13"/>
      <c r="W32" s="13"/>
      <c r="X32" s="61"/>
      <c r="Y32" s="13"/>
      <c r="Z32" s="13"/>
      <c r="AA32" s="13"/>
      <c r="AB32" s="13"/>
      <c r="AC32" s="61"/>
      <c r="AD32" s="13"/>
      <c r="AE32" s="13"/>
      <c r="AF32" s="13"/>
      <c r="AG32" s="13"/>
      <c r="AH32" s="61"/>
      <c r="AI32" s="13"/>
      <c r="AJ32" s="13"/>
      <c r="AK32" s="13"/>
      <c r="AL32" s="13"/>
      <c r="AM32" s="61"/>
      <c r="AN32" s="13"/>
      <c r="AO32" s="13"/>
      <c r="AP32" s="13"/>
      <c r="AQ32" s="13"/>
      <c r="AR32" s="61"/>
      <c r="AS32" s="13"/>
      <c r="AT32" s="13"/>
      <c r="AU32" s="13"/>
      <c r="AV32" s="13"/>
      <c r="AW32" s="61"/>
      <c r="AX32" s="13"/>
      <c r="AY32" s="13"/>
      <c r="AZ32" s="13"/>
      <c r="BA32" s="13"/>
      <c r="BB32" s="61"/>
      <c r="BC32" s="13"/>
      <c r="BD32" s="13"/>
      <c r="BE32" s="13"/>
      <c r="BF32" s="13"/>
      <c r="BG32" s="61"/>
      <c r="BH32" s="13"/>
      <c r="BI32" s="13"/>
      <c r="BJ32" s="13"/>
      <c r="BK32" s="13"/>
      <c r="BL32" s="60"/>
    </row>
    <row r="33" ht="12.75" customHeight="1">
      <c r="A33" s="19">
        <v>1.0</v>
      </c>
      <c r="B33" s="20" t="s">
        <v>27</v>
      </c>
      <c r="C33" s="15"/>
      <c r="D33" s="16"/>
      <c r="E33" s="19">
        <v>277.0</v>
      </c>
      <c r="F33" s="19">
        <v>294.0</v>
      </c>
      <c r="G33" s="19">
        <v>297.0</v>
      </c>
      <c r="H33" s="19">
        <v>284.0</v>
      </c>
      <c r="I33" s="19">
        <v>299.0</v>
      </c>
      <c r="J33" s="19">
        <v>271.0</v>
      </c>
      <c r="K33" s="19">
        <v>282.0</v>
      </c>
      <c r="L33" s="19">
        <v>277.0</v>
      </c>
      <c r="M33" s="19">
        <v>292.0</v>
      </c>
      <c r="N33" s="19">
        <v>257.0</v>
      </c>
      <c r="O33" s="19">
        <v>284.0</v>
      </c>
      <c r="P33" s="19">
        <v>269.0</v>
      </c>
      <c r="Q33" s="19">
        <v>269.0</v>
      </c>
      <c r="R33" s="19">
        <v>279.0</v>
      </c>
      <c r="S33" s="19">
        <v>296.0</v>
      </c>
      <c r="T33" s="19">
        <v>301.0</v>
      </c>
      <c r="U33" s="19">
        <v>295.0</v>
      </c>
      <c r="V33" s="19">
        <v>297.0</v>
      </c>
      <c r="W33" s="19">
        <v>290.0</v>
      </c>
      <c r="X33" s="19">
        <v>299.0</v>
      </c>
      <c r="Y33" s="19">
        <v>284.0</v>
      </c>
      <c r="Z33" s="19">
        <v>294.0</v>
      </c>
      <c r="AA33" s="19">
        <v>293.0</v>
      </c>
      <c r="AB33" s="19">
        <v>300.0</v>
      </c>
      <c r="AC33" s="19">
        <v>300.0</v>
      </c>
      <c r="AD33" s="19">
        <v>284.0</v>
      </c>
      <c r="AE33" s="19">
        <v>269.0</v>
      </c>
      <c r="AF33" s="19">
        <v>259.0</v>
      </c>
      <c r="AG33" s="19">
        <v>279.0</v>
      </c>
      <c r="AH33" s="19">
        <v>279.0</v>
      </c>
      <c r="AI33" s="19">
        <v>210.0</v>
      </c>
      <c r="AJ33" s="19">
        <v>238.0</v>
      </c>
      <c r="AK33" s="19">
        <v>231.0</v>
      </c>
      <c r="AL33" s="19">
        <v>297.0</v>
      </c>
      <c r="AM33" s="19">
        <v>250.0</v>
      </c>
      <c r="AN33" s="19">
        <v>246.0</v>
      </c>
      <c r="AO33" s="19">
        <v>247.0</v>
      </c>
      <c r="AP33" s="19">
        <v>254.0</v>
      </c>
      <c r="AQ33" s="19">
        <v>284.0</v>
      </c>
      <c r="AR33" s="19">
        <v>273.0</v>
      </c>
      <c r="AS33" s="19">
        <v>229.0</v>
      </c>
      <c r="AT33" s="19">
        <v>219.0</v>
      </c>
      <c r="AU33" s="19">
        <v>237.0</v>
      </c>
      <c r="AV33" s="19">
        <v>290.0</v>
      </c>
      <c r="AW33" s="19">
        <v>255.0</v>
      </c>
      <c r="AX33" s="19">
        <v>285.0</v>
      </c>
      <c r="AY33" s="19">
        <v>279.0</v>
      </c>
      <c r="AZ33" s="19">
        <v>286.0</v>
      </c>
      <c r="BA33" s="19">
        <v>298.0</v>
      </c>
      <c r="BB33" s="19">
        <v>280.0</v>
      </c>
      <c r="BC33" s="19">
        <v>278.0</v>
      </c>
      <c r="BD33" s="19">
        <v>281.0</v>
      </c>
      <c r="BE33" s="19">
        <v>284.0</v>
      </c>
      <c r="BF33" s="19">
        <v>287.0</v>
      </c>
      <c r="BG33" s="19">
        <v>263.0</v>
      </c>
      <c r="BH33" s="19">
        <v>295.0</v>
      </c>
      <c r="BI33" s="19">
        <v>287.0</v>
      </c>
      <c r="BJ33" s="19">
        <v>289.0</v>
      </c>
      <c r="BK33" s="19">
        <v>290.0</v>
      </c>
      <c r="BL33" s="13">
        <f t="shared" ref="BL33:BL36" si="10">SUM(E33:BK33)</f>
        <v>16292</v>
      </c>
    </row>
    <row r="34" ht="12.75" customHeight="1">
      <c r="A34" s="19">
        <v>2.0</v>
      </c>
      <c r="B34" s="20" t="s">
        <v>28</v>
      </c>
      <c r="C34" s="15"/>
      <c r="D34" s="16"/>
      <c r="E34" s="13">
        <v>181.0</v>
      </c>
      <c r="F34" s="13">
        <v>227.0</v>
      </c>
      <c r="G34" s="13">
        <v>211.0</v>
      </c>
      <c r="H34" s="13">
        <v>221.0</v>
      </c>
      <c r="I34" s="13">
        <v>229.0</v>
      </c>
      <c r="J34" s="13">
        <v>213.0</v>
      </c>
      <c r="K34" s="13">
        <v>199.0</v>
      </c>
      <c r="L34" s="13">
        <v>221.0</v>
      </c>
      <c r="M34" s="13">
        <v>224.0</v>
      </c>
      <c r="N34" s="13">
        <v>194.0</v>
      </c>
      <c r="O34" s="13">
        <v>220.0</v>
      </c>
      <c r="P34" s="13">
        <v>203.0</v>
      </c>
      <c r="Q34" s="13">
        <v>230.0</v>
      </c>
      <c r="R34" s="13">
        <v>197.0</v>
      </c>
      <c r="S34" s="13">
        <v>209.0</v>
      </c>
      <c r="T34" s="13">
        <v>230.0</v>
      </c>
      <c r="U34" s="13">
        <v>214.0</v>
      </c>
      <c r="V34" s="13">
        <v>228.0</v>
      </c>
      <c r="W34" s="13">
        <v>228.0</v>
      </c>
      <c r="X34" s="13">
        <v>232.0</v>
      </c>
      <c r="Y34" s="13">
        <v>193.0</v>
      </c>
      <c r="Z34" s="13">
        <v>214.0</v>
      </c>
      <c r="AA34" s="13">
        <v>213.0</v>
      </c>
      <c r="AB34" s="13">
        <v>222.0</v>
      </c>
      <c r="AC34" s="13">
        <v>220.0</v>
      </c>
      <c r="AD34" s="13">
        <v>221.0</v>
      </c>
      <c r="AE34" s="13">
        <v>215.0</v>
      </c>
      <c r="AF34" s="13">
        <v>208.0</v>
      </c>
      <c r="AG34" s="13">
        <v>222.0</v>
      </c>
      <c r="AH34" s="13">
        <v>201.0</v>
      </c>
      <c r="AI34" s="13">
        <v>150.0</v>
      </c>
      <c r="AJ34" s="13">
        <v>179.0</v>
      </c>
      <c r="AK34" s="13">
        <v>171.0</v>
      </c>
      <c r="AL34" s="13">
        <v>227.0</v>
      </c>
      <c r="AM34" s="13">
        <v>187.0</v>
      </c>
      <c r="AN34" s="13">
        <v>193.0</v>
      </c>
      <c r="AO34" s="13">
        <v>188.0</v>
      </c>
      <c r="AP34" s="13">
        <v>175.0</v>
      </c>
      <c r="AQ34" s="13">
        <v>211.0</v>
      </c>
      <c r="AR34" s="13">
        <v>203.0</v>
      </c>
      <c r="AS34" s="13">
        <v>164.0</v>
      </c>
      <c r="AT34" s="13">
        <v>157.0</v>
      </c>
      <c r="AU34" s="13">
        <v>172.0</v>
      </c>
      <c r="AV34" s="13">
        <v>199.0</v>
      </c>
      <c r="AW34" s="13">
        <v>194.0</v>
      </c>
      <c r="AX34" s="13">
        <v>224.0</v>
      </c>
      <c r="AY34" s="13">
        <v>188.0</v>
      </c>
      <c r="AZ34" s="13">
        <v>211.0</v>
      </c>
      <c r="BA34" s="13">
        <v>215.0</v>
      </c>
      <c r="BB34" s="13">
        <v>205.0</v>
      </c>
      <c r="BC34" s="13">
        <v>185.0</v>
      </c>
      <c r="BD34" s="13">
        <v>203.0</v>
      </c>
      <c r="BE34" s="13">
        <v>164.0</v>
      </c>
      <c r="BF34" s="13">
        <v>194.0</v>
      </c>
      <c r="BG34" s="13">
        <v>184.0</v>
      </c>
      <c r="BH34" s="13">
        <v>240.0</v>
      </c>
      <c r="BI34" s="13">
        <v>211.0</v>
      </c>
      <c r="BJ34" s="13">
        <v>196.0</v>
      </c>
      <c r="BK34" s="13">
        <v>208.0</v>
      </c>
      <c r="BL34" s="13">
        <f t="shared" si="10"/>
        <v>12038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>
        <v>1.0</v>
      </c>
      <c r="L35" s="19"/>
      <c r="M35" s="19"/>
      <c r="N35" s="19">
        <v>3.0</v>
      </c>
      <c r="O35" s="19"/>
      <c r="P35" s="19">
        <v>3.0</v>
      </c>
      <c r="Q35" s="19"/>
      <c r="R35" s="19"/>
      <c r="S35" s="19"/>
      <c r="T35" s="19">
        <v>1.0</v>
      </c>
      <c r="U35" s="19"/>
      <c r="V35" s="19"/>
      <c r="W35" s="19"/>
      <c r="X35" s="19"/>
      <c r="Y35" s="19"/>
      <c r="Z35" s="19"/>
      <c r="AA35" s="19">
        <v>2.0</v>
      </c>
      <c r="AB35" s="19"/>
      <c r="AC35" s="19"/>
      <c r="AD35" s="19"/>
      <c r="AE35" s="19"/>
      <c r="AF35" s="19">
        <v>1.0</v>
      </c>
      <c r="AG35" s="19"/>
      <c r="AH35" s="19"/>
      <c r="AI35" s="19"/>
      <c r="AJ35" s="19"/>
      <c r="AK35" s="19"/>
      <c r="AL35" s="19"/>
      <c r="AM35" s="19"/>
      <c r="AN35" s="19">
        <v>1.0</v>
      </c>
      <c r="AO35" s="19"/>
      <c r="AP35" s="19"/>
      <c r="AQ35" s="19"/>
      <c r="AR35" s="19">
        <v>3.0</v>
      </c>
      <c r="AS35" s="19"/>
      <c r="AT35" s="19"/>
      <c r="AU35" s="19"/>
      <c r="AV35" s="19"/>
      <c r="AW35" s="19"/>
      <c r="AX35" s="19"/>
      <c r="AY35" s="19"/>
      <c r="AZ35" s="19"/>
      <c r="BA35" s="19"/>
      <c r="BB35" s="19">
        <v>1.0</v>
      </c>
      <c r="BC35" s="19"/>
      <c r="BD35" s="19">
        <v>1.0</v>
      </c>
      <c r="BE35" s="19"/>
      <c r="BF35" s="19"/>
      <c r="BG35" s="19">
        <v>1.0</v>
      </c>
      <c r="BH35" s="19"/>
      <c r="BI35" s="19"/>
      <c r="BJ35" s="19"/>
      <c r="BK35" s="19">
        <v>1.0</v>
      </c>
      <c r="BL35" s="13">
        <f t="shared" si="10"/>
        <v>19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BK36" si="11">E33-(E34+E35)</f>
        <v>96</v>
      </c>
      <c r="F36" s="13">
        <f t="shared" si="11"/>
        <v>67</v>
      </c>
      <c r="G36" s="13">
        <f t="shared" si="11"/>
        <v>86</v>
      </c>
      <c r="H36" s="13">
        <f t="shared" si="11"/>
        <v>63</v>
      </c>
      <c r="I36" s="13">
        <f t="shared" si="11"/>
        <v>70</v>
      </c>
      <c r="J36" s="13">
        <f t="shared" si="11"/>
        <v>58</v>
      </c>
      <c r="K36" s="13">
        <f t="shared" si="11"/>
        <v>82</v>
      </c>
      <c r="L36" s="13">
        <f t="shared" si="11"/>
        <v>56</v>
      </c>
      <c r="M36" s="13">
        <f t="shared" si="11"/>
        <v>68</v>
      </c>
      <c r="N36" s="13">
        <f t="shared" si="11"/>
        <v>60</v>
      </c>
      <c r="O36" s="13">
        <f t="shared" si="11"/>
        <v>64</v>
      </c>
      <c r="P36" s="13">
        <f t="shared" si="11"/>
        <v>63</v>
      </c>
      <c r="Q36" s="13">
        <f t="shared" si="11"/>
        <v>39</v>
      </c>
      <c r="R36" s="13">
        <f t="shared" si="11"/>
        <v>82</v>
      </c>
      <c r="S36" s="13">
        <f t="shared" si="11"/>
        <v>87</v>
      </c>
      <c r="T36" s="13">
        <f t="shared" si="11"/>
        <v>70</v>
      </c>
      <c r="U36" s="13">
        <f t="shared" si="11"/>
        <v>81</v>
      </c>
      <c r="V36" s="13">
        <f t="shared" si="11"/>
        <v>69</v>
      </c>
      <c r="W36" s="13">
        <f t="shared" si="11"/>
        <v>62</v>
      </c>
      <c r="X36" s="13">
        <f t="shared" si="11"/>
        <v>67</v>
      </c>
      <c r="Y36" s="13">
        <f t="shared" si="11"/>
        <v>91</v>
      </c>
      <c r="Z36" s="13">
        <f t="shared" si="11"/>
        <v>80</v>
      </c>
      <c r="AA36" s="13">
        <f t="shared" si="11"/>
        <v>78</v>
      </c>
      <c r="AB36" s="13">
        <f t="shared" si="11"/>
        <v>78</v>
      </c>
      <c r="AC36" s="13">
        <f t="shared" si="11"/>
        <v>80</v>
      </c>
      <c r="AD36" s="13">
        <f t="shared" si="11"/>
        <v>63</v>
      </c>
      <c r="AE36" s="13">
        <f t="shared" si="11"/>
        <v>54</v>
      </c>
      <c r="AF36" s="13">
        <f t="shared" si="11"/>
        <v>50</v>
      </c>
      <c r="AG36" s="13">
        <f t="shared" si="11"/>
        <v>57</v>
      </c>
      <c r="AH36" s="13">
        <f t="shared" si="11"/>
        <v>78</v>
      </c>
      <c r="AI36" s="13">
        <f t="shared" si="11"/>
        <v>60</v>
      </c>
      <c r="AJ36" s="13">
        <f t="shared" si="11"/>
        <v>59</v>
      </c>
      <c r="AK36" s="13">
        <f t="shared" si="11"/>
        <v>60</v>
      </c>
      <c r="AL36" s="13">
        <f t="shared" si="11"/>
        <v>70</v>
      </c>
      <c r="AM36" s="13">
        <f t="shared" si="11"/>
        <v>63</v>
      </c>
      <c r="AN36" s="13">
        <f t="shared" si="11"/>
        <v>52</v>
      </c>
      <c r="AO36" s="13">
        <f t="shared" si="11"/>
        <v>59</v>
      </c>
      <c r="AP36" s="13">
        <f t="shared" si="11"/>
        <v>79</v>
      </c>
      <c r="AQ36" s="13">
        <f t="shared" si="11"/>
        <v>73</v>
      </c>
      <c r="AR36" s="13">
        <f t="shared" si="11"/>
        <v>67</v>
      </c>
      <c r="AS36" s="13">
        <f t="shared" si="11"/>
        <v>65</v>
      </c>
      <c r="AT36" s="13">
        <f t="shared" si="11"/>
        <v>62</v>
      </c>
      <c r="AU36" s="13">
        <f t="shared" si="11"/>
        <v>65</v>
      </c>
      <c r="AV36" s="13">
        <f t="shared" si="11"/>
        <v>91</v>
      </c>
      <c r="AW36" s="13">
        <f t="shared" si="11"/>
        <v>61</v>
      </c>
      <c r="AX36" s="13">
        <f t="shared" si="11"/>
        <v>61</v>
      </c>
      <c r="AY36" s="13">
        <f t="shared" si="11"/>
        <v>91</v>
      </c>
      <c r="AZ36" s="13">
        <f t="shared" si="11"/>
        <v>75</v>
      </c>
      <c r="BA36" s="13">
        <f t="shared" si="11"/>
        <v>83</v>
      </c>
      <c r="BB36" s="13">
        <f t="shared" si="11"/>
        <v>74</v>
      </c>
      <c r="BC36" s="13">
        <f t="shared" si="11"/>
        <v>93</v>
      </c>
      <c r="BD36" s="13">
        <f t="shared" si="11"/>
        <v>77</v>
      </c>
      <c r="BE36" s="13">
        <f t="shared" si="11"/>
        <v>120</v>
      </c>
      <c r="BF36" s="13">
        <f t="shared" si="11"/>
        <v>93</v>
      </c>
      <c r="BG36" s="13">
        <f t="shared" si="11"/>
        <v>78</v>
      </c>
      <c r="BH36" s="13">
        <f t="shared" si="11"/>
        <v>55</v>
      </c>
      <c r="BI36" s="13">
        <f t="shared" si="11"/>
        <v>76</v>
      </c>
      <c r="BJ36" s="13">
        <f t="shared" si="11"/>
        <v>93</v>
      </c>
      <c r="BK36" s="13">
        <f t="shared" si="11"/>
        <v>81</v>
      </c>
      <c r="BL36" s="13">
        <f t="shared" si="10"/>
        <v>4235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19"/>
      <c r="P37" s="19"/>
      <c r="Q37" s="19"/>
      <c r="R37" s="19"/>
      <c r="S37" s="59"/>
      <c r="T37" s="19"/>
      <c r="U37" s="19"/>
      <c r="V37" s="19"/>
      <c r="W37" s="19"/>
      <c r="X37" s="59"/>
      <c r="Y37" s="19"/>
      <c r="Z37" s="19"/>
      <c r="AA37" s="19"/>
      <c r="AB37" s="19"/>
      <c r="AC37" s="59"/>
      <c r="AD37" s="19"/>
      <c r="AE37" s="19"/>
      <c r="AF37" s="19"/>
      <c r="AG37" s="19"/>
      <c r="AH37" s="59"/>
      <c r="AI37" s="19"/>
      <c r="AJ37" s="19"/>
      <c r="AK37" s="19"/>
      <c r="AL37" s="19"/>
      <c r="AM37" s="59"/>
      <c r="AN37" s="19"/>
      <c r="AO37" s="19"/>
      <c r="AP37" s="19"/>
      <c r="AQ37" s="19"/>
      <c r="AR37" s="59"/>
      <c r="AS37" s="19"/>
      <c r="AT37" s="19"/>
      <c r="AU37" s="19"/>
      <c r="AV37" s="19"/>
      <c r="AW37" s="59"/>
      <c r="AX37" s="19"/>
      <c r="AY37" s="19"/>
      <c r="AZ37" s="19"/>
      <c r="BA37" s="19"/>
      <c r="BB37" s="59"/>
      <c r="BC37" s="19"/>
      <c r="BD37" s="19"/>
      <c r="BE37" s="19"/>
      <c r="BF37" s="19"/>
      <c r="BG37" s="59"/>
      <c r="BH37" s="19"/>
      <c r="BI37" s="19"/>
      <c r="BJ37" s="19"/>
      <c r="BK37" s="19"/>
      <c r="BL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13"/>
      <c r="Q38" s="13"/>
      <c r="R38" s="13"/>
      <c r="S38" s="61"/>
      <c r="T38" s="13"/>
      <c r="U38" s="13"/>
      <c r="V38" s="13"/>
      <c r="W38" s="13"/>
      <c r="X38" s="61"/>
      <c r="Y38" s="13"/>
      <c r="Z38" s="13"/>
      <c r="AA38" s="13"/>
      <c r="AB38" s="13"/>
      <c r="AC38" s="61"/>
      <c r="AD38" s="13"/>
      <c r="AE38" s="13"/>
      <c r="AF38" s="13"/>
      <c r="AG38" s="13"/>
      <c r="AH38" s="61"/>
      <c r="AI38" s="13"/>
      <c r="AJ38" s="13"/>
      <c r="AK38" s="13"/>
      <c r="AL38" s="13"/>
      <c r="AM38" s="61"/>
      <c r="AN38" s="13"/>
      <c r="AO38" s="13"/>
      <c r="AP38" s="13"/>
      <c r="AQ38" s="13"/>
      <c r="AR38" s="61"/>
      <c r="AS38" s="13"/>
      <c r="AT38" s="13"/>
      <c r="AU38" s="13"/>
      <c r="AV38" s="13"/>
      <c r="AW38" s="61"/>
      <c r="AX38" s="13"/>
      <c r="AY38" s="13"/>
      <c r="AZ38" s="13"/>
      <c r="BA38" s="13"/>
      <c r="BB38" s="61"/>
      <c r="BC38" s="13"/>
      <c r="BD38" s="13"/>
      <c r="BE38" s="13"/>
      <c r="BF38" s="13"/>
      <c r="BG38" s="61"/>
      <c r="BH38" s="13"/>
      <c r="BI38" s="13"/>
      <c r="BJ38" s="13"/>
      <c r="BK38" s="13"/>
      <c r="BL38" s="60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>
        <v>1.0</v>
      </c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>
        <v>2.0</v>
      </c>
      <c r="AI39" s="19"/>
      <c r="AJ39" s="19"/>
      <c r="AK39" s="19">
        <v>2.0</v>
      </c>
      <c r="AL39" s="19"/>
      <c r="AM39" s="19">
        <v>2.0</v>
      </c>
      <c r="AN39" s="19">
        <v>2.0</v>
      </c>
      <c r="AO39" s="19">
        <v>4.0</v>
      </c>
      <c r="AP39" s="19"/>
      <c r="AQ39" s="19"/>
      <c r="AR39" s="19"/>
      <c r="AS39" s="19"/>
      <c r="AT39" s="19"/>
      <c r="AU39" s="19"/>
      <c r="AV39" s="19"/>
      <c r="AW39" s="19">
        <v>1.0</v>
      </c>
      <c r="AX39" s="19"/>
      <c r="AY39" s="19"/>
      <c r="AZ39" s="19"/>
      <c r="BA39" s="19"/>
      <c r="BB39" s="19"/>
      <c r="BC39" s="19"/>
      <c r="BD39" s="19"/>
      <c r="BE39" s="19"/>
      <c r="BF39" s="19">
        <v>1.0</v>
      </c>
      <c r="BG39" s="19"/>
      <c r="BH39" s="19"/>
      <c r="BI39" s="19">
        <v>1.0</v>
      </c>
      <c r="BJ39" s="19"/>
      <c r="BK39" s="19"/>
      <c r="BL39" s="13">
        <f t="shared" ref="BL39:BL41" si="12">SUM(E39:BK39)</f>
        <v>16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>
        <v>2.0</v>
      </c>
      <c r="X40" s="19">
        <v>1.0</v>
      </c>
      <c r="Y40" s="19"/>
      <c r="Z40" s="19"/>
      <c r="AA40" s="19"/>
      <c r="AB40" s="19"/>
      <c r="AC40" s="19"/>
      <c r="AD40" s="19"/>
      <c r="AE40" s="19"/>
      <c r="AF40" s="19"/>
      <c r="AG40" s="19"/>
      <c r="AH40" s="19">
        <v>3.0</v>
      </c>
      <c r="AI40" s="19"/>
      <c r="AJ40" s="19"/>
      <c r="AK40" s="19">
        <v>4.0</v>
      </c>
      <c r="AL40" s="19"/>
      <c r="AM40" s="19"/>
      <c r="AN40" s="19">
        <v>1.0</v>
      </c>
      <c r="AO40" s="19"/>
      <c r="AP40" s="19"/>
      <c r="AQ40" s="19">
        <v>1.0</v>
      </c>
      <c r="AR40" s="19"/>
      <c r="AS40" s="19"/>
      <c r="AT40" s="19"/>
      <c r="AU40" s="19"/>
      <c r="AV40" s="19"/>
      <c r="AW40" s="19">
        <v>2.0</v>
      </c>
      <c r="AX40" s="19"/>
      <c r="AY40" s="19"/>
      <c r="AZ40" s="19">
        <v>1.0</v>
      </c>
      <c r="BA40" s="19"/>
      <c r="BB40" s="19"/>
      <c r="BC40" s="19"/>
      <c r="BD40" s="19"/>
      <c r="BE40" s="19"/>
      <c r="BF40" s="19">
        <v>1.0</v>
      </c>
      <c r="BG40" s="19">
        <v>1.0</v>
      </c>
      <c r="BH40" s="19">
        <v>1.0</v>
      </c>
      <c r="BI40" s="19"/>
      <c r="BJ40" s="19"/>
      <c r="BK40" s="19"/>
      <c r="BL40" s="13">
        <f t="shared" si="12"/>
        <v>18</v>
      </c>
    </row>
    <row r="41" ht="12.75" customHeight="1">
      <c r="A41" s="41"/>
      <c r="B41" s="44"/>
      <c r="C41" s="28"/>
      <c r="D41" s="13" t="s">
        <v>14</v>
      </c>
      <c r="E41" s="13">
        <f t="shared" ref="E41:BK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3</v>
      </c>
      <c r="X41" s="13">
        <f t="shared" si="13"/>
        <v>1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5</v>
      </c>
      <c r="AI41" s="13">
        <f t="shared" si="13"/>
        <v>0</v>
      </c>
      <c r="AJ41" s="13">
        <f t="shared" si="13"/>
        <v>0</v>
      </c>
      <c r="AK41" s="13">
        <f t="shared" si="13"/>
        <v>6</v>
      </c>
      <c r="AL41" s="13">
        <f t="shared" si="13"/>
        <v>0</v>
      </c>
      <c r="AM41" s="13">
        <f t="shared" si="13"/>
        <v>2</v>
      </c>
      <c r="AN41" s="13">
        <f t="shared" si="13"/>
        <v>3</v>
      </c>
      <c r="AO41" s="13">
        <f t="shared" si="13"/>
        <v>4</v>
      </c>
      <c r="AP41" s="13">
        <f t="shared" si="13"/>
        <v>0</v>
      </c>
      <c r="AQ41" s="13">
        <f t="shared" si="13"/>
        <v>1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3</v>
      </c>
      <c r="AX41" s="13">
        <f t="shared" si="13"/>
        <v>0</v>
      </c>
      <c r="AY41" s="13">
        <f t="shared" si="13"/>
        <v>0</v>
      </c>
      <c r="AZ41" s="13">
        <f t="shared" si="13"/>
        <v>1</v>
      </c>
      <c r="BA41" s="13">
        <f t="shared" si="13"/>
        <v>0</v>
      </c>
      <c r="BB41" s="13">
        <f t="shared" si="13"/>
        <v>0</v>
      </c>
      <c r="BC41" s="13">
        <f t="shared" si="13"/>
        <v>0</v>
      </c>
      <c r="BD41" s="13">
        <f t="shared" si="13"/>
        <v>0</v>
      </c>
      <c r="BE41" s="13">
        <f t="shared" si="13"/>
        <v>0</v>
      </c>
      <c r="BF41" s="13">
        <f t="shared" si="13"/>
        <v>2</v>
      </c>
      <c r="BG41" s="13">
        <f t="shared" si="13"/>
        <v>1</v>
      </c>
      <c r="BH41" s="13">
        <f t="shared" si="13"/>
        <v>1</v>
      </c>
      <c r="BI41" s="13">
        <f t="shared" si="13"/>
        <v>1</v>
      </c>
      <c r="BJ41" s="13">
        <f t="shared" si="13"/>
        <v>0</v>
      </c>
      <c r="BK41" s="13">
        <f t="shared" si="13"/>
        <v>0</v>
      </c>
      <c r="BL41" s="13">
        <f t="shared" si="12"/>
        <v>34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19"/>
      <c r="Q42" s="19"/>
      <c r="R42" s="19"/>
      <c r="S42" s="59"/>
      <c r="T42" s="19"/>
      <c r="U42" s="19"/>
      <c r="V42" s="19"/>
      <c r="W42" s="19"/>
      <c r="X42" s="59"/>
      <c r="Y42" s="19"/>
      <c r="Z42" s="19"/>
      <c r="AA42" s="19"/>
      <c r="AB42" s="19"/>
      <c r="AC42" s="59"/>
      <c r="AD42" s="19"/>
      <c r="AE42" s="19"/>
      <c r="AF42" s="19"/>
      <c r="AG42" s="19"/>
      <c r="AH42" s="59"/>
      <c r="AI42" s="19"/>
      <c r="AJ42" s="19"/>
      <c r="AK42" s="19"/>
      <c r="AL42" s="19"/>
      <c r="AM42" s="59"/>
      <c r="AN42" s="19"/>
      <c r="AO42" s="19"/>
      <c r="AP42" s="19"/>
      <c r="AQ42" s="19"/>
      <c r="AR42" s="59"/>
      <c r="AS42" s="19"/>
      <c r="AT42" s="19"/>
      <c r="AU42" s="19"/>
      <c r="AV42" s="19"/>
      <c r="AW42" s="59"/>
      <c r="AX42" s="19"/>
      <c r="AY42" s="19"/>
      <c r="AZ42" s="19"/>
      <c r="BA42" s="19"/>
      <c r="BB42" s="59"/>
      <c r="BC42" s="19"/>
      <c r="BD42" s="19"/>
      <c r="BE42" s="19"/>
      <c r="BF42" s="19"/>
      <c r="BG42" s="59"/>
      <c r="BH42" s="19"/>
      <c r="BI42" s="19"/>
      <c r="BJ42" s="19"/>
      <c r="BK42" s="19"/>
      <c r="BL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  <c r="Q43" s="13"/>
      <c r="R43" s="13"/>
      <c r="S43" s="61"/>
      <c r="T43" s="13"/>
      <c r="U43" s="13"/>
      <c r="V43" s="13"/>
      <c r="W43" s="13"/>
      <c r="X43" s="61"/>
      <c r="Y43" s="13"/>
      <c r="Z43" s="13"/>
      <c r="AA43" s="13"/>
      <c r="AB43" s="13"/>
      <c r="AC43" s="61"/>
      <c r="AD43" s="13"/>
      <c r="AE43" s="13"/>
      <c r="AF43" s="13"/>
      <c r="AG43" s="13"/>
      <c r="AH43" s="61"/>
      <c r="AI43" s="13"/>
      <c r="AJ43" s="13"/>
      <c r="AK43" s="13"/>
      <c r="AL43" s="13"/>
      <c r="AM43" s="61"/>
      <c r="AN43" s="13"/>
      <c r="AO43" s="13"/>
      <c r="AP43" s="13"/>
      <c r="AQ43" s="13"/>
      <c r="AR43" s="61"/>
      <c r="AS43" s="13"/>
      <c r="AT43" s="13"/>
      <c r="AU43" s="13"/>
      <c r="AV43" s="13"/>
      <c r="AW43" s="61"/>
      <c r="AX43" s="13"/>
      <c r="AY43" s="13"/>
      <c r="AZ43" s="13"/>
      <c r="BA43" s="13"/>
      <c r="BB43" s="61"/>
      <c r="BC43" s="13"/>
      <c r="BD43" s="13"/>
      <c r="BE43" s="13"/>
      <c r="BF43" s="13"/>
      <c r="BG43" s="61"/>
      <c r="BH43" s="13"/>
      <c r="BI43" s="13"/>
      <c r="BJ43" s="13"/>
      <c r="BK43" s="13"/>
      <c r="BL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9"/>
      <c r="Q44" s="19"/>
      <c r="R44" s="19"/>
      <c r="S44" s="59"/>
      <c r="T44" s="19"/>
      <c r="U44" s="19"/>
      <c r="V44" s="19"/>
      <c r="W44" s="19"/>
      <c r="X44" s="59"/>
      <c r="Y44" s="19"/>
      <c r="Z44" s="19"/>
      <c r="AA44" s="19"/>
      <c r="AB44" s="19"/>
      <c r="AC44" s="59"/>
      <c r="AD44" s="19"/>
      <c r="AE44" s="19"/>
      <c r="AF44" s="19"/>
      <c r="AG44" s="19"/>
      <c r="AH44" s="59"/>
      <c r="AI44" s="19"/>
      <c r="AJ44" s="19"/>
      <c r="AK44" s="19"/>
      <c r="AL44" s="19"/>
      <c r="AM44" s="59"/>
      <c r="AN44" s="19"/>
      <c r="AO44" s="19"/>
      <c r="AP44" s="19"/>
      <c r="AQ44" s="19"/>
      <c r="AR44" s="59"/>
      <c r="AS44" s="19"/>
      <c r="AT44" s="19"/>
      <c r="AU44" s="19"/>
      <c r="AV44" s="19"/>
      <c r="AW44" s="59"/>
      <c r="AX44" s="19"/>
      <c r="AY44" s="19"/>
      <c r="AZ44" s="19"/>
      <c r="BA44" s="19"/>
      <c r="BB44" s="59"/>
      <c r="BC44" s="19"/>
      <c r="BD44" s="19"/>
      <c r="BE44" s="19"/>
      <c r="BF44" s="19"/>
      <c r="BG44" s="59"/>
      <c r="BH44" s="19"/>
      <c r="BI44" s="19"/>
      <c r="BJ44" s="19"/>
      <c r="BK44" s="19"/>
      <c r="BL44" s="13"/>
    </row>
    <row r="45" ht="12.75" customHeight="1">
      <c r="A45" s="62"/>
      <c r="B45" s="47">
        <v>1.0</v>
      </c>
      <c r="C45" s="48" t="s">
        <v>37</v>
      </c>
      <c r="D45" s="16"/>
      <c r="E45" s="19">
        <v>17.0</v>
      </c>
      <c r="F45" s="19">
        <v>40.0</v>
      </c>
      <c r="G45" s="19">
        <v>44.0</v>
      </c>
      <c r="H45" s="19">
        <v>20.0</v>
      </c>
      <c r="I45" s="19">
        <v>48.0</v>
      </c>
      <c r="J45" s="19">
        <v>37.0</v>
      </c>
      <c r="K45" s="19">
        <v>33.0</v>
      </c>
      <c r="L45" s="19">
        <v>43.0</v>
      </c>
      <c r="M45" s="19">
        <v>47.0</v>
      </c>
      <c r="N45" s="19">
        <v>43.0</v>
      </c>
      <c r="O45" s="19">
        <v>55.0</v>
      </c>
      <c r="P45" s="19">
        <v>60.0</v>
      </c>
      <c r="Q45" s="19">
        <v>43.0</v>
      </c>
      <c r="R45" s="19">
        <v>41.0</v>
      </c>
      <c r="S45" s="19">
        <v>30.0</v>
      </c>
      <c r="T45" s="19">
        <v>48.0</v>
      </c>
      <c r="U45" s="19">
        <v>54.0</v>
      </c>
      <c r="V45" s="19">
        <v>73.0</v>
      </c>
      <c r="W45" s="19">
        <v>46.0</v>
      </c>
      <c r="X45" s="19">
        <v>78.0</v>
      </c>
      <c r="Y45" s="19">
        <v>70.0</v>
      </c>
      <c r="Z45" s="19">
        <v>56.0</v>
      </c>
      <c r="AA45" s="19">
        <v>72.0</v>
      </c>
      <c r="AB45" s="19">
        <v>76.0</v>
      </c>
      <c r="AC45" s="19">
        <v>57.0</v>
      </c>
      <c r="AD45" s="19">
        <v>51.0</v>
      </c>
      <c r="AE45" s="19">
        <v>27.0</v>
      </c>
      <c r="AF45" s="19">
        <v>26.0</v>
      </c>
      <c r="AG45" s="19">
        <v>30.0</v>
      </c>
      <c r="AH45" s="19">
        <v>13.0</v>
      </c>
      <c r="AI45" s="19">
        <v>25.0</v>
      </c>
      <c r="AJ45" s="19">
        <v>23.0</v>
      </c>
      <c r="AK45" s="19">
        <v>21.0</v>
      </c>
      <c r="AL45" s="19">
        <v>32.0</v>
      </c>
      <c r="AM45" s="19">
        <v>34.0</v>
      </c>
      <c r="AN45" s="19">
        <v>34.0</v>
      </c>
      <c r="AO45" s="19">
        <v>41.0</v>
      </c>
      <c r="AP45" s="19">
        <v>27.0</v>
      </c>
      <c r="AQ45" s="19">
        <v>46.0</v>
      </c>
      <c r="AR45" s="19">
        <v>22.0</v>
      </c>
      <c r="AS45" s="19">
        <v>23.0</v>
      </c>
      <c r="AT45" s="19">
        <v>15.0</v>
      </c>
      <c r="AU45" s="19">
        <v>43.0</v>
      </c>
      <c r="AV45" s="19">
        <v>51.0</v>
      </c>
      <c r="AW45" s="19">
        <v>30.0</v>
      </c>
      <c r="AX45" s="19">
        <v>40.0</v>
      </c>
      <c r="AY45" s="19">
        <v>24.0</v>
      </c>
      <c r="AZ45" s="19">
        <v>19.0</v>
      </c>
      <c r="BA45" s="19">
        <v>11.0</v>
      </c>
      <c r="BB45" s="19">
        <v>6.0</v>
      </c>
      <c r="BC45" s="19">
        <v>17.0</v>
      </c>
      <c r="BD45" s="19">
        <v>30.0</v>
      </c>
      <c r="BE45" s="19">
        <v>13.0</v>
      </c>
      <c r="BF45" s="19">
        <v>11.0</v>
      </c>
      <c r="BG45" s="19">
        <v>16.0</v>
      </c>
      <c r="BH45" s="19">
        <v>52.0</v>
      </c>
      <c r="BI45" s="19">
        <v>17.0</v>
      </c>
      <c r="BJ45" s="19">
        <v>19.0</v>
      </c>
      <c r="BK45" s="19">
        <v>46.0</v>
      </c>
      <c r="BL45" s="13">
        <f t="shared" ref="BL45:BL47" si="14">SUM(E45:BK45)</f>
        <v>2166</v>
      </c>
    </row>
    <row r="46" ht="12.75" customHeight="1">
      <c r="A46" s="18"/>
      <c r="B46" s="47">
        <v>2.0</v>
      </c>
      <c r="C46" s="48" t="s">
        <v>38</v>
      </c>
      <c r="D46" s="16"/>
      <c r="E46" s="19">
        <v>133.0</v>
      </c>
      <c r="F46" s="19">
        <v>152.0</v>
      </c>
      <c r="G46" s="19">
        <v>135.0</v>
      </c>
      <c r="H46" s="19">
        <v>181.0</v>
      </c>
      <c r="I46" s="19">
        <v>150.0</v>
      </c>
      <c r="J46" s="19">
        <v>147.0</v>
      </c>
      <c r="K46" s="19">
        <v>147.0</v>
      </c>
      <c r="L46" s="19">
        <v>150.0</v>
      </c>
      <c r="M46" s="19">
        <v>139.0</v>
      </c>
      <c r="N46" s="19">
        <v>115.0</v>
      </c>
      <c r="O46" s="19">
        <v>127.0</v>
      </c>
      <c r="P46" s="19">
        <v>114.0</v>
      </c>
      <c r="Q46" s="19">
        <v>155.0</v>
      </c>
      <c r="R46" s="19">
        <v>129.0</v>
      </c>
      <c r="S46" s="19">
        <v>147.0</v>
      </c>
      <c r="T46" s="19">
        <v>141.0</v>
      </c>
      <c r="U46" s="19">
        <v>123.0</v>
      </c>
      <c r="V46" s="19">
        <v>125.0</v>
      </c>
      <c r="W46" s="19">
        <v>139.0</v>
      </c>
      <c r="X46" s="19">
        <v>121.0</v>
      </c>
      <c r="Y46" s="19">
        <v>106.0</v>
      </c>
      <c r="Z46" s="19">
        <v>133.0</v>
      </c>
      <c r="AA46" s="19">
        <v>106.0</v>
      </c>
      <c r="AB46" s="19">
        <v>109.0</v>
      </c>
      <c r="AC46" s="19">
        <v>130.0</v>
      </c>
      <c r="AD46" s="19">
        <v>125.0</v>
      </c>
      <c r="AE46" s="19">
        <v>135.0</v>
      </c>
      <c r="AF46" s="19">
        <v>135.0</v>
      </c>
      <c r="AG46" s="19">
        <v>146.0</v>
      </c>
      <c r="AH46" s="19">
        <v>127.0</v>
      </c>
      <c r="AI46" s="19">
        <v>78.0</v>
      </c>
      <c r="AJ46" s="19">
        <v>111.0</v>
      </c>
      <c r="AK46" s="19">
        <v>102.0</v>
      </c>
      <c r="AL46" s="19">
        <v>157.0</v>
      </c>
      <c r="AM46" s="19">
        <v>108.0</v>
      </c>
      <c r="AN46" s="19">
        <v>112.0</v>
      </c>
      <c r="AO46" s="19">
        <v>112.0</v>
      </c>
      <c r="AP46" s="19">
        <v>120.0</v>
      </c>
      <c r="AQ46" s="19">
        <v>135.0</v>
      </c>
      <c r="AR46" s="19">
        <v>139.0</v>
      </c>
      <c r="AS46" s="19">
        <v>118.0</v>
      </c>
      <c r="AT46" s="19">
        <v>110.0</v>
      </c>
      <c r="AU46" s="19">
        <v>100.0</v>
      </c>
      <c r="AV46" s="19">
        <v>113.0</v>
      </c>
      <c r="AW46" s="19">
        <v>108.0</v>
      </c>
      <c r="AX46" s="19">
        <v>145.0</v>
      </c>
      <c r="AY46" s="19">
        <v>126.0</v>
      </c>
      <c r="AZ46" s="19">
        <v>158.0</v>
      </c>
      <c r="BA46" s="19">
        <v>171.0</v>
      </c>
      <c r="BB46" s="19">
        <v>143.0</v>
      </c>
      <c r="BC46" s="19">
        <v>119.0</v>
      </c>
      <c r="BD46" s="19">
        <v>147.0</v>
      </c>
      <c r="BE46" s="19">
        <v>119.0</v>
      </c>
      <c r="BF46" s="19">
        <v>156.0</v>
      </c>
      <c r="BG46" s="19">
        <v>126.0</v>
      </c>
      <c r="BH46" s="19">
        <v>152.0</v>
      </c>
      <c r="BI46" s="19">
        <v>140.0</v>
      </c>
      <c r="BJ46" s="19">
        <v>128.0</v>
      </c>
      <c r="BK46" s="19">
        <v>123.0</v>
      </c>
      <c r="BL46" s="13">
        <f t="shared" si="14"/>
        <v>7698</v>
      </c>
    </row>
    <row r="47" ht="12.75" customHeight="1">
      <c r="A47" s="45"/>
      <c r="B47" s="47">
        <v>3.0</v>
      </c>
      <c r="C47" s="48" t="s">
        <v>39</v>
      </c>
      <c r="D47" s="16"/>
      <c r="E47" s="19">
        <v>29.0</v>
      </c>
      <c r="F47" s="19">
        <v>30.0</v>
      </c>
      <c r="G47" s="19">
        <v>29.0</v>
      </c>
      <c r="H47" s="19">
        <v>19.0</v>
      </c>
      <c r="I47" s="19">
        <v>29.0</v>
      </c>
      <c r="J47" s="19">
        <v>21.0</v>
      </c>
      <c r="K47" s="19">
        <v>18.0</v>
      </c>
      <c r="L47" s="19">
        <v>24.0</v>
      </c>
      <c r="M47" s="19">
        <v>30.0</v>
      </c>
      <c r="N47" s="19">
        <v>35.0</v>
      </c>
      <c r="O47" s="19">
        <v>37.0</v>
      </c>
      <c r="P47" s="19">
        <v>25.0</v>
      </c>
      <c r="Q47" s="19">
        <v>30.0</v>
      </c>
      <c r="R47" s="19">
        <v>23.0</v>
      </c>
      <c r="S47" s="19">
        <v>30.0</v>
      </c>
      <c r="T47" s="19">
        <v>40.0</v>
      </c>
      <c r="U47" s="19">
        <v>37.0</v>
      </c>
      <c r="V47" s="19">
        <v>29.0</v>
      </c>
      <c r="W47" s="19">
        <v>41.0</v>
      </c>
      <c r="X47" s="19">
        <v>31.0</v>
      </c>
      <c r="Y47" s="19">
        <v>15.0</v>
      </c>
      <c r="Z47" s="19">
        <v>23.0</v>
      </c>
      <c r="AA47" s="19">
        <v>34.0</v>
      </c>
      <c r="AB47" s="19">
        <v>34.0</v>
      </c>
      <c r="AC47" s="19">
        <v>28.0</v>
      </c>
      <c r="AD47" s="19">
        <v>44.0</v>
      </c>
      <c r="AE47" s="19">
        <v>49.0</v>
      </c>
      <c r="AF47" s="19">
        <v>46.0</v>
      </c>
      <c r="AG47" s="19">
        <v>44.0</v>
      </c>
      <c r="AH47" s="19">
        <v>55.0</v>
      </c>
      <c r="AI47" s="19">
        <v>45.0</v>
      </c>
      <c r="AJ47" s="19">
        <v>41.0</v>
      </c>
      <c r="AK47" s="19">
        <v>47.0</v>
      </c>
      <c r="AL47" s="19">
        <v>37.0</v>
      </c>
      <c r="AM47" s="19">
        <v>40.0</v>
      </c>
      <c r="AN47" s="19">
        <v>44.0</v>
      </c>
      <c r="AO47" s="19">
        <v>34.0</v>
      </c>
      <c r="AP47" s="19">
        <v>26.0</v>
      </c>
      <c r="AQ47" s="19">
        <v>28.0</v>
      </c>
      <c r="AR47" s="19">
        <v>38.0</v>
      </c>
      <c r="AS47" s="19">
        <v>22.0</v>
      </c>
      <c r="AT47" s="19">
        <v>30.0</v>
      </c>
      <c r="AU47" s="19">
        <v>28.0</v>
      </c>
      <c r="AV47" s="19">
        <v>33.0</v>
      </c>
      <c r="AW47" s="19">
        <v>52.0</v>
      </c>
      <c r="AX47" s="19">
        <v>38.0</v>
      </c>
      <c r="AY47" s="19">
        <v>38.0</v>
      </c>
      <c r="AZ47" s="19">
        <v>28.0</v>
      </c>
      <c r="BA47" s="19">
        <v>30.0</v>
      </c>
      <c r="BB47" s="19">
        <v>50.0</v>
      </c>
      <c r="BC47" s="19">
        <v>43.0</v>
      </c>
      <c r="BD47" s="19">
        <v>25.0</v>
      </c>
      <c r="BE47" s="19">
        <v>27.0</v>
      </c>
      <c r="BF47" s="19">
        <v>27.0</v>
      </c>
      <c r="BG47" s="19">
        <v>38.0</v>
      </c>
      <c r="BH47" s="19">
        <v>31.0</v>
      </c>
      <c r="BI47" s="19">
        <v>53.0</v>
      </c>
      <c r="BJ47" s="19">
        <v>42.0</v>
      </c>
      <c r="BK47" s="19">
        <v>36.0</v>
      </c>
      <c r="BL47" s="13">
        <f t="shared" si="14"/>
        <v>2010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13"/>
      <c r="P49" s="13"/>
      <c r="Q49" s="13"/>
      <c r="R49" s="13"/>
      <c r="S49" s="61"/>
      <c r="T49" s="13"/>
      <c r="U49" s="13"/>
      <c r="V49" s="13"/>
      <c r="W49" s="13"/>
      <c r="X49" s="61"/>
      <c r="Y49" s="13"/>
      <c r="Z49" s="13"/>
      <c r="AA49" s="13"/>
      <c r="AB49" s="13"/>
      <c r="AC49" s="61"/>
      <c r="AD49" s="13"/>
      <c r="AE49" s="13"/>
      <c r="AF49" s="13"/>
      <c r="AG49" s="13"/>
      <c r="AH49" s="61"/>
      <c r="AI49" s="13"/>
      <c r="AJ49" s="13"/>
      <c r="AK49" s="13"/>
      <c r="AL49" s="13"/>
      <c r="AM49" s="61"/>
      <c r="AN49" s="13"/>
      <c r="AO49" s="13"/>
      <c r="AP49" s="13"/>
      <c r="AQ49" s="13"/>
      <c r="AR49" s="61"/>
      <c r="AS49" s="13"/>
      <c r="AT49" s="13"/>
      <c r="AU49" s="13"/>
      <c r="AV49" s="13"/>
      <c r="AW49" s="61"/>
      <c r="AX49" s="13"/>
      <c r="AY49" s="13"/>
      <c r="AZ49" s="13"/>
      <c r="BA49" s="13"/>
      <c r="BB49" s="61"/>
      <c r="BC49" s="13"/>
      <c r="BD49" s="13"/>
      <c r="BE49" s="13"/>
      <c r="BF49" s="13"/>
      <c r="BG49" s="61"/>
      <c r="BH49" s="13"/>
      <c r="BI49" s="13"/>
      <c r="BJ49" s="13"/>
      <c r="BK49" s="13"/>
      <c r="BL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BK50" si="15">SUM(E45:E47)</f>
        <v>179</v>
      </c>
      <c r="F50" s="19">
        <f t="shared" si="15"/>
        <v>222</v>
      </c>
      <c r="G50" s="19">
        <f t="shared" si="15"/>
        <v>208</v>
      </c>
      <c r="H50" s="19">
        <f t="shared" si="15"/>
        <v>220</v>
      </c>
      <c r="I50" s="19">
        <f t="shared" si="15"/>
        <v>227</v>
      </c>
      <c r="J50" s="19">
        <f t="shared" si="15"/>
        <v>205</v>
      </c>
      <c r="K50" s="19">
        <f t="shared" si="15"/>
        <v>198</v>
      </c>
      <c r="L50" s="19">
        <f t="shared" si="15"/>
        <v>217</v>
      </c>
      <c r="M50" s="19">
        <f t="shared" si="15"/>
        <v>216</v>
      </c>
      <c r="N50" s="19">
        <f t="shared" si="15"/>
        <v>193</v>
      </c>
      <c r="O50" s="19">
        <f t="shared" si="15"/>
        <v>219</v>
      </c>
      <c r="P50" s="19">
        <f t="shared" si="15"/>
        <v>199</v>
      </c>
      <c r="Q50" s="19">
        <f t="shared" si="15"/>
        <v>228</v>
      </c>
      <c r="R50" s="19">
        <f t="shared" si="15"/>
        <v>193</v>
      </c>
      <c r="S50" s="19">
        <f t="shared" si="15"/>
        <v>207</v>
      </c>
      <c r="T50" s="19">
        <f t="shared" si="15"/>
        <v>229</v>
      </c>
      <c r="U50" s="19">
        <f t="shared" si="15"/>
        <v>214</v>
      </c>
      <c r="V50" s="19">
        <f t="shared" si="15"/>
        <v>227</v>
      </c>
      <c r="W50" s="19">
        <f t="shared" si="15"/>
        <v>226</v>
      </c>
      <c r="X50" s="19">
        <f t="shared" si="15"/>
        <v>230</v>
      </c>
      <c r="Y50" s="19">
        <f t="shared" si="15"/>
        <v>191</v>
      </c>
      <c r="Z50" s="19">
        <f t="shared" si="15"/>
        <v>212</v>
      </c>
      <c r="AA50" s="19">
        <f t="shared" si="15"/>
        <v>212</v>
      </c>
      <c r="AB50" s="19">
        <f t="shared" si="15"/>
        <v>219</v>
      </c>
      <c r="AC50" s="19">
        <f t="shared" si="15"/>
        <v>215</v>
      </c>
      <c r="AD50" s="19">
        <f t="shared" si="15"/>
        <v>220</v>
      </c>
      <c r="AE50" s="19">
        <f t="shared" si="15"/>
        <v>211</v>
      </c>
      <c r="AF50" s="19">
        <f t="shared" si="15"/>
        <v>207</v>
      </c>
      <c r="AG50" s="19">
        <f t="shared" si="15"/>
        <v>220</v>
      </c>
      <c r="AH50" s="19">
        <f t="shared" si="15"/>
        <v>195</v>
      </c>
      <c r="AI50" s="19">
        <f t="shared" si="15"/>
        <v>148</v>
      </c>
      <c r="AJ50" s="19">
        <f t="shared" si="15"/>
        <v>175</v>
      </c>
      <c r="AK50" s="19">
        <f t="shared" si="15"/>
        <v>170</v>
      </c>
      <c r="AL50" s="19">
        <f t="shared" si="15"/>
        <v>226</v>
      </c>
      <c r="AM50" s="19">
        <f t="shared" si="15"/>
        <v>182</v>
      </c>
      <c r="AN50" s="19">
        <f t="shared" si="15"/>
        <v>190</v>
      </c>
      <c r="AO50" s="19">
        <f t="shared" si="15"/>
        <v>187</v>
      </c>
      <c r="AP50" s="19">
        <f t="shared" si="15"/>
        <v>173</v>
      </c>
      <c r="AQ50" s="19">
        <f t="shared" si="15"/>
        <v>209</v>
      </c>
      <c r="AR50" s="19">
        <f t="shared" si="15"/>
        <v>199</v>
      </c>
      <c r="AS50" s="19">
        <f t="shared" si="15"/>
        <v>163</v>
      </c>
      <c r="AT50" s="19">
        <f t="shared" si="15"/>
        <v>155</v>
      </c>
      <c r="AU50" s="19">
        <f t="shared" si="15"/>
        <v>171</v>
      </c>
      <c r="AV50" s="19">
        <f t="shared" si="15"/>
        <v>197</v>
      </c>
      <c r="AW50" s="19">
        <f t="shared" si="15"/>
        <v>190</v>
      </c>
      <c r="AX50" s="19">
        <f t="shared" si="15"/>
        <v>223</v>
      </c>
      <c r="AY50" s="19">
        <f t="shared" si="15"/>
        <v>188</v>
      </c>
      <c r="AZ50" s="19">
        <f t="shared" si="15"/>
        <v>205</v>
      </c>
      <c r="BA50" s="19">
        <f t="shared" si="15"/>
        <v>212</v>
      </c>
      <c r="BB50" s="19">
        <f t="shared" si="15"/>
        <v>199</v>
      </c>
      <c r="BC50" s="19">
        <f t="shared" si="15"/>
        <v>179</v>
      </c>
      <c r="BD50" s="19">
        <f t="shared" si="15"/>
        <v>202</v>
      </c>
      <c r="BE50" s="19">
        <f t="shared" si="15"/>
        <v>159</v>
      </c>
      <c r="BF50" s="19">
        <f t="shared" si="15"/>
        <v>194</v>
      </c>
      <c r="BG50" s="19">
        <f t="shared" si="15"/>
        <v>180</v>
      </c>
      <c r="BH50" s="19">
        <f t="shared" si="15"/>
        <v>235</v>
      </c>
      <c r="BI50" s="19">
        <f t="shared" si="15"/>
        <v>210</v>
      </c>
      <c r="BJ50" s="19">
        <f t="shared" si="15"/>
        <v>189</v>
      </c>
      <c r="BK50" s="19">
        <f t="shared" si="15"/>
        <v>205</v>
      </c>
      <c r="BL50" s="13">
        <f t="shared" ref="BL50:BL52" si="16">SUM(E50:BK50)</f>
        <v>11874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2.0</v>
      </c>
      <c r="F51" s="19">
        <v>5.0</v>
      </c>
      <c r="G51" s="19">
        <v>3.0</v>
      </c>
      <c r="H51" s="19">
        <v>1.0</v>
      </c>
      <c r="I51" s="19">
        <v>2.0</v>
      </c>
      <c r="J51" s="19">
        <v>8.0</v>
      </c>
      <c r="K51" s="19">
        <v>1.0</v>
      </c>
      <c r="L51" s="19">
        <v>4.0</v>
      </c>
      <c r="M51" s="19">
        <v>8.0</v>
      </c>
      <c r="N51" s="19">
        <v>1.0</v>
      </c>
      <c r="O51" s="19">
        <v>1.0</v>
      </c>
      <c r="P51" s="19">
        <v>4.0</v>
      </c>
      <c r="Q51" s="19">
        <v>2.0</v>
      </c>
      <c r="R51" s="19">
        <v>4.0</v>
      </c>
      <c r="S51" s="19">
        <v>2.0</v>
      </c>
      <c r="T51" s="19">
        <v>1.0</v>
      </c>
      <c r="U51" s="19"/>
      <c r="V51" s="19">
        <v>1.0</v>
      </c>
      <c r="W51" s="19">
        <v>2.0</v>
      </c>
      <c r="X51" s="19">
        <v>2.0</v>
      </c>
      <c r="Y51" s="19">
        <v>2.0</v>
      </c>
      <c r="Z51" s="19">
        <v>2.0</v>
      </c>
      <c r="AA51" s="19">
        <v>1.0</v>
      </c>
      <c r="AB51" s="19">
        <v>3.0</v>
      </c>
      <c r="AC51" s="19">
        <v>5.0</v>
      </c>
      <c r="AD51" s="19">
        <v>1.0</v>
      </c>
      <c r="AE51" s="19">
        <v>4.0</v>
      </c>
      <c r="AF51" s="19">
        <v>1.0</v>
      </c>
      <c r="AG51" s="19">
        <v>2.0</v>
      </c>
      <c r="AH51" s="19">
        <v>6.0</v>
      </c>
      <c r="AI51" s="19">
        <v>2.0</v>
      </c>
      <c r="AJ51" s="19">
        <v>4.0</v>
      </c>
      <c r="AK51" s="19">
        <v>1.0</v>
      </c>
      <c r="AL51" s="19">
        <v>1.0</v>
      </c>
      <c r="AM51" s="19">
        <v>5.0</v>
      </c>
      <c r="AN51" s="19">
        <v>3.0</v>
      </c>
      <c r="AO51" s="19">
        <v>1.0</v>
      </c>
      <c r="AP51" s="19">
        <v>2.0</v>
      </c>
      <c r="AQ51" s="19">
        <v>2.0</v>
      </c>
      <c r="AR51" s="19">
        <v>4.0</v>
      </c>
      <c r="AS51" s="19">
        <v>1.0</v>
      </c>
      <c r="AT51" s="19">
        <v>2.0</v>
      </c>
      <c r="AU51" s="19">
        <v>1.0</v>
      </c>
      <c r="AV51" s="19">
        <v>2.0</v>
      </c>
      <c r="AW51" s="19">
        <v>4.0</v>
      </c>
      <c r="AX51" s="19">
        <v>1.0</v>
      </c>
      <c r="AY51" s="19"/>
      <c r="AZ51" s="19">
        <v>6.0</v>
      </c>
      <c r="BA51" s="19">
        <v>3.0</v>
      </c>
      <c r="BB51" s="19">
        <v>6.0</v>
      </c>
      <c r="BC51" s="19">
        <v>6.0</v>
      </c>
      <c r="BD51" s="19">
        <v>1.0</v>
      </c>
      <c r="BE51" s="19">
        <v>5.0</v>
      </c>
      <c r="BF51" s="19"/>
      <c r="BG51" s="19">
        <v>4.0</v>
      </c>
      <c r="BH51" s="19">
        <v>5.0</v>
      </c>
      <c r="BI51" s="19">
        <v>1.0</v>
      </c>
      <c r="BJ51" s="19">
        <v>7.0</v>
      </c>
      <c r="BK51" s="19">
        <v>3.0</v>
      </c>
      <c r="BL51" s="13">
        <f t="shared" si="16"/>
        <v>164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BK52" si="17">SUM(E50:E51)</f>
        <v>181</v>
      </c>
      <c r="F52" s="13">
        <f t="shared" si="17"/>
        <v>227</v>
      </c>
      <c r="G52" s="13">
        <f t="shared" si="17"/>
        <v>211</v>
      </c>
      <c r="H52" s="13">
        <f t="shared" si="17"/>
        <v>221</v>
      </c>
      <c r="I52" s="13">
        <f t="shared" si="17"/>
        <v>229</v>
      </c>
      <c r="J52" s="13">
        <f t="shared" si="17"/>
        <v>213</v>
      </c>
      <c r="K52" s="13">
        <f t="shared" si="17"/>
        <v>199</v>
      </c>
      <c r="L52" s="13">
        <f t="shared" si="17"/>
        <v>221</v>
      </c>
      <c r="M52" s="13">
        <f t="shared" si="17"/>
        <v>224</v>
      </c>
      <c r="N52" s="13">
        <f t="shared" si="17"/>
        <v>194</v>
      </c>
      <c r="O52" s="13">
        <f t="shared" si="17"/>
        <v>220</v>
      </c>
      <c r="P52" s="13">
        <f t="shared" si="17"/>
        <v>203</v>
      </c>
      <c r="Q52" s="13">
        <f t="shared" si="17"/>
        <v>230</v>
      </c>
      <c r="R52" s="13">
        <f t="shared" si="17"/>
        <v>197</v>
      </c>
      <c r="S52" s="13">
        <f t="shared" si="17"/>
        <v>209</v>
      </c>
      <c r="T52" s="13">
        <f t="shared" si="17"/>
        <v>230</v>
      </c>
      <c r="U52" s="13">
        <f t="shared" si="17"/>
        <v>214</v>
      </c>
      <c r="V52" s="13">
        <f t="shared" si="17"/>
        <v>228</v>
      </c>
      <c r="W52" s="13">
        <f t="shared" si="17"/>
        <v>228</v>
      </c>
      <c r="X52" s="13">
        <f t="shared" si="17"/>
        <v>232</v>
      </c>
      <c r="Y52" s="13">
        <f t="shared" si="17"/>
        <v>193</v>
      </c>
      <c r="Z52" s="13">
        <f t="shared" si="17"/>
        <v>214</v>
      </c>
      <c r="AA52" s="13">
        <f t="shared" si="17"/>
        <v>213</v>
      </c>
      <c r="AB52" s="13">
        <f t="shared" si="17"/>
        <v>222</v>
      </c>
      <c r="AC52" s="13">
        <f t="shared" si="17"/>
        <v>220</v>
      </c>
      <c r="AD52" s="13">
        <f t="shared" si="17"/>
        <v>221</v>
      </c>
      <c r="AE52" s="13">
        <f t="shared" si="17"/>
        <v>215</v>
      </c>
      <c r="AF52" s="13">
        <f t="shared" si="17"/>
        <v>208</v>
      </c>
      <c r="AG52" s="13">
        <f t="shared" si="17"/>
        <v>222</v>
      </c>
      <c r="AH52" s="13">
        <f t="shared" si="17"/>
        <v>201</v>
      </c>
      <c r="AI52" s="13">
        <f t="shared" si="17"/>
        <v>150</v>
      </c>
      <c r="AJ52" s="13">
        <f t="shared" si="17"/>
        <v>179</v>
      </c>
      <c r="AK52" s="13">
        <f t="shared" si="17"/>
        <v>171</v>
      </c>
      <c r="AL52" s="13">
        <f t="shared" si="17"/>
        <v>227</v>
      </c>
      <c r="AM52" s="13">
        <f t="shared" si="17"/>
        <v>187</v>
      </c>
      <c r="AN52" s="13">
        <f t="shared" si="17"/>
        <v>193</v>
      </c>
      <c r="AO52" s="13">
        <f t="shared" si="17"/>
        <v>188</v>
      </c>
      <c r="AP52" s="13">
        <f t="shared" si="17"/>
        <v>175</v>
      </c>
      <c r="AQ52" s="13">
        <f t="shared" si="17"/>
        <v>211</v>
      </c>
      <c r="AR52" s="13">
        <f t="shared" si="17"/>
        <v>203</v>
      </c>
      <c r="AS52" s="13">
        <f t="shared" si="17"/>
        <v>164</v>
      </c>
      <c r="AT52" s="13">
        <f t="shared" si="17"/>
        <v>157</v>
      </c>
      <c r="AU52" s="13">
        <f t="shared" si="17"/>
        <v>172</v>
      </c>
      <c r="AV52" s="13">
        <f t="shared" si="17"/>
        <v>199</v>
      </c>
      <c r="AW52" s="13">
        <f t="shared" si="17"/>
        <v>194</v>
      </c>
      <c r="AX52" s="13">
        <f t="shared" si="17"/>
        <v>224</v>
      </c>
      <c r="AY52" s="13">
        <f t="shared" si="17"/>
        <v>188</v>
      </c>
      <c r="AZ52" s="13">
        <f t="shared" si="17"/>
        <v>211</v>
      </c>
      <c r="BA52" s="13">
        <f t="shared" si="17"/>
        <v>215</v>
      </c>
      <c r="BB52" s="13">
        <f t="shared" si="17"/>
        <v>205</v>
      </c>
      <c r="BC52" s="13">
        <f t="shared" si="17"/>
        <v>185</v>
      </c>
      <c r="BD52" s="13">
        <f t="shared" si="17"/>
        <v>203</v>
      </c>
      <c r="BE52" s="13">
        <f t="shared" si="17"/>
        <v>164</v>
      </c>
      <c r="BF52" s="13">
        <f t="shared" si="17"/>
        <v>194</v>
      </c>
      <c r="BG52" s="13">
        <f t="shared" si="17"/>
        <v>184</v>
      </c>
      <c r="BH52" s="13">
        <f t="shared" si="17"/>
        <v>240</v>
      </c>
      <c r="BI52" s="13">
        <f t="shared" si="17"/>
        <v>211</v>
      </c>
      <c r="BJ52" s="13">
        <f t="shared" si="17"/>
        <v>196</v>
      </c>
      <c r="BK52" s="13">
        <f t="shared" si="17"/>
        <v>208</v>
      </c>
      <c r="BL52" s="13">
        <f t="shared" si="16"/>
        <v>12038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BK12"/>
    <mergeCell ref="BL12:BL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BK15 E45:BK47">
    <cfRule type="containsBlanks" dxfId="1" priority="1">
      <formula>LEN(TRIM(E14))=0</formula>
    </cfRule>
  </conditionalFormatting>
  <conditionalFormatting sqref="E19:BK20">
    <cfRule type="containsBlanks" dxfId="1" priority="2">
      <formula>LEN(TRIM(E19))=0</formula>
    </cfRule>
  </conditionalFormatting>
  <conditionalFormatting sqref="E22:BK23 E25:BK26 E33:BK33 E35:BK35 E39:BK40">
    <cfRule type="containsBlanks" dxfId="1" priority="3">
      <formula>LEN(TRIM(E22))=0</formula>
    </cfRule>
  </conditionalFormatting>
  <conditionalFormatting sqref="E30:BK30">
    <cfRule type="expression" dxfId="0" priority="4">
      <formula>E30&lt;&gt;E46</formula>
    </cfRule>
  </conditionalFormatting>
  <conditionalFormatting sqref="E30:BK30">
    <cfRule type="expression" dxfId="0" priority="5">
      <formula>E30&lt;&gt;E34</formula>
    </cfRule>
  </conditionalFormatting>
  <conditionalFormatting sqref="E34:BK34">
    <cfRule type="expression" dxfId="2" priority="6">
      <formula>E30&lt;&gt;E34</formula>
    </cfRule>
  </conditionalFormatting>
  <conditionalFormatting sqref="E34:BK34">
    <cfRule type="expression" dxfId="3" priority="7">
      <formula>E30=E34</formula>
    </cfRule>
  </conditionalFormatting>
  <conditionalFormatting sqref="E34:BK34">
    <cfRule type="expression" dxfId="0" priority="8">
      <formula>E34&lt;&gt;E30</formula>
    </cfRule>
  </conditionalFormatting>
  <conditionalFormatting sqref="E34:BK34">
    <cfRule type="expression" dxfId="0" priority="9">
      <formula>E34&lt;&gt;#REF!</formula>
    </cfRule>
  </conditionalFormatting>
  <conditionalFormatting sqref="E50:BK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3" width="8.71"/>
    <col customWidth="1" min="54" max="54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110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74</v>
      </c>
      <c r="AD13" s="13" t="s">
        <v>75</v>
      </c>
      <c r="AE13" s="13" t="s">
        <v>76</v>
      </c>
      <c r="AF13" s="13" t="s">
        <v>77</v>
      </c>
      <c r="AG13" s="13" t="s">
        <v>78</v>
      </c>
      <c r="AH13" s="13" t="s">
        <v>79</v>
      </c>
      <c r="AI13" s="13" t="s">
        <v>80</v>
      </c>
      <c r="AJ13" s="13" t="s">
        <v>81</v>
      </c>
      <c r="AK13" s="13" t="s">
        <v>82</v>
      </c>
      <c r="AL13" s="13" t="s">
        <v>83</v>
      </c>
      <c r="AM13" s="13" t="s">
        <v>84</v>
      </c>
      <c r="AN13" s="13" t="s">
        <v>85</v>
      </c>
      <c r="AO13" s="13" t="s">
        <v>86</v>
      </c>
      <c r="AP13" s="13" t="s">
        <v>87</v>
      </c>
      <c r="AQ13" s="13" t="s">
        <v>88</v>
      </c>
      <c r="AR13" s="13" t="s">
        <v>89</v>
      </c>
      <c r="AS13" s="13" t="s">
        <v>90</v>
      </c>
      <c r="AT13" s="13" t="s">
        <v>91</v>
      </c>
      <c r="AU13" s="13" t="s">
        <v>92</v>
      </c>
      <c r="AV13" s="13" t="s">
        <v>93</v>
      </c>
      <c r="AW13" s="13" t="s">
        <v>94</v>
      </c>
      <c r="AX13" s="13" t="s">
        <v>95</v>
      </c>
      <c r="AY13" s="13" t="s">
        <v>96</v>
      </c>
      <c r="AZ13" s="13" t="s">
        <v>97</v>
      </c>
      <c r="BA13" s="13" t="s">
        <v>98</v>
      </c>
      <c r="BB13" s="36"/>
    </row>
    <row r="14" ht="12.75" customHeight="1">
      <c r="A14" s="18"/>
      <c r="B14" s="22" t="s">
        <v>11</v>
      </c>
      <c r="C14" s="23"/>
      <c r="D14" s="19" t="s">
        <v>12</v>
      </c>
      <c r="E14" s="19">
        <v>96.0</v>
      </c>
      <c r="F14" s="19">
        <v>109.0</v>
      </c>
      <c r="G14" s="19">
        <v>105.0</v>
      </c>
      <c r="H14" s="19">
        <v>130.0</v>
      </c>
      <c r="I14" s="19">
        <v>123.0</v>
      </c>
      <c r="J14" s="19">
        <v>96.0</v>
      </c>
      <c r="K14" s="19">
        <v>115.0</v>
      </c>
      <c r="L14" s="19">
        <v>95.0</v>
      </c>
      <c r="M14" s="19">
        <v>114.0</v>
      </c>
      <c r="N14" s="19">
        <v>104.0</v>
      </c>
      <c r="O14" s="19">
        <v>110.0</v>
      </c>
      <c r="P14" s="19">
        <v>113.0</v>
      </c>
      <c r="Q14" s="19">
        <v>120.0</v>
      </c>
      <c r="R14" s="19">
        <v>86.0</v>
      </c>
      <c r="S14" s="19">
        <v>114.0</v>
      </c>
      <c r="T14" s="19">
        <v>114.0</v>
      </c>
      <c r="U14" s="19">
        <v>102.0</v>
      </c>
      <c r="V14" s="19">
        <v>125.0</v>
      </c>
      <c r="W14" s="19">
        <v>117.0</v>
      </c>
      <c r="X14" s="19">
        <v>90.0</v>
      </c>
      <c r="Y14" s="19">
        <v>112.0</v>
      </c>
      <c r="Z14" s="19">
        <v>88.0</v>
      </c>
      <c r="AA14" s="19">
        <v>87.0</v>
      </c>
      <c r="AB14" s="19">
        <v>130.0</v>
      </c>
      <c r="AC14" s="19">
        <v>106.0</v>
      </c>
      <c r="AD14" s="19">
        <v>116.0</v>
      </c>
      <c r="AE14" s="19">
        <v>119.0</v>
      </c>
      <c r="AF14" s="19">
        <v>120.0</v>
      </c>
      <c r="AG14" s="19">
        <v>105.0</v>
      </c>
      <c r="AH14" s="19">
        <v>102.0</v>
      </c>
      <c r="AI14" s="19">
        <v>101.0</v>
      </c>
      <c r="AJ14" s="19">
        <v>96.0</v>
      </c>
      <c r="AK14" s="19">
        <v>110.0</v>
      </c>
      <c r="AL14" s="19">
        <v>111.0</v>
      </c>
      <c r="AM14" s="19">
        <v>113.0</v>
      </c>
      <c r="AN14" s="19">
        <v>122.0</v>
      </c>
      <c r="AO14" s="19">
        <v>102.0</v>
      </c>
      <c r="AP14" s="19">
        <v>114.0</v>
      </c>
      <c r="AQ14" s="19">
        <v>105.0</v>
      </c>
      <c r="AR14" s="19">
        <v>94.0</v>
      </c>
      <c r="AS14" s="19">
        <v>109.0</v>
      </c>
      <c r="AT14" s="19">
        <v>109.0</v>
      </c>
      <c r="AU14" s="19">
        <v>107.0</v>
      </c>
      <c r="AV14" s="19">
        <v>121.0</v>
      </c>
      <c r="AW14" s="19">
        <v>132.0</v>
      </c>
      <c r="AX14" s="19">
        <v>119.0</v>
      </c>
      <c r="AY14" s="19">
        <v>132.0</v>
      </c>
      <c r="AZ14" s="19">
        <v>133.0</v>
      </c>
      <c r="BA14" s="19">
        <v>118.0</v>
      </c>
      <c r="BB14" s="13">
        <f t="shared" ref="BB14:BB16" si="1">SUM(E14:BA14)</f>
        <v>5411</v>
      </c>
    </row>
    <row r="15" ht="12.75" customHeight="1">
      <c r="A15" s="18"/>
      <c r="B15" s="26"/>
      <c r="C15" s="27"/>
      <c r="D15" s="19" t="s">
        <v>13</v>
      </c>
      <c r="E15" s="19">
        <v>117.0</v>
      </c>
      <c r="F15" s="19">
        <v>107.0</v>
      </c>
      <c r="G15" s="19">
        <v>98.0</v>
      </c>
      <c r="H15" s="19">
        <v>124.0</v>
      </c>
      <c r="I15" s="19">
        <v>124.0</v>
      </c>
      <c r="J15" s="19">
        <v>117.0</v>
      </c>
      <c r="K15" s="19">
        <v>108.0</v>
      </c>
      <c r="L15" s="19">
        <v>96.0</v>
      </c>
      <c r="M15" s="19">
        <v>121.0</v>
      </c>
      <c r="N15" s="19">
        <v>115.0</v>
      </c>
      <c r="O15" s="19">
        <v>105.0</v>
      </c>
      <c r="P15" s="19">
        <v>107.0</v>
      </c>
      <c r="Q15" s="19">
        <v>123.0</v>
      </c>
      <c r="R15" s="19">
        <v>79.0</v>
      </c>
      <c r="S15" s="19">
        <v>106.0</v>
      </c>
      <c r="T15" s="19">
        <v>114.0</v>
      </c>
      <c r="U15" s="19">
        <v>105.0</v>
      </c>
      <c r="V15" s="19">
        <v>114.0</v>
      </c>
      <c r="W15" s="19">
        <v>125.0</v>
      </c>
      <c r="X15" s="19">
        <v>108.0</v>
      </c>
      <c r="Y15" s="19">
        <v>120.0</v>
      </c>
      <c r="Z15" s="19">
        <v>90.0</v>
      </c>
      <c r="AA15" s="19">
        <v>87.0</v>
      </c>
      <c r="AB15" s="19">
        <v>107.0</v>
      </c>
      <c r="AC15" s="19">
        <v>117.0</v>
      </c>
      <c r="AD15" s="19">
        <v>111.0</v>
      </c>
      <c r="AE15" s="19">
        <v>120.0</v>
      </c>
      <c r="AF15" s="19">
        <v>120.0</v>
      </c>
      <c r="AG15" s="19">
        <v>98.0</v>
      </c>
      <c r="AH15" s="19">
        <v>101.0</v>
      </c>
      <c r="AI15" s="19">
        <v>101.0</v>
      </c>
      <c r="AJ15" s="19">
        <v>110.0</v>
      </c>
      <c r="AK15" s="19">
        <v>111.0</v>
      </c>
      <c r="AL15" s="19">
        <v>110.0</v>
      </c>
      <c r="AM15" s="19">
        <v>92.0</v>
      </c>
      <c r="AN15" s="19">
        <v>110.0</v>
      </c>
      <c r="AO15" s="19">
        <v>109.0</v>
      </c>
      <c r="AP15" s="19">
        <v>120.0</v>
      </c>
      <c r="AQ15" s="19">
        <v>97.0</v>
      </c>
      <c r="AR15" s="19">
        <v>103.0</v>
      </c>
      <c r="AS15" s="19">
        <v>101.0</v>
      </c>
      <c r="AT15" s="19">
        <v>143.0</v>
      </c>
      <c r="AU15" s="19">
        <v>106.0</v>
      </c>
      <c r="AV15" s="19">
        <v>124.0</v>
      </c>
      <c r="AW15" s="19">
        <v>133.0</v>
      </c>
      <c r="AX15" s="19">
        <v>118.0</v>
      </c>
      <c r="AY15" s="19">
        <v>139.0</v>
      </c>
      <c r="AZ15" s="19">
        <v>135.0</v>
      </c>
      <c r="BA15" s="19">
        <v>126.0</v>
      </c>
      <c r="BB15" s="13">
        <f t="shared" si="1"/>
        <v>5472</v>
      </c>
    </row>
    <row r="16" ht="12.75" customHeight="1">
      <c r="A16" s="25"/>
      <c r="B16" s="21"/>
      <c r="C16" s="28"/>
      <c r="D16" s="13" t="s">
        <v>14</v>
      </c>
      <c r="E16" s="13">
        <f t="shared" ref="E16:BA16" si="2">SUM(E14:E15)</f>
        <v>213</v>
      </c>
      <c r="F16" s="13">
        <f t="shared" si="2"/>
        <v>216</v>
      </c>
      <c r="G16" s="13">
        <f t="shared" si="2"/>
        <v>203</v>
      </c>
      <c r="H16" s="13">
        <f t="shared" si="2"/>
        <v>254</v>
      </c>
      <c r="I16" s="13">
        <f t="shared" si="2"/>
        <v>247</v>
      </c>
      <c r="J16" s="13">
        <f t="shared" si="2"/>
        <v>213</v>
      </c>
      <c r="K16" s="13">
        <f t="shared" si="2"/>
        <v>223</v>
      </c>
      <c r="L16" s="13">
        <f t="shared" si="2"/>
        <v>191</v>
      </c>
      <c r="M16" s="13">
        <f t="shared" si="2"/>
        <v>235</v>
      </c>
      <c r="N16" s="13">
        <f t="shared" si="2"/>
        <v>219</v>
      </c>
      <c r="O16" s="13">
        <f t="shared" si="2"/>
        <v>215</v>
      </c>
      <c r="P16" s="13">
        <f t="shared" si="2"/>
        <v>220</v>
      </c>
      <c r="Q16" s="13">
        <f t="shared" si="2"/>
        <v>243</v>
      </c>
      <c r="R16" s="13">
        <f t="shared" si="2"/>
        <v>165</v>
      </c>
      <c r="S16" s="13">
        <f t="shared" si="2"/>
        <v>220</v>
      </c>
      <c r="T16" s="13">
        <f t="shared" si="2"/>
        <v>228</v>
      </c>
      <c r="U16" s="13">
        <f t="shared" si="2"/>
        <v>207</v>
      </c>
      <c r="V16" s="13">
        <f t="shared" si="2"/>
        <v>239</v>
      </c>
      <c r="W16" s="13">
        <f t="shared" si="2"/>
        <v>242</v>
      </c>
      <c r="X16" s="13">
        <f t="shared" si="2"/>
        <v>198</v>
      </c>
      <c r="Y16" s="13">
        <f t="shared" si="2"/>
        <v>232</v>
      </c>
      <c r="Z16" s="13">
        <f t="shared" si="2"/>
        <v>178</v>
      </c>
      <c r="AA16" s="13">
        <f t="shared" si="2"/>
        <v>174</v>
      </c>
      <c r="AB16" s="13">
        <f t="shared" si="2"/>
        <v>237</v>
      </c>
      <c r="AC16" s="13">
        <f t="shared" si="2"/>
        <v>223</v>
      </c>
      <c r="AD16" s="13">
        <f t="shared" si="2"/>
        <v>227</v>
      </c>
      <c r="AE16" s="13">
        <f t="shared" si="2"/>
        <v>239</v>
      </c>
      <c r="AF16" s="13">
        <f t="shared" si="2"/>
        <v>240</v>
      </c>
      <c r="AG16" s="13">
        <f t="shared" si="2"/>
        <v>203</v>
      </c>
      <c r="AH16" s="13">
        <f t="shared" si="2"/>
        <v>203</v>
      </c>
      <c r="AI16" s="13">
        <f t="shared" si="2"/>
        <v>202</v>
      </c>
      <c r="AJ16" s="13">
        <f t="shared" si="2"/>
        <v>206</v>
      </c>
      <c r="AK16" s="13">
        <f t="shared" si="2"/>
        <v>221</v>
      </c>
      <c r="AL16" s="13">
        <f t="shared" si="2"/>
        <v>221</v>
      </c>
      <c r="AM16" s="13">
        <f t="shared" si="2"/>
        <v>205</v>
      </c>
      <c r="AN16" s="13">
        <f t="shared" si="2"/>
        <v>232</v>
      </c>
      <c r="AO16" s="13">
        <f t="shared" si="2"/>
        <v>211</v>
      </c>
      <c r="AP16" s="13">
        <f t="shared" si="2"/>
        <v>234</v>
      </c>
      <c r="AQ16" s="13">
        <f t="shared" si="2"/>
        <v>202</v>
      </c>
      <c r="AR16" s="13">
        <f t="shared" si="2"/>
        <v>197</v>
      </c>
      <c r="AS16" s="13">
        <f t="shared" si="2"/>
        <v>210</v>
      </c>
      <c r="AT16" s="13">
        <f t="shared" si="2"/>
        <v>252</v>
      </c>
      <c r="AU16" s="13">
        <f t="shared" si="2"/>
        <v>213</v>
      </c>
      <c r="AV16" s="13">
        <f t="shared" si="2"/>
        <v>245</v>
      </c>
      <c r="AW16" s="13">
        <f t="shared" si="2"/>
        <v>265</v>
      </c>
      <c r="AX16" s="13">
        <f t="shared" si="2"/>
        <v>237</v>
      </c>
      <c r="AY16" s="13">
        <f t="shared" si="2"/>
        <v>271</v>
      </c>
      <c r="AZ16" s="13">
        <f t="shared" si="2"/>
        <v>268</v>
      </c>
      <c r="BA16" s="13">
        <f t="shared" si="2"/>
        <v>244</v>
      </c>
      <c r="BB16" s="13">
        <f t="shared" si="1"/>
        <v>10883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19"/>
      <c r="Q17" s="19"/>
      <c r="R17" s="19"/>
      <c r="S17" s="59"/>
      <c r="T17" s="19"/>
      <c r="U17" s="19"/>
      <c r="V17" s="19"/>
      <c r="W17" s="19"/>
      <c r="X17" s="59"/>
      <c r="Y17" s="19"/>
      <c r="Z17" s="19"/>
      <c r="AA17" s="19"/>
      <c r="AB17" s="19"/>
      <c r="AC17" s="59"/>
      <c r="AD17" s="19"/>
      <c r="AE17" s="19"/>
      <c r="AF17" s="19"/>
      <c r="AG17" s="19"/>
      <c r="AH17" s="59"/>
      <c r="AI17" s="19"/>
      <c r="AJ17" s="19"/>
      <c r="AK17" s="19"/>
      <c r="AL17" s="19"/>
      <c r="AM17" s="59"/>
      <c r="AN17" s="19"/>
      <c r="AO17" s="19"/>
      <c r="AP17" s="19"/>
      <c r="AQ17" s="19"/>
      <c r="AR17" s="59"/>
      <c r="AS17" s="19"/>
      <c r="AT17" s="19"/>
      <c r="AU17" s="19"/>
      <c r="AV17" s="19"/>
      <c r="AW17" s="59"/>
      <c r="AX17" s="19"/>
      <c r="AY17" s="19"/>
      <c r="AZ17" s="19"/>
      <c r="BA17" s="19"/>
      <c r="BB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19"/>
      <c r="Q18" s="19"/>
      <c r="R18" s="19"/>
      <c r="S18" s="59"/>
      <c r="T18" s="19"/>
      <c r="U18" s="19"/>
      <c r="V18" s="19"/>
      <c r="W18" s="19"/>
      <c r="X18" s="59"/>
      <c r="Y18" s="19"/>
      <c r="Z18" s="19"/>
      <c r="AA18" s="19"/>
      <c r="AB18" s="19"/>
      <c r="AC18" s="59"/>
      <c r="AD18" s="19"/>
      <c r="AE18" s="19"/>
      <c r="AF18" s="19"/>
      <c r="AG18" s="19"/>
      <c r="AH18" s="59"/>
      <c r="AI18" s="19"/>
      <c r="AJ18" s="19"/>
      <c r="AK18" s="19"/>
      <c r="AL18" s="19"/>
      <c r="AM18" s="59"/>
      <c r="AN18" s="19"/>
      <c r="AO18" s="19"/>
      <c r="AP18" s="19"/>
      <c r="AQ18" s="19"/>
      <c r="AR18" s="59"/>
      <c r="AS18" s="19"/>
      <c r="AT18" s="19"/>
      <c r="AU18" s="19"/>
      <c r="AV18" s="19"/>
      <c r="AW18" s="59"/>
      <c r="AX18" s="19"/>
      <c r="AY18" s="19"/>
      <c r="AZ18" s="19"/>
      <c r="BA18" s="19"/>
      <c r="BB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64.0</v>
      </c>
      <c r="F19" s="19">
        <v>70.0</v>
      </c>
      <c r="G19" s="19">
        <v>64.0</v>
      </c>
      <c r="H19" s="19">
        <v>93.0</v>
      </c>
      <c r="I19" s="19">
        <v>94.0</v>
      </c>
      <c r="J19" s="19">
        <v>53.0</v>
      </c>
      <c r="K19" s="19">
        <v>76.0</v>
      </c>
      <c r="L19" s="19">
        <v>64.0</v>
      </c>
      <c r="M19" s="19">
        <v>87.0</v>
      </c>
      <c r="N19" s="19">
        <v>73.0</v>
      </c>
      <c r="O19" s="19">
        <v>70.0</v>
      </c>
      <c r="P19" s="19">
        <v>79.0</v>
      </c>
      <c r="Q19" s="19">
        <v>91.0</v>
      </c>
      <c r="R19" s="19">
        <v>60.0</v>
      </c>
      <c r="S19" s="19">
        <v>88.0</v>
      </c>
      <c r="T19" s="19">
        <v>87.0</v>
      </c>
      <c r="U19" s="19">
        <v>72.0</v>
      </c>
      <c r="V19" s="19">
        <v>81.0</v>
      </c>
      <c r="W19" s="19">
        <v>79.0</v>
      </c>
      <c r="X19" s="19">
        <v>70.0</v>
      </c>
      <c r="Y19" s="19">
        <v>92.0</v>
      </c>
      <c r="Z19" s="19">
        <v>60.0</v>
      </c>
      <c r="AA19" s="19">
        <v>52.0</v>
      </c>
      <c r="AB19" s="19">
        <v>100.0</v>
      </c>
      <c r="AC19" s="19">
        <v>86.0</v>
      </c>
      <c r="AD19" s="19">
        <v>88.0</v>
      </c>
      <c r="AE19" s="19">
        <v>92.0</v>
      </c>
      <c r="AF19" s="19">
        <v>87.0</v>
      </c>
      <c r="AG19" s="19">
        <v>76.0</v>
      </c>
      <c r="AH19" s="19">
        <v>76.0</v>
      </c>
      <c r="AI19" s="19">
        <v>77.0</v>
      </c>
      <c r="AJ19" s="19">
        <v>74.0</v>
      </c>
      <c r="AK19" s="19">
        <v>83.0</v>
      </c>
      <c r="AL19" s="19">
        <v>63.0</v>
      </c>
      <c r="AM19" s="19">
        <v>72.0</v>
      </c>
      <c r="AN19" s="19">
        <v>92.0</v>
      </c>
      <c r="AO19" s="19">
        <v>65.0</v>
      </c>
      <c r="AP19" s="19">
        <v>90.0</v>
      </c>
      <c r="AQ19" s="19">
        <v>76.0</v>
      </c>
      <c r="AR19" s="19">
        <v>65.0</v>
      </c>
      <c r="AS19" s="19">
        <v>81.0</v>
      </c>
      <c r="AT19" s="19">
        <v>79.0</v>
      </c>
      <c r="AU19" s="19">
        <v>78.0</v>
      </c>
      <c r="AV19" s="19">
        <v>93.0</v>
      </c>
      <c r="AW19" s="19">
        <v>97.0</v>
      </c>
      <c r="AX19" s="19">
        <v>87.0</v>
      </c>
      <c r="AY19" s="19">
        <v>102.0</v>
      </c>
      <c r="AZ19" s="19">
        <v>97.0</v>
      </c>
      <c r="BA19" s="19">
        <v>81.0</v>
      </c>
      <c r="BB19" s="13">
        <f t="shared" ref="BB19:BB30" si="3">SUM(E19:BA19)</f>
        <v>3876</v>
      </c>
    </row>
    <row r="20" ht="12.75" customHeight="1">
      <c r="A20" s="33"/>
      <c r="B20" s="27"/>
      <c r="C20" s="34"/>
      <c r="D20" s="19" t="s">
        <v>13</v>
      </c>
      <c r="E20" s="19">
        <v>96.0</v>
      </c>
      <c r="F20" s="19">
        <v>74.0</v>
      </c>
      <c r="G20" s="19">
        <v>72.0</v>
      </c>
      <c r="H20" s="19">
        <v>103.0</v>
      </c>
      <c r="I20" s="19">
        <v>93.0</v>
      </c>
      <c r="J20" s="19">
        <v>74.0</v>
      </c>
      <c r="K20" s="19">
        <v>79.0</v>
      </c>
      <c r="L20" s="19">
        <v>65.0</v>
      </c>
      <c r="M20" s="19">
        <v>89.0</v>
      </c>
      <c r="N20" s="19">
        <v>88.0</v>
      </c>
      <c r="O20" s="19">
        <v>78.0</v>
      </c>
      <c r="P20" s="19">
        <v>83.0</v>
      </c>
      <c r="Q20" s="19">
        <v>94.0</v>
      </c>
      <c r="R20" s="19">
        <v>62.0</v>
      </c>
      <c r="S20" s="19">
        <v>89.0</v>
      </c>
      <c r="T20" s="19">
        <v>94.0</v>
      </c>
      <c r="U20" s="19">
        <v>76.0</v>
      </c>
      <c r="V20" s="19">
        <v>86.0</v>
      </c>
      <c r="W20" s="19">
        <v>94.0</v>
      </c>
      <c r="X20" s="19">
        <v>76.0</v>
      </c>
      <c r="Y20" s="19">
        <v>91.0</v>
      </c>
      <c r="Z20" s="19">
        <v>72.0</v>
      </c>
      <c r="AA20" s="19">
        <v>68.0</v>
      </c>
      <c r="AB20" s="19">
        <v>89.0</v>
      </c>
      <c r="AC20" s="19">
        <v>89.0</v>
      </c>
      <c r="AD20" s="19">
        <v>85.0</v>
      </c>
      <c r="AE20" s="19">
        <v>103.0</v>
      </c>
      <c r="AF20" s="19">
        <v>92.0</v>
      </c>
      <c r="AG20" s="19">
        <v>76.0</v>
      </c>
      <c r="AH20" s="19">
        <v>76.0</v>
      </c>
      <c r="AI20" s="19">
        <v>78.0</v>
      </c>
      <c r="AJ20" s="19">
        <v>94.0</v>
      </c>
      <c r="AK20" s="19">
        <v>74.0</v>
      </c>
      <c r="AL20" s="19">
        <v>70.0</v>
      </c>
      <c r="AM20" s="19">
        <v>70.0</v>
      </c>
      <c r="AN20" s="19">
        <v>90.0</v>
      </c>
      <c r="AO20" s="19">
        <v>75.0</v>
      </c>
      <c r="AP20" s="19">
        <v>94.0</v>
      </c>
      <c r="AQ20" s="19">
        <v>76.0</v>
      </c>
      <c r="AR20" s="19">
        <v>84.0</v>
      </c>
      <c r="AS20" s="19">
        <v>81.0</v>
      </c>
      <c r="AT20" s="19">
        <v>105.0</v>
      </c>
      <c r="AU20" s="19">
        <v>84.0</v>
      </c>
      <c r="AV20" s="19">
        <v>103.0</v>
      </c>
      <c r="AW20" s="19">
        <v>96.0</v>
      </c>
      <c r="AX20" s="19">
        <v>90.0</v>
      </c>
      <c r="AY20" s="19">
        <v>109.0</v>
      </c>
      <c r="AZ20" s="19">
        <v>105.0</v>
      </c>
      <c r="BA20" s="19">
        <v>93.0</v>
      </c>
      <c r="BB20" s="13">
        <f t="shared" si="3"/>
        <v>4177</v>
      </c>
    </row>
    <row r="21" ht="12.75" customHeight="1">
      <c r="A21" s="35"/>
      <c r="B21" s="28"/>
      <c r="C21" s="36"/>
      <c r="D21" s="13" t="s">
        <v>14</v>
      </c>
      <c r="E21" s="13">
        <f t="shared" ref="E21:BA21" si="4">SUM(E19:E20)</f>
        <v>160</v>
      </c>
      <c r="F21" s="13">
        <f t="shared" si="4"/>
        <v>144</v>
      </c>
      <c r="G21" s="13">
        <f t="shared" si="4"/>
        <v>136</v>
      </c>
      <c r="H21" s="13">
        <f t="shared" si="4"/>
        <v>196</v>
      </c>
      <c r="I21" s="13">
        <f t="shared" si="4"/>
        <v>187</v>
      </c>
      <c r="J21" s="13">
        <f t="shared" si="4"/>
        <v>127</v>
      </c>
      <c r="K21" s="13">
        <f t="shared" si="4"/>
        <v>155</v>
      </c>
      <c r="L21" s="13">
        <f t="shared" si="4"/>
        <v>129</v>
      </c>
      <c r="M21" s="13">
        <f t="shared" si="4"/>
        <v>176</v>
      </c>
      <c r="N21" s="13">
        <f t="shared" si="4"/>
        <v>161</v>
      </c>
      <c r="O21" s="13">
        <f t="shared" si="4"/>
        <v>148</v>
      </c>
      <c r="P21" s="13">
        <f t="shared" si="4"/>
        <v>162</v>
      </c>
      <c r="Q21" s="13">
        <f t="shared" si="4"/>
        <v>185</v>
      </c>
      <c r="R21" s="13">
        <f t="shared" si="4"/>
        <v>122</v>
      </c>
      <c r="S21" s="13">
        <f t="shared" si="4"/>
        <v>177</v>
      </c>
      <c r="T21" s="13">
        <f t="shared" si="4"/>
        <v>181</v>
      </c>
      <c r="U21" s="13">
        <f t="shared" si="4"/>
        <v>148</v>
      </c>
      <c r="V21" s="13">
        <f t="shared" si="4"/>
        <v>167</v>
      </c>
      <c r="W21" s="13">
        <f t="shared" si="4"/>
        <v>173</v>
      </c>
      <c r="X21" s="13">
        <f t="shared" si="4"/>
        <v>146</v>
      </c>
      <c r="Y21" s="13">
        <f t="shared" si="4"/>
        <v>183</v>
      </c>
      <c r="Z21" s="13">
        <f t="shared" si="4"/>
        <v>132</v>
      </c>
      <c r="AA21" s="13">
        <f t="shared" si="4"/>
        <v>120</v>
      </c>
      <c r="AB21" s="13">
        <f t="shared" si="4"/>
        <v>189</v>
      </c>
      <c r="AC21" s="13">
        <f t="shared" si="4"/>
        <v>175</v>
      </c>
      <c r="AD21" s="13">
        <f t="shared" si="4"/>
        <v>173</v>
      </c>
      <c r="AE21" s="13">
        <f t="shared" si="4"/>
        <v>195</v>
      </c>
      <c r="AF21" s="13">
        <f t="shared" si="4"/>
        <v>179</v>
      </c>
      <c r="AG21" s="13">
        <f t="shared" si="4"/>
        <v>152</v>
      </c>
      <c r="AH21" s="13">
        <f t="shared" si="4"/>
        <v>152</v>
      </c>
      <c r="AI21" s="13">
        <f t="shared" si="4"/>
        <v>155</v>
      </c>
      <c r="AJ21" s="13">
        <f t="shared" si="4"/>
        <v>168</v>
      </c>
      <c r="AK21" s="13">
        <f t="shared" si="4"/>
        <v>157</v>
      </c>
      <c r="AL21" s="13">
        <f t="shared" si="4"/>
        <v>133</v>
      </c>
      <c r="AM21" s="13">
        <f t="shared" si="4"/>
        <v>142</v>
      </c>
      <c r="AN21" s="13">
        <f t="shared" si="4"/>
        <v>182</v>
      </c>
      <c r="AO21" s="13">
        <f t="shared" si="4"/>
        <v>140</v>
      </c>
      <c r="AP21" s="13">
        <f t="shared" si="4"/>
        <v>184</v>
      </c>
      <c r="AQ21" s="13">
        <f t="shared" si="4"/>
        <v>152</v>
      </c>
      <c r="AR21" s="13">
        <f t="shared" si="4"/>
        <v>149</v>
      </c>
      <c r="AS21" s="13">
        <f t="shared" si="4"/>
        <v>162</v>
      </c>
      <c r="AT21" s="13">
        <f t="shared" si="4"/>
        <v>184</v>
      </c>
      <c r="AU21" s="13">
        <f t="shared" si="4"/>
        <v>162</v>
      </c>
      <c r="AV21" s="13">
        <f t="shared" si="4"/>
        <v>196</v>
      </c>
      <c r="AW21" s="13">
        <f t="shared" si="4"/>
        <v>193</v>
      </c>
      <c r="AX21" s="13">
        <f t="shared" si="4"/>
        <v>177</v>
      </c>
      <c r="AY21" s="13">
        <f t="shared" si="4"/>
        <v>211</v>
      </c>
      <c r="AZ21" s="13">
        <f t="shared" si="4"/>
        <v>202</v>
      </c>
      <c r="BA21" s="13">
        <f t="shared" si="4"/>
        <v>174</v>
      </c>
      <c r="BB21" s="13">
        <f t="shared" si="3"/>
        <v>8053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>
        <v>1.0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>
        <v>1.0</v>
      </c>
      <c r="AH22" s="19"/>
      <c r="AI22" s="19">
        <v>7.0</v>
      </c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>
        <v>1.0</v>
      </c>
      <c r="AV22" s="19"/>
      <c r="AW22" s="19"/>
      <c r="AX22" s="19"/>
      <c r="AY22" s="19"/>
      <c r="AZ22" s="19"/>
      <c r="BA22" s="19"/>
      <c r="BB22" s="13">
        <f t="shared" si="3"/>
        <v>10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>
        <v>1.0</v>
      </c>
      <c r="O23" s="19"/>
      <c r="P23" s="19">
        <v>1.0</v>
      </c>
      <c r="Q23" s="19"/>
      <c r="R23" s="19"/>
      <c r="S23" s="19"/>
      <c r="T23" s="19"/>
      <c r="U23" s="19"/>
      <c r="V23" s="19"/>
      <c r="W23" s="19">
        <v>1.0</v>
      </c>
      <c r="X23" s="19">
        <v>1.0</v>
      </c>
      <c r="Y23" s="19"/>
      <c r="Z23" s="19">
        <v>1.0</v>
      </c>
      <c r="AA23" s="19"/>
      <c r="AB23" s="19"/>
      <c r="AC23" s="19"/>
      <c r="AD23" s="19"/>
      <c r="AE23" s="19"/>
      <c r="AF23" s="19"/>
      <c r="AG23" s="19">
        <v>1.0</v>
      </c>
      <c r="AH23" s="19">
        <v>2.0</v>
      </c>
      <c r="AI23" s="19">
        <v>3.0</v>
      </c>
      <c r="AJ23" s="19"/>
      <c r="AK23" s="19"/>
      <c r="AL23" s="19"/>
      <c r="AM23" s="19">
        <v>1.0</v>
      </c>
      <c r="AN23" s="19">
        <v>1.0</v>
      </c>
      <c r="AO23" s="19"/>
      <c r="AP23" s="19"/>
      <c r="AQ23" s="19"/>
      <c r="AR23" s="19">
        <v>1.0</v>
      </c>
      <c r="AS23" s="19"/>
      <c r="AT23" s="19"/>
      <c r="AU23" s="19">
        <v>1.0</v>
      </c>
      <c r="AV23" s="19"/>
      <c r="AW23" s="19"/>
      <c r="AX23" s="19"/>
      <c r="AY23" s="19"/>
      <c r="AZ23" s="19"/>
      <c r="BA23" s="19"/>
      <c r="BB23" s="13">
        <f t="shared" si="3"/>
        <v>15</v>
      </c>
    </row>
    <row r="24" ht="12.75" customHeight="1">
      <c r="A24" s="35"/>
      <c r="B24" s="28"/>
      <c r="C24" s="36"/>
      <c r="D24" s="13" t="s">
        <v>14</v>
      </c>
      <c r="E24" s="13">
        <f t="shared" ref="E24:BA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1</v>
      </c>
      <c r="X24" s="13">
        <f t="shared" si="5"/>
        <v>1</v>
      </c>
      <c r="Y24" s="13">
        <f t="shared" si="5"/>
        <v>0</v>
      </c>
      <c r="Z24" s="13">
        <f t="shared" si="5"/>
        <v>1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2</v>
      </c>
      <c r="AH24" s="13">
        <f t="shared" si="5"/>
        <v>2</v>
      </c>
      <c r="AI24" s="13">
        <f t="shared" si="5"/>
        <v>10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1</v>
      </c>
      <c r="AN24" s="13">
        <f t="shared" si="5"/>
        <v>1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1</v>
      </c>
      <c r="AS24" s="13">
        <f t="shared" si="5"/>
        <v>0</v>
      </c>
      <c r="AT24" s="13">
        <f t="shared" si="5"/>
        <v>0</v>
      </c>
      <c r="AU24" s="13">
        <f t="shared" si="5"/>
        <v>2</v>
      </c>
      <c r="AV24" s="13">
        <f t="shared" si="5"/>
        <v>0</v>
      </c>
      <c r="AW24" s="13">
        <f t="shared" si="5"/>
        <v>0</v>
      </c>
      <c r="AX24" s="13">
        <f t="shared" si="5"/>
        <v>0</v>
      </c>
      <c r="AY24" s="13">
        <f t="shared" si="5"/>
        <v>0</v>
      </c>
      <c r="AZ24" s="13">
        <f t="shared" si="5"/>
        <v>0</v>
      </c>
      <c r="BA24" s="13">
        <f t="shared" si="5"/>
        <v>0</v>
      </c>
      <c r="BB24" s="13">
        <f t="shared" si="3"/>
        <v>25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1.0</v>
      </c>
      <c r="K25" s="19">
        <v>1.0</v>
      </c>
      <c r="L25" s="19">
        <v>7.0</v>
      </c>
      <c r="M25" s="19">
        <v>1.0</v>
      </c>
      <c r="N25" s="19">
        <v>0.0</v>
      </c>
      <c r="O25" s="19">
        <v>0.0</v>
      </c>
      <c r="P25" s="19">
        <v>0.0</v>
      </c>
      <c r="Q25" s="19">
        <v>0.0</v>
      </c>
      <c r="R25" s="19">
        <v>1.0</v>
      </c>
      <c r="S25" s="19">
        <v>3.0</v>
      </c>
      <c r="T25" s="19">
        <v>0.0</v>
      </c>
      <c r="U25" s="19">
        <v>1.0</v>
      </c>
      <c r="V25" s="19">
        <v>2.0</v>
      </c>
      <c r="W25" s="19">
        <v>0.0</v>
      </c>
      <c r="X25" s="19">
        <v>0.0</v>
      </c>
      <c r="Y25" s="19">
        <v>0.0</v>
      </c>
      <c r="Z25" s="19">
        <v>3.0</v>
      </c>
      <c r="AA25" s="19">
        <v>0.0</v>
      </c>
      <c r="AB25" s="19">
        <v>1.0</v>
      </c>
      <c r="AC25" s="19">
        <v>0.0</v>
      </c>
      <c r="AD25" s="19">
        <v>0.0</v>
      </c>
      <c r="AE25" s="19">
        <v>1.0</v>
      </c>
      <c r="AF25" s="19">
        <v>0.0</v>
      </c>
      <c r="AG25" s="19">
        <v>2.0</v>
      </c>
      <c r="AH25" s="19">
        <v>3.0</v>
      </c>
      <c r="AI25" s="19">
        <v>1.0</v>
      </c>
      <c r="AJ25" s="19">
        <v>2.0</v>
      </c>
      <c r="AK25" s="19">
        <v>1.0</v>
      </c>
      <c r="AL25" s="19"/>
      <c r="AM25" s="19"/>
      <c r="AN25" s="19">
        <v>1.0</v>
      </c>
      <c r="AO25" s="19"/>
      <c r="AP25" s="19"/>
      <c r="AQ25" s="19">
        <v>1.0</v>
      </c>
      <c r="AR25" s="19">
        <v>2.0</v>
      </c>
      <c r="AS25" s="19">
        <v>2.0</v>
      </c>
      <c r="AT25" s="19">
        <v>1.0</v>
      </c>
      <c r="AU25" s="19"/>
      <c r="AV25" s="19"/>
      <c r="AW25" s="19"/>
      <c r="AX25" s="19"/>
      <c r="AY25" s="19"/>
      <c r="AZ25" s="19"/>
      <c r="BA25" s="19">
        <v>1.0</v>
      </c>
      <c r="BB25" s="13">
        <f t="shared" si="3"/>
        <v>39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1.0</v>
      </c>
      <c r="K26" s="19">
        <v>1.0</v>
      </c>
      <c r="L26" s="19">
        <v>5.0</v>
      </c>
      <c r="M26" s="19">
        <v>1.0</v>
      </c>
      <c r="N26" s="19">
        <v>0.0</v>
      </c>
      <c r="O26" s="19">
        <v>1.0</v>
      </c>
      <c r="P26" s="19">
        <v>0.0</v>
      </c>
      <c r="Q26" s="19">
        <v>0.0</v>
      </c>
      <c r="R26" s="19">
        <v>3.0</v>
      </c>
      <c r="S26" s="19">
        <v>2.0</v>
      </c>
      <c r="T26" s="19">
        <v>2.0</v>
      </c>
      <c r="U26" s="19">
        <v>0.0</v>
      </c>
      <c r="V26" s="19">
        <v>2.0</v>
      </c>
      <c r="W26" s="19">
        <v>1.0</v>
      </c>
      <c r="X26" s="19">
        <v>0.0</v>
      </c>
      <c r="Y26" s="19">
        <v>0.0</v>
      </c>
      <c r="Z26" s="19">
        <v>5.0</v>
      </c>
      <c r="AA26" s="19">
        <v>1.0</v>
      </c>
      <c r="AB26" s="19">
        <v>1.0</v>
      </c>
      <c r="AC26" s="19">
        <v>0.0</v>
      </c>
      <c r="AD26" s="19">
        <v>0.0</v>
      </c>
      <c r="AE26" s="19">
        <v>2.0</v>
      </c>
      <c r="AF26" s="19">
        <v>0.0</v>
      </c>
      <c r="AG26" s="19">
        <v>2.0</v>
      </c>
      <c r="AH26" s="19">
        <v>1.0</v>
      </c>
      <c r="AI26" s="19">
        <v>2.0</v>
      </c>
      <c r="AJ26" s="19">
        <v>2.0</v>
      </c>
      <c r="AK26" s="19">
        <v>2.0</v>
      </c>
      <c r="AL26" s="19"/>
      <c r="AM26" s="19">
        <v>5.0</v>
      </c>
      <c r="AN26" s="19">
        <v>1.0</v>
      </c>
      <c r="AO26" s="19"/>
      <c r="AP26" s="19"/>
      <c r="AQ26" s="19">
        <v>4.0</v>
      </c>
      <c r="AR26" s="19">
        <v>1.0</v>
      </c>
      <c r="AS26" s="19">
        <v>2.0</v>
      </c>
      <c r="AT26" s="19">
        <v>4.0</v>
      </c>
      <c r="AU26" s="19">
        <v>1.0</v>
      </c>
      <c r="AV26" s="19"/>
      <c r="AW26" s="19"/>
      <c r="AX26" s="19"/>
      <c r="AY26" s="19"/>
      <c r="AZ26" s="19"/>
      <c r="BA26" s="19">
        <v>2.0</v>
      </c>
      <c r="BB26" s="13">
        <f t="shared" si="3"/>
        <v>57</v>
      </c>
    </row>
    <row r="27" ht="12.75" customHeight="1">
      <c r="A27" s="35"/>
      <c r="B27" s="28"/>
      <c r="C27" s="36"/>
      <c r="D27" s="13" t="s">
        <v>14</v>
      </c>
      <c r="E27" s="13">
        <f t="shared" ref="E27:BA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2</v>
      </c>
      <c r="K27" s="13">
        <f t="shared" si="6"/>
        <v>2</v>
      </c>
      <c r="L27" s="13">
        <f t="shared" si="6"/>
        <v>12</v>
      </c>
      <c r="M27" s="13">
        <f t="shared" si="6"/>
        <v>2</v>
      </c>
      <c r="N27" s="13">
        <f t="shared" si="6"/>
        <v>0</v>
      </c>
      <c r="O27" s="13">
        <f t="shared" si="6"/>
        <v>1</v>
      </c>
      <c r="P27" s="13">
        <f t="shared" si="6"/>
        <v>0</v>
      </c>
      <c r="Q27" s="13">
        <f t="shared" si="6"/>
        <v>0</v>
      </c>
      <c r="R27" s="13">
        <f t="shared" si="6"/>
        <v>4</v>
      </c>
      <c r="S27" s="13">
        <f t="shared" si="6"/>
        <v>5</v>
      </c>
      <c r="T27" s="13">
        <f t="shared" si="6"/>
        <v>2</v>
      </c>
      <c r="U27" s="13">
        <f t="shared" si="6"/>
        <v>1</v>
      </c>
      <c r="V27" s="13">
        <f t="shared" si="6"/>
        <v>4</v>
      </c>
      <c r="W27" s="13">
        <f t="shared" si="6"/>
        <v>1</v>
      </c>
      <c r="X27" s="13">
        <f t="shared" si="6"/>
        <v>0</v>
      </c>
      <c r="Y27" s="13">
        <f t="shared" si="6"/>
        <v>0</v>
      </c>
      <c r="Z27" s="13">
        <f t="shared" si="6"/>
        <v>8</v>
      </c>
      <c r="AA27" s="13">
        <f t="shared" si="6"/>
        <v>1</v>
      </c>
      <c r="AB27" s="13">
        <f t="shared" si="6"/>
        <v>2</v>
      </c>
      <c r="AC27" s="13">
        <f t="shared" si="6"/>
        <v>0</v>
      </c>
      <c r="AD27" s="13">
        <f t="shared" si="6"/>
        <v>0</v>
      </c>
      <c r="AE27" s="13">
        <f t="shared" si="6"/>
        <v>3</v>
      </c>
      <c r="AF27" s="13">
        <f t="shared" si="6"/>
        <v>0</v>
      </c>
      <c r="AG27" s="13">
        <f t="shared" si="6"/>
        <v>4</v>
      </c>
      <c r="AH27" s="13">
        <f t="shared" si="6"/>
        <v>4</v>
      </c>
      <c r="AI27" s="13">
        <f t="shared" si="6"/>
        <v>3</v>
      </c>
      <c r="AJ27" s="13">
        <f t="shared" si="6"/>
        <v>4</v>
      </c>
      <c r="AK27" s="13">
        <f t="shared" si="6"/>
        <v>3</v>
      </c>
      <c r="AL27" s="13">
        <f t="shared" si="6"/>
        <v>0</v>
      </c>
      <c r="AM27" s="13">
        <f t="shared" si="6"/>
        <v>5</v>
      </c>
      <c r="AN27" s="13">
        <f t="shared" si="6"/>
        <v>2</v>
      </c>
      <c r="AO27" s="13">
        <f t="shared" si="6"/>
        <v>0</v>
      </c>
      <c r="AP27" s="13">
        <f t="shared" si="6"/>
        <v>0</v>
      </c>
      <c r="AQ27" s="13">
        <f t="shared" si="6"/>
        <v>5</v>
      </c>
      <c r="AR27" s="13">
        <f t="shared" si="6"/>
        <v>3</v>
      </c>
      <c r="AS27" s="13">
        <f t="shared" si="6"/>
        <v>4</v>
      </c>
      <c r="AT27" s="13">
        <f t="shared" si="6"/>
        <v>5</v>
      </c>
      <c r="AU27" s="13">
        <f t="shared" si="6"/>
        <v>1</v>
      </c>
      <c r="AV27" s="13">
        <f t="shared" si="6"/>
        <v>0</v>
      </c>
      <c r="AW27" s="13">
        <f t="shared" si="6"/>
        <v>0</v>
      </c>
      <c r="AX27" s="13">
        <f t="shared" si="6"/>
        <v>0</v>
      </c>
      <c r="AY27" s="13">
        <f t="shared" si="6"/>
        <v>0</v>
      </c>
      <c r="AZ27" s="13">
        <f t="shared" si="6"/>
        <v>0</v>
      </c>
      <c r="BA27" s="13">
        <f t="shared" si="6"/>
        <v>3</v>
      </c>
      <c r="BB27" s="13">
        <f t="shared" si="3"/>
        <v>96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BA28" si="7">SUM(E19,E22,E25)</f>
        <v>64</v>
      </c>
      <c r="F28" s="13">
        <f t="shared" si="7"/>
        <v>70</v>
      </c>
      <c r="G28" s="13">
        <f t="shared" si="7"/>
        <v>65</v>
      </c>
      <c r="H28" s="13">
        <f t="shared" si="7"/>
        <v>93</v>
      </c>
      <c r="I28" s="13">
        <f t="shared" si="7"/>
        <v>94</v>
      </c>
      <c r="J28" s="13">
        <f t="shared" si="7"/>
        <v>54</v>
      </c>
      <c r="K28" s="13">
        <f t="shared" si="7"/>
        <v>77</v>
      </c>
      <c r="L28" s="13">
        <f t="shared" si="7"/>
        <v>71</v>
      </c>
      <c r="M28" s="13">
        <f t="shared" si="7"/>
        <v>88</v>
      </c>
      <c r="N28" s="13">
        <f t="shared" si="7"/>
        <v>73</v>
      </c>
      <c r="O28" s="13">
        <f t="shared" si="7"/>
        <v>70</v>
      </c>
      <c r="P28" s="13">
        <f t="shared" si="7"/>
        <v>79</v>
      </c>
      <c r="Q28" s="13">
        <f t="shared" si="7"/>
        <v>91</v>
      </c>
      <c r="R28" s="13">
        <f t="shared" si="7"/>
        <v>61</v>
      </c>
      <c r="S28" s="13">
        <f t="shared" si="7"/>
        <v>91</v>
      </c>
      <c r="T28" s="13">
        <f t="shared" si="7"/>
        <v>87</v>
      </c>
      <c r="U28" s="13">
        <f t="shared" si="7"/>
        <v>73</v>
      </c>
      <c r="V28" s="13">
        <f t="shared" si="7"/>
        <v>83</v>
      </c>
      <c r="W28" s="13">
        <f t="shared" si="7"/>
        <v>79</v>
      </c>
      <c r="X28" s="13">
        <f t="shared" si="7"/>
        <v>70</v>
      </c>
      <c r="Y28" s="13">
        <f t="shared" si="7"/>
        <v>92</v>
      </c>
      <c r="Z28" s="13">
        <f t="shared" si="7"/>
        <v>63</v>
      </c>
      <c r="AA28" s="13">
        <f t="shared" si="7"/>
        <v>52</v>
      </c>
      <c r="AB28" s="13">
        <f t="shared" si="7"/>
        <v>101</v>
      </c>
      <c r="AC28" s="13">
        <f t="shared" si="7"/>
        <v>86</v>
      </c>
      <c r="AD28" s="13">
        <f t="shared" si="7"/>
        <v>88</v>
      </c>
      <c r="AE28" s="13">
        <f t="shared" si="7"/>
        <v>93</v>
      </c>
      <c r="AF28" s="13">
        <f t="shared" si="7"/>
        <v>87</v>
      </c>
      <c r="AG28" s="13">
        <f t="shared" si="7"/>
        <v>79</v>
      </c>
      <c r="AH28" s="13">
        <f t="shared" si="7"/>
        <v>79</v>
      </c>
      <c r="AI28" s="13">
        <f t="shared" si="7"/>
        <v>85</v>
      </c>
      <c r="AJ28" s="13">
        <f t="shared" si="7"/>
        <v>76</v>
      </c>
      <c r="AK28" s="13">
        <f t="shared" si="7"/>
        <v>84</v>
      </c>
      <c r="AL28" s="13">
        <f t="shared" si="7"/>
        <v>63</v>
      </c>
      <c r="AM28" s="13">
        <f t="shared" si="7"/>
        <v>72</v>
      </c>
      <c r="AN28" s="13">
        <f t="shared" si="7"/>
        <v>93</v>
      </c>
      <c r="AO28" s="13">
        <f t="shared" si="7"/>
        <v>65</v>
      </c>
      <c r="AP28" s="13">
        <f t="shared" si="7"/>
        <v>90</v>
      </c>
      <c r="AQ28" s="13">
        <f t="shared" si="7"/>
        <v>77</v>
      </c>
      <c r="AR28" s="13">
        <f t="shared" si="7"/>
        <v>67</v>
      </c>
      <c r="AS28" s="13">
        <f t="shared" si="7"/>
        <v>83</v>
      </c>
      <c r="AT28" s="13">
        <f t="shared" si="7"/>
        <v>80</v>
      </c>
      <c r="AU28" s="13">
        <f t="shared" si="7"/>
        <v>79</v>
      </c>
      <c r="AV28" s="13">
        <f t="shared" si="7"/>
        <v>93</v>
      </c>
      <c r="AW28" s="13">
        <f t="shared" si="7"/>
        <v>97</v>
      </c>
      <c r="AX28" s="13">
        <f t="shared" si="7"/>
        <v>87</v>
      </c>
      <c r="AY28" s="13">
        <f t="shared" si="7"/>
        <v>102</v>
      </c>
      <c r="AZ28" s="13">
        <f t="shared" si="7"/>
        <v>97</v>
      </c>
      <c r="BA28" s="13">
        <f t="shared" si="7"/>
        <v>82</v>
      </c>
      <c r="BB28" s="13">
        <f t="shared" si="3"/>
        <v>3925</v>
      </c>
    </row>
    <row r="29" ht="12.75" customHeight="1">
      <c r="A29" s="35"/>
      <c r="B29" s="27"/>
      <c r="C29" s="34"/>
      <c r="D29" s="13" t="s">
        <v>13</v>
      </c>
      <c r="E29" s="13">
        <f t="shared" ref="E29:BA29" si="8">SUM(E20,E23,E26)</f>
        <v>96</v>
      </c>
      <c r="F29" s="13">
        <f t="shared" si="8"/>
        <v>74</v>
      </c>
      <c r="G29" s="13">
        <f t="shared" si="8"/>
        <v>72</v>
      </c>
      <c r="H29" s="13">
        <f t="shared" si="8"/>
        <v>103</v>
      </c>
      <c r="I29" s="13">
        <f t="shared" si="8"/>
        <v>93</v>
      </c>
      <c r="J29" s="13">
        <f t="shared" si="8"/>
        <v>75</v>
      </c>
      <c r="K29" s="13">
        <f t="shared" si="8"/>
        <v>80</v>
      </c>
      <c r="L29" s="13">
        <f t="shared" si="8"/>
        <v>70</v>
      </c>
      <c r="M29" s="13">
        <f t="shared" si="8"/>
        <v>90</v>
      </c>
      <c r="N29" s="13">
        <f t="shared" si="8"/>
        <v>89</v>
      </c>
      <c r="O29" s="13">
        <f t="shared" si="8"/>
        <v>79</v>
      </c>
      <c r="P29" s="13">
        <f t="shared" si="8"/>
        <v>84</v>
      </c>
      <c r="Q29" s="13">
        <f t="shared" si="8"/>
        <v>94</v>
      </c>
      <c r="R29" s="13">
        <f t="shared" si="8"/>
        <v>65</v>
      </c>
      <c r="S29" s="13">
        <f t="shared" si="8"/>
        <v>91</v>
      </c>
      <c r="T29" s="13">
        <f t="shared" si="8"/>
        <v>96</v>
      </c>
      <c r="U29" s="13">
        <f t="shared" si="8"/>
        <v>76</v>
      </c>
      <c r="V29" s="13">
        <f t="shared" si="8"/>
        <v>88</v>
      </c>
      <c r="W29" s="13">
        <f t="shared" si="8"/>
        <v>96</v>
      </c>
      <c r="X29" s="13">
        <f t="shared" si="8"/>
        <v>77</v>
      </c>
      <c r="Y29" s="13">
        <f t="shared" si="8"/>
        <v>91</v>
      </c>
      <c r="Z29" s="13">
        <f t="shared" si="8"/>
        <v>78</v>
      </c>
      <c r="AA29" s="13">
        <f t="shared" si="8"/>
        <v>69</v>
      </c>
      <c r="AB29" s="13">
        <f t="shared" si="8"/>
        <v>90</v>
      </c>
      <c r="AC29" s="13">
        <f t="shared" si="8"/>
        <v>89</v>
      </c>
      <c r="AD29" s="13">
        <f t="shared" si="8"/>
        <v>85</v>
      </c>
      <c r="AE29" s="13">
        <f t="shared" si="8"/>
        <v>105</v>
      </c>
      <c r="AF29" s="13">
        <f t="shared" si="8"/>
        <v>92</v>
      </c>
      <c r="AG29" s="13">
        <f t="shared" si="8"/>
        <v>79</v>
      </c>
      <c r="AH29" s="13">
        <f t="shared" si="8"/>
        <v>79</v>
      </c>
      <c r="AI29" s="13">
        <f t="shared" si="8"/>
        <v>83</v>
      </c>
      <c r="AJ29" s="13">
        <f t="shared" si="8"/>
        <v>96</v>
      </c>
      <c r="AK29" s="13">
        <f t="shared" si="8"/>
        <v>76</v>
      </c>
      <c r="AL29" s="13">
        <f t="shared" si="8"/>
        <v>70</v>
      </c>
      <c r="AM29" s="13">
        <f t="shared" si="8"/>
        <v>76</v>
      </c>
      <c r="AN29" s="13">
        <f t="shared" si="8"/>
        <v>92</v>
      </c>
      <c r="AO29" s="13">
        <f t="shared" si="8"/>
        <v>75</v>
      </c>
      <c r="AP29" s="13">
        <f t="shared" si="8"/>
        <v>94</v>
      </c>
      <c r="AQ29" s="13">
        <f t="shared" si="8"/>
        <v>80</v>
      </c>
      <c r="AR29" s="13">
        <f t="shared" si="8"/>
        <v>86</v>
      </c>
      <c r="AS29" s="13">
        <f t="shared" si="8"/>
        <v>83</v>
      </c>
      <c r="AT29" s="13">
        <f t="shared" si="8"/>
        <v>109</v>
      </c>
      <c r="AU29" s="13">
        <f t="shared" si="8"/>
        <v>86</v>
      </c>
      <c r="AV29" s="13">
        <f t="shared" si="8"/>
        <v>103</v>
      </c>
      <c r="AW29" s="13">
        <f t="shared" si="8"/>
        <v>96</v>
      </c>
      <c r="AX29" s="13">
        <f t="shared" si="8"/>
        <v>90</v>
      </c>
      <c r="AY29" s="13">
        <f t="shared" si="8"/>
        <v>109</v>
      </c>
      <c r="AZ29" s="13">
        <f t="shared" si="8"/>
        <v>105</v>
      </c>
      <c r="BA29" s="13">
        <f t="shared" si="8"/>
        <v>95</v>
      </c>
      <c r="BB29" s="13">
        <f t="shared" si="3"/>
        <v>4249</v>
      </c>
    </row>
    <row r="30" ht="12.75" customHeight="1">
      <c r="A30" s="35"/>
      <c r="B30" s="28"/>
      <c r="C30" s="36"/>
      <c r="D30" s="13" t="s">
        <v>14</v>
      </c>
      <c r="E30" s="13">
        <f t="shared" ref="E30:BA30" si="9">SUM(E28:E29)</f>
        <v>160</v>
      </c>
      <c r="F30" s="13">
        <f t="shared" si="9"/>
        <v>144</v>
      </c>
      <c r="G30" s="13">
        <f t="shared" si="9"/>
        <v>137</v>
      </c>
      <c r="H30" s="13">
        <f t="shared" si="9"/>
        <v>196</v>
      </c>
      <c r="I30" s="13">
        <f t="shared" si="9"/>
        <v>187</v>
      </c>
      <c r="J30" s="13">
        <f t="shared" si="9"/>
        <v>129</v>
      </c>
      <c r="K30" s="13">
        <f t="shared" si="9"/>
        <v>157</v>
      </c>
      <c r="L30" s="13">
        <f t="shared" si="9"/>
        <v>141</v>
      </c>
      <c r="M30" s="13">
        <f t="shared" si="9"/>
        <v>178</v>
      </c>
      <c r="N30" s="13">
        <f t="shared" si="9"/>
        <v>162</v>
      </c>
      <c r="O30" s="13">
        <f t="shared" si="9"/>
        <v>149</v>
      </c>
      <c r="P30" s="13">
        <f t="shared" si="9"/>
        <v>163</v>
      </c>
      <c r="Q30" s="13">
        <f t="shared" si="9"/>
        <v>185</v>
      </c>
      <c r="R30" s="13">
        <f t="shared" si="9"/>
        <v>126</v>
      </c>
      <c r="S30" s="13">
        <f t="shared" si="9"/>
        <v>182</v>
      </c>
      <c r="T30" s="13">
        <f t="shared" si="9"/>
        <v>183</v>
      </c>
      <c r="U30" s="13">
        <f t="shared" si="9"/>
        <v>149</v>
      </c>
      <c r="V30" s="13">
        <f t="shared" si="9"/>
        <v>171</v>
      </c>
      <c r="W30" s="13">
        <f t="shared" si="9"/>
        <v>175</v>
      </c>
      <c r="X30" s="13">
        <f t="shared" si="9"/>
        <v>147</v>
      </c>
      <c r="Y30" s="13">
        <f t="shared" si="9"/>
        <v>183</v>
      </c>
      <c r="Z30" s="13">
        <f t="shared" si="9"/>
        <v>141</v>
      </c>
      <c r="AA30" s="13">
        <f t="shared" si="9"/>
        <v>121</v>
      </c>
      <c r="AB30" s="13">
        <f t="shared" si="9"/>
        <v>191</v>
      </c>
      <c r="AC30" s="13">
        <f t="shared" si="9"/>
        <v>175</v>
      </c>
      <c r="AD30" s="13">
        <f t="shared" si="9"/>
        <v>173</v>
      </c>
      <c r="AE30" s="13">
        <f t="shared" si="9"/>
        <v>198</v>
      </c>
      <c r="AF30" s="13">
        <f t="shared" si="9"/>
        <v>179</v>
      </c>
      <c r="AG30" s="13">
        <f t="shared" si="9"/>
        <v>158</v>
      </c>
      <c r="AH30" s="13">
        <f t="shared" si="9"/>
        <v>158</v>
      </c>
      <c r="AI30" s="13">
        <f t="shared" si="9"/>
        <v>168</v>
      </c>
      <c r="AJ30" s="13">
        <f t="shared" si="9"/>
        <v>172</v>
      </c>
      <c r="AK30" s="13">
        <f t="shared" si="9"/>
        <v>160</v>
      </c>
      <c r="AL30" s="13">
        <f t="shared" si="9"/>
        <v>133</v>
      </c>
      <c r="AM30" s="13">
        <f t="shared" si="9"/>
        <v>148</v>
      </c>
      <c r="AN30" s="13">
        <f t="shared" si="9"/>
        <v>185</v>
      </c>
      <c r="AO30" s="13">
        <f t="shared" si="9"/>
        <v>140</v>
      </c>
      <c r="AP30" s="13">
        <f t="shared" si="9"/>
        <v>184</v>
      </c>
      <c r="AQ30" s="13">
        <f t="shared" si="9"/>
        <v>157</v>
      </c>
      <c r="AR30" s="13">
        <f t="shared" si="9"/>
        <v>153</v>
      </c>
      <c r="AS30" s="13">
        <f t="shared" si="9"/>
        <v>166</v>
      </c>
      <c r="AT30" s="13">
        <f t="shared" si="9"/>
        <v>189</v>
      </c>
      <c r="AU30" s="13">
        <f t="shared" si="9"/>
        <v>165</v>
      </c>
      <c r="AV30" s="13">
        <f t="shared" si="9"/>
        <v>196</v>
      </c>
      <c r="AW30" s="13">
        <f t="shared" si="9"/>
        <v>193</v>
      </c>
      <c r="AX30" s="13">
        <f t="shared" si="9"/>
        <v>177</v>
      </c>
      <c r="AY30" s="13">
        <f t="shared" si="9"/>
        <v>211</v>
      </c>
      <c r="AZ30" s="13">
        <f t="shared" si="9"/>
        <v>202</v>
      </c>
      <c r="BA30" s="13">
        <f t="shared" si="9"/>
        <v>177</v>
      </c>
      <c r="BB30" s="13">
        <f t="shared" si="3"/>
        <v>8174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19"/>
      <c r="Q31" s="19"/>
      <c r="R31" s="19"/>
      <c r="S31" s="59"/>
      <c r="T31" s="19"/>
      <c r="U31" s="19"/>
      <c r="V31" s="19"/>
      <c r="W31" s="19"/>
      <c r="X31" s="59"/>
      <c r="Y31" s="19"/>
      <c r="Z31" s="19"/>
      <c r="AA31" s="19"/>
      <c r="AB31" s="19"/>
      <c r="AC31" s="59"/>
      <c r="AD31" s="19"/>
      <c r="AE31" s="19"/>
      <c r="AF31" s="19"/>
      <c r="AG31" s="19"/>
      <c r="AH31" s="59"/>
      <c r="AI31" s="19"/>
      <c r="AJ31" s="19"/>
      <c r="AK31" s="19"/>
      <c r="AL31" s="19"/>
      <c r="AM31" s="59"/>
      <c r="AN31" s="19"/>
      <c r="AO31" s="19"/>
      <c r="AP31" s="19"/>
      <c r="AQ31" s="19"/>
      <c r="AR31" s="59"/>
      <c r="AS31" s="19"/>
      <c r="AT31" s="19"/>
      <c r="AU31" s="19"/>
      <c r="AV31" s="19"/>
      <c r="AW31" s="59"/>
      <c r="AX31" s="19"/>
      <c r="AY31" s="19"/>
      <c r="AZ31" s="19"/>
      <c r="BA31" s="19"/>
      <c r="BB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13"/>
      <c r="Q32" s="13"/>
      <c r="R32" s="13"/>
      <c r="S32" s="61"/>
      <c r="T32" s="13"/>
      <c r="U32" s="13"/>
      <c r="V32" s="13"/>
      <c r="W32" s="13"/>
      <c r="X32" s="61"/>
      <c r="Y32" s="13"/>
      <c r="Z32" s="13"/>
      <c r="AA32" s="13"/>
      <c r="AB32" s="13"/>
      <c r="AC32" s="61"/>
      <c r="AD32" s="13"/>
      <c r="AE32" s="13"/>
      <c r="AF32" s="13"/>
      <c r="AG32" s="13"/>
      <c r="AH32" s="61"/>
      <c r="AI32" s="13"/>
      <c r="AJ32" s="13"/>
      <c r="AK32" s="13"/>
      <c r="AL32" s="13"/>
      <c r="AM32" s="61"/>
      <c r="AN32" s="13"/>
      <c r="AO32" s="13"/>
      <c r="AP32" s="13"/>
      <c r="AQ32" s="13"/>
      <c r="AR32" s="61"/>
      <c r="AS32" s="13"/>
      <c r="AT32" s="13"/>
      <c r="AU32" s="13"/>
      <c r="AV32" s="13"/>
      <c r="AW32" s="61"/>
      <c r="AX32" s="13"/>
      <c r="AY32" s="13"/>
      <c r="AZ32" s="13"/>
      <c r="BA32" s="13"/>
      <c r="BB32" s="60"/>
    </row>
    <row r="33" ht="12.75" customHeight="1">
      <c r="A33" s="19">
        <v>1.0</v>
      </c>
      <c r="B33" s="20" t="s">
        <v>27</v>
      </c>
      <c r="C33" s="15"/>
      <c r="D33" s="16"/>
      <c r="E33" s="19">
        <v>220.0</v>
      </c>
      <c r="F33" s="19">
        <v>222.0</v>
      </c>
      <c r="G33" s="19">
        <v>208.0</v>
      </c>
      <c r="H33" s="19">
        <v>261.0</v>
      </c>
      <c r="I33" s="19">
        <v>252.0</v>
      </c>
      <c r="J33" s="19">
        <v>219.0</v>
      </c>
      <c r="K33" s="19">
        <v>228.0</v>
      </c>
      <c r="L33" s="19">
        <v>195.0</v>
      </c>
      <c r="M33" s="19">
        <v>241.0</v>
      </c>
      <c r="N33" s="19">
        <v>221.0</v>
      </c>
      <c r="O33" s="19">
        <v>220.0</v>
      </c>
      <c r="P33" s="19">
        <v>225.0</v>
      </c>
      <c r="Q33" s="19">
        <v>246.0</v>
      </c>
      <c r="R33" s="19">
        <v>169.0</v>
      </c>
      <c r="S33" s="19">
        <v>225.0</v>
      </c>
      <c r="T33" s="19">
        <v>234.0</v>
      </c>
      <c r="U33" s="19">
        <v>212.0</v>
      </c>
      <c r="V33" s="19">
        <v>244.0</v>
      </c>
      <c r="W33" s="19">
        <v>246.0</v>
      </c>
      <c r="X33" s="19">
        <v>201.0</v>
      </c>
      <c r="Y33" s="19">
        <v>238.0</v>
      </c>
      <c r="Z33" s="19">
        <v>182.0</v>
      </c>
      <c r="AA33" s="19">
        <v>178.0</v>
      </c>
      <c r="AB33" s="19">
        <v>241.0</v>
      </c>
      <c r="AC33" s="19">
        <v>227.0</v>
      </c>
      <c r="AD33" s="19">
        <v>232.0</v>
      </c>
      <c r="AE33" s="19">
        <v>243.0</v>
      </c>
      <c r="AF33" s="19">
        <v>246.0</v>
      </c>
      <c r="AG33" s="19">
        <v>209.0</v>
      </c>
      <c r="AH33" s="19">
        <v>208.0</v>
      </c>
      <c r="AI33" s="19">
        <v>209.0</v>
      </c>
      <c r="AJ33" s="19">
        <v>211.0</v>
      </c>
      <c r="AK33" s="19">
        <v>225.0</v>
      </c>
      <c r="AL33" s="19">
        <v>222.0</v>
      </c>
      <c r="AM33" s="19">
        <v>211.0</v>
      </c>
      <c r="AN33" s="19">
        <v>212.0</v>
      </c>
      <c r="AO33" s="19">
        <v>216.0</v>
      </c>
      <c r="AP33" s="19">
        <v>240.0</v>
      </c>
      <c r="AQ33" s="19">
        <v>207.0</v>
      </c>
      <c r="AR33" s="19">
        <v>201.0</v>
      </c>
      <c r="AS33" s="19">
        <v>216.0</v>
      </c>
      <c r="AT33" s="19">
        <v>257.0</v>
      </c>
      <c r="AU33" s="19">
        <v>218.0</v>
      </c>
      <c r="AV33" s="19">
        <v>252.0</v>
      </c>
      <c r="AW33" s="19">
        <v>271.0</v>
      </c>
      <c r="AX33" s="19">
        <v>242.0</v>
      </c>
      <c r="AY33" s="19">
        <v>277.0</v>
      </c>
      <c r="AZ33" s="19">
        <v>275.0</v>
      </c>
      <c r="BA33" s="19">
        <v>251.0</v>
      </c>
      <c r="BB33" s="13">
        <f t="shared" ref="BB33:BB36" si="10">SUM(E33:BA33)</f>
        <v>11106</v>
      </c>
    </row>
    <row r="34" ht="12.75" customHeight="1">
      <c r="A34" s="19">
        <v>2.0</v>
      </c>
      <c r="B34" s="20" t="s">
        <v>28</v>
      </c>
      <c r="C34" s="15"/>
      <c r="D34" s="16"/>
      <c r="E34" s="13">
        <v>160.0</v>
      </c>
      <c r="F34" s="13">
        <v>144.0</v>
      </c>
      <c r="G34" s="13">
        <v>137.0</v>
      </c>
      <c r="H34" s="13">
        <v>196.0</v>
      </c>
      <c r="I34" s="13">
        <v>187.0</v>
      </c>
      <c r="J34" s="13">
        <v>129.0</v>
      </c>
      <c r="K34" s="13">
        <v>157.0</v>
      </c>
      <c r="L34" s="13">
        <v>141.0</v>
      </c>
      <c r="M34" s="13">
        <v>178.0</v>
      </c>
      <c r="N34" s="13">
        <v>162.0</v>
      </c>
      <c r="O34" s="13">
        <v>149.0</v>
      </c>
      <c r="P34" s="13">
        <v>163.0</v>
      </c>
      <c r="Q34" s="13">
        <v>185.0</v>
      </c>
      <c r="R34" s="13">
        <v>126.0</v>
      </c>
      <c r="S34" s="13">
        <v>182.0</v>
      </c>
      <c r="T34" s="13">
        <v>183.0</v>
      </c>
      <c r="U34" s="13">
        <v>149.0</v>
      </c>
      <c r="V34" s="13">
        <v>171.0</v>
      </c>
      <c r="W34" s="13">
        <v>175.0</v>
      </c>
      <c r="X34" s="13">
        <v>147.0</v>
      </c>
      <c r="Y34" s="13">
        <v>183.0</v>
      </c>
      <c r="Z34" s="13">
        <v>141.0</v>
      </c>
      <c r="AA34" s="13">
        <v>121.0</v>
      </c>
      <c r="AB34" s="13">
        <v>191.0</v>
      </c>
      <c r="AC34" s="13">
        <v>175.0</v>
      </c>
      <c r="AD34" s="13">
        <v>173.0</v>
      </c>
      <c r="AE34" s="13">
        <v>198.0</v>
      </c>
      <c r="AF34" s="13">
        <v>179.0</v>
      </c>
      <c r="AG34" s="13">
        <v>158.0</v>
      </c>
      <c r="AH34" s="13">
        <v>158.0</v>
      </c>
      <c r="AI34" s="13">
        <v>168.0</v>
      </c>
      <c r="AJ34" s="13">
        <v>172.0</v>
      </c>
      <c r="AK34" s="13">
        <v>160.0</v>
      </c>
      <c r="AL34" s="13">
        <v>133.0</v>
      </c>
      <c r="AM34" s="13">
        <v>148.0</v>
      </c>
      <c r="AN34" s="13">
        <v>185.0</v>
      </c>
      <c r="AO34" s="13">
        <v>140.0</v>
      </c>
      <c r="AP34" s="13">
        <v>184.0</v>
      </c>
      <c r="AQ34" s="13">
        <v>157.0</v>
      </c>
      <c r="AR34" s="13">
        <v>153.0</v>
      </c>
      <c r="AS34" s="13">
        <v>166.0</v>
      </c>
      <c r="AT34" s="13">
        <v>189.0</v>
      </c>
      <c r="AU34" s="13">
        <v>165.0</v>
      </c>
      <c r="AV34" s="13">
        <v>196.0</v>
      </c>
      <c r="AW34" s="13">
        <v>193.0</v>
      </c>
      <c r="AX34" s="13">
        <v>177.0</v>
      </c>
      <c r="AY34" s="13">
        <v>211.0</v>
      </c>
      <c r="AZ34" s="13">
        <v>202.0</v>
      </c>
      <c r="BA34" s="13">
        <v>177.0</v>
      </c>
      <c r="BB34" s="13">
        <f t="shared" si="10"/>
        <v>8174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/>
      <c r="L35" s="19">
        <v>1.0</v>
      </c>
      <c r="M35" s="19">
        <v>1.0</v>
      </c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>
        <v>1.0</v>
      </c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>
        <v>1.0</v>
      </c>
      <c r="AN35" s="19"/>
      <c r="AO35" s="19">
        <v>2.0</v>
      </c>
      <c r="AP35" s="19"/>
      <c r="AQ35" s="19"/>
      <c r="AR35" s="19"/>
      <c r="AS35" s="19">
        <v>1.0</v>
      </c>
      <c r="AT35" s="19"/>
      <c r="AU35" s="19"/>
      <c r="AV35" s="19"/>
      <c r="AW35" s="19"/>
      <c r="AX35" s="19"/>
      <c r="AY35" s="19"/>
      <c r="AZ35" s="19"/>
      <c r="BA35" s="19"/>
      <c r="BB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BA36" si="11">E33-(E34+E35)</f>
        <v>60</v>
      </c>
      <c r="F36" s="13">
        <f t="shared" si="11"/>
        <v>78</v>
      </c>
      <c r="G36" s="13">
        <f t="shared" si="11"/>
        <v>71</v>
      </c>
      <c r="H36" s="13">
        <f t="shared" si="11"/>
        <v>65</v>
      </c>
      <c r="I36" s="13">
        <f t="shared" si="11"/>
        <v>65</v>
      </c>
      <c r="J36" s="13">
        <f t="shared" si="11"/>
        <v>90</v>
      </c>
      <c r="K36" s="13">
        <f t="shared" si="11"/>
        <v>71</v>
      </c>
      <c r="L36" s="13">
        <f t="shared" si="11"/>
        <v>53</v>
      </c>
      <c r="M36" s="13">
        <f t="shared" si="11"/>
        <v>62</v>
      </c>
      <c r="N36" s="13">
        <f t="shared" si="11"/>
        <v>59</v>
      </c>
      <c r="O36" s="13">
        <f t="shared" si="11"/>
        <v>71</v>
      </c>
      <c r="P36" s="13">
        <f t="shared" si="11"/>
        <v>62</v>
      </c>
      <c r="Q36" s="13">
        <f t="shared" si="11"/>
        <v>61</v>
      </c>
      <c r="R36" s="13">
        <f t="shared" si="11"/>
        <v>43</v>
      </c>
      <c r="S36" s="13">
        <f t="shared" si="11"/>
        <v>43</v>
      </c>
      <c r="T36" s="13">
        <f t="shared" si="11"/>
        <v>51</v>
      </c>
      <c r="U36" s="13">
        <f t="shared" si="11"/>
        <v>63</v>
      </c>
      <c r="V36" s="13">
        <f t="shared" si="11"/>
        <v>73</v>
      </c>
      <c r="W36" s="13">
        <f t="shared" si="11"/>
        <v>71</v>
      </c>
      <c r="X36" s="13">
        <f t="shared" si="11"/>
        <v>54</v>
      </c>
      <c r="Y36" s="13">
        <f t="shared" si="11"/>
        <v>55</v>
      </c>
      <c r="Z36" s="13">
        <f t="shared" si="11"/>
        <v>40</v>
      </c>
      <c r="AA36" s="13">
        <f t="shared" si="11"/>
        <v>57</v>
      </c>
      <c r="AB36" s="13">
        <f t="shared" si="11"/>
        <v>50</v>
      </c>
      <c r="AC36" s="13">
        <f t="shared" si="11"/>
        <v>52</v>
      </c>
      <c r="AD36" s="13">
        <f t="shared" si="11"/>
        <v>59</v>
      </c>
      <c r="AE36" s="13">
        <f t="shared" si="11"/>
        <v>45</v>
      </c>
      <c r="AF36" s="13">
        <f t="shared" si="11"/>
        <v>67</v>
      </c>
      <c r="AG36" s="13">
        <f t="shared" si="11"/>
        <v>51</v>
      </c>
      <c r="AH36" s="13">
        <f t="shared" si="11"/>
        <v>50</v>
      </c>
      <c r="AI36" s="13">
        <f t="shared" si="11"/>
        <v>41</v>
      </c>
      <c r="AJ36" s="13">
        <f t="shared" si="11"/>
        <v>39</v>
      </c>
      <c r="AK36" s="13">
        <f t="shared" si="11"/>
        <v>65</v>
      </c>
      <c r="AL36" s="13">
        <f t="shared" si="11"/>
        <v>89</v>
      </c>
      <c r="AM36" s="13">
        <f t="shared" si="11"/>
        <v>62</v>
      </c>
      <c r="AN36" s="13">
        <f t="shared" si="11"/>
        <v>27</v>
      </c>
      <c r="AO36" s="13">
        <f t="shared" si="11"/>
        <v>74</v>
      </c>
      <c r="AP36" s="13">
        <f t="shared" si="11"/>
        <v>56</v>
      </c>
      <c r="AQ36" s="13">
        <f t="shared" si="11"/>
        <v>50</v>
      </c>
      <c r="AR36" s="13">
        <f t="shared" si="11"/>
        <v>48</v>
      </c>
      <c r="AS36" s="13">
        <f t="shared" si="11"/>
        <v>49</v>
      </c>
      <c r="AT36" s="13">
        <f t="shared" si="11"/>
        <v>68</v>
      </c>
      <c r="AU36" s="13">
        <f t="shared" si="11"/>
        <v>53</v>
      </c>
      <c r="AV36" s="13">
        <f t="shared" si="11"/>
        <v>56</v>
      </c>
      <c r="AW36" s="13">
        <f t="shared" si="11"/>
        <v>78</v>
      </c>
      <c r="AX36" s="13">
        <f t="shared" si="11"/>
        <v>65</v>
      </c>
      <c r="AY36" s="13">
        <f t="shared" si="11"/>
        <v>66</v>
      </c>
      <c r="AZ36" s="13">
        <f t="shared" si="11"/>
        <v>73</v>
      </c>
      <c r="BA36" s="13">
        <f t="shared" si="11"/>
        <v>74</v>
      </c>
      <c r="BB36" s="13">
        <f t="shared" si="10"/>
        <v>2925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19"/>
      <c r="P37" s="19"/>
      <c r="Q37" s="19"/>
      <c r="R37" s="19"/>
      <c r="S37" s="59"/>
      <c r="T37" s="19"/>
      <c r="U37" s="19"/>
      <c r="V37" s="19"/>
      <c r="W37" s="19"/>
      <c r="X37" s="59"/>
      <c r="Y37" s="19"/>
      <c r="Z37" s="19"/>
      <c r="AA37" s="19"/>
      <c r="AB37" s="19"/>
      <c r="AC37" s="59"/>
      <c r="AD37" s="19"/>
      <c r="AE37" s="19"/>
      <c r="AF37" s="19"/>
      <c r="AG37" s="19"/>
      <c r="AH37" s="59"/>
      <c r="AI37" s="19"/>
      <c r="AJ37" s="19"/>
      <c r="AK37" s="19"/>
      <c r="AL37" s="19"/>
      <c r="AM37" s="59"/>
      <c r="AN37" s="19"/>
      <c r="AO37" s="19"/>
      <c r="AP37" s="19"/>
      <c r="AQ37" s="19"/>
      <c r="AR37" s="59"/>
      <c r="AS37" s="19"/>
      <c r="AT37" s="19"/>
      <c r="AU37" s="19"/>
      <c r="AV37" s="19"/>
      <c r="AW37" s="59"/>
      <c r="AX37" s="19"/>
      <c r="AY37" s="19"/>
      <c r="AZ37" s="19"/>
      <c r="BA37" s="19"/>
      <c r="BB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13"/>
      <c r="Q38" s="13"/>
      <c r="R38" s="13"/>
      <c r="S38" s="61"/>
      <c r="T38" s="13"/>
      <c r="U38" s="13"/>
      <c r="V38" s="13"/>
      <c r="W38" s="13"/>
      <c r="X38" s="61"/>
      <c r="Y38" s="13"/>
      <c r="Z38" s="13"/>
      <c r="AA38" s="13"/>
      <c r="AB38" s="13"/>
      <c r="AC38" s="61"/>
      <c r="AD38" s="13"/>
      <c r="AE38" s="13"/>
      <c r="AF38" s="13"/>
      <c r="AG38" s="13"/>
      <c r="AH38" s="61"/>
      <c r="AI38" s="13"/>
      <c r="AJ38" s="13"/>
      <c r="AK38" s="13"/>
      <c r="AL38" s="13"/>
      <c r="AM38" s="61"/>
      <c r="AN38" s="13"/>
      <c r="AO38" s="13"/>
      <c r="AP38" s="13"/>
      <c r="AQ38" s="13"/>
      <c r="AR38" s="61"/>
      <c r="AS38" s="13"/>
      <c r="AT38" s="13"/>
      <c r="AU38" s="13"/>
      <c r="AV38" s="13"/>
      <c r="AW38" s="61"/>
      <c r="AX38" s="13"/>
      <c r="AY38" s="13"/>
      <c r="AZ38" s="13"/>
      <c r="BA38" s="13"/>
      <c r="BB38" s="60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>
        <v>1.0</v>
      </c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3">
        <f t="shared" ref="BB39:BB41" si="12">SUM(E39:BA39)</f>
        <v>1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>
        <v>1.0</v>
      </c>
      <c r="M40" s="19"/>
      <c r="N40" s="19"/>
      <c r="O40" s="19"/>
      <c r="P40" s="19">
        <v>1.0</v>
      </c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BA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1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0</v>
      </c>
      <c r="AZ41" s="13">
        <f t="shared" si="13"/>
        <v>0</v>
      </c>
      <c r="BA41" s="13">
        <f t="shared" si="13"/>
        <v>0</v>
      </c>
      <c r="BB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19"/>
      <c r="Q42" s="19"/>
      <c r="R42" s="19"/>
      <c r="S42" s="59"/>
      <c r="T42" s="19"/>
      <c r="U42" s="19"/>
      <c r="V42" s="19"/>
      <c r="W42" s="19"/>
      <c r="X42" s="59"/>
      <c r="Y42" s="19"/>
      <c r="Z42" s="19"/>
      <c r="AA42" s="19"/>
      <c r="AB42" s="19"/>
      <c r="AC42" s="59"/>
      <c r="AD42" s="19"/>
      <c r="AE42" s="19"/>
      <c r="AF42" s="19"/>
      <c r="AG42" s="19"/>
      <c r="AH42" s="59"/>
      <c r="AI42" s="19"/>
      <c r="AJ42" s="19"/>
      <c r="AK42" s="19"/>
      <c r="AL42" s="19"/>
      <c r="AM42" s="59"/>
      <c r="AN42" s="19"/>
      <c r="AO42" s="19"/>
      <c r="AP42" s="19"/>
      <c r="AQ42" s="19"/>
      <c r="AR42" s="59"/>
      <c r="AS42" s="19"/>
      <c r="AT42" s="19"/>
      <c r="AU42" s="19"/>
      <c r="AV42" s="19"/>
      <c r="AW42" s="59"/>
      <c r="AX42" s="19"/>
      <c r="AY42" s="19"/>
      <c r="AZ42" s="19"/>
      <c r="BA42" s="19"/>
      <c r="B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  <c r="Q43" s="13"/>
      <c r="R43" s="13"/>
      <c r="S43" s="61"/>
      <c r="T43" s="13"/>
      <c r="U43" s="13"/>
      <c r="V43" s="13"/>
      <c r="W43" s="13"/>
      <c r="X43" s="61"/>
      <c r="Y43" s="13"/>
      <c r="Z43" s="13"/>
      <c r="AA43" s="13"/>
      <c r="AB43" s="13"/>
      <c r="AC43" s="61"/>
      <c r="AD43" s="13"/>
      <c r="AE43" s="13"/>
      <c r="AF43" s="13"/>
      <c r="AG43" s="13"/>
      <c r="AH43" s="61"/>
      <c r="AI43" s="13"/>
      <c r="AJ43" s="13"/>
      <c r="AK43" s="13"/>
      <c r="AL43" s="13"/>
      <c r="AM43" s="61"/>
      <c r="AN43" s="13"/>
      <c r="AO43" s="13"/>
      <c r="AP43" s="13"/>
      <c r="AQ43" s="13"/>
      <c r="AR43" s="61"/>
      <c r="AS43" s="13"/>
      <c r="AT43" s="13"/>
      <c r="AU43" s="13"/>
      <c r="AV43" s="13"/>
      <c r="AW43" s="61"/>
      <c r="AX43" s="13"/>
      <c r="AY43" s="13"/>
      <c r="AZ43" s="13"/>
      <c r="BA43" s="13"/>
      <c r="B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9"/>
      <c r="Q44" s="19"/>
      <c r="R44" s="19"/>
      <c r="S44" s="59"/>
      <c r="T44" s="19"/>
      <c r="U44" s="19"/>
      <c r="V44" s="19"/>
      <c r="W44" s="19"/>
      <c r="X44" s="59"/>
      <c r="Y44" s="19"/>
      <c r="Z44" s="19"/>
      <c r="AA44" s="19"/>
      <c r="AB44" s="19"/>
      <c r="AC44" s="59"/>
      <c r="AD44" s="19"/>
      <c r="AE44" s="19"/>
      <c r="AF44" s="19"/>
      <c r="AG44" s="19"/>
      <c r="AH44" s="59"/>
      <c r="AI44" s="19"/>
      <c r="AJ44" s="19"/>
      <c r="AK44" s="19"/>
      <c r="AL44" s="19"/>
      <c r="AM44" s="59"/>
      <c r="AN44" s="19"/>
      <c r="AO44" s="19"/>
      <c r="AP44" s="19"/>
      <c r="AQ44" s="19"/>
      <c r="AR44" s="59"/>
      <c r="AS44" s="19"/>
      <c r="AT44" s="19"/>
      <c r="AU44" s="19"/>
      <c r="AV44" s="19"/>
      <c r="AW44" s="59"/>
      <c r="AX44" s="19"/>
      <c r="AY44" s="19"/>
      <c r="AZ44" s="19"/>
      <c r="BA44" s="19"/>
      <c r="BB44" s="13"/>
    </row>
    <row r="45" ht="12.75" customHeight="1">
      <c r="A45" s="62"/>
      <c r="B45" s="47">
        <v>1.0</v>
      </c>
      <c r="C45" s="48" t="s">
        <v>37</v>
      </c>
      <c r="D45" s="16"/>
      <c r="E45" s="19">
        <v>9.0</v>
      </c>
      <c r="F45" s="19">
        <v>16.0</v>
      </c>
      <c r="G45" s="19">
        <v>10.0</v>
      </c>
      <c r="H45" s="19">
        <v>11.0</v>
      </c>
      <c r="I45" s="19">
        <v>11.0</v>
      </c>
      <c r="J45" s="19">
        <v>19.0</v>
      </c>
      <c r="K45" s="19">
        <v>27.0</v>
      </c>
      <c r="L45" s="19">
        <v>14.0</v>
      </c>
      <c r="M45" s="19">
        <v>22.0</v>
      </c>
      <c r="N45" s="19">
        <v>23.0</v>
      </c>
      <c r="O45" s="19">
        <v>19.0</v>
      </c>
      <c r="P45" s="19">
        <v>7.0</v>
      </c>
      <c r="Q45" s="19">
        <v>23.0</v>
      </c>
      <c r="R45" s="19">
        <v>11.0</v>
      </c>
      <c r="S45" s="19">
        <v>26.0</v>
      </c>
      <c r="T45" s="19">
        <v>8.0</v>
      </c>
      <c r="U45" s="19">
        <v>16.0</v>
      </c>
      <c r="V45" s="19">
        <v>11.0</v>
      </c>
      <c r="W45" s="19">
        <v>10.0</v>
      </c>
      <c r="X45" s="19">
        <v>11.0</v>
      </c>
      <c r="Y45" s="19">
        <v>30.0</v>
      </c>
      <c r="Z45" s="19">
        <v>11.0</v>
      </c>
      <c r="AA45" s="19">
        <v>10.0</v>
      </c>
      <c r="AB45" s="19">
        <v>13.0</v>
      </c>
      <c r="AC45" s="19">
        <v>18.0</v>
      </c>
      <c r="AD45" s="19">
        <v>21.0</v>
      </c>
      <c r="AE45" s="19">
        <v>18.0</v>
      </c>
      <c r="AF45" s="19">
        <v>23.0</v>
      </c>
      <c r="AG45" s="19">
        <v>8.0</v>
      </c>
      <c r="AH45" s="19">
        <v>21.0</v>
      </c>
      <c r="AI45" s="19">
        <v>31.0</v>
      </c>
      <c r="AJ45" s="19">
        <v>6.0</v>
      </c>
      <c r="AK45" s="19">
        <v>14.0</v>
      </c>
      <c r="AL45" s="19">
        <v>8.0</v>
      </c>
      <c r="AM45" s="19">
        <v>17.0</v>
      </c>
      <c r="AN45" s="19">
        <v>19.0</v>
      </c>
      <c r="AO45" s="19">
        <v>12.0</v>
      </c>
      <c r="AP45" s="19">
        <v>19.0</v>
      </c>
      <c r="AQ45" s="19">
        <v>8.0</v>
      </c>
      <c r="AR45" s="19">
        <v>18.0</v>
      </c>
      <c r="AS45" s="19">
        <v>23.0</v>
      </c>
      <c r="AT45" s="19">
        <v>14.0</v>
      </c>
      <c r="AU45" s="19">
        <v>18.0</v>
      </c>
      <c r="AV45" s="19">
        <v>13.0</v>
      </c>
      <c r="AW45" s="19">
        <v>9.0</v>
      </c>
      <c r="AX45" s="19">
        <v>9.0</v>
      </c>
      <c r="AY45" s="19">
        <v>12.0</v>
      </c>
      <c r="AZ45" s="19">
        <v>13.0</v>
      </c>
      <c r="BA45" s="19">
        <v>11.0</v>
      </c>
      <c r="BB45" s="13">
        <f t="shared" ref="BB45:BB47" si="14">SUM(E45:BA45)</f>
        <v>751</v>
      </c>
    </row>
    <row r="46" ht="12.75" customHeight="1">
      <c r="A46" s="18"/>
      <c r="B46" s="47">
        <v>2.0</v>
      </c>
      <c r="C46" s="48" t="s">
        <v>38</v>
      </c>
      <c r="D46" s="16"/>
      <c r="E46" s="19">
        <v>122.0</v>
      </c>
      <c r="F46" s="19">
        <v>95.0</v>
      </c>
      <c r="G46" s="19">
        <v>100.0</v>
      </c>
      <c r="H46" s="19">
        <v>147.0</v>
      </c>
      <c r="I46" s="19">
        <v>136.0</v>
      </c>
      <c r="J46" s="19">
        <v>79.0</v>
      </c>
      <c r="K46" s="19">
        <v>109.0</v>
      </c>
      <c r="L46" s="19">
        <v>95.0</v>
      </c>
      <c r="M46" s="19">
        <v>112.0</v>
      </c>
      <c r="N46" s="19">
        <v>96.0</v>
      </c>
      <c r="O46" s="19">
        <v>89.0</v>
      </c>
      <c r="P46" s="19">
        <v>116.0</v>
      </c>
      <c r="Q46" s="19">
        <v>116.0</v>
      </c>
      <c r="R46" s="19">
        <v>90.0</v>
      </c>
      <c r="S46" s="19">
        <v>122.0</v>
      </c>
      <c r="T46" s="19">
        <v>130.0</v>
      </c>
      <c r="U46" s="19">
        <v>96.0</v>
      </c>
      <c r="V46" s="19">
        <v>125.0</v>
      </c>
      <c r="W46" s="19">
        <v>125.0</v>
      </c>
      <c r="X46" s="19">
        <v>108.0</v>
      </c>
      <c r="Y46" s="19">
        <v>111.0</v>
      </c>
      <c r="Z46" s="19">
        <v>105.0</v>
      </c>
      <c r="AA46" s="19">
        <v>87.0</v>
      </c>
      <c r="AB46" s="19">
        <v>123.0</v>
      </c>
      <c r="AC46" s="19">
        <v>113.0</v>
      </c>
      <c r="AD46" s="19">
        <v>102.0</v>
      </c>
      <c r="AE46" s="19">
        <v>135.0</v>
      </c>
      <c r="AF46" s="19">
        <v>123.0</v>
      </c>
      <c r="AG46" s="19">
        <v>110.0</v>
      </c>
      <c r="AH46" s="19">
        <v>98.0</v>
      </c>
      <c r="AI46" s="19">
        <v>106.0</v>
      </c>
      <c r="AJ46" s="19">
        <v>130.0</v>
      </c>
      <c r="AK46" s="19">
        <v>96.0</v>
      </c>
      <c r="AL46" s="19">
        <v>99.0</v>
      </c>
      <c r="AM46" s="19">
        <v>99.0</v>
      </c>
      <c r="AN46" s="19">
        <v>139.0</v>
      </c>
      <c r="AO46" s="19">
        <v>84.0</v>
      </c>
      <c r="AP46" s="19">
        <v>128.0</v>
      </c>
      <c r="AQ46" s="19">
        <v>110.0</v>
      </c>
      <c r="AR46" s="19">
        <v>92.0</v>
      </c>
      <c r="AS46" s="19">
        <v>96.0</v>
      </c>
      <c r="AT46" s="19">
        <v>130.0</v>
      </c>
      <c r="AU46" s="19">
        <v>98.0</v>
      </c>
      <c r="AV46" s="19">
        <v>113.0</v>
      </c>
      <c r="AW46" s="19">
        <v>113.0</v>
      </c>
      <c r="AX46" s="19">
        <v>120.0</v>
      </c>
      <c r="AY46" s="19">
        <v>137.0</v>
      </c>
      <c r="AZ46" s="19">
        <v>127.0</v>
      </c>
      <c r="BA46" s="19">
        <v>119.0</v>
      </c>
      <c r="BB46" s="13">
        <f t="shared" si="14"/>
        <v>5451</v>
      </c>
    </row>
    <row r="47" ht="12.75" customHeight="1">
      <c r="A47" s="45"/>
      <c r="B47" s="47">
        <v>3.0</v>
      </c>
      <c r="C47" s="48" t="s">
        <v>39</v>
      </c>
      <c r="D47" s="16"/>
      <c r="E47" s="19">
        <v>14.0</v>
      </c>
      <c r="F47" s="19">
        <v>29.0</v>
      </c>
      <c r="G47" s="19">
        <v>22.0</v>
      </c>
      <c r="H47" s="19">
        <v>34.0</v>
      </c>
      <c r="I47" s="19">
        <v>35.0</v>
      </c>
      <c r="J47" s="19">
        <v>29.0</v>
      </c>
      <c r="K47" s="19">
        <v>20.0</v>
      </c>
      <c r="L47" s="19">
        <v>30.0</v>
      </c>
      <c r="M47" s="19">
        <v>42.0</v>
      </c>
      <c r="N47" s="19">
        <v>34.0</v>
      </c>
      <c r="O47" s="19">
        <v>40.0</v>
      </c>
      <c r="P47" s="19">
        <v>33.0</v>
      </c>
      <c r="Q47" s="19">
        <v>42.0</v>
      </c>
      <c r="R47" s="19">
        <v>16.0</v>
      </c>
      <c r="S47" s="19">
        <v>33.0</v>
      </c>
      <c r="T47" s="19">
        <v>36.0</v>
      </c>
      <c r="U47" s="19">
        <v>36.0</v>
      </c>
      <c r="V47" s="19">
        <v>34.0</v>
      </c>
      <c r="W47" s="19">
        <v>37.0</v>
      </c>
      <c r="X47" s="19">
        <v>27.0</v>
      </c>
      <c r="Y47" s="19">
        <v>33.0</v>
      </c>
      <c r="Z47" s="19">
        <v>23.0</v>
      </c>
      <c r="AA47" s="19">
        <v>20.0</v>
      </c>
      <c r="AB47" s="19">
        <v>49.0</v>
      </c>
      <c r="AC47" s="19">
        <v>41.0</v>
      </c>
      <c r="AD47" s="19">
        <v>45.0</v>
      </c>
      <c r="AE47" s="19">
        <v>44.0</v>
      </c>
      <c r="AF47" s="19">
        <v>31.0</v>
      </c>
      <c r="AG47" s="19">
        <v>40.0</v>
      </c>
      <c r="AH47" s="19">
        <v>37.0</v>
      </c>
      <c r="AI47" s="19">
        <v>28.0</v>
      </c>
      <c r="AJ47" s="19">
        <v>33.0</v>
      </c>
      <c r="AK47" s="19">
        <v>43.0</v>
      </c>
      <c r="AL47" s="19">
        <v>24.0</v>
      </c>
      <c r="AM47" s="19">
        <v>31.0</v>
      </c>
      <c r="AN47" s="19">
        <v>22.0</v>
      </c>
      <c r="AO47" s="19">
        <v>41.0</v>
      </c>
      <c r="AP47" s="19">
        <v>31.0</v>
      </c>
      <c r="AQ47" s="19">
        <v>37.0</v>
      </c>
      <c r="AR47" s="19">
        <v>42.0</v>
      </c>
      <c r="AS47" s="19">
        <v>43.0</v>
      </c>
      <c r="AT47" s="19">
        <v>42.0</v>
      </c>
      <c r="AU47" s="19">
        <v>48.0</v>
      </c>
      <c r="AV47" s="19">
        <v>69.0</v>
      </c>
      <c r="AW47" s="19">
        <v>65.0</v>
      </c>
      <c r="AX47" s="19">
        <v>42.0</v>
      </c>
      <c r="AY47" s="19">
        <v>58.0</v>
      </c>
      <c r="AZ47" s="19">
        <v>54.0</v>
      </c>
      <c r="BA47" s="19">
        <v>44.0</v>
      </c>
      <c r="BB47" s="13">
        <f t="shared" si="14"/>
        <v>1783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13"/>
      <c r="P49" s="13"/>
      <c r="Q49" s="13"/>
      <c r="R49" s="13"/>
      <c r="S49" s="61"/>
      <c r="T49" s="13"/>
      <c r="U49" s="13"/>
      <c r="V49" s="13"/>
      <c r="W49" s="13"/>
      <c r="X49" s="61"/>
      <c r="Y49" s="13"/>
      <c r="Z49" s="13"/>
      <c r="AA49" s="13"/>
      <c r="AB49" s="13"/>
      <c r="AC49" s="61"/>
      <c r="AD49" s="13"/>
      <c r="AE49" s="13"/>
      <c r="AF49" s="13"/>
      <c r="AG49" s="13"/>
      <c r="AH49" s="61"/>
      <c r="AI49" s="13"/>
      <c r="AJ49" s="13"/>
      <c r="AK49" s="13"/>
      <c r="AL49" s="13"/>
      <c r="AM49" s="61"/>
      <c r="AN49" s="13"/>
      <c r="AO49" s="13"/>
      <c r="AP49" s="13"/>
      <c r="AQ49" s="13"/>
      <c r="AR49" s="61"/>
      <c r="AS49" s="13"/>
      <c r="AT49" s="13"/>
      <c r="AU49" s="13"/>
      <c r="AV49" s="13"/>
      <c r="AW49" s="61"/>
      <c r="AX49" s="13"/>
      <c r="AY49" s="13"/>
      <c r="AZ49" s="13"/>
      <c r="BA49" s="13"/>
      <c r="BB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BA50" si="15">SUM(E45:E47)</f>
        <v>145</v>
      </c>
      <c r="F50" s="19">
        <f t="shared" si="15"/>
        <v>140</v>
      </c>
      <c r="G50" s="19">
        <f t="shared" si="15"/>
        <v>132</v>
      </c>
      <c r="H50" s="19">
        <f t="shared" si="15"/>
        <v>192</v>
      </c>
      <c r="I50" s="19">
        <f t="shared" si="15"/>
        <v>182</v>
      </c>
      <c r="J50" s="19">
        <f t="shared" si="15"/>
        <v>127</v>
      </c>
      <c r="K50" s="19">
        <f t="shared" si="15"/>
        <v>156</v>
      </c>
      <c r="L50" s="19">
        <f t="shared" si="15"/>
        <v>139</v>
      </c>
      <c r="M50" s="19">
        <f t="shared" si="15"/>
        <v>176</v>
      </c>
      <c r="N50" s="19">
        <f t="shared" si="15"/>
        <v>153</v>
      </c>
      <c r="O50" s="19">
        <f t="shared" si="15"/>
        <v>148</v>
      </c>
      <c r="P50" s="19">
        <f t="shared" si="15"/>
        <v>156</v>
      </c>
      <c r="Q50" s="19">
        <f t="shared" si="15"/>
        <v>181</v>
      </c>
      <c r="R50" s="19">
        <f t="shared" si="15"/>
        <v>117</v>
      </c>
      <c r="S50" s="19">
        <f t="shared" si="15"/>
        <v>181</v>
      </c>
      <c r="T50" s="19">
        <f t="shared" si="15"/>
        <v>174</v>
      </c>
      <c r="U50" s="19">
        <f t="shared" si="15"/>
        <v>148</v>
      </c>
      <c r="V50" s="19">
        <f t="shared" si="15"/>
        <v>170</v>
      </c>
      <c r="W50" s="19">
        <f t="shared" si="15"/>
        <v>172</v>
      </c>
      <c r="X50" s="19">
        <f t="shared" si="15"/>
        <v>146</v>
      </c>
      <c r="Y50" s="19">
        <f t="shared" si="15"/>
        <v>174</v>
      </c>
      <c r="Z50" s="19">
        <f t="shared" si="15"/>
        <v>139</v>
      </c>
      <c r="AA50" s="19">
        <f t="shared" si="15"/>
        <v>117</v>
      </c>
      <c r="AB50" s="19">
        <f t="shared" si="15"/>
        <v>185</v>
      </c>
      <c r="AC50" s="19">
        <f t="shared" si="15"/>
        <v>172</v>
      </c>
      <c r="AD50" s="19">
        <f t="shared" si="15"/>
        <v>168</v>
      </c>
      <c r="AE50" s="19">
        <f t="shared" si="15"/>
        <v>197</v>
      </c>
      <c r="AF50" s="19">
        <f t="shared" si="15"/>
        <v>177</v>
      </c>
      <c r="AG50" s="19">
        <f t="shared" si="15"/>
        <v>158</v>
      </c>
      <c r="AH50" s="19">
        <f t="shared" si="15"/>
        <v>156</v>
      </c>
      <c r="AI50" s="19">
        <f t="shared" si="15"/>
        <v>165</v>
      </c>
      <c r="AJ50" s="19">
        <f t="shared" si="15"/>
        <v>169</v>
      </c>
      <c r="AK50" s="19">
        <f t="shared" si="15"/>
        <v>153</v>
      </c>
      <c r="AL50" s="19">
        <f t="shared" si="15"/>
        <v>131</v>
      </c>
      <c r="AM50" s="19">
        <f t="shared" si="15"/>
        <v>147</v>
      </c>
      <c r="AN50" s="19">
        <f t="shared" si="15"/>
        <v>180</v>
      </c>
      <c r="AO50" s="19">
        <f t="shared" si="15"/>
        <v>137</v>
      </c>
      <c r="AP50" s="19">
        <f t="shared" si="15"/>
        <v>178</v>
      </c>
      <c r="AQ50" s="19">
        <f t="shared" si="15"/>
        <v>155</v>
      </c>
      <c r="AR50" s="19">
        <f t="shared" si="15"/>
        <v>152</v>
      </c>
      <c r="AS50" s="19">
        <f t="shared" si="15"/>
        <v>162</v>
      </c>
      <c r="AT50" s="19">
        <f t="shared" si="15"/>
        <v>186</v>
      </c>
      <c r="AU50" s="19">
        <f t="shared" si="15"/>
        <v>164</v>
      </c>
      <c r="AV50" s="19">
        <f t="shared" si="15"/>
        <v>195</v>
      </c>
      <c r="AW50" s="19">
        <f t="shared" si="15"/>
        <v>187</v>
      </c>
      <c r="AX50" s="19">
        <f t="shared" si="15"/>
        <v>171</v>
      </c>
      <c r="AY50" s="19">
        <f t="shared" si="15"/>
        <v>207</v>
      </c>
      <c r="AZ50" s="19">
        <f t="shared" si="15"/>
        <v>194</v>
      </c>
      <c r="BA50" s="19">
        <f t="shared" si="15"/>
        <v>174</v>
      </c>
      <c r="BB50" s="13">
        <f t="shared" ref="BB50:BB52" si="16">SUM(E50:BA50)</f>
        <v>7985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15.0</v>
      </c>
      <c r="F51" s="19">
        <v>4.0</v>
      </c>
      <c r="G51" s="19">
        <v>5.0</v>
      </c>
      <c r="H51" s="19">
        <v>4.0</v>
      </c>
      <c r="I51" s="19">
        <v>5.0</v>
      </c>
      <c r="J51" s="19">
        <v>2.0</v>
      </c>
      <c r="K51" s="19">
        <v>1.0</v>
      </c>
      <c r="L51" s="19">
        <v>2.0</v>
      </c>
      <c r="M51" s="19">
        <v>2.0</v>
      </c>
      <c r="N51" s="19">
        <v>9.0</v>
      </c>
      <c r="O51" s="19">
        <v>1.0</v>
      </c>
      <c r="P51" s="19">
        <v>7.0</v>
      </c>
      <c r="Q51" s="19">
        <v>4.0</v>
      </c>
      <c r="R51" s="19">
        <v>9.0</v>
      </c>
      <c r="S51" s="19">
        <v>1.0</v>
      </c>
      <c r="T51" s="19">
        <v>9.0</v>
      </c>
      <c r="U51" s="19">
        <v>1.0</v>
      </c>
      <c r="V51" s="19">
        <v>1.0</v>
      </c>
      <c r="W51" s="19">
        <v>3.0</v>
      </c>
      <c r="X51" s="19">
        <v>1.0</v>
      </c>
      <c r="Y51" s="19">
        <v>9.0</v>
      </c>
      <c r="Z51" s="19">
        <v>2.0</v>
      </c>
      <c r="AA51" s="19">
        <v>4.0</v>
      </c>
      <c r="AB51" s="19">
        <v>6.0</v>
      </c>
      <c r="AC51" s="19">
        <v>3.0</v>
      </c>
      <c r="AD51" s="19">
        <v>5.0</v>
      </c>
      <c r="AE51" s="19">
        <v>1.0</v>
      </c>
      <c r="AF51" s="19">
        <v>2.0</v>
      </c>
      <c r="AG51" s="19"/>
      <c r="AH51" s="19">
        <v>2.0</v>
      </c>
      <c r="AI51" s="19">
        <v>3.0</v>
      </c>
      <c r="AJ51" s="19">
        <v>3.0</v>
      </c>
      <c r="AK51" s="19">
        <v>7.0</v>
      </c>
      <c r="AL51" s="19">
        <v>2.0</v>
      </c>
      <c r="AM51" s="19">
        <v>1.0</v>
      </c>
      <c r="AN51" s="19">
        <v>5.0</v>
      </c>
      <c r="AO51" s="19">
        <v>3.0</v>
      </c>
      <c r="AP51" s="19">
        <v>6.0</v>
      </c>
      <c r="AQ51" s="19">
        <v>2.0</v>
      </c>
      <c r="AR51" s="19">
        <v>1.0</v>
      </c>
      <c r="AS51" s="19">
        <v>4.0</v>
      </c>
      <c r="AT51" s="19">
        <v>3.0</v>
      </c>
      <c r="AU51" s="19"/>
      <c r="AV51" s="19">
        <v>1.0</v>
      </c>
      <c r="AW51" s="19">
        <v>6.0</v>
      </c>
      <c r="AX51" s="19">
        <v>7.0</v>
      </c>
      <c r="AY51" s="19">
        <v>4.0</v>
      </c>
      <c r="AZ51" s="19">
        <v>8.0</v>
      </c>
      <c r="BA51" s="19">
        <v>3.0</v>
      </c>
      <c r="BB51" s="13">
        <f t="shared" si="16"/>
        <v>189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BA52" si="17">SUM(E50:E51)</f>
        <v>160</v>
      </c>
      <c r="F52" s="13">
        <f t="shared" si="17"/>
        <v>144</v>
      </c>
      <c r="G52" s="13">
        <f t="shared" si="17"/>
        <v>137</v>
      </c>
      <c r="H52" s="13">
        <f t="shared" si="17"/>
        <v>196</v>
      </c>
      <c r="I52" s="13">
        <f t="shared" si="17"/>
        <v>187</v>
      </c>
      <c r="J52" s="13">
        <f t="shared" si="17"/>
        <v>129</v>
      </c>
      <c r="K52" s="13">
        <f t="shared" si="17"/>
        <v>157</v>
      </c>
      <c r="L52" s="13">
        <f t="shared" si="17"/>
        <v>141</v>
      </c>
      <c r="M52" s="13">
        <f t="shared" si="17"/>
        <v>178</v>
      </c>
      <c r="N52" s="13">
        <f t="shared" si="17"/>
        <v>162</v>
      </c>
      <c r="O52" s="13">
        <f t="shared" si="17"/>
        <v>149</v>
      </c>
      <c r="P52" s="13">
        <f t="shared" si="17"/>
        <v>163</v>
      </c>
      <c r="Q52" s="13">
        <f t="shared" si="17"/>
        <v>185</v>
      </c>
      <c r="R52" s="13">
        <f t="shared" si="17"/>
        <v>126</v>
      </c>
      <c r="S52" s="13">
        <f t="shared" si="17"/>
        <v>182</v>
      </c>
      <c r="T52" s="13">
        <f t="shared" si="17"/>
        <v>183</v>
      </c>
      <c r="U52" s="13">
        <f t="shared" si="17"/>
        <v>149</v>
      </c>
      <c r="V52" s="13">
        <f t="shared" si="17"/>
        <v>171</v>
      </c>
      <c r="W52" s="13">
        <f t="shared" si="17"/>
        <v>175</v>
      </c>
      <c r="X52" s="13">
        <f t="shared" si="17"/>
        <v>147</v>
      </c>
      <c r="Y52" s="13">
        <f t="shared" si="17"/>
        <v>183</v>
      </c>
      <c r="Z52" s="13">
        <f t="shared" si="17"/>
        <v>141</v>
      </c>
      <c r="AA52" s="13">
        <f t="shared" si="17"/>
        <v>121</v>
      </c>
      <c r="AB52" s="13">
        <f t="shared" si="17"/>
        <v>191</v>
      </c>
      <c r="AC52" s="13">
        <f t="shared" si="17"/>
        <v>175</v>
      </c>
      <c r="AD52" s="13">
        <f t="shared" si="17"/>
        <v>173</v>
      </c>
      <c r="AE52" s="13">
        <f t="shared" si="17"/>
        <v>198</v>
      </c>
      <c r="AF52" s="13">
        <f t="shared" si="17"/>
        <v>179</v>
      </c>
      <c r="AG52" s="13">
        <f t="shared" si="17"/>
        <v>158</v>
      </c>
      <c r="AH52" s="13">
        <f t="shared" si="17"/>
        <v>158</v>
      </c>
      <c r="AI52" s="13">
        <f t="shared" si="17"/>
        <v>168</v>
      </c>
      <c r="AJ52" s="13">
        <f t="shared" si="17"/>
        <v>172</v>
      </c>
      <c r="AK52" s="13">
        <f t="shared" si="17"/>
        <v>160</v>
      </c>
      <c r="AL52" s="13">
        <f t="shared" si="17"/>
        <v>133</v>
      </c>
      <c r="AM52" s="13">
        <f t="shared" si="17"/>
        <v>148</v>
      </c>
      <c r="AN52" s="13">
        <f t="shared" si="17"/>
        <v>185</v>
      </c>
      <c r="AO52" s="13">
        <f t="shared" si="17"/>
        <v>140</v>
      </c>
      <c r="AP52" s="13">
        <f t="shared" si="17"/>
        <v>184</v>
      </c>
      <c r="AQ52" s="13">
        <f t="shared" si="17"/>
        <v>157</v>
      </c>
      <c r="AR52" s="13">
        <f t="shared" si="17"/>
        <v>153</v>
      </c>
      <c r="AS52" s="13">
        <f t="shared" si="17"/>
        <v>166</v>
      </c>
      <c r="AT52" s="13">
        <f t="shared" si="17"/>
        <v>189</v>
      </c>
      <c r="AU52" s="13">
        <f t="shared" si="17"/>
        <v>164</v>
      </c>
      <c r="AV52" s="13">
        <f t="shared" si="17"/>
        <v>196</v>
      </c>
      <c r="AW52" s="13">
        <f t="shared" si="17"/>
        <v>193</v>
      </c>
      <c r="AX52" s="13">
        <f t="shared" si="17"/>
        <v>178</v>
      </c>
      <c r="AY52" s="13">
        <f t="shared" si="17"/>
        <v>211</v>
      </c>
      <c r="AZ52" s="13">
        <f t="shared" si="17"/>
        <v>202</v>
      </c>
      <c r="BA52" s="13">
        <f t="shared" si="17"/>
        <v>177</v>
      </c>
      <c r="BB52" s="13">
        <f t="shared" si="16"/>
        <v>8174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BA12"/>
    <mergeCell ref="BB12:B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BA15 E45:BA47">
    <cfRule type="containsBlanks" dxfId="1" priority="1">
      <formula>LEN(TRIM(E14))=0</formula>
    </cfRule>
  </conditionalFormatting>
  <conditionalFormatting sqref="E19:BA20">
    <cfRule type="containsBlanks" dxfId="1" priority="2">
      <formula>LEN(TRIM(E19))=0</formula>
    </cfRule>
  </conditionalFormatting>
  <conditionalFormatting sqref="E22:BA23 E25:BA26 E33:BA33 E35:BA35 E39:BA40">
    <cfRule type="containsBlanks" dxfId="1" priority="3">
      <formula>LEN(TRIM(E22))=0</formula>
    </cfRule>
  </conditionalFormatting>
  <conditionalFormatting sqref="E30:BA30">
    <cfRule type="expression" dxfId="0" priority="4">
      <formula>E30&lt;&gt;E46</formula>
    </cfRule>
  </conditionalFormatting>
  <conditionalFormatting sqref="E30:BA30">
    <cfRule type="expression" dxfId="0" priority="5">
      <formula>E30&lt;&gt;E34</formula>
    </cfRule>
  </conditionalFormatting>
  <conditionalFormatting sqref="E34:BA34">
    <cfRule type="expression" dxfId="2" priority="6">
      <formula>E30&lt;&gt;E34</formula>
    </cfRule>
  </conditionalFormatting>
  <conditionalFormatting sqref="E34:BA34">
    <cfRule type="expression" dxfId="3" priority="7">
      <formula>E30=E34</formula>
    </cfRule>
  </conditionalFormatting>
  <conditionalFormatting sqref="E34:BA34">
    <cfRule type="expression" dxfId="0" priority="8">
      <formula>E34&lt;&gt;E30</formula>
    </cfRule>
  </conditionalFormatting>
  <conditionalFormatting sqref="E34:BA34">
    <cfRule type="expression" dxfId="0" priority="9">
      <formula>E34&lt;&gt;#REF!</formula>
    </cfRule>
  </conditionalFormatting>
  <conditionalFormatting sqref="E50:BA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5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68" width="8.71"/>
    <col customWidth="1" min="69" max="69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111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  <c r="BC11" s="1"/>
      <c r="BD11" s="1"/>
      <c r="BE11" s="1"/>
      <c r="BF11" s="1"/>
      <c r="BG11" s="2"/>
      <c r="BH11" s="1"/>
      <c r="BI11" s="1"/>
      <c r="BJ11" s="1"/>
      <c r="BK11" s="1"/>
      <c r="BL11" s="2"/>
      <c r="BM11" s="1"/>
      <c r="BN11" s="1"/>
      <c r="BO11" s="1"/>
      <c r="BP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74</v>
      </c>
      <c r="AD13" s="13" t="s">
        <v>75</v>
      </c>
      <c r="AE13" s="13" t="s">
        <v>76</v>
      </c>
      <c r="AF13" s="13" t="s">
        <v>77</v>
      </c>
      <c r="AG13" s="13" t="s">
        <v>78</v>
      </c>
      <c r="AH13" s="13" t="s">
        <v>79</v>
      </c>
      <c r="AI13" s="13" t="s">
        <v>80</v>
      </c>
      <c r="AJ13" s="13" t="s">
        <v>81</v>
      </c>
      <c r="AK13" s="13" t="s">
        <v>82</v>
      </c>
      <c r="AL13" s="13" t="s">
        <v>83</v>
      </c>
      <c r="AM13" s="13" t="s">
        <v>84</v>
      </c>
      <c r="AN13" s="13" t="s">
        <v>85</v>
      </c>
      <c r="AO13" s="13" t="s">
        <v>86</v>
      </c>
      <c r="AP13" s="13" t="s">
        <v>87</v>
      </c>
      <c r="AQ13" s="13" t="s">
        <v>88</v>
      </c>
      <c r="AR13" s="13" t="s">
        <v>89</v>
      </c>
      <c r="AS13" s="13" t="s">
        <v>90</v>
      </c>
      <c r="AT13" s="13" t="s">
        <v>91</v>
      </c>
      <c r="AU13" s="13" t="s">
        <v>92</v>
      </c>
      <c r="AV13" s="13" t="s">
        <v>93</v>
      </c>
      <c r="AW13" s="13" t="s">
        <v>94</v>
      </c>
      <c r="AX13" s="13" t="s">
        <v>95</v>
      </c>
      <c r="AY13" s="13" t="s">
        <v>96</v>
      </c>
      <c r="AZ13" s="13" t="s">
        <v>97</v>
      </c>
      <c r="BA13" s="13" t="s">
        <v>98</v>
      </c>
      <c r="BB13" s="13" t="s">
        <v>99</v>
      </c>
      <c r="BC13" s="13" t="s">
        <v>100</v>
      </c>
      <c r="BD13" s="13" t="s">
        <v>101</v>
      </c>
      <c r="BE13" s="13" t="s">
        <v>102</v>
      </c>
      <c r="BF13" s="13" t="s">
        <v>103</v>
      </c>
      <c r="BG13" s="13" t="s">
        <v>104</v>
      </c>
      <c r="BH13" s="13" t="s">
        <v>105</v>
      </c>
      <c r="BI13" s="13" t="s">
        <v>106</v>
      </c>
      <c r="BJ13" s="13" t="s">
        <v>107</v>
      </c>
      <c r="BK13" s="13" t="s">
        <v>109</v>
      </c>
      <c r="BL13" s="13" t="s">
        <v>112</v>
      </c>
      <c r="BM13" s="13" t="s">
        <v>113</v>
      </c>
      <c r="BN13" s="13" t="s">
        <v>114</v>
      </c>
      <c r="BO13" s="13" t="s">
        <v>115</v>
      </c>
      <c r="BP13" s="13" t="s">
        <v>116</v>
      </c>
      <c r="BQ13" s="36"/>
    </row>
    <row r="14" ht="12.75" customHeight="1">
      <c r="A14" s="18"/>
      <c r="B14" s="22" t="s">
        <v>11</v>
      </c>
      <c r="C14" s="23"/>
      <c r="D14" s="19" t="s">
        <v>12</v>
      </c>
      <c r="E14" s="19">
        <v>129.0</v>
      </c>
      <c r="F14" s="19">
        <v>130.0</v>
      </c>
      <c r="G14" s="19">
        <v>147.0</v>
      </c>
      <c r="H14" s="19">
        <v>138.0</v>
      </c>
      <c r="I14" s="19">
        <v>120.0</v>
      </c>
      <c r="J14" s="19">
        <v>116.0</v>
      </c>
      <c r="K14" s="19">
        <v>110.0</v>
      </c>
      <c r="L14" s="19">
        <v>116.0</v>
      </c>
      <c r="M14" s="19">
        <v>115.0</v>
      </c>
      <c r="N14" s="19">
        <v>118.0</v>
      </c>
      <c r="O14" s="19">
        <v>135.0</v>
      </c>
      <c r="P14" s="19">
        <v>139.0</v>
      </c>
      <c r="Q14" s="19">
        <v>147.0</v>
      </c>
      <c r="R14" s="19">
        <v>119.0</v>
      </c>
      <c r="S14" s="19">
        <v>151.0</v>
      </c>
      <c r="T14" s="19">
        <v>127.0</v>
      </c>
      <c r="U14" s="19">
        <v>128.0</v>
      </c>
      <c r="V14" s="19">
        <v>135.0</v>
      </c>
      <c r="W14" s="19">
        <v>132.0</v>
      </c>
      <c r="X14" s="19">
        <v>126.0</v>
      </c>
      <c r="Y14" s="19">
        <v>137.0</v>
      </c>
      <c r="Z14" s="19">
        <v>123.0</v>
      </c>
      <c r="AA14" s="19">
        <v>137.0</v>
      </c>
      <c r="AB14" s="19">
        <v>115.0</v>
      </c>
      <c r="AC14" s="19">
        <v>125.0</v>
      </c>
      <c r="AD14" s="19">
        <v>116.0</v>
      </c>
      <c r="AE14" s="19">
        <v>130.0</v>
      </c>
      <c r="AF14" s="19">
        <v>135.0</v>
      </c>
      <c r="AG14" s="19">
        <v>141.0</v>
      </c>
      <c r="AH14" s="19">
        <v>141.0</v>
      </c>
      <c r="AI14" s="19">
        <v>141.0</v>
      </c>
      <c r="AJ14" s="19">
        <v>143.0</v>
      </c>
      <c r="AK14" s="19">
        <v>136.0</v>
      </c>
      <c r="AL14" s="19">
        <v>132.0</v>
      </c>
      <c r="AM14" s="19">
        <v>139.0</v>
      </c>
      <c r="AN14" s="19">
        <v>135.0</v>
      </c>
      <c r="AO14" s="19">
        <v>141.0</v>
      </c>
      <c r="AP14" s="19">
        <v>131.0</v>
      </c>
      <c r="AQ14" s="19">
        <v>136.0</v>
      </c>
      <c r="AR14" s="19">
        <v>138.0</v>
      </c>
      <c r="AS14" s="19">
        <v>154.0</v>
      </c>
      <c r="AT14" s="19">
        <v>138.0</v>
      </c>
      <c r="AU14" s="19">
        <v>114.0</v>
      </c>
      <c r="AV14" s="19">
        <v>148.0</v>
      </c>
      <c r="AW14" s="19">
        <v>147.0</v>
      </c>
      <c r="AX14" s="19">
        <v>151.0</v>
      </c>
      <c r="AY14" s="19">
        <v>147.0</v>
      </c>
      <c r="AZ14" s="19">
        <v>134.0</v>
      </c>
      <c r="BA14" s="19">
        <v>146.0</v>
      </c>
      <c r="BB14" s="19">
        <v>139.0</v>
      </c>
      <c r="BC14" s="19">
        <v>141.0</v>
      </c>
      <c r="BD14" s="19">
        <v>133.0</v>
      </c>
      <c r="BE14" s="19">
        <v>129.0</v>
      </c>
      <c r="BF14" s="19">
        <v>145.0</v>
      </c>
      <c r="BG14" s="19">
        <v>143.0</v>
      </c>
      <c r="BH14" s="19">
        <v>157.0</v>
      </c>
      <c r="BI14" s="19">
        <v>126.0</v>
      </c>
      <c r="BJ14" s="19">
        <v>138.0</v>
      </c>
      <c r="BK14" s="19">
        <v>118.0</v>
      </c>
      <c r="BL14" s="19">
        <v>139.0</v>
      </c>
      <c r="BM14" s="19">
        <v>126.0</v>
      </c>
      <c r="BN14" s="19">
        <v>123.0</v>
      </c>
      <c r="BO14" s="19">
        <v>122.0</v>
      </c>
      <c r="BP14" s="19">
        <v>126.0</v>
      </c>
      <c r="BQ14" s="13">
        <f t="shared" ref="BQ14:BQ16" si="1">SUM(E14:BP14)</f>
        <v>8534</v>
      </c>
    </row>
    <row r="15" ht="12.75" customHeight="1">
      <c r="A15" s="18"/>
      <c r="B15" s="26"/>
      <c r="C15" s="27"/>
      <c r="D15" s="19" t="s">
        <v>13</v>
      </c>
      <c r="E15" s="19">
        <v>137.0</v>
      </c>
      <c r="F15" s="19">
        <v>134.0</v>
      </c>
      <c r="G15" s="19">
        <v>134.0</v>
      </c>
      <c r="H15" s="19">
        <v>117.0</v>
      </c>
      <c r="I15" s="19">
        <v>115.0</v>
      </c>
      <c r="J15" s="19">
        <v>119.0</v>
      </c>
      <c r="K15" s="19">
        <v>115.0</v>
      </c>
      <c r="L15" s="19">
        <v>117.0</v>
      </c>
      <c r="M15" s="19">
        <v>108.0</v>
      </c>
      <c r="N15" s="19">
        <v>119.0</v>
      </c>
      <c r="O15" s="19">
        <v>125.0</v>
      </c>
      <c r="P15" s="19">
        <v>132.0</v>
      </c>
      <c r="Q15" s="19">
        <v>124.0</v>
      </c>
      <c r="R15" s="19">
        <v>123.0</v>
      </c>
      <c r="S15" s="19">
        <v>138.0</v>
      </c>
      <c r="T15" s="19">
        <v>136.0</v>
      </c>
      <c r="U15" s="19">
        <v>133.0</v>
      </c>
      <c r="V15" s="19">
        <v>132.0</v>
      </c>
      <c r="W15" s="19">
        <v>138.0</v>
      </c>
      <c r="X15" s="19">
        <v>129.0</v>
      </c>
      <c r="Y15" s="19">
        <v>118.0</v>
      </c>
      <c r="Z15" s="19">
        <v>135.0</v>
      </c>
      <c r="AA15" s="19">
        <v>122.0</v>
      </c>
      <c r="AB15" s="19">
        <v>113.0</v>
      </c>
      <c r="AC15" s="19">
        <v>117.0</v>
      </c>
      <c r="AD15" s="19">
        <v>122.0</v>
      </c>
      <c r="AE15" s="19">
        <v>131.0</v>
      </c>
      <c r="AF15" s="19">
        <v>127.0</v>
      </c>
      <c r="AG15" s="19">
        <v>135.0</v>
      </c>
      <c r="AH15" s="19">
        <v>133.0</v>
      </c>
      <c r="AI15" s="19">
        <v>134.0</v>
      </c>
      <c r="AJ15" s="19">
        <v>133.0</v>
      </c>
      <c r="AK15" s="19">
        <v>133.0</v>
      </c>
      <c r="AL15" s="19">
        <v>137.0</v>
      </c>
      <c r="AM15" s="19">
        <v>142.0</v>
      </c>
      <c r="AN15" s="19">
        <v>127.0</v>
      </c>
      <c r="AO15" s="19">
        <v>128.0</v>
      </c>
      <c r="AP15" s="19">
        <v>142.0</v>
      </c>
      <c r="AQ15" s="19">
        <v>127.0</v>
      </c>
      <c r="AR15" s="19">
        <v>120.0</v>
      </c>
      <c r="AS15" s="19">
        <v>124.0</v>
      </c>
      <c r="AT15" s="19">
        <v>121.0</v>
      </c>
      <c r="AU15" s="19">
        <v>116.0</v>
      </c>
      <c r="AV15" s="19">
        <v>149.0</v>
      </c>
      <c r="AW15" s="19">
        <v>144.0</v>
      </c>
      <c r="AX15" s="19">
        <v>142.0</v>
      </c>
      <c r="AY15" s="19">
        <v>144.0</v>
      </c>
      <c r="AZ15" s="19">
        <v>147.0</v>
      </c>
      <c r="BA15" s="19">
        <v>140.0</v>
      </c>
      <c r="BB15" s="19">
        <v>151.0</v>
      </c>
      <c r="BC15" s="19">
        <v>146.0</v>
      </c>
      <c r="BD15" s="19">
        <v>155.0</v>
      </c>
      <c r="BE15" s="19">
        <v>145.0</v>
      </c>
      <c r="BF15" s="19">
        <v>151.0</v>
      </c>
      <c r="BG15" s="19">
        <v>152.0</v>
      </c>
      <c r="BH15" s="19">
        <v>137.0</v>
      </c>
      <c r="BI15" s="19">
        <v>129.0</v>
      </c>
      <c r="BJ15" s="19">
        <v>126.0</v>
      </c>
      <c r="BK15" s="19">
        <v>127.0</v>
      </c>
      <c r="BL15" s="19">
        <v>136.0</v>
      </c>
      <c r="BM15" s="19">
        <v>137.0</v>
      </c>
      <c r="BN15" s="19">
        <v>125.0</v>
      </c>
      <c r="BO15" s="19">
        <v>122.0</v>
      </c>
      <c r="BP15" s="19">
        <v>119.0</v>
      </c>
      <c r="BQ15" s="13">
        <f t="shared" si="1"/>
        <v>8386</v>
      </c>
    </row>
    <row r="16" ht="12.75" customHeight="1">
      <c r="A16" s="25"/>
      <c r="B16" s="21"/>
      <c r="C16" s="28"/>
      <c r="D16" s="13" t="s">
        <v>14</v>
      </c>
      <c r="E16" s="13">
        <f t="shared" ref="E16:BP16" si="2">SUM(E14:E15)</f>
        <v>266</v>
      </c>
      <c r="F16" s="13">
        <f t="shared" si="2"/>
        <v>264</v>
      </c>
      <c r="G16" s="13">
        <f t="shared" si="2"/>
        <v>281</v>
      </c>
      <c r="H16" s="13">
        <f t="shared" si="2"/>
        <v>255</v>
      </c>
      <c r="I16" s="13">
        <f t="shared" si="2"/>
        <v>235</v>
      </c>
      <c r="J16" s="13">
        <f t="shared" si="2"/>
        <v>235</v>
      </c>
      <c r="K16" s="13">
        <f t="shared" si="2"/>
        <v>225</v>
      </c>
      <c r="L16" s="13">
        <f t="shared" si="2"/>
        <v>233</v>
      </c>
      <c r="M16" s="13">
        <f t="shared" si="2"/>
        <v>223</v>
      </c>
      <c r="N16" s="13">
        <f t="shared" si="2"/>
        <v>237</v>
      </c>
      <c r="O16" s="13">
        <f t="shared" si="2"/>
        <v>260</v>
      </c>
      <c r="P16" s="13">
        <f t="shared" si="2"/>
        <v>271</v>
      </c>
      <c r="Q16" s="13">
        <f t="shared" si="2"/>
        <v>271</v>
      </c>
      <c r="R16" s="13">
        <f t="shared" si="2"/>
        <v>242</v>
      </c>
      <c r="S16" s="13">
        <f t="shared" si="2"/>
        <v>289</v>
      </c>
      <c r="T16" s="13">
        <f t="shared" si="2"/>
        <v>263</v>
      </c>
      <c r="U16" s="13">
        <f t="shared" si="2"/>
        <v>261</v>
      </c>
      <c r="V16" s="13">
        <f t="shared" si="2"/>
        <v>267</v>
      </c>
      <c r="W16" s="13">
        <f t="shared" si="2"/>
        <v>270</v>
      </c>
      <c r="X16" s="13">
        <f t="shared" si="2"/>
        <v>255</v>
      </c>
      <c r="Y16" s="13">
        <f t="shared" si="2"/>
        <v>255</v>
      </c>
      <c r="Z16" s="13">
        <f t="shared" si="2"/>
        <v>258</v>
      </c>
      <c r="AA16" s="13">
        <f t="shared" si="2"/>
        <v>259</v>
      </c>
      <c r="AB16" s="13">
        <f t="shared" si="2"/>
        <v>228</v>
      </c>
      <c r="AC16" s="13">
        <f t="shared" si="2"/>
        <v>242</v>
      </c>
      <c r="AD16" s="13">
        <f t="shared" si="2"/>
        <v>238</v>
      </c>
      <c r="AE16" s="13">
        <f t="shared" si="2"/>
        <v>261</v>
      </c>
      <c r="AF16" s="13">
        <f t="shared" si="2"/>
        <v>262</v>
      </c>
      <c r="AG16" s="13">
        <f t="shared" si="2"/>
        <v>276</v>
      </c>
      <c r="AH16" s="13">
        <f t="shared" si="2"/>
        <v>274</v>
      </c>
      <c r="AI16" s="13">
        <f t="shared" si="2"/>
        <v>275</v>
      </c>
      <c r="AJ16" s="13">
        <f t="shared" si="2"/>
        <v>276</v>
      </c>
      <c r="AK16" s="13">
        <f t="shared" si="2"/>
        <v>269</v>
      </c>
      <c r="AL16" s="13">
        <f t="shared" si="2"/>
        <v>269</v>
      </c>
      <c r="AM16" s="13">
        <f t="shared" si="2"/>
        <v>281</v>
      </c>
      <c r="AN16" s="13">
        <f t="shared" si="2"/>
        <v>262</v>
      </c>
      <c r="AO16" s="13">
        <f t="shared" si="2"/>
        <v>269</v>
      </c>
      <c r="AP16" s="13">
        <f t="shared" si="2"/>
        <v>273</v>
      </c>
      <c r="AQ16" s="13">
        <f t="shared" si="2"/>
        <v>263</v>
      </c>
      <c r="AR16" s="13">
        <f t="shared" si="2"/>
        <v>258</v>
      </c>
      <c r="AS16" s="13">
        <f t="shared" si="2"/>
        <v>278</v>
      </c>
      <c r="AT16" s="13">
        <f t="shared" si="2"/>
        <v>259</v>
      </c>
      <c r="AU16" s="13">
        <f t="shared" si="2"/>
        <v>230</v>
      </c>
      <c r="AV16" s="13">
        <f t="shared" si="2"/>
        <v>297</v>
      </c>
      <c r="AW16" s="13">
        <f t="shared" si="2"/>
        <v>291</v>
      </c>
      <c r="AX16" s="13">
        <f t="shared" si="2"/>
        <v>293</v>
      </c>
      <c r="AY16" s="13">
        <f t="shared" si="2"/>
        <v>291</v>
      </c>
      <c r="AZ16" s="13">
        <f t="shared" si="2"/>
        <v>281</v>
      </c>
      <c r="BA16" s="13">
        <f t="shared" si="2"/>
        <v>286</v>
      </c>
      <c r="BB16" s="13">
        <f t="shared" si="2"/>
        <v>290</v>
      </c>
      <c r="BC16" s="13">
        <f t="shared" si="2"/>
        <v>287</v>
      </c>
      <c r="BD16" s="13">
        <f t="shared" si="2"/>
        <v>288</v>
      </c>
      <c r="BE16" s="13">
        <f t="shared" si="2"/>
        <v>274</v>
      </c>
      <c r="BF16" s="13">
        <f t="shared" si="2"/>
        <v>296</v>
      </c>
      <c r="BG16" s="13">
        <f t="shared" si="2"/>
        <v>295</v>
      </c>
      <c r="BH16" s="13">
        <f t="shared" si="2"/>
        <v>294</v>
      </c>
      <c r="BI16" s="13">
        <f t="shared" si="2"/>
        <v>255</v>
      </c>
      <c r="BJ16" s="13">
        <f t="shared" si="2"/>
        <v>264</v>
      </c>
      <c r="BK16" s="13">
        <f t="shared" si="2"/>
        <v>245</v>
      </c>
      <c r="BL16" s="13">
        <f t="shared" si="2"/>
        <v>275</v>
      </c>
      <c r="BM16" s="13">
        <f t="shared" si="2"/>
        <v>263</v>
      </c>
      <c r="BN16" s="13">
        <f t="shared" si="2"/>
        <v>248</v>
      </c>
      <c r="BO16" s="13">
        <f t="shared" si="2"/>
        <v>244</v>
      </c>
      <c r="BP16" s="13">
        <f t="shared" si="2"/>
        <v>245</v>
      </c>
      <c r="BQ16" s="13">
        <f t="shared" si="1"/>
        <v>16920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19"/>
      <c r="Q17" s="19"/>
      <c r="R17" s="19"/>
      <c r="S17" s="59"/>
      <c r="T17" s="19"/>
      <c r="U17" s="19"/>
      <c r="V17" s="19"/>
      <c r="W17" s="19"/>
      <c r="X17" s="59"/>
      <c r="Y17" s="19"/>
      <c r="Z17" s="19"/>
      <c r="AA17" s="19"/>
      <c r="AB17" s="19"/>
      <c r="AC17" s="59"/>
      <c r="AD17" s="19"/>
      <c r="AE17" s="19"/>
      <c r="AF17" s="19"/>
      <c r="AG17" s="19"/>
      <c r="AH17" s="59"/>
      <c r="AI17" s="19"/>
      <c r="AJ17" s="19"/>
      <c r="AK17" s="19"/>
      <c r="AL17" s="19"/>
      <c r="AM17" s="59"/>
      <c r="AN17" s="19"/>
      <c r="AO17" s="19"/>
      <c r="AP17" s="19"/>
      <c r="AQ17" s="19"/>
      <c r="AR17" s="59"/>
      <c r="AS17" s="19"/>
      <c r="AT17" s="19"/>
      <c r="AU17" s="19"/>
      <c r="AV17" s="19"/>
      <c r="AW17" s="59"/>
      <c r="AX17" s="19"/>
      <c r="AY17" s="19"/>
      <c r="AZ17" s="19"/>
      <c r="BA17" s="19"/>
      <c r="BB17" s="59"/>
      <c r="BC17" s="19"/>
      <c r="BD17" s="19"/>
      <c r="BE17" s="19"/>
      <c r="BF17" s="19"/>
      <c r="BG17" s="59"/>
      <c r="BH17" s="19"/>
      <c r="BI17" s="19"/>
      <c r="BJ17" s="19"/>
      <c r="BK17" s="19"/>
      <c r="BL17" s="59"/>
      <c r="BM17" s="19"/>
      <c r="BN17" s="19"/>
      <c r="BO17" s="19"/>
      <c r="BP17" s="19"/>
      <c r="BQ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19"/>
      <c r="Q18" s="19"/>
      <c r="R18" s="19"/>
      <c r="S18" s="59"/>
      <c r="T18" s="19"/>
      <c r="U18" s="19"/>
      <c r="V18" s="19"/>
      <c r="W18" s="19"/>
      <c r="X18" s="59"/>
      <c r="Y18" s="19"/>
      <c r="Z18" s="19"/>
      <c r="AA18" s="19"/>
      <c r="AB18" s="19"/>
      <c r="AC18" s="59"/>
      <c r="AD18" s="19"/>
      <c r="AE18" s="19"/>
      <c r="AF18" s="19"/>
      <c r="AG18" s="19"/>
      <c r="AH18" s="59"/>
      <c r="AI18" s="19"/>
      <c r="AJ18" s="19"/>
      <c r="AK18" s="19"/>
      <c r="AL18" s="19"/>
      <c r="AM18" s="59"/>
      <c r="AN18" s="19"/>
      <c r="AO18" s="19"/>
      <c r="AP18" s="19"/>
      <c r="AQ18" s="19"/>
      <c r="AR18" s="59"/>
      <c r="AS18" s="19"/>
      <c r="AT18" s="19"/>
      <c r="AU18" s="19"/>
      <c r="AV18" s="19"/>
      <c r="AW18" s="59"/>
      <c r="AX18" s="19"/>
      <c r="AY18" s="19"/>
      <c r="AZ18" s="19"/>
      <c r="BA18" s="19"/>
      <c r="BB18" s="59"/>
      <c r="BC18" s="19"/>
      <c r="BD18" s="19"/>
      <c r="BE18" s="19"/>
      <c r="BF18" s="19"/>
      <c r="BG18" s="59"/>
      <c r="BH18" s="19"/>
      <c r="BI18" s="19"/>
      <c r="BJ18" s="19"/>
      <c r="BK18" s="19"/>
      <c r="BL18" s="59"/>
      <c r="BM18" s="19"/>
      <c r="BN18" s="19"/>
      <c r="BO18" s="19"/>
      <c r="BP18" s="19"/>
      <c r="BQ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92.0</v>
      </c>
      <c r="F19" s="19">
        <v>90.0</v>
      </c>
      <c r="G19" s="19">
        <v>93.0</v>
      </c>
      <c r="H19" s="19">
        <v>94.0</v>
      </c>
      <c r="I19" s="19">
        <v>78.0</v>
      </c>
      <c r="J19" s="19">
        <v>91.0</v>
      </c>
      <c r="K19" s="19">
        <v>74.0</v>
      </c>
      <c r="L19" s="19">
        <v>99.0</v>
      </c>
      <c r="M19" s="19">
        <v>98.0</v>
      </c>
      <c r="N19" s="19">
        <v>92.0</v>
      </c>
      <c r="O19" s="19">
        <v>108.0</v>
      </c>
      <c r="P19" s="19">
        <v>105.0</v>
      </c>
      <c r="Q19" s="19">
        <v>101.0</v>
      </c>
      <c r="R19" s="19">
        <v>88.0</v>
      </c>
      <c r="S19" s="19">
        <v>115.0</v>
      </c>
      <c r="T19" s="19">
        <v>90.0</v>
      </c>
      <c r="U19" s="19">
        <v>83.0</v>
      </c>
      <c r="V19" s="19">
        <v>91.0</v>
      </c>
      <c r="W19" s="19">
        <v>94.0</v>
      </c>
      <c r="X19" s="19">
        <v>80.0</v>
      </c>
      <c r="Y19" s="19">
        <v>95.0</v>
      </c>
      <c r="Z19" s="19">
        <v>98.0</v>
      </c>
      <c r="AA19" s="19">
        <v>99.0</v>
      </c>
      <c r="AB19" s="19">
        <v>90.0</v>
      </c>
      <c r="AC19" s="19">
        <v>96.0</v>
      </c>
      <c r="AD19" s="19">
        <v>90.0</v>
      </c>
      <c r="AE19" s="19">
        <v>94.0</v>
      </c>
      <c r="AF19" s="19">
        <v>110.0</v>
      </c>
      <c r="AG19" s="19">
        <v>104.0</v>
      </c>
      <c r="AH19" s="19">
        <v>93.0</v>
      </c>
      <c r="AI19" s="19">
        <v>89.0</v>
      </c>
      <c r="AJ19" s="19">
        <v>97.0</v>
      </c>
      <c r="AK19" s="19">
        <v>91.0</v>
      </c>
      <c r="AL19" s="19">
        <v>96.0</v>
      </c>
      <c r="AM19" s="19">
        <v>95.0</v>
      </c>
      <c r="AN19" s="19">
        <v>89.0</v>
      </c>
      <c r="AO19" s="19">
        <v>93.0</v>
      </c>
      <c r="AP19" s="19">
        <v>90.0</v>
      </c>
      <c r="AQ19" s="19">
        <v>89.0</v>
      </c>
      <c r="AR19" s="19">
        <v>95.0</v>
      </c>
      <c r="AS19" s="19">
        <v>107.0</v>
      </c>
      <c r="AT19" s="19">
        <v>91.0</v>
      </c>
      <c r="AU19" s="19">
        <v>73.0</v>
      </c>
      <c r="AV19" s="19">
        <v>103.0</v>
      </c>
      <c r="AW19" s="19">
        <v>98.0</v>
      </c>
      <c r="AX19" s="19">
        <v>114.0</v>
      </c>
      <c r="AY19" s="19">
        <v>111.0</v>
      </c>
      <c r="AZ19" s="19">
        <v>99.0</v>
      </c>
      <c r="BA19" s="19">
        <v>114.0</v>
      </c>
      <c r="BB19" s="19">
        <v>106.0</v>
      </c>
      <c r="BC19" s="19">
        <v>111.0</v>
      </c>
      <c r="BD19" s="19">
        <v>104.0</v>
      </c>
      <c r="BE19" s="19">
        <v>98.0</v>
      </c>
      <c r="BF19" s="19">
        <v>98.0</v>
      </c>
      <c r="BG19" s="19">
        <v>92.0</v>
      </c>
      <c r="BH19" s="19">
        <v>108.0</v>
      </c>
      <c r="BI19" s="19">
        <v>75.0</v>
      </c>
      <c r="BJ19" s="19">
        <v>99.0</v>
      </c>
      <c r="BK19" s="19">
        <v>89.0</v>
      </c>
      <c r="BL19" s="19">
        <v>108.0</v>
      </c>
      <c r="BM19" s="19">
        <v>86.0</v>
      </c>
      <c r="BN19" s="19">
        <v>95.0</v>
      </c>
      <c r="BO19" s="19">
        <v>103.0</v>
      </c>
      <c r="BP19" s="19">
        <v>100.0</v>
      </c>
      <c r="BQ19" s="13">
        <f t="shared" ref="BQ19:BQ30" si="3">SUM(E19:BP19)</f>
        <v>6131</v>
      </c>
    </row>
    <row r="20" ht="12.75" customHeight="1">
      <c r="A20" s="33"/>
      <c r="B20" s="27"/>
      <c r="C20" s="34"/>
      <c r="D20" s="19" t="s">
        <v>13</v>
      </c>
      <c r="E20" s="19">
        <v>105.0</v>
      </c>
      <c r="F20" s="19">
        <v>99.0</v>
      </c>
      <c r="G20" s="19">
        <v>109.0</v>
      </c>
      <c r="H20" s="19">
        <v>94.0</v>
      </c>
      <c r="I20" s="19">
        <v>82.0</v>
      </c>
      <c r="J20" s="19">
        <v>93.0</v>
      </c>
      <c r="K20" s="19">
        <v>93.0</v>
      </c>
      <c r="L20" s="19">
        <v>92.0</v>
      </c>
      <c r="M20" s="19">
        <v>84.0</v>
      </c>
      <c r="N20" s="19">
        <v>104.0</v>
      </c>
      <c r="O20" s="19">
        <v>97.0</v>
      </c>
      <c r="P20" s="19">
        <v>118.0</v>
      </c>
      <c r="Q20" s="19">
        <v>95.0</v>
      </c>
      <c r="R20" s="19">
        <v>103.0</v>
      </c>
      <c r="S20" s="19">
        <v>113.0</v>
      </c>
      <c r="T20" s="19">
        <v>109.0</v>
      </c>
      <c r="U20" s="19">
        <v>99.0</v>
      </c>
      <c r="V20" s="19">
        <v>104.0</v>
      </c>
      <c r="W20" s="19">
        <v>109.0</v>
      </c>
      <c r="X20" s="19">
        <v>105.0</v>
      </c>
      <c r="Y20" s="19">
        <v>88.0</v>
      </c>
      <c r="Z20" s="19">
        <v>116.0</v>
      </c>
      <c r="AA20" s="19">
        <v>104.0</v>
      </c>
      <c r="AB20" s="19">
        <v>96.0</v>
      </c>
      <c r="AC20" s="19">
        <v>83.0</v>
      </c>
      <c r="AD20" s="19">
        <v>87.0</v>
      </c>
      <c r="AE20" s="19">
        <v>99.0</v>
      </c>
      <c r="AF20" s="19">
        <v>100.0</v>
      </c>
      <c r="AG20" s="19">
        <v>114.0</v>
      </c>
      <c r="AH20" s="19">
        <v>108.0</v>
      </c>
      <c r="AI20" s="19">
        <v>120.0</v>
      </c>
      <c r="AJ20" s="19">
        <v>104.0</v>
      </c>
      <c r="AK20" s="19">
        <v>106.0</v>
      </c>
      <c r="AL20" s="19">
        <v>99.0</v>
      </c>
      <c r="AM20" s="19">
        <v>106.0</v>
      </c>
      <c r="AN20" s="19">
        <v>94.0</v>
      </c>
      <c r="AO20" s="19">
        <v>104.0</v>
      </c>
      <c r="AP20" s="19">
        <v>114.0</v>
      </c>
      <c r="AQ20" s="19">
        <v>94.0</v>
      </c>
      <c r="AR20" s="19">
        <v>95.0</v>
      </c>
      <c r="AS20" s="19">
        <v>99.0</v>
      </c>
      <c r="AT20" s="19">
        <v>92.0</v>
      </c>
      <c r="AU20" s="19">
        <v>78.0</v>
      </c>
      <c r="AV20" s="19">
        <v>110.0</v>
      </c>
      <c r="AW20" s="19">
        <v>103.0</v>
      </c>
      <c r="AX20" s="19">
        <v>98.0</v>
      </c>
      <c r="AY20" s="19">
        <v>117.0</v>
      </c>
      <c r="AZ20" s="19">
        <v>102.0</v>
      </c>
      <c r="BA20" s="19">
        <v>119.0</v>
      </c>
      <c r="BB20" s="19">
        <v>117.0</v>
      </c>
      <c r="BC20" s="19">
        <v>121.0</v>
      </c>
      <c r="BD20" s="19">
        <v>123.0</v>
      </c>
      <c r="BE20" s="19">
        <v>122.0</v>
      </c>
      <c r="BF20" s="19">
        <v>110.0</v>
      </c>
      <c r="BG20" s="19">
        <v>108.0</v>
      </c>
      <c r="BH20" s="19">
        <v>117.0</v>
      </c>
      <c r="BI20" s="19">
        <v>102.0</v>
      </c>
      <c r="BJ20" s="19">
        <v>99.0</v>
      </c>
      <c r="BK20" s="19">
        <v>110.0</v>
      </c>
      <c r="BL20" s="19">
        <v>108.0</v>
      </c>
      <c r="BM20" s="19">
        <v>109.0</v>
      </c>
      <c r="BN20" s="19">
        <v>102.0</v>
      </c>
      <c r="BO20" s="19">
        <v>103.0</v>
      </c>
      <c r="BP20" s="19">
        <v>102.0</v>
      </c>
      <c r="BQ20" s="13">
        <f t="shared" si="3"/>
        <v>6609</v>
      </c>
    </row>
    <row r="21" ht="12.75" customHeight="1">
      <c r="A21" s="35"/>
      <c r="B21" s="28"/>
      <c r="C21" s="36"/>
      <c r="D21" s="13" t="s">
        <v>14</v>
      </c>
      <c r="E21" s="13">
        <f t="shared" ref="E21:BP21" si="4">SUM(E19:E20)</f>
        <v>197</v>
      </c>
      <c r="F21" s="13">
        <f t="shared" si="4"/>
        <v>189</v>
      </c>
      <c r="G21" s="13">
        <f t="shared" si="4"/>
        <v>202</v>
      </c>
      <c r="H21" s="13">
        <f t="shared" si="4"/>
        <v>188</v>
      </c>
      <c r="I21" s="13">
        <f t="shared" si="4"/>
        <v>160</v>
      </c>
      <c r="J21" s="13">
        <f t="shared" si="4"/>
        <v>184</v>
      </c>
      <c r="K21" s="13">
        <f t="shared" si="4"/>
        <v>167</v>
      </c>
      <c r="L21" s="13">
        <f t="shared" si="4"/>
        <v>191</v>
      </c>
      <c r="M21" s="13">
        <f t="shared" si="4"/>
        <v>182</v>
      </c>
      <c r="N21" s="13">
        <f t="shared" si="4"/>
        <v>196</v>
      </c>
      <c r="O21" s="13">
        <f t="shared" si="4"/>
        <v>205</v>
      </c>
      <c r="P21" s="13">
        <f t="shared" si="4"/>
        <v>223</v>
      </c>
      <c r="Q21" s="13">
        <f t="shared" si="4"/>
        <v>196</v>
      </c>
      <c r="R21" s="13">
        <f t="shared" si="4"/>
        <v>191</v>
      </c>
      <c r="S21" s="13">
        <f t="shared" si="4"/>
        <v>228</v>
      </c>
      <c r="T21" s="13">
        <f t="shared" si="4"/>
        <v>199</v>
      </c>
      <c r="U21" s="13">
        <f t="shared" si="4"/>
        <v>182</v>
      </c>
      <c r="V21" s="13">
        <f t="shared" si="4"/>
        <v>195</v>
      </c>
      <c r="W21" s="13">
        <f t="shared" si="4"/>
        <v>203</v>
      </c>
      <c r="X21" s="13">
        <f t="shared" si="4"/>
        <v>185</v>
      </c>
      <c r="Y21" s="13">
        <f t="shared" si="4"/>
        <v>183</v>
      </c>
      <c r="Z21" s="13">
        <f t="shared" si="4"/>
        <v>214</v>
      </c>
      <c r="AA21" s="13">
        <f t="shared" si="4"/>
        <v>203</v>
      </c>
      <c r="AB21" s="13">
        <f t="shared" si="4"/>
        <v>186</v>
      </c>
      <c r="AC21" s="13">
        <f t="shared" si="4"/>
        <v>179</v>
      </c>
      <c r="AD21" s="13">
        <f t="shared" si="4"/>
        <v>177</v>
      </c>
      <c r="AE21" s="13">
        <f t="shared" si="4"/>
        <v>193</v>
      </c>
      <c r="AF21" s="13">
        <f t="shared" si="4"/>
        <v>210</v>
      </c>
      <c r="AG21" s="13">
        <f t="shared" si="4"/>
        <v>218</v>
      </c>
      <c r="AH21" s="13">
        <f t="shared" si="4"/>
        <v>201</v>
      </c>
      <c r="AI21" s="13">
        <f t="shared" si="4"/>
        <v>209</v>
      </c>
      <c r="AJ21" s="13">
        <f t="shared" si="4"/>
        <v>201</v>
      </c>
      <c r="AK21" s="13">
        <f t="shared" si="4"/>
        <v>197</v>
      </c>
      <c r="AL21" s="13">
        <f t="shared" si="4"/>
        <v>195</v>
      </c>
      <c r="AM21" s="13">
        <f t="shared" si="4"/>
        <v>201</v>
      </c>
      <c r="AN21" s="13">
        <f t="shared" si="4"/>
        <v>183</v>
      </c>
      <c r="AO21" s="13">
        <f t="shared" si="4"/>
        <v>197</v>
      </c>
      <c r="AP21" s="13">
        <f t="shared" si="4"/>
        <v>204</v>
      </c>
      <c r="AQ21" s="13">
        <f t="shared" si="4"/>
        <v>183</v>
      </c>
      <c r="AR21" s="13">
        <f t="shared" si="4"/>
        <v>190</v>
      </c>
      <c r="AS21" s="13">
        <f t="shared" si="4"/>
        <v>206</v>
      </c>
      <c r="AT21" s="13">
        <f t="shared" si="4"/>
        <v>183</v>
      </c>
      <c r="AU21" s="13">
        <f t="shared" si="4"/>
        <v>151</v>
      </c>
      <c r="AV21" s="13">
        <f t="shared" si="4"/>
        <v>213</v>
      </c>
      <c r="AW21" s="13">
        <f t="shared" si="4"/>
        <v>201</v>
      </c>
      <c r="AX21" s="13">
        <f t="shared" si="4"/>
        <v>212</v>
      </c>
      <c r="AY21" s="13">
        <f t="shared" si="4"/>
        <v>228</v>
      </c>
      <c r="AZ21" s="13">
        <f t="shared" si="4"/>
        <v>201</v>
      </c>
      <c r="BA21" s="13">
        <f t="shared" si="4"/>
        <v>233</v>
      </c>
      <c r="BB21" s="13">
        <f t="shared" si="4"/>
        <v>223</v>
      </c>
      <c r="BC21" s="13">
        <f t="shared" si="4"/>
        <v>232</v>
      </c>
      <c r="BD21" s="13">
        <f t="shared" si="4"/>
        <v>227</v>
      </c>
      <c r="BE21" s="13">
        <f t="shared" si="4"/>
        <v>220</v>
      </c>
      <c r="BF21" s="13">
        <f t="shared" si="4"/>
        <v>208</v>
      </c>
      <c r="BG21" s="13">
        <f t="shared" si="4"/>
        <v>200</v>
      </c>
      <c r="BH21" s="13">
        <f t="shared" si="4"/>
        <v>225</v>
      </c>
      <c r="BI21" s="13">
        <f t="shared" si="4"/>
        <v>177</v>
      </c>
      <c r="BJ21" s="13">
        <f t="shared" si="4"/>
        <v>198</v>
      </c>
      <c r="BK21" s="13">
        <f t="shared" si="4"/>
        <v>199</v>
      </c>
      <c r="BL21" s="13">
        <f t="shared" si="4"/>
        <v>216</v>
      </c>
      <c r="BM21" s="13">
        <f t="shared" si="4"/>
        <v>195</v>
      </c>
      <c r="BN21" s="13">
        <f t="shared" si="4"/>
        <v>197</v>
      </c>
      <c r="BO21" s="13">
        <f t="shared" si="4"/>
        <v>206</v>
      </c>
      <c r="BP21" s="13">
        <f t="shared" si="4"/>
        <v>202</v>
      </c>
      <c r="BQ21" s="13">
        <f t="shared" si="3"/>
        <v>12740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>
        <v>4.0</v>
      </c>
      <c r="J22" s="19"/>
      <c r="K22" s="19"/>
      <c r="L22" s="19"/>
      <c r="M22" s="19"/>
      <c r="N22" s="19"/>
      <c r="O22" s="19"/>
      <c r="P22" s="19"/>
      <c r="Q22" s="19"/>
      <c r="R22" s="19"/>
      <c r="S22" s="19">
        <v>1.0</v>
      </c>
      <c r="T22" s="19">
        <v>2.0</v>
      </c>
      <c r="U22" s="19"/>
      <c r="V22" s="19">
        <v>1.0</v>
      </c>
      <c r="W22" s="19"/>
      <c r="X22" s="19"/>
      <c r="Y22" s="19"/>
      <c r="Z22" s="19">
        <v>1.0</v>
      </c>
      <c r="AA22" s="19"/>
      <c r="AB22" s="19"/>
      <c r="AC22" s="19"/>
      <c r="AD22" s="19"/>
      <c r="AE22" s="19"/>
      <c r="AF22" s="19">
        <v>2.0</v>
      </c>
      <c r="AG22" s="19"/>
      <c r="AH22" s="19"/>
      <c r="AI22" s="19"/>
      <c r="AJ22" s="19"/>
      <c r="AK22" s="19">
        <v>1.0</v>
      </c>
      <c r="AL22" s="19"/>
      <c r="AM22" s="19"/>
      <c r="AN22" s="19"/>
      <c r="AO22" s="19"/>
      <c r="AP22" s="19"/>
      <c r="AQ22" s="19">
        <v>2.0</v>
      </c>
      <c r="AR22" s="19"/>
      <c r="AS22" s="19">
        <v>1.0</v>
      </c>
      <c r="AT22" s="19"/>
      <c r="AU22" s="19"/>
      <c r="AV22" s="19">
        <v>12.0</v>
      </c>
      <c r="AW22" s="19"/>
      <c r="AX22" s="19">
        <v>12.0</v>
      </c>
      <c r="AY22" s="19">
        <v>12.0</v>
      </c>
      <c r="AZ22" s="19">
        <v>0.0</v>
      </c>
      <c r="BA22" s="19">
        <v>9.0</v>
      </c>
      <c r="BB22" s="19">
        <v>10.0</v>
      </c>
      <c r="BC22" s="19">
        <v>4.0</v>
      </c>
      <c r="BD22" s="19">
        <v>1.0</v>
      </c>
      <c r="BE22" s="19">
        <v>2.0</v>
      </c>
      <c r="BF22" s="19">
        <v>15.0</v>
      </c>
      <c r="BG22" s="19">
        <v>7.0</v>
      </c>
      <c r="BH22" s="19"/>
      <c r="BI22" s="19"/>
      <c r="BJ22" s="19">
        <v>1.0</v>
      </c>
      <c r="BK22" s="19">
        <v>10.0</v>
      </c>
      <c r="BL22" s="19">
        <v>6.0</v>
      </c>
      <c r="BM22" s="19">
        <v>6.0</v>
      </c>
      <c r="BN22" s="19">
        <v>1.0</v>
      </c>
      <c r="BO22" s="19">
        <v>2.0</v>
      </c>
      <c r="BP22" s="19">
        <v>10.0</v>
      </c>
      <c r="BQ22" s="13">
        <f t="shared" si="3"/>
        <v>135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>
        <v>1.0</v>
      </c>
      <c r="J23" s="19"/>
      <c r="K23" s="19"/>
      <c r="L23" s="19"/>
      <c r="M23" s="19"/>
      <c r="N23" s="19">
        <v>1.0</v>
      </c>
      <c r="O23" s="19"/>
      <c r="P23" s="19"/>
      <c r="Q23" s="19"/>
      <c r="R23" s="19"/>
      <c r="S23" s="19">
        <v>1.0</v>
      </c>
      <c r="T23" s="19">
        <v>7.0</v>
      </c>
      <c r="U23" s="19"/>
      <c r="V23" s="19">
        <v>1.0</v>
      </c>
      <c r="W23" s="19"/>
      <c r="X23" s="19"/>
      <c r="Y23" s="19"/>
      <c r="Z23" s="19">
        <v>1.0</v>
      </c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>
        <v>1.0</v>
      </c>
      <c r="AL23" s="19"/>
      <c r="AM23" s="19">
        <v>1.0</v>
      </c>
      <c r="AN23" s="19"/>
      <c r="AO23" s="19"/>
      <c r="AP23" s="19"/>
      <c r="AQ23" s="19"/>
      <c r="AR23" s="19">
        <v>1.0</v>
      </c>
      <c r="AS23" s="19"/>
      <c r="AT23" s="19"/>
      <c r="AU23" s="19"/>
      <c r="AV23" s="19">
        <v>1.0</v>
      </c>
      <c r="AW23" s="19"/>
      <c r="AX23" s="19">
        <v>1.0</v>
      </c>
      <c r="AY23" s="19">
        <v>2.0</v>
      </c>
      <c r="AZ23" s="19"/>
      <c r="BA23" s="19">
        <v>3.0</v>
      </c>
      <c r="BB23" s="19"/>
      <c r="BC23" s="19">
        <v>4.0</v>
      </c>
      <c r="BD23" s="19">
        <v>1.0</v>
      </c>
      <c r="BE23" s="19">
        <v>1.0</v>
      </c>
      <c r="BF23" s="19"/>
      <c r="BG23" s="19">
        <v>3.0</v>
      </c>
      <c r="BH23" s="19">
        <v>1.0</v>
      </c>
      <c r="BI23" s="19">
        <v>14.0</v>
      </c>
      <c r="BJ23" s="19">
        <v>11.0</v>
      </c>
      <c r="BK23" s="19">
        <v>5.0</v>
      </c>
      <c r="BL23" s="19">
        <v>1.0</v>
      </c>
      <c r="BM23" s="19">
        <v>12.0</v>
      </c>
      <c r="BN23" s="19">
        <v>11.0</v>
      </c>
      <c r="BO23" s="19">
        <v>12.0</v>
      </c>
      <c r="BP23" s="19">
        <v>1.0</v>
      </c>
      <c r="BQ23" s="13">
        <f t="shared" si="3"/>
        <v>99</v>
      </c>
    </row>
    <row r="24" ht="12.75" customHeight="1">
      <c r="A24" s="35"/>
      <c r="B24" s="28"/>
      <c r="C24" s="36"/>
      <c r="D24" s="13" t="s">
        <v>14</v>
      </c>
      <c r="E24" s="13">
        <f t="shared" ref="E24:BP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5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2</v>
      </c>
      <c r="T24" s="13">
        <f t="shared" si="5"/>
        <v>9</v>
      </c>
      <c r="U24" s="13">
        <f t="shared" si="5"/>
        <v>0</v>
      </c>
      <c r="V24" s="13">
        <f t="shared" si="5"/>
        <v>2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2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2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2</v>
      </c>
      <c r="AL24" s="13">
        <f t="shared" si="5"/>
        <v>0</v>
      </c>
      <c r="AM24" s="13">
        <f t="shared" si="5"/>
        <v>1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2</v>
      </c>
      <c r="AR24" s="13">
        <f t="shared" si="5"/>
        <v>1</v>
      </c>
      <c r="AS24" s="13">
        <f t="shared" si="5"/>
        <v>1</v>
      </c>
      <c r="AT24" s="13">
        <f t="shared" si="5"/>
        <v>0</v>
      </c>
      <c r="AU24" s="13">
        <f t="shared" si="5"/>
        <v>0</v>
      </c>
      <c r="AV24" s="13">
        <f t="shared" si="5"/>
        <v>13</v>
      </c>
      <c r="AW24" s="13">
        <f t="shared" si="5"/>
        <v>0</v>
      </c>
      <c r="AX24" s="13">
        <f t="shared" si="5"/>
        <v>13</v>
      </c>
      <c r="AY24" s="13">
        <f t="shared" si="5"/>
        <v>14</v>
      </c>
      <c r="AZ24" s="13">
        <f t="shared" si="5"/>
        <v>0</v>
      </c>
      <c r="BA24" s="13">
        <f t="shared" si="5"/>
        <v>12</v>
      </c>
      <c r="BB24" s="13">
        <f t="shared" si="5"/>
        <v>10</v>
      </c>
      <c r="BC24" s="13">
        <f t="shared" si="5"/>
        <v>8</v>
      </c>
      <c r="BD24" s="13">
        <f t="shared" si="5"/>
        <v>2</v>
      </c>
      <c r="BE24" s="13">
        <f t="shared" si="5"/>
        <v>3</v>
      </c>
      <c r="BF24" s="13">
        <f t="shared" si="5"/>
        <v>15</v>
      </c>
      <c r="BG24" s="13">
        <f t="shared" si="5"/>
        <v>10</v>
      </c>
      <c r="BH24" s="13">
        <f t="shared" si="5"/>
        <v>1</v>
      </c>
      <c r="BI24" s="13">
        <f t="shared" si="5"/>
        <v>14</v>
      </c>
      <c r="BJ24" s="13">
        <f t="shared" si="5"/>
        <v>12</v>
      </c>
      <c r="BK24" s="13">
        <f t="shared" si="5"/>
        <v>15</v>
      </c>
      <c r="BL24" s="13">
        <f t="shared" si="5"/>
        <v>7</v>
      </c>
      <c r="BM24" s="13">
        <f t="shared" si="5"/>
        <v>18</v>
      </c>
      <c r="BN24" s="13">
        <f t="shared" si="5"/>
        <v>12</v>
      </c>
      <c r="BO24" s="13">
        <f t="shared" si="5"/>
        <v>14</v>
      </c>
      <c r="BP24" s="13">
        <f t="shared" si="5"/>
        <v>11</v>
      </c>
      <c r="BQ24" s="13">
        <f t="shared" si="3"/>
        <v>234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/>
      <c r="F25" s="19"/>
      <c r="G25" s="19"/>
      <c r="H25" s="19">
        <v>1.0</v>
      </c>
      <c r="I25" s="19"/>
      <c r="J25" s="19"/>
      <c r="K25" s="19"/>
      <c r="L25" s="19"/>
      <c r="M25" s="19">
        <v>1.0</v>
      </c>
      <c r="N25" s="19"/>
      <c r="O25" s="19"/>
      <c r="P25" s="19"/>
      <c r="Q25" s="19"/>
      <c r="R25" s="19">
        <v>2.0</v>
      </c>
      <c r="S25" s="19"/>
      <c r="T25" s="19"/>
      <c r="U25" s="19">
        <v>1.0</v>
      </c>
      <c r="V25" s="19"/>
      <c r="W25" s="19">
        <v>2.0</v>
      </c>
      <c r="X25" s="19"/>
      <c r="Y25" s="19"/>
      <c r="Z25" s="19"/>
      <c r="AA25" s="19">
        <v>4.0</v>
      </c>
      <c r="AB25" s="19"/>
      <c r="AC25" s="19">
        <v>2.0</v>
      </c>
      <c r="AD25" s="19"/>
      <c r="AE25" s="19">
        <v>1.0</v>
      </c>
      <c r="AF25" s="19">
        <v>1.0</v>
      </c>
      <c r="AG25" s="19"/>
      <c r="AH25" s="19">
        <v>1.0</v>
      </c>
      <c r="AI25" s="19">
        <v>2.0</v>
      </c>
      <c r="AJ25" s="19">
        <v>2.0</v>
      </c>
      <c r="AK25" s="19">
        <v>7.0</v>
      </c>
      <c r="AL25" s="19">
        <v>1.0</v>
      </c>
      <c r="AM25" s="19"/>
      <c r="AN25" s="19"/>
      <c r="AO25" s="19">
        <v>2.0</v>
      </c>
      <c r="AP25" s="19"/>
      <c r="AQ25" s="19"/>
      <c r="AR25" s="19"/>
      <c r="AS25" s="19"/>
      <c r="AT25" s="19"/>
      <c r="AU25" s="19">
        <v>2.0</v>
      </c>
      <c r="AV25" s="19"/>
      <c r="AW25" s="19">
        <v>1.0</v>
      </c>
      <c r="AX25" s="19"/>
      <c r="AY25" s="19">
        <v>1.0</v>
      </c>
      <c r="AZ25" s="19">
        <v>2.0</v>
      </c>
      <c r="BA25" s="19">
        <v>4.0</v>
      </c>
      <c r="BB25" s="19">
        <v>2.0</v>
      </c>
      <c r="BC25" s="19"/>
      <c r="BD25" s="19"/>
      <c r="BE25" s="19">
        <v>2.0</v>
      </c>
      <c r="BF25" s="19">
        <v>3.0</v>
      </c>
      <c r="BG25" s="19"/>
      <c r="BH25" s="19">
        <v>1.0</v>
      </c>
      <c r="BI25" s="19"/>
      <c r="BJ25" s="19">
        <v>3.0</v>
      </c>
      <c r="BK25" s="19"/>
      <c r="BL25" s="19">
        <v>2.0</v>
      </c>
      <c r="BM25" s="19"/>
      <c r="BN25" s="19"/>
      <c r="BO25" s="19"/>
      <c r="BP25" s="19"/>
      <c r="BQ25" s="13">
        <f t="shared" si="3"/>
        <v>53</v>
      </c>
    </row>
    <row r="26" ht="12.75" customHeight="1">
      <c r="A26" s="33"/>
      <c r="B26" s="27"/>
      <c r="C26" s="34"/>
      <c r="D26" s="19" t="s">
        <v>13</v>
      </c>
      <c r="E26" s="19"/>
      <c r="F26" s="19"/>
      <c r="G26" s="19"/>
      <c r="H26" s="19">
        <v>2.0</v>
      </c>
      <c r="I26" s="19">
        <v>2.0</v>
      </c>
      <c r="J26" s="19"/>
      <c r="K26" s="19"/>
      <c r="L26" s="19">
        <v>1.0</v>
      </c>
      <c r="M26" s="19">
        <v>2.0</v>
      </c>
      <c r="N26" s="19">
        <v>5.0</v>
      </c>
      <c r="O26" s="19">
        <v>1.0</v>
      </c>
      <c r="P26" s="19"/>
      <c r="Q26" s="19"/>
      <c r="R26" s="19">
        <v>4.0</v>
      </c>
      <c r="S26" s="19"/>
      <c r="T26" s="19"/>
      <c r="U26" s="19"/>
      <c r="V26" s="19"/>
      <c r="W26" s="19">
        <v>2.0</v>
      </c>
      <c r="X26" s="19"/>
      <c r="Y26" s="19"/>
      <c r="Z26" s="19"/>
      <c r="AA26" s="19">
        <v>3.0</v>
      </c>
      <c r="AB26" s="19"/>
      <c r="AC26" s="19">
        <v>3.0</v>
      </c>
      <c r="AD26" s="19">
        <v>1.0</v>
      </c>
      <c r="AE26" s="19">
        <v>3.0</v>
      </c>
      <c r="AF26" s="19">
        <v>3.0</v>
      </c>
      <c r="AG26" s="19"/>
      <c r="AH26" s="19">
        <v>2.0</v>
      </c>
      <c r="AI26" s="19">
        <v>1.0</v>
      </c>
      <c r="AJ26" s="19">
        <v>7.0</v>
      </c>
      <c r="AK26" s="19">
        <v>6.0</v>
      </c>
      <c r="AL26" s="19">
        <v>6.0</v>
      </c>
      <c r="AM26" s="19"/>
      <c r="AN26" s="19"/>
      <c r="AO26" s="19">
        <v>3.0</v>
      </c>
      <c r="AP26" s="19"/>
      <c r="AQ26" s="19"/>
      <c r="AR26" s="19">
        <v>1.0</v>
      </c>
      <c r="AS26" s="19">
        <v>2.0</v>
      </c>
      <c r="AT26" s="19"/>
      <c r="AU26" s="19">
        <v>4.0</v>
      </c>
      <c r="AV26" s="19">
        <v>2.0</v>
      </c>
      <c r="AW26" s="19">
        <v>5.0</v>
      </c>
      <c r="AX26" s="19"/>
      <c r="AY26" s="19">
        <v>1.0</v>
      </c>
      <c r="AZ26" s="19">
        <v>1.0</v>
      </c>
      <c r="BA26" s="19">
        <v>3.0</v>
      </c>
      <c r="BB26" s="19">
        <v>1.0</v>
      </c>
      <c r="BC26" s="19"/>
      <c r="BD26" s="19"/>
      <c r="BE26" s="19"/>
      <c r="BF26" s="19">
        <v>3.0</v>
      </c>
      <c r="BG26" s="19"/>
      <c r="BH26" s="19">
        <v>3.0</v>
      </c>
      <c r="BI26" s="19"/>
      <c r="BJ26" s="19">
        <v>3.0</v>
      </c>
      <c r="BK26" s="19"/>
      <c r="BL26" s="19">
        <v>2.0</v>
      </c>
      <c r="BM26" s="19">
        <v>1.0</v>
      </c>
      <c r="BN26" s="19"/>
      <c r="BO26" s="19">
        <v>1.0</v>
      </c>
      <c r="BP26" s="19"/>
      <c r="BQ26" s="13">
        <f t="shared" si="3"/>
        <v>90</v>
      </c>
    </row>
    <row r="27" ht="12.75" customHeight="1">
      <c r="A27" s="35"/>
      <c r="B27" s="28"/>
      <c r="C27" s="36"/>
      <c r="D27" s="13" t="s">
        <v>14</v>
      </c>
      <c r="E27" s="13">
        <f t="shared" ref="E27:BP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3</v>
      </c>
      <c r="I27" s="13">
        <f t="shared" si="6"/>
        <v>2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3</v>
      </c>
      <c r="N27" s="13">
        <f t="shared" si="6"/>
        <v>5</v>
      </c>
      <c r="O27" s="13">
        <f t="shared" si="6"/>
        <v>1</v>
      </c>
      <c r="P27" s="13">
        <f t="shared" si="6"/>
        <v>0</v>
      </c>
      <c r="Q27" s="13">
        <f t="shared" si="6"/>
        <v>0</v>
      </c>
      <c r="R27" s="13">
        <f t="shared" si="6"/>
        <v>6</v>
      </c>
      <c r="S27" s="13">
        <f t="shared" si="6"/>
        <v>0</v>
      </c>
      <c r="T27" s="13">
        <f t="shared" si="6"/>
        <v>0</v>
      </c>
      <c r="U27" s="13">
        <f t="shared" si="6"/>
        <v>1</v>
      </c>
      <c r="V27" s="13">
        <f t="shared" si="6"/>
        <v>0</v>
      </c>
      <c r="W27" s="13">
        <f t="shared" si="6"/>
        <v>4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7</v>
      </c>
      <c r="AB27" s="13">
        <f t="shared" si="6"/>
        <v>0</v>
      </c>
      <c r="AC27" s="13">
        <f t="shared" si="6"/>
        <v>5</v>
      </c>
      <c r="AD27" s="13">
        <f t="shared" si="6"/>
        <v>1</v>
      </c>
      <c r="AE27" s="13">
        <f t="shared" si="6"/>
        <v>4</v>
      </c>
      <c r="AF27" s="13">
        <f t="shared" si="6"/>
        <v>4</v>
      </c>
      <c r="AG27" s="13">
        <f t="shared" si="6"/>
        <v>0</v>
      </c>
      <c r="AH27" s="13">
        <f t="shared" si="6"/>
        <v>3</v>
      </c>
      <c r="AI27" s="13">
        <f t="shared" si="6"/>
        <v>3</v>
      </c>
      <c r="AJ27" s="13">
        <f t="shared" si="6"/>
        <v>9</v>
      </c>
      <c r="AK27" s="13">
        <f t="shared" si="6"/>
        <v>13</v>
      </c>
      <c r="AL27" s="13">
        <f t="shared" si="6"/>
        <v>7</v>
      </c>
      <c r="AM27" s="13">
        <f t="shared" si="6"/>
        <v>0</v>
      </c>
      <c r="AN27" s="13">
        <f t="shared" si="6"/>
        <v>0</v>
      </c>
      <c r="AO27" s="13">
        <f t="shared" si="6"/>
        <v>5</v>
      </c>
      <c r="AP27" s="13">
        <f t="shared" si="6"/>
        <v>0</v>
      </c>
      <c r="AQ27" s="13">
        <f t="shared" si="6"/>
        <v>0</v>
      </c>
      <c r="AR27" s="13">
        <f t="shared" si="6"/>
        <v>1</v>
      </c>
      <c r="AS27" s="13">
        <f t="shared" si="6"/>
        <v>2</v>
      </c>
      <c r="AT27" s="13">
        <f t="shared" si="6"/>
        <v>0</v>
      </c>
      <c r="AU27" s="13">
        <f t="shared" si="6"/>
        <v>6</v>
      </c>
      <c r="AV27" s="13">
        <f t="shared" si="6"/>
        <v>2</v>
      </c>
      <c r="AW27" s="13">
        <f t="shared" si="6"/>
        <v>6</v>
      </c>
      <c r="AX27" s="13">
        <f t="shared" si="6"/>
        <v>0</v>
      </c>
      <c r="AY27" s="13">
        <f t="shared" si="6"/>
        <v>2</v>
      </c>
      <c r="AZ27" s="13">
        <f t="shared" si="6"/>
        <v>3</v>
      </c>
      <c r="BA27" s="13">
        <f t="shared" si="6"/>
        <v>7</v>
      </c>
      <c r="BB27" s="13">
        <f t="shared" si="6"/>
        <v>3</v>
      </c>
      <c r="BC27" s="13">
        <f t="shared" si="6"/>
        <v>0</v>
      </c>
      <c r="BD27" s="13">
        <f t="shared" si="6"/>
        <v>0</v>
      </c>
      <c r="BE27" s="13">
        <f t="shared" si="6"/>
        <v>2</v>
      </c>
      <c r="BF27" s="13">
        <f t="shared" si="6"/>
        <v>6</v>
      </c>
      <c r="BG27" s="13">
        <f t="shared" si="6"/>
        <v>0</v>
      </c>
      <c r="BH27" s="13">
        <f t="shared" si="6"/>
        <v>4</v>
      </c>
      <c r="BI27" s="13">
        <f t="shared" si="6"/>
        <v>0</v>
      </c>
      <c r="BJ27" s="13">
        <f t="shared" si="6"/>
        <v>6</v>
      </c>
      <c r="BK27" s="13">
        <f t="shared" si="6"/>
        <v>0</v>
      </c>
      <c r="BL27" s="13">
        <f t="shared" si="6"/>
        <v>4</v>
      </c>
      <c r="BM27" s="13">
        <f t="shared" si="6"/>
        <v>1</v>
      </c>
      <c r="BN27" s="13">
        <f t="shared" si="6"/>
        <v>0</v>
      </c>
      <c r="BO27" s="13">
        <f t="shared" si="6"/>
        <v>1</v>
      </c>
      <c r="BP27" s="13">
        <f t="shared" si="6"/>
        <v>0</v>
      </c>
      <c r="BQ27" s="13">
        <f t="shared" si="3"/>
        <v>143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T28" si="7">SUM(E19,E22,E25)</f>
        <v>92</v>
      </c>
      <c r="F28" s="13">
        <f t="shared" si="7"/>
        <v>90</v>
      </c>
      <c r="G28" s="13">
        <f t="shared" si="7"/>
        <v>93</v>
      </c>
      <c r="H28" s="13">
        <f t="shared" si="7"/>
        <v>95</v>
      </c>
      <c r="I28" s="13">
        <f t="shared" si="7"/>
        <v>82</v>
      </c>
      <c r="J28" s="13">
        <f t="shared" si="7"/>
        <v>91</v>
      </c>
      <c r="K28" s="13">
        <f t="shared" si="7"/>
        <v>74</v>
      </c>
      <c r="L28" s="13">
        <f t="shared" si="7"/>
        <v>99</v>
      </c>
      <c r="M28" s="13">
        <f t="shared" si="7"/>
        <v>99</v>
      </c>
      <c r="N28" s="13">
        <f t="shared" si="7"/>
        <v>92</v>
      </c>
      <c r="O28" s="13">
        <f t="shared" si="7"/>
        <v>108</v>
      </c>
      <c r="P28" s="13">
        <f t="shared" si="7"/>
        <v>105</v>
      </c>
      <c r="Q28" s="13">
        <f t="shared" si="7"/>
        <v>101</v>
      </c>
      <c r="R28" s="13">
        <f t="shared" si="7"/>
        <v>90</v>
      </c>
      <c r="S28" s="13">
        <f t="shared" si="7"/>
        <v>116</v>
      </c>
      <c r="T28" s="13">
        <f t="shared" si="7"/>
        <v>92</v>
      </c>
      <c r="U28" s="13">
        <f t="shared" si="7"/>
        <v>84</v>
      </c>
      <c r="V28" s="13">
        <f t="shared" si="7"/>
        <v>92</v>
      </c>
      <c r="W28" s="13">
        <f t="shared" si="7"/>
        <v>96</v>
      </c>
      <c r="X28" s="13">
        <f t="shared" si="7"/>
        <v>80</v>
      </c>
      <c r="Y28" s="13">
        <f t="shared" si="7"/>
        <v>95</v>
      </c>
      <c r="Z28" s="13">
        <f t="shared" si="7"/>
        <v>99</v>
      </c>
      <c r="AA28" s="13">
        <f t="shared" si="7"/>
        <v>103</v>
      </c>
      <c r="AB28" s="13">
        <f t="shared" si="7"/>
        <v>90</v>
      </c>
      <c r="AC28" s="13">
        <f t="shared" si="7"/>
        <v>98</v>
      </c>
      <c r="AD28" s="13">
        <f t="shared" si="7"/>
        <v>90</v>
      </c>
      <c r="AE28" s="13">
        <f t="shared" si="7"/>
        <v>95</v>
      </c>
      <c r="AF28" s="13">
        <f t="shared" si="7"/>
        <v>113</v>
      </c>
      <c r="AG28" s="13">
        <f t="shared" si="7"/>
        <v>104</v>
      </c>
      <c r="AH28" s="13">
        <f t="shared" si="7"/>
        <v>94</v>
      </c>
      <c r="AI28" s="13">
        <f t="shared" si="7"/>
        <v>91</v>
      </c>
      <c r="AJ28" s="13">
        <f t="shared" si="7"/>
        <v>99</v>
      </c>
      <c r="AK28" s="13">
        <f t="shared" si="7"/>
        <v>99</v>
      </c>
      <c r="AL28" s="13">
        <f t="shared" si="7"/>
        <v>97</v>
      </c>
      <c r="AM28" s="13">
        <f t="shared" si="7"/>
        <v>95</v>
      </c>
      <c r="AN28" s="13">
        <f t="shared" si="7"/>
        <v>89</v>
      </c>
      <c r="AO28" s="13">
        <f t="shared" si="7"/>
        <v>95</v>
      </c>
      <c r="AP28" s="13">
        <f t="shared" si="7"/>
        <v>90</v>
      </c>
      <c r="AQ28" s="13">
        <f t="shared" si="7"/>
        <v>91</v>
      </c>
      <c r="AR28" s="13">
        <f t="shared" si="7"/>
        <v>95</v>
      </c>
      <c r="AS28" s="13">
        <f t="shared" si="7"/>
        <v>108</v>
      </c>
      <c r="AT28" s="13">
        <f t="shared" si="7"/>
        <v>91</v>
      </c>
      <c r="AU28" s="13">
        <v>75.0</v>
      </c>
      <c r="AV28" s="13">
        <f>SUM(AV19,AV22,AV25)</f>
        <v>115</v>
      </c>
      <c r="AW28" s="13">
        <v>99.0</v>
      </c>
      <c r="AX28" s="13">
        <f t="shared" ref="AX28:BP28" si="8">SUM(AX19,AX22,AX25)</f>
        <v>126</v>
      </c>
      <c r="AY28" s="13">
        <f t="shared" si="8"/>
        <v>124</v>
      </c>
      <c r="AZ28" s="13">
        <f t="shared" si="8"/>
        <v>101</v>
      </c>
      <c r="BA28" s="13">
        <f t="shared" si="8"/>
        <v>127</v>
      </c>
      <c r="BB28" s="13">
        <f t="shared" si="8"/>
        <v>118</v>
      </c>
      <c r="BC28" s="13">
        <f t="shared" si="8"/>
        <v>115</v>
      </c>
      <c r="BD28" s="13">
        <f t="shared" si="8"/>
        <v>105</v>
      </c>
      <c r="BE28" s="13">
        <f t="shared" si="8"/>
        <v>102</v>
      </c>
      <c r="BF28" s="13">
        <f t="shared" si="8"/>
        <v>116</v>
      </c>
      <c r="BG28" s="13">
        <f t="shared" si="8"/>
        <v>99</v>
      </c>
      <c r="BH28" s="13">
        <f t="shared" si="8"/>
        <v>109</v>
      </c>
      <c r="BI28" s="13">
        <f t="shared" si="8"/>
        <v>75</v>
      </c>
      <c r="BJ28" s="13">
        <f t="shared" si="8"/>
        <v>103</v>
      </c>
      <c r="BK28" s="13">
        <f t="shared" si="8"/>
        <v>99</v>
      </c>
      <c r="BL28" s="13">
        <f t="shared" si="8"/>
        <v>116</v>
      </c>
      <c r="BM28" s="13">
        <f t="shared" si="8"/>
        <v>92</v>
      </c>
      <c r="BN28" s="13">
        <f t="shared" si="8"/>
        <v>96</v>
      </c>
      <c r="BO28" s="13">
        <f t="shared" si="8"/>
        <v>105</v>
      </c>
      <c r="BP28" s="13">
        <f t="shared" si="8"/>
        <v>110</v>
      </c>
      <c r="BQ28" s="13">
        <f t="shared" si="3"/>
        <v>6319</v>
      </c>
    </row>
    <row r="29" ht="12.75" customHeight="1">
      <c r="A29" s="35"/>
      <c r="B29" s="27"/>
      <c r="C29" s="34"/>
      <c r="D29" s="13" t="s">
        <v>13</v>
      </c>
      <c r="E29" s="13">
        <f t="shared" ref="E29:BP29" si="9">SUM(E20,E23,E26)</f>
        <v>105</v>
      </c>
      <c r="F29" s="13">
        <f t="shared" si="9"/>
        <v>99</v>
      </c>
      <c r="G29" s="13">
        <f t="shared" si="9"/>
        <v>109</v>
      </c>
      <c r="H29" s="13">
        <f t="shared" si="9"/>
        <v>96</v>
      </c>
      <c r="I29" s="13">
        <f t="shared" si="9"/>
        <v>85</v>
      </c>
      <c r="J29" s="13">
        <f t="shared" si="9"/>
        <v>93</v>
      </c>
      <c r="K29" s="13">
        <f t="shared" si="9"/>
        <v>93</v>
      </c>
      <c r="L29" s="13">
        <f t="shared" si="9"/>
        <v>93</v>
      </c>
      <c r="M29" s="13">
        <f t="shared" si="9"/>
        <v>86</v>
      </c>
      <c r="N29" s="13">
        <f t="shared" si="9"/>
        <v>110</v>
      </c>
      <c r="O29" s="13">
        <f t="shared" si="9"/>
        <v>98</v>
      </c>
      <c r="P29" s="13">
        <f t="shared" si="9"/>
        <v>118</v>
      </c>
      <c r="Q29" s="13">
        <f t="shared" si="9"/>
        <v>95</v>
      </c>
      <c r="R29" s="13">
        <f t="shared" si="9"/>
        <v>107</v>
      </c>
      <c r="S29" s="13">
        <f t="shared" si="9"/>
        <v>114</v>
      </c>
      <c r="T29" s="13">
        <f t="shared" si="9"/>
        <v>116</v>
      </c>
      <c r="U29" s="13">
        <f t="shared" si="9"/>
        <v>99</v>
      </c>
      <c r="V29" s="13">
        <f t="shared" si="9"/>
        <v>105</v>
      </c>
      <c r="W29" s="13">
        <f t="shared" si="9"/>
        <v>111</v>
      </c>
      <c r="X29" s="13">
        <f t="shared" si="9"/>
        <v>105</v>
      </c>
      <c r="Y29" s="13">
        <f t="shared" si="9"/>
        <v>88</v>
      </c>
      <c r="Z29" s="13">
        <f t="shared" si="9"/>
        <v>117</v>
      </c>
      <c r="AA29" s="13">
        <f t="shared" si="9"/>
        <v>107</v>
      </c>
      <c r="AB29" s="13">
        <f t="shared" si="9"/>
        <v>96</v>
      </c>
      <c r="AC29" s="13">
        <f t="shared" si="9"/>
        <v>86</v>
      </c>
      <c r="AD29" s="13">
        <f t="shared" si="9"/>
        <v>88</v>
      </c>
      <c r="AE29" s="13">
        <f t="shared" si="9"/>
        <v>102</v>
      </c>
      <c r="AF29" s="13">
        <f t="shared" si="9"/>
        <v>103</v>
      </c>
      <c r="AG29" s="13">
        <f t="shared" si="9"/>
        <v>114</v>
      </c>
      <c r="AH29" s="13">
        <f t="shared" si="9"/>
        <v>110</v>
      </c>
      <c r="AI29" s="13">
        <f t="shared" si="9"/>
        <v>121</v>
      </c>
      <c r="AJ29" s="13">
        <f t="shared" si="9"/>
        <v>111</v>
      </c>
      <c r="AK29" s="13">
        <f t="shared" si="9"/>
        <v>113</v>
      </c>
      <c r="AL29" s="13">
        <f t="shared" si="9"/>
        <v>105</v>
      </c>
      <c r="AM29" s="13">
        <f t="shared" si="9"/>
        <v>107</v>
      </c>
      <c r="AN29" s="13">
        <f t="shared" si="9"/>
        <v>94</v>
      </c>
      <c r="AO29" s="13">
        <f t="shared" si="9"/>
        <v>107</v>
      </c>
      <c r="AP29" s="13">
        <f t="shared" si="9"/>
        <v>114</v>
      </c>
      <c r="AQ29" s="13">
        <f t="shared" si="9"/>
        <v>94</v>
      </c>
      <c r="AR29" s="13">
        <f t="shared" si="9"/>
        <v>97</v>
      </c>
      <c r="AS29" s="13">
        <f t="shared" si="9"/>
        <v>101</v>
      </c>
      <c r="AT29" s="13">
        <f t="shared" si="9"/>
        <v>92</v>
      </c>
      <c r="AU29" s="13">
        <f t="shared" si="9"/>
        <v>82</v>
      </c>
      <c r="AV29" s="13">
        <f t="shared" si="9"/>
        <v>113</v>
      </c>
      <c r="AW29" s="13">
        <f t="shared" si="9"/>
        <v>108</v>
      </c>
      <c r="AX29" s="13">
        <f t="shared" si="9"/>
        <v>99</v>
      </c>
      <c r="AY29" s="13">
        <f t="shared" si="9"/>
        <v>120</v>
      </c>
      <c r="AZ29" s="13">
        <f t="shared" si="9"/>
        <v>103</v>
      </c>
      <c r="BA29" s="13">
        <f t="shared" si="9"/>
        <v>125</v>
      </c>
      <c r="BB29" s="13">
        <f t="shared" si="9"/>
        <v>118</v>
      </c>
      <c r="BC29" s="13">
        <f t="shared" si="9"/>
        <v>125</v>
      </c>
      <c r="BD29" s="13">
        <f t="shared" si="9"/>
        <v>124</v>
      </c>
      <c r="BE29" s="13">
        <f t="shared" si="9"/>
        <v>123</v>
      </c>
      <c r="BF29" s="13">
        <f t="shared" si="9"/>
        <v>113</v>
      </c>
      <c r="BG29" s="13">
        <f t="shared" si="9"/>
        <v>111</v>
      </c>
      <c r="BH29" s="13">
        <f t="shared" si="9"/>
        <v>121</v>
      </c>
      <c r="BI29" s="13">
        <f t="shared" si="9"/>
        <v>116</v>
      </c>
      <c r="BJ29" s="13">
        <f t="shared" si="9"/>
        <v>113</v>
      </c>
      <c r="BK29" s="13">
        <f t="shared" si="9"/>
        <v>115</v>
      </c>
      <c r="BL29" s="13">
        <f t="shared" si="9"/>
        <v>111</v>
      </c>
      <c r="BM29" s="13">
        <f t="shared" si="9"/>
        <v>122</v>
      </c>
      <c r="BN29" s="13">
        <f t="shared" si="9"/>
        <v>113</v>
      </c>
      <c r="BO29" s="13">
        <f t="shared" si="9"/>
        <v>116</v>
      </c>
      <c r="BP29" s="13">
        <f t="shared" si="9"/>
        <v>103</v>
      </c>
      <c r="BQ29" s="13">
        <f t="shared" si="3"/>
        <v>6798</v>
      </c>
    </row>
    <row r="30" ht="12.75" customHeight="1">
      <c r="A30" s="35"/>
      <c r="B30" s="28"/>
      <c r="C30" s="36"/>
      <c r="D30" s="13" t="s">
        <v>14</v>
      </c>
      <c r="E30" s="13">
        <f t="shared" ref="E30:BP30" si="10">SUM(E28:E29)</f>
        <v>197</v>
      </c>
      <c r="F30" s="13">
        <f t="shared" si="10"/>
        <v>189</v>
      </c>
      <c r="G30" s="13">
        <f t="shared" si="10"/>
        <v>202</v>
      </c>
      <c r="H30" s="13">
        <f t="shared" si="10"/>
        <v>191</v>
      </c>
      <c r="I30" s="13">
        <f t="shared" si="10"/>
        <v>167</v>
      </c>
      <c r="J30" s="13">
        <f t="shared" si="10"/>
        <v>184</v>
      </c>
      <c r="K30" s="13">
        <f t="shared" si="10"/>
        <v>167</v>
      </c>
      <c r="L30" s="13">
        <f t="shared" si="10"/>
        <v>192</v>
      </c>
      <c r="M30" s="13">
        <f t="shared" si="10"/>
        <v>185</v>
      </c>
      <c r="N30" s="13">
        <f t="shared" si="10"/>
        <v>202</v>
      </c>
      <c r="O30" s="13">
        <f t="shared" si="10"/>
        <v>206</v>
      </c>
      <c r="P30" s="13">
        <f t="shared" si="10"/>
        <v>223</v>
      </c>
      <c r="Q30" s="13">
        <f t="shared" si="10"/>
        <v>196</v>
      </c>
      <c r="R30" s="13">
        <f t="shared" si="10"/>
        <v>197</v>
      </c>
      <c r="S30" s="13">
        <f t="shared" si="10"/>
        <v>230</v>
      </c>
      <c r="T30" s="13">
        <f t="shared" si="10"/>
        <v>208</v>
      </c>
      <c r="U30" s="13">
        <f t="shared" si="10"/>
        <v>183</v>
      </c>
      <c r="V30" s="13">
        <f t="shared" si="10"/>
        <v>197</v>
      </c>
      <c r="W30" s="13">
        <f t="shared" si="10"/>
        <v>207</v>
      </c>
      <c r="X30" s="13">
        <f t="shared" si="10"/>
        <v>185</v>
      </c>
      <c r="Y30" s="13">
        <f t="shared" si="10"/>
        <v>183</v>
      </c>
      <c r="Z30" s="13">
        <f t="shared" si="10"/>
        <v>216</v>
      </c>
      <c r="AA30" s="13">
        <f t="shared" si="10"/>
        <v>210</v>
      </c>
      <c r="AB30" s="13">
        <f t="shared" si="10"/>
        <v>186</v>
      </c>
      <c r="AC30" s="13">
        <f t="shared" si="10"/>
        <v>184</v>
      </c>
      <c r="AD30" s="13">
        <f t="shared" si="10"/>
        <v>178</v>
      </c>
      <c r="AE30" s="13">
        <f t="shared" si="10"/>
        <v>197</v>
      </c>
      <c r="AF30" s="13">
        <f t="shared" si="10"/>
        <v>216</v>
      </c>
      <c r="AG30" s="13">
        <f t="shared" si="10"/>
        <v>218</v>
      </c>
      <c r="AH30" s="13">
        <f t="shared" si="10"/>
        <v>204</v>
      </c>
      <c r="AI30" s="13">
        <f t="shared" si="10"/>
        <v>212</v>
      </c>
      <c r="AJ30" s="13">
        <f t="shared" si="10"/>
        <v>210</v>
      </c>
      <c r="AK30" s="13">
        <f t="shared" si="10"/>
        <v>212</v>
      </c>
      <c r="AL30" s="13">
        <f t="shared" si="10"/>
        <v>202</v>
      </c>
      <c r="AM30" s="13">
        <f t="shared" si="10"/>
        <v>202</v>
      </c>
      <c r="AN30" s="13">
        <f t="shared" si="10"/>
        <v>183</v>
      </c>
      <c r="AO30" s="13">
        <f t="shared" si="10"/>
        <v>202</v>
      </c>
      <c r="AP30" s="13">
        <f t="shared" si="10"/>
        <v>204</v>
      </c>
      <c r="AQ30" s="13">
        <f t="shared" si="10"/>
        <v>185</v>
      </c>
      <c r="AR30" s="13">
        <f t="shared" si="10"/>
        <v>192</v>
      </c>
      <c r="AS30" s="13">
        <f t="shared" si="10"/>
        <v>209</v>
      </c>
      <c r="AT30" s="13">
        <f t="shared" si="10"/>
        <v>183</v>
      </c>
      <c r="AU30" s="13">
        <f t="shared" si="10"/>
        <v>157</v>
      </c>
      <c r="AV30" s="13">
        <f t="shared" si="10"/>
        <v>228</v>
      </c>
      <c r="AW30" s="13">
        <f t="shared" si="10"/>
        <v>207</v>
      </c>
      <c r="AX30" s="13">
        <f t="shared" si="10"/>
        <v>225</v>
      </c>
      <c r="AY30" s="13">
        <f t="shared" si="10"/>
        <v>244</v>
      </c>
      <c r="AZ30" s="13">
        <f t="shared" si="10"/>
        <v>204</v>
      </c>
      <c r="BA30" s="13">
        <f t="shared" si="10"/>
        <v>252</v>
      </c>
      <c r="BB30" s="13">
        <f t="shared" si="10"/>
        <v>236</v>
      </c>
      <c r="BC30" s="13">
        <f t="shared" si="10"/>
        <v>240</v>
      </c>
      <c r="BD30" s="13">
        <f t="shared" si="10"/>
        <v>229</v>
      </c>
      <c r="BE30" s="13">
        <f t="shared" si="10"/>
        <v>225</v>
      </c>
      <c r="BF30" s="13">
        <f t="shared" si="10"/>
        <v>229</v>
      </c>
      <c r="BG30" s="13">
        <f t="shared" si="10"/>
        <v>210</v>
      </c>
      <c r="BH30" s="13">
        <f t="shared" si="10"/>
        <v>230</v>
      </c>
      <c r="BI30" s="13">
        <f t="shared" si="10"/>
        <v>191</v>
      </c>
      <c r="BJ30" s="13">
        <f t="shared" si="10"/>
        <v>216</v>
      </c>
      <c r="BK30" s="13">
        <f t="shared" si="10"/>
        <v>214</v>
      </c>
      <c r="BL30" s="13">
        <f t="shared" si="10"/>
        <v>227</v>
      </c>
      <c r="BM30" s="13">
        <f t="shared" si="10"/>
        <v>214</v>
      </c>
      <c r="BN30" s="13">
        <f t="shared" si="10"/>
        <v>209</v>
      </c>
      <c r="BO30" s="13">
        <f t="shared" si="10"/>
        <v>221</v>
      </c>
      <c r="BP30" s="13">
        <f t="shared" si="10"/>
        <v>213</v>
      </c>
      <c r="BQ30" s="13">
        <f t="shared" si="3"/>
        <v>13117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19"/>
      <c r="Q31" s="19"/>
      <c r="R31" s="19"/>
      <c r="S31" s="59"/>
      <c r="T31" s="19"/>
      <c r="U31" s="19"/>
      <c r="V31" s="19"/>
      <c r="W31" s="19"/>
      <c r="X31" s="59"/>
      <c r="Y31" s="19"/>
      <c r="Z31" s="19"/>
      <c r="AA31" s="19"/>
      <c r="AB31" s="19"/>
      <c r="AC31" s="59"/>
      <c r="AD31" s="19"/>
      <c r="AE31" s="19"/>
      <c r="AF31" s="19"/>
      <c r="AG31" s="19"/>
      <c r="AH31" s="59"/>
      <c r="AI31" s="19"/>
      <c r="AJ31" s="19"/>
      <c r="AK31" s="19"/>
      <c r="AL31" s="19"/>
      <c r="AM31" s="59"/>
      <c r="AN31" s="19"/>
      <c r="AO31" s="19"/>
      <c r="AP31" s="19"/>
      <c r="AQ31" s="19"/>
      <c r="AR31" s="59"/>
      <c r="AS31" s="19"/>
      <c r="AT31" s="19"/>
      <c r="AU31" s="19"/>
      <c r="AV31" s="19"/>
      <c r="AW31" s="59"/>
      <c r="AX31" s="19"/>
      <c r="AY31" s="19"/>
      <c r="AZ31" s="19"/>
      <c r="BA31" s="19"/>
      <c r="BB31" s="59"/>
      <c r="BC31" s="19"/>
      <c r="BD31" s="19"/>
      <c r="BE31" s="19"/>
      <c r="BF31" s="19"/>
      <c r="BG31" s="59"/>
      <c r="BH31" s="19"/>
      <c r="BI31" s="19"/>
      <c r="BJ31" s="19"/>
      <c r="BK31" s="19"/>
      <c r="BL31" s="59"/>
      <c r="BM31" s="19"/>
      <c r="BN31" s="19"/>
      <c r="BO31" s="19"/>
      <c r="BP31" s="19"/>
      <c r="BQ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13"/>
      <c r="Q32" s="13"/>
      <c r="R32" s="13"/>
      <c r="S32" s="61"/>
      <c r="T32" s="13"/>
      <c r="U32" s="13"/>
      <c r="V32" s="13"/>
      <c r="W32" s="13"/>
      <c r="X32" s="61"/>
      <c r="Y32" s="13"/>
      <c r="Z32" s="13"/>
      <c r="AA32" s="13"/>
      <c r="AB32" s="13"/>
      <c r="AC32" s="61"/>
      <c r="AD32" s="13"/>
      <c r="AE32" s="13"/>
      <c r="AF32" s="13"/>
      <c r="AG32" s="13"/>
      <c r="AH32" s="61"/>
      <c r="AI32" s="13"/>
      <c r="AJ32" s="13"/>
      <c r="AK32" s="13"/>
      <c r="AL32" s="13"/>
      <c r="AM32" s="61"/>
      <c r="AN32" s="13"/>
      <c r="AO32" s="13"/>
      <c r="AP32" s="13"/>
      <c r="AQ32" s="13"/>
      <c r="AR32" s="61"/>
      <c r="AS32" s="13"/>
      <c r="AT32" s="13"/>
      <c r="AU32" s="13"/>
      <c r="AV32" s="13"/>
      <c r="AW32" s="61"/>
      <c r="AX32" s="13"/>
      <c r="AY32" s="13"/>
      <c r="AZ32" s="13"/>
      <c r="BA32" s="13"/>
      <c r="BB32" s="61"/>
      <c r="BC32" s="13"/>
      <c r="BD32" s="13"/>
      <c r="BE32" s="13"/>
      <c r="BF32" s="13"/>
      <c r="BG32" s="61"/>
      <c r="BH32" s="13"/>
      <c r="BI32" s="13"/>
      <c r="BJ32" s="13"/>
      <c r="BK32" s="13"/>
      <c r="BL32" s="61"/>
      <c r="BM32" s="13"/>
      <c r="BN32" s="13"/>
      <c r="BO32" s="13"/>
      <c r="BP32" s="13"/>
      <c r="BQ32" s="60"/>
    </row>
    <row r="33" ht="12.75" customHeight="1">
      <c r="A33" s="19">
        <v>1.0</v>
      </c>
      <c r="B33" s="20" t="s">
        <v>27</v>
      </c>
      <c r="C33" s="15"/>
      <c r="D33" s="16"/>
      <c r="E33" s="19">
        <v>272.0</v>
      </c>
      <c r="F33" s="19">
        <v>271.0</v>
      </c>
      <c r="G33" s="19">
        <v>287.0</v>
      </c>
      <c r="H33" s="19">
        <v>281.0</v>
      </c>
      <c r="I33" s="19">
        <v>240.0</v>
      </c>
      <c r="J33" s="19">
        <v>240.0</v>
      </c>
      <c r="K33" s="19">
        <v>230.0</v>
      </c>
      <c r="L33" s="19">
        <v>238.0</v>
      </c>
      <c r="M33" s="19">
        <v>227.0</v>
      </c>
      <c r="N33" s="19">
        <v>243.0</v>
      </c>
      <c r="O33" s="19">
        <v>266.0</v>
      </c>
      <c r="P33" s="19">
        <v>277.0</v>
      </c>
      <c r="Q33" s="19">
        <v>277.0</v>
      </c>
      <c r="R33" s="19">
        <v>246.0</v>
      </c>
      <c r="S33" s="19">
        <v>295.0</v>
      </c>
      <c r="T33" s="19">
        <v>269.0</v>
      </c>
      <c r="U33" s="19">
        <v>268.0</v>
      </c>
      <c r="V33" s="19">
        <v>273.0</v>
      </c>
      <c r="W33" s="19">
        <v>277.0</v>
      </c>
      <c r="X33" s="19">
        <v>261.0</v>
      </c>
      <c r="Y33" s="19">
        <v>261.0</v>
      </c>
      <c r="Z33" s="19">
        <v>264.0</v>
      </c>
      <c r="AA33" s="19">
        <v>265.0</v>
      </c>
      <c r="AB33" s="19">
        <v>235.0</v>
      </c>
      <c r="AC33" s="19">
        <v>247.0</v>
      </c>
      <c r="AD33" s="19">
        <v>245.0</v>
      </c>
      <c r="AE33" s="19">
        <v>267.0</v>
      </c>
      <c r="AF33" s="19">
        <v>268.0</v>
      </c>
      <c r="AG33" s="19">
        <v>262.0</v>
      </c>
      <c r="AH33" s="19">
        <v>275.0</v>
      </c>
      <c r="AI33" s="19">
        <v>285.0</v>
      </c>
      <c r="AJ33" s="19">
        <v>278.0</v>
      </c>
      <c r="AK33" s="19">
        <v>275.0</v>
      </c>
      <c r="AL33" s="19">
        <v>275.0</v>
      </c>
      <c r="AM33" s="19">
        <v>289.0</v>
      </c>
      <c r="AN33" s="19">
        <v>268.0</v>
      </c>
      <c r="AO33" s="19">
        <v>275.0</v>
      </c>
      <c r="AP33" s="19">
        <v>279.0</v>
      </c>
      <c r="AQ33" s="19">
        <v>258.0</v>
      </c>
      <c r="AR33" s="19">
        <v>264.0</v>
      </c>
      <c r="AS33" s="19">
        <v>284.0</v>
      </c>
      <c r="AT33" s="19">
        <v>264.0</v>
      </c>
      <c r="AU33" s="19">
        <v>235.0</v>
      </c>
      <c r="AV33" s="19">
        <v>303.0</v>
      </c>
      <c r="AW33" s="19">
        <v>297.0</v>
      </c>
      <c r="AX33" s="19">
        <v>300.0</v>
      </c>
      <c r="AY33" s="19">
        <v>293.0</v>
      </c>
      <c r="AZ33" s="19">
        <v>289.0</v>
      </c>
      <c r="BA33" s="19">
        <v>294.0</v>
      </c>
      <c r="BB33" s="19">
        <v>296.0</v>
      </c>
      <c r="BC33" s="19">
        <v>293.0</v>
      </c>
      <c r="BD33" s="19">
        <v>294.0</v>
      </c>
      <c r="BE33" s="19">
        <v>280.0</v>
      </c>
      <c r="BF33" s="19">
        <v>304.0</v>
      </c>
      <c r="BG33" s="19">
        <v>301.0</v>
      </c>
      <c r="BH33" s="19">
        <v>300.0</v>
      </c>
      <c r="BI33" s="19">
        <v>261.0</v>
      </c>
      <c r="BJ33" s="19">
        <v>269.0</v>
      </c>
      <c r="BK33" s="19">
        <v>250.0</v>
      </c>
      <c r="BL33" s="19">
        <v>281.0</v>
      </c>
      <c r="BM33" s="19">
        <v>269.0</v>
      </c>
      <c r="BN33" s="19">
        <v>253.0</v>
      </c>
      <c r="BO33" s="19">
        <v>249.0</v>
      </c>
      <c r="BP33" s="19">
        <v>250.0</v>
      </c>
      <c r="BQ33" s="13">
        <f t="shared" ref="BQ33:BQ36" si="11">SUM(E33:BP33)</f>
        <v>17282</v>
      </c>
    </row>
    <row r="34" ht="12.75" customHeight="1">
      <c r="A34" s="19">
        <v>2.0</v>
      </c>
      <c r="B34" s="20" t="s">
        <v>28</v>
      </c>
      <c r="C34" s="15"/>
      <c r="D34" s="16"/>
      <c r="E34" s="13">
        <v>197.0</v>
      </c>
      <c r="F34" s="13">
        <v>189.0</v>
      </c>
      <c r="G34" s="13">
        <v>202.0</v>
      </c>
      <c r="H34" s="13">
        <v>191.0</v>
      </c>
      <c r="I34" s="13">
        <v>167.0</v>
      </c>
      <c r="J34" s="13">
        <v>184.0</v>
      </c>
      <c r="K34" s="13">
        <v>167.0</v>
      </c>
      <c r="L34" s="13">
        <v>192.0</v>
      </c>
      <c r="M34" s="13">
        <v>185.0</v>
      </c>
      <c r="N34" s="13">
        <v>202.0</v>
      </c>
      <c r="O34" s="13">
        <v>206.0</v>
      </c>
      <c r="P34" s="13">
        <v>223.0</v>
      </c>
      <c r="Q34" s="13">
        <v>196.0</v>
      </c>
      <c r="R34" s="13">
        <v>197.0</v>
      </c>
      <c r="S34" s="13">
        <v>230.0</v>
      </c>
      <c r="T34" s="13">
        <v>208.0</v>
      </c>
      <c r="U34" s="13">
        <v>183.0</v>
      </c>
      <c r="V34" s="13">
        <v>197.0</v>
      </c>
      <c r="W34" s="13">
        <v>207.0</v>
      </c>
      <c r="X34" s="13">
        <v>185.0</v>
      </c>
      <c r="Y34" s="13">
        <v>183.0</v>
      </c>
      <c r="Z34" s="13">
        <v>216.0</v>
      </c>
      <c r="AA34" s="13">
        <v>210.0</v>
      </c>
      <c r="AB34" s="13">
        <v>186.0</v>
      </c>
      <c r="AC34" s="13">
        <v>184.0</v>
      </c>
      <c r="AD34" s="13">
        <v>178.0</v>
      </c>
      <c r="AE34" s="13">
        <v>197.0</v>
      </c>
      <c r="AF34" s="13">
        <v>216.0</v>
      </c>
      <c r="AG34" s="13">
        <v>218.0</v>
      </c>
      <c r="AH34" s="13">
        <v>204.0</v>
      </c>
      <c r="AI34" s="13">
        <v>212.0</v>
      </c>
      <c r="AJ34" s="13">
        <v>210.0</v>
      </c>
      <c r="AK34" s="13">
        <v>212.0</v>
      </c>
      <c r="AL34" s="13">
        <v>202.0</v>
      </c>
      <c r="AM34" s="13">
        <v>202.0</v>
      </c>
      <c r="AN34" s="13">
        <v>183.0</v>
      </c>
      <c r="AO34" s="13">
        <v>202.0</v>
      </c>
      <c r="AP34" s="13">
        <v>204.0</v>
      </c>
      <c r="AQ34" s="13">
        <v>185.0</v>
      </c>
      <c r="AR34" s="13">
        <v>192.0</v>
      </c>
      <c r="AS34" s="13">
        <v>209.0</v>
      </c>
      <c r="AT34" s="13">
        <v>183.0</v>
      </c>
      <c r="AU34" s="13">
        <v>157.0</v>
      </c>
      <c r="AV34" s="13">
        <v>228.0</v>
      </c>
      <c r="AW34" s="13">
        <v>207.0</v>
      </c>
      <c r="AX34" s="13">
        <v>225.0</v>
      </c>
      <c r="AY34" s="13">
        <v>244.0</v>
      </c>
      <c r="AZ34" s="13">
        <v>204.0</v>
      </c>
      <c r="BA34" s="13">
        <v>252.0</v>
      </c>
      <c r="BB34" s="13">
        <v>236.0</v>
      </c>
      <c r="BC34" s="13">
        <v>240.0</v>
      </c>
      <c r="BD34" s="13">
        <v>229.0</v>
      </c>
      <c r="BE34" s="13">
        <v>225.0</v>
      </c>
      <c r="BF34" s="13">
        <v>229.0</v>
      </c>
      <c r="BG34" s="13">
        <v>210.0</v>
      </c>
      <c r="BH34" s="13">
        <v>230.0</v>
      </c>
      <c r="BI34" s="13">
        <v>191.0</v>
      </c>
      <c r="BJ34" s="13">
        <v>216.0</v>
      </c>
      <c r="BK34" s="13">
        <v>214.0</v>
      </c>
      <c r="BL34" s="13">
        <v>227.0</v>
      </c>
      <c r="BM34" s="13">
        <v>214.0</v>
      </c>
      <c r="BN34" s="13">
        <v>209.0</v>
      </c>
      <c r="BO34" s="13">
        <v>221.0</v>
      </c>
      <c r="BP34" s="13">
        <v>213.0</v>
      </c>
      <c r="BQ34" s="13">
        <f t="shared" si="11"/>
        <v>13117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/>
      <c r="L35" s="19">
        <v>2.0</v>
      </c>
      <c r="M35" s="19">
        <v>1.0</v>
      </c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>
        <v>1.0</v>
      </c>
      <c r="AN35" s="19"/>
      <c r="AO35" s="19"/>
      <c r="AP35" s="19"/>
      <c r="AQ35" s="19"/>
      <c r="AR35" s="19"/>
      <c r="AS35" s="19"/>
      <c r="AT35" s="19">
        <v>4.0</v>
      </c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>
        <v>1.0</v>
      </c>
      <c r="BG35" s="19"/>
      <c r="BH35" s="19"/>
      <c r="BI35" s="19"/>
      <c r="BJ35" s="19"/>
      <c r="BK35" s="19"/>
      <c r="BL35" s="19"/>
      <c r="BM35" s="19">
        <v>1.0</v>
      </c>
      <c r="BN35" s="19"/>
      <c r="BO35" s="19"/>
      <c r="BP35" s="19"/>
      <c r="BQ35" s="13">
        <f t="shared" si="11"/>
        <v>10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BP36" si="12">E33-(E34+E35)</f>
        <v>75</v>
      </c>
      <c r="F36" s="13">
        <f t="shared" si="12"/>
        <v>82</v>
      </c>
      <c r="G36" s="13">
        <f t="shared" si="12"/>
        <v>85</v>
      </c>
      <c r="H36" s="13">
        <f t="shared" si="12"/>
        <v>90</v>
      </c>
      <c r="I36" s="13">
        <f t="shared" si="12"/>
        <v>73</v>
      </c>
      <c r="J36" s="13">
        <f t="shared" si="12"/>
        <v>56</v>
      </c>
      <c r="K36" s="13">
        <f t="shared" si="12"/>
        <v>63</v>
      </c>
      <c r="L36" s="13">
        <f t="shared" si="12"/>
        <v>44</v>
      </c>
      <c r="M36" s="13">
        <f t="shared" si="12"/>
        <v>41</v>
      </c>
      <c r="N36" s="13">
        <f t="shared" si="12"/>
        <v>41</v>
      </c>
      <c r="O36" s="13">
        <f t="shared" si="12"/>
        <v>60</v>
      </c>
      <c r="P36" s="13">
        <f t="shared" si="12"/>
        <v>54</v>
      </c>
      <c r="Q36" s="13">
        <f t="shared" si="12"/>
        <v>81</v>
      </c>
      <c r="R36" s="13">
        <f t="shared" si="12"/>
        <v>49</v>
      </c>
      <c r="S36" s="13">
        <f t="shared" si="12"/>
        <v>65</v>
      </c>
      <c r="T36" s="13">
        <f t="shared" si="12"/>
        <v>61</v>
      </c>
      <c r="U36" s="13">
        <f t="shared" si="12"/>
        <v>85</v>
      </c>
      <c r="V36" s="13">
        <f t="shared" si="12"/>
        <v>76</v>
      </c>
      <c r="W36" s="13">
        <f t="shared" si="12"/>
        <v>70</v>
      </c>
      <c r="X36" s="13">
        <f t="shared" si="12"/>
        <v>76</v>
      </c>
      <c r="Y36" s="13">
        <f t="shared" si="12"/>
        <v>78</v>
      </c>
      <c r="Z36" s="13">
        <f t="shared" si="12"/>
        <v>48</v>
      </c>
      <c r="AA36" s="13">
        <f t="shared" si="12"/>
        <v>55</v>
      </c>
      <c r="AB36" s="13">
        <f t="shared" si="12"/>
        <v>49</v>
      </c>
      <c r="AC36" s="13">
        <f t="shared" si="12"/>
        <v>63</v>
      </c>
      <c r="AD36" s="13">
        <f t="shared" si="12"/>
        <v>67</v>
      </c>
      <c r="AE36" s="13">
        <f t="shared" si="12"/>
        <v>70</v>
      </c>
      <c r="AF36" s="13">
        <f t="shared" si="12"/>
        <v>52</v>
      </c>
      <c r="AG36" s="13">
        <f t="shared" si="12"/>
        <v>44</v>
      </c>
      <c r="AH36" s="13">
        <f t="shared" si="12"/>
        <v>71</v>
      </c>
      <c r="AI36" s="13">
        <f t="shared" si="12"/>
        <v>73</v>
      </c>
      <c r="AJ36" s="13">
        <f t="shared" si="12"/>
        <v>68</v>
      </c>
      <c r="AK36" s="13">
        <f t="shared" si="12"/>
        <v>63</v>
      </c>
      <c r="AL36" s="13">
        <f t="shared" si="12"/>
        <v>73</v>
      </c>
      <c r="AM36" s="13">
        <f t="shared" si="12"/>
        <v>86</v>
      </c>
      <c r="AN36" s="13">
        <f t="shared" si="12"/>
        <v>85</v>
      </c>
      <c r="AO36" s="13">
        <f t="shared" si="12"/>
        <v>73</v>
      </c>
      <c r="AP36" s="13">
        <f t="shared" si="12"/>
        <v>75</v>
      </c>
      <c r="AQ36" s="13">
        <f t="shared" si="12"/>
        <v>73</v>
      </c>
      <c r="AR36" s="13">
        <f t="shared" si="12"/>
        <v>72</v>
      </c>
      <c r="AS36" s="13">
        <f t="shared" si="12"/>
        <v>75</v>
      </c>
      <c r="AT36" s="13">
        <f t="shared" si="12"/>
        <v>77</v>
      </c>
      <c r="AU36" s="13">
        <f t="shared" si="12"/>
        <v>78</v>
      </c>
      <c r="AV36" s="13">
        <f t="shared" si="12"/>
        <v>75</v>
      </c>
      <c r="AW36" s="13">
        <f t="shared" si="12"/>
        <v>90</v>
      </c>
      <c r="AX36" s="13">
        <f t="shared" si="12"/>
        <v>75</v>
      </c>
      <c r="AY36" s="13">
        <f t="shared" si="12"/>
        <v>49</v>
      </c>
      <c r="AZ36" s="13">
        <f t="shared" si="12"/>
        <v>85</v>
      </c>
      <c r="BA36" s="13">
        <f t="shared" si="12"/>
        <v>42</v>
      </c>
      <c r="BB36" s="13">
        <f t="shared" si="12"/>
        <v>60</v>
      </c>
      <c r="BC36" s="13">
        <f t="shared" si="12"/>
        <v>53</v>
      </c>
      <c r="BD36" s="13">
        <f t="shared" si="12"/>
        <v>65</v>
      </c>
      <c r="BE36" s="13">
        <f t="shared" si="12"/>
        <v>55</v>
      </c>
      <c r="BF36" s="13">
        <f t="shared" si="12"/>
        <v>74</v>
      </c>
      <c r="BG36" s="13">
        <f t="shared" si="12"/>
        <v>91</v>
      </c>
      <c r="BH36" s="13">
        <f t="shared" si="12"/>
        <v>70</v>
      </c>
      <c r="BI36" s="13">
        <f t="shared" si="12"/>
        <v>70</v>
      </c>
      <c r="BJ36" s="13">
        <f t="shared" si="12"/>
        <v>53</v>
      </c>
      <c r="BK36" s="13">
        <f t="shared" si="12"/>
        <v>36</v>
      </c>
      <c r="BL36" s="13">
        <f t="shared" si="12"/>
        <v>54</v>
      </c>
      <c r="BM36" s="13">
        <f t="shared" si="12"/>
        <v>54</v>
      </c>
      <c r="BN36" s="13">
        <f t="shared" si="12"/>
        <v>44</v>
      </c>
      <c r="BO36" s="13">
        <f t="shared" si="12"/>
        <v>28</v>
      </c>
      <c r="BP36" s="13">
        <f t="shared" si="12"/>
        <v>37</v>
      </c>
      <c r="BQ36" s="13">
        <f t="shared" si="11"/>
        <v>4155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19"/>
      <c r="P37" s="19"/>
      <c r="Q37" s="19"/>
      <c r="R37" s="19"/>
      <c r="S37" s="59"/>
      <c r="T37" s="19"/>
      <c r="U37" s="19"/>
      <c r="V37" s="19"/>
      <c r="W37" s="19"/>
      <c r="X37" s="59"/>
      <c r="Y37" s="19"/>
      <c r="Z37" s="19"/>
      <c r="AA37" s="19"/>
      <c r="AB37" s="19"/>
      <c r="AC37" s="59"/>
      <c r="AD37" s="19"/>
      <c r="AE37" s="19"/>
      <c r="AF37" s="19"/>
      <c r="AG37" s="19"/>
      <c r="AH37" s="59"/>
      <c r="AI37" s="19"/>
      <c r="AJ37" s="19"/>
      <c r="AK37" s="19"/>
      <c r="AL37" s="19"/>
      <c r="AM37" s="59"/>
      <c r="AN37" s="19"/>
      <c r="AO37" s="19"/>
      <c r="AP37" s="19"/>
      <c r="AQ37" s="19"/>
      <c r="AR37" s="59"/>
      <c r="AS37" s="19"/>
      <c r="AT37" s="19"/>
      <c r="AU37" s="19"/>
      <c r="AV37" s="19"/>
      <c r="AW37" s="59"/>
      <c r="AX37" s="19"/>
      <c r="AY37" s="19"/>
      <c r="AZ37" s="19"/>
      <c r="BA37" s="19"/>
      <c r="BB37" s="59"/>
      <c r="BC37" s="19"/>
      <c r="BD37" s="19"/>
      <c r="BE37" s="19"/>
      <c r="BF37" s="19"/>
      <c r="BG37" s="59"/>
      <c r="BH37" s="19"/>
      <c r="BI37" s="19"/>
      <c r="BJ37" s="19"/>
      <c r="BK37" s="19"/>
      <c r="BL37" s="59"/>
      <c r="BM37" s="19"/>
      <c r="BN37" s="19"/>
      <c r="BO37" s="19"/>
      <c r="BP37" s="19"/>
      <c r="BQ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13"/>
      <c r="Q38" s="13"/>
      <c r="R38" s="13"/>
      <c r="S38" s="61"/>
      <c r="T38" s="13"/>
      <c r="U38" s="13"/>
      <c r="V38" s="13"/>
      <c r="W38" s="13"/>
      <c r="X38" s="61"/>
      <c r="Y38" s="13"/>
      <c r="Z38" s="13"/>
      <c r="AA38" s="13"/>
      <c r="AB38" s="13"/>
      <c r="AC38" s="61"/>
      <c r="AD38" s="13"/>
      <c r="AE38" s="13"/>
      <c r="AF38" s="13"/>
      <c r="AG38" s="13"/>
      <c r="AH38" s="61"/>
      <c r="AI38" s="13"/>
      <c r="AJ38" s="13"/>
      <c r="AK38" s="13"/>
      <c r="AL38" s="13"/>
      <c r="AM38" s="61"/>
      <c r="AN38" s="13"/>
      <c r="AO38" s="13"/>
      <c r="AP38" s="13"/>
      <c r="AQ38" s="13"/>
      <c r="AR38" s="61"/>
      <c r="AS38" s="13"/>
      <c r="AT38" s="13"/>
      <c r="AU38" s="13"/>
      <c r="AV38" s="13"/>
      <c r="AW38" s="61"/>
      <c r="AX38" s="13"/>
      <c r="AY38" s="13"/>
      <c r="AZ38" s="13"/>
      <c r="BA38" s="13"/>
      <c r="BB38" s="61"/>
      <c r="BC38" s="13"/>
      <c r="BD38" s="13"/>
      <c r="BE38" s="13"/>
      <c r="BF38" s="13"/>
      <c r="BG38" s="61"/>
      <c r="BH38" s="13"/>
      <c r="BI38" s="13"/>
      <c r="BJ38" s="13"/>
      <c r="BK38" s="13"/>
      <c r="BL38" s="61"/>
      <c r="BM38" s="13"/>
      <c r="BN38" s="13"/>
      <c r="BO38" s="13"/>
      <c r="BP38" s="13"/>
      <c r="BQ38" s="60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>
        <v>1.0</v>
      </c>
      <c r="N39" s="19"/>
      <c r="O39" s="19"/>
      <c r="P39" s="19"/>
      <c r="Q39" s="19"/>
      <c r="R39" s="19"/>
      <c r="S39" s="19"/>
      <c r="T39" s="19"/>
      <c r="U39" s="19">
        <v>1.0</v>
      </c>
      <c r="V39" s="19"/>
      <c r="W39" s="19"/>
      <c r="X39" s="19">
        <v>1.0</v>
      </c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>
        <v>1.0</v>
      </c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>
        <v>2.0</v>
      </c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3">
        <f t="shared" ref="BQ39:BQ41" si="13">SUM(E39:BP39)</f>
        <v>6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>
        <v>1.0</v>
      </c>
      <c r="V40" s="19"/>
      <c r="W40" s="19">
        <v>1.0</v>
      </c>
      <c r="X40" s="19">
        <v>2.0</v>
      </c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>
        <v>2.0</v>
      </c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>
        <v>1.0</v>
      </c>
      <c r="AX40" s="19"/>
      <c r="AY40" s="19"/>
      <c r="AZ40" s="19"/>
      <c r="BA40" s="19"/>
      <c r="BB40" s="19"/>
      <c r="BC40" s="19"/>
      <c r="BD40" s="19"/>
      <c r="BE40" s="19">
        <v>1.0</v>
      </c>
      <c r="BF40" s="19"/>
      <c r="BG40" s="19"/>
      <c r="BH40" s="19"/>
      <c r="BI40" s="19"/>
      <c r="BJ40" s="19">
        <v>2.0</v>
      </c>
      <c r="BK40" s="19"/>
      <c r="BL40" s="19"/>
      <c r="BM40" s="19"/>
      <c r="BN40" s="19"/>
      <c r="BO40" s="19"/>
      <c r="BP40" s="19">
        <v>1.0</v>
      </c>
      <c r="BQ40" s="13">
        <f t="shared" si="13"/>
        <v>11</v>
      </c>
    </row>
    <row r="41" ht="12.75" customHeight="1">
      <c r="A41" s="41"/>
      <c r="B41" s="44"/>
      <c r="C41" s="28"/>
      <c r="D41" s="13" t="s">
        <v>14</v>
      </c>
      <c r="E41" s="13">
        <f t="shared" ref="E41:BP41" si="14">SUM(E39:E40)</f>
        <v>0</v>
      </c>
      <c r="F41" s="13">
        <f t="shared" si="14"/>
        <v>0</v>
      </c>
      <c r="G41" s="13">
        <f t="shared" si="14"/>
        <v>0</v>
      </c>
      <c r="H41" s="13">
        <f t="shared" si="14"/>
        <v>0</v>
      </c>
      <c r="I41" s="13">
        <f t="shared" si="14"/>
        <v>0</v>
      </c>
      <c r="J41" s="13">
        <f t="shared" si="14"/>
        <v>0</v>
      </c>
      <c r="K41" s="13">
        <f t="shared" si="14"/>
        <v>0</v>
      </c>
      <c r="L41" s="13">
        <f t="shared" si="14"/>
        <v>0</v>
      </c>
      <c r="M41" s="13">
        <f t="shared" si="14"/>
        <v>1</v>
      </c>
      <c r="N41" s="13">
        <f t="shared" si="14"/>
        <v>0</v>
      </c>
      <c r="O41" s="13">
        <f t="shared" si="14"/>
        <v>0</v>
      </c>
      <c r="P41" s="13">
        <f t="shared" si="14"/>
        <v>0</v>
      </c>
      <c r="Q41" s="13">
        <f t="shared" si="14"/>
        <v>0</v>
      </c>
      <c r="R41" s="13">
        <f t="shared" si="14"/>
        <v>0</v>
      </c>
      <c r="S41" s="13">
        <f t="shared" si="14"/>
        <v>0</v>
      </c>
      <c r="T41" s="13">
        <f t="shared" si="14"/>
        <v>0</v>
      </c>
      <c r="U41" s="13">
        <f t="shared" si="14"/>
        <v>2</v>
      </c>
      <c r="V41" s="13">
        <f t="shared" si="14"/>
        <v>0</v>
      </c>
      <c r="W41" s="13">
        <f t="shared" si="14"/>
        <v>1</v>
      </c>
      <c r="X41" s="13">
        <f t="shared" si="14"/>
        <v>3</v>
      </c>
      <c r="Y41" s="13">
        <f t="shared" si="14"/>
        <v>0</v>
      </c>
      <c r="Z41" s="13">
        <f t="shared" si="14"/>
        <v>0</v>
      </c>
      <c r="AA41" s="13">
        <f t="shared" si="14"/>
        <v>0</v>
      </c>
      <c r="AB41" s="13">
        <f t="shared" si="14"/>
        <v>0</v>
      </c>
      <c r="AC41" s="13">
        <f t="shared" si="14"/>
        <v>0</v>
      </c>
      <c r="AD41" s="13">
        <f t="shared" si="14"/>
        <v>0</v>
      </c>
      <c r="AE41" s="13">
        <f t="shared" si="14"/>
        <v>0</v>
      </c>
      <c r="AF41" s="13">
        <f t="shared" si="14"/>
        <v>0</v>
      </c>
      <c r="AG41" s="13">
        <f t="shared" si="14"/>
        <v>0</v>
      </c>
      <c r="AH41" s="13">
        <f t="shared" si="14"/>
        <v>0</v>
      </c>
      <c r="AI41" s="13">
        <f t="shared" si="14"/>
        <v>0</v>
      </c>
      <c r="AJ41" s="13">
        <f t="shared" si="14"/>
        <v>3</v>
      </c>
      <c r="AK41" s="13">
        <f t="shared" si="14"/>
        <v>0</v>
      </c>
      <c r="AL41" s="13">
        <f t="shared" si="14"/>
        <v>0</v>
      </c>
      <c r="AM41" s="13">
        <f t="shared" si="14"/>
        <v>0</v>
      </c>
      <c r="AN41" s="13">
        <f t="shared" si="14"/>
        <v>0</v>
      </c>
      <c r="AO41" s="13">
        <f t="shared" si="14"/>
        <v>0</v>
      </c>
      <c r="AP41" s="13">
        <f t="shared" si="14"/>
        <v>0</v>
      </c>
      <c r="AQ41" s="13">
        <f t="shared" si="14"/>
        <v>0</v>
      </c>
      <c r="AR41" s="13">
        <f t="shared" si="14"/>
        <v>0</v>
      </c>
      <c r="AS41" s="13">
        <f t="shared" si="14"/>
        <v>0</v>
      </c>
      <c r="AT41" s="13">
        <f t="shared" si="14"/>
        <v>0</v>
      </c>
      <c r="AU41" s="13">
        <f t="shared" si="14"/>
        <v>0</v>
      </c>
      <c r="AV41" s="13">
        <f t="shared" si="14"/>
        <v>0</v>
      </c>
      <c r="AW41" s="13">
        <f t="shared" si="14"/>
        <v>1</v>
      </c>
      <c r="AX41" s="13">
        <f t="shared" si="14"/>
        <v>0</v>
      </c>
      <c r="AY41" s="13">
        <f t="shared" si="14"/>
        <v>0</v>
      </c>
      <c r="AZ41" s="13">
        <f t="shared" si="14"/>
        <v>0</v>
      </c>
      <c r="BA41" s="13">
        <f t="shared" si="14"/>
        <v>0</v>
      </c>
      <c r="BB41" s="13">
        <f t="shared" si="14"/>
        <v>0</v>
      </c>
      <c r="BC41" s="13">
        <f t="shared" si="14"/>
        <v>0</v>
      </c>
      <c r="BD41" s="13">
        <f t="shared" si="14"/>
        <v>0</v>
      </c>
      <c r="BE41" s="13">
        <f t="shared" si="14"/>
        <v>3</v>
      </c>
      <c r="BF41" s="13">
        <f t="shared" si="14"/>
        <v>0</v>
      </c>
      <c r="BG41" s="13">
        <f t="shared" si="14"/>
        <v>0</v>
      </c>
      <c r="BH41" s="13">
        <f t="shared" si="14"/>
        <v>0</v>
      </c>
      <c r="BI41" s="13">
        <f t="shared" si="14"/>
        <v>0</v>
      </c>
      <c r="BJ41" s="13">
        <f t="shared" si="14"/>
        <v>2</v>
      </c>
      <c r="BK41" s="13">
        <f t="shared" si="14"/>
        <v>0</v>
      </c>
      <c r="BL41" s="13">
        <f t="shared" si="14"/>
        <v>0</v>
      </c>
      <c r="BM41" s="13">
        <f t="shared" si="14"/>
        <v>0</v>
      </c>
      <c r="BN41" s="13">
        <f t="shared" si="14"/>
        <v>0</v>
      </c>
      <c r="BO41" s="13">
        <f t="shared" si="14"/>
        <v>0</v>
      </c>
      <c r="BP41" s="13">
        <f t="shared" si="14"/>
        <v>1</v>
      </c>
      <c r="BQ41" s="13">
        <f t="shared" si="13"/>
        <v>17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19"/>
      <c r="Q42" s="19"/>
      <c r="R42" s="19"/>
      <c r="S42" s="59"/>
      <c r="T42" s="19"/>
      <c r="U42" s="19"/>
      <c r="V42" s="19"/>
      <c r="W42" s="19"/>
      <c r="X42" s="59"/>
      <c r="Y42" s="19"/>
      <c r="Z42" s="19"/>
      <c r="AA42" s="19"/>
      <c r="AB42" s="19"/>
      <c r="AC42" s="59"/>
      <c r="AD42" s="19"/>
      <c r="AE42" s="19"/>
      <c r="AF42" s="19"/>
      <c r="AG42" s="19"/>
      <c r="AH42" s="59"/>
      <c r="AI42" s="19"/>
      <c r="AJ42" s="19"/>
      <c r="AK42" s="19"/>
      <c r="AL42" s="19"/>
      <c r="AM42" s="59"/>
      <c r="AN42" s="19"/>
      <c r="AO42" s="19"/>
      <c r="AP42" s="19"/>
      <c r="AQ42" s="19"/>
      <c r="AR42" s="59"/>
      <c r="AS42" s="19"/>
      <c r="AT42" s="19"/>
      <c r="AU42" s="19"/>
      <c r="AV42" s="19"/>
      <c r="AW42" s="59"/>
      <c r="AX42" s="19"/>
      <c r="AY42" s="19"/>
      <c r="AZ42" s="19"/>
      <c r="BA42" s="19"/>
      <c r="BB42" s="59"/>
      <c r="BC42" s="19"/>
      <c r="BD42" s="19"/>
      <c r="BE42" s="19"/>
      <c r="BF42" s="19"/>
      <c r="BG42" s="59"/>
      <c r="BH42" s="19"/>
      <c r="BI42" s="19"/>
      <c r="BJ42" s="19"/>
      <c r="BK42" s="19"/>
      <c r="BL42" s="59"/>
      <c r="BM42" s="19"/>
      <c r="BN42" s="19"/>
      <c r="BO42" s="19"/>
      <c r="BP42" s="19"/>
      <c r="BQ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  <c r="Q43" s="13"/>
      <c r="R43" s="13"/>
      <c r="S43" s="61"/>
      <c r="T43" s="13"/>
      <c r="U43" s="13"/>
      <c r="V43" s="13"/>
      <c r="W43" s="13"/>
      <c r="X43" s="61"/>
      <c r="Y43" s="13"/>
      <c r="Z43" s="13"/>
      <c r="AA43" s="13"/>
      <c r="AB43" s="13"/>
      <c r="AC43" s="61"/>
      <c r="AD43" s="13"/>
      <c r="AE43" s="13"/>
      <c r="AF43" s="13"/>
      <c r="AG43" s="13"/>
      <c r="AH43" s="61"/>
      <c r="AI43" s="13"/>
      <c r="AJ43" s="13"/>
      <c r="AK43" s="13"/>
      <c r="AL43" s="13"/>
      <c r="AM43" s="61"/>
      <c r="AN43" s="13"/>
      <c r="AO43" s="13"/>
      <c r="AP43" s="13"/>
      <c r="AQ43" s="13"/>
      <c r="AR43" s="61"/>
      <c r="AS43" s="13"/>
      <c r="AT43" s="13"/>
      <c r="AU43" s="13"/>
      <c r="AV43" s="13"/>
      <c r="AW43" s="61"/>
      <c r="AX43" s="13"/>
      <c r="AY43" s="13"/>
      <c r="AZ43" s="13"/>
      <c r="BA43" s="13"/>
      <c r="BB43" s="61"/>
      <c r="BC43" s="13"/>
      <c r="BD43" s="13"/>
      <c r="BE43" s="13"/>
      <c r="BF43" s="13"/>
      <c r="BG43" s="61"/>
      <c r="BH43" s="13"/>
      <c r="BI43" s="13"/>
      <c r="BJ43" s="13"/>
      <c r="BK43" s="13"/>
      <c r="BL43" s="61"/>
      <c r="BM43" s="13"/>
      <c r="BN43" s="13"/>
      <c r="BO43" s="13"/>
      <c r="BP43" s="13"/>
      <c r="BQ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9"/>
      <c r="Q44" s="19"/>
      <c r="R44" s="19"/>
      <c r="S44" s="59"/>
      <c r="T44" s="19"/>
      <c r="U44" s="19"/>
      <c r="V44" s="19"/>
      <c r="W44" s="19"/>
      <c r="X44" s="59"/>
      <c r="Y44" s="19"/>
      <c r="Z44" s="19"/>
      <c r="AA44" s="19"/>
      <c r="AB44" s="19"/>
      <c r="AC44" s="59"/>
      <c r="AD44" s="19"/>
      <c r="AE44" s="19"/>
      <c r="AF44" s="19"/>
      <c r="AG44" s="19"/>
      <c r="AH44" s="59"/>
      <c r="AI44" s="19"/>
      <c r="AJ44" s="19"/>
      <c r="AK44" s="19"/>
      <c r="AL44" s="19"/>
      <c r="AM44" s="59"/>
      <c r="AN44" s="19"/>
      <c r="AO44" s="19"/>
      <c r="AP44" s="19"/>
      <c r="AQ44" s="19"/>
      <c r="AR44" s="59"/>
      <c r="AS44" s="19"/>
      <c r="AT44" s="19"/>
      <c r="AU44" s="19"/>
      <c r="AV44" s="19"/>
      <c r="AW44" s="59"/>
      <c r="AX44" s="19"/>
      <c r="AY44" s="19"/>
      <c r="AZ44" s="19"/>
      <c r="BA44" s="19"/>
      <c r="BB44" s="59"/>
      <c r="BC44" s="19"/>
      <c r="BD44" s="19"/>
      <c r="BE44" s="19"/>
      <c r="BF44" s="19"/>
      <c r="BG44" s="59"/>
      <c r="BH44" s="19"/>
      <c r="BI44" s="19"/>
      <c r="BJ44" s="19"/>
      <c r="BK44" s="19"/>
      <c r="BL44" s="59"/>
      <c r="BM44" s="19"/>
      <c r="BN44" s="19"/>
      <c r="BO44" s="19"/>
      <c r="BP44" s="19"/>
      <c r="BQ44" s="13"/>
    </row>
    <row r="45" ht="12.75" customHeight="1">
      <c r="A45" s="62"/>
      <c r="B45" s="47">
        <v>1.0</v>
      </c>
      <c r="C45" s="48" t="s">
        <v>37</v>
      </c>
      <c r="D45" s="16"/>
      <c r="E45" s="19">
        <v>11.0</v>
      </c>
      <c r="F45" s="19">
        <v>12.0</v>
      </c>
      <c r="G45" s="19">
        <v>7.0</v>
      </c>
      <c r="H45" s="19">
        <v>10.0</v>
      </c>
      <c r="I45" s="19">
        <v>11.0</v>
      </c>
      <c r="J45" s="19">
        <v>21.0</v>
      </c>
      <c r="K45" s="19">
        <v>23.0</v>
      </c>
      <c r="L45" s="19">
        <v>16.0</v>
      </c>
      <c r="M45" s="19">
        <v>19.0</v>
      </c>
      <c r="N45" s="19">
        <v>20.0</v>
      </c>
      <c r="O45" s="19">
        <v>23.0</v>
      </c>
      <c r="P45" s="19">
        <v>30.0</v>
      </c>
      <c r="Q45" s="19">
        <v>48.0</v>
      </c>
      <c r="R45" s="19">
        <v>43.0</v>
      </c>
      <c r="S45" s="19">
        <v>53.0</v>
      </c>
      <c r="T45" s="19">
        <v>31.0</v>
      </c>
      <c r="U45" s="19">
        <v>13.0</v>
      </c>
      <c r="V45" s="19">
        <v>52.0</v>
      </c>
      <c r="W45" s="19">
        <v>19.0</v>
      </c>
      <c r="X45" s="19">
        <v>18.0</v>
      </c>
      <c r="Y45" s="19">
        <v>17.0</v>
      </c>
      <c r="Z45" s="19">
        <v>22.0</v>
      </c>
      <c r="AA45" s="19">
        <v>25.0</v>
      </c>
      <c r="AB45" s="19">
        <v>18.0</v>
      </c>
      <c r="AC45" s="19">
        <v>22.0</v>
      </c>
      <c r="AD45" s="19">
        <v>18.0</v>
      </c>
      <c r="AE45" s="19">
        <v>19.0</v>
      </c>
      <c r="AF45" s="19">
        <v>16.0</v>
      </c>
      <c r="AG45" s="19">
        <v>16.0</v>
      </c>
      <c r="AH45" s="19">
        <v>28.0</v>
      </c>
      <c r="AI45" s="19">
        <v>37.0</v>
      </c>
      <c r="AJ45" s="19">
        <v>54.0</v>
      </c>
      <c r="AK45" s="19">
        <v>7.0</v>
      </c>
      <c r="AL45" s="19">
        <v>14.0</v>
      </c>
      <c r="AM45" s="19">
        <v>19.0</v>
      </c>
      <c r="AN45" s="19">
        <v>6.0</v>
      </c>
      <c r="AO45" s="19">
        <v>15.0</v>
      </c>
      <c r="AP45" s="19">
        <v>17.0</v>
      </c>
      <c r="AQ45" s="19">
        <v>8.0</v>
      </c>
      <c r="AR45" s="19">
        <v>18.0</v>
      </c>
      <c r="AS45" s="19">
        <v>15.0</v>
      </c>
      <c r="AT45" s="19">
        <v>20.0</v>
      </c>
      <c r="AU45" s="19">
        <v>31.0</v>
      </c>
      <c r="AV45" s="19">
        <v>19.0</v>
      </c>
      <c r="AW45" s="19">
        <v>15.0</v>
      </c>
      <c r="AX45" s="19">
        <v>7.0</v>
      </c>
      <c r="AY45" s="19">
        <v>48.0</v>
      </c>
      <c r="AZ45" s="19">
        <v>22.0</v>
      </c>
      <c r="BA45" s="19">
        <v>15.0</v>
      </c>
      <c r="BB45" s="19">
        <v>11.0</v>
      </c>
      <c r="BC45" s="19">
        <v>19.0</v>
      </c>
      <c r="BD45" s="19">
        <v>36.0</v>
      </c>
      <c r="BE45" s="19">
        <v>24.0</v>
      </c>
      <c r="BF45" s="19">
        <v>52.0</v>
      </c>
      <c r="BG45" s="19">
        <v>24.0</v>
      </c>
      <c r="BH45" s="19">
        <v>68.0</v>
      </c>
      <c r="BI45" s="19">
        <v>27.0</v>
      </c>
      <c r="BJ45" s="19">
        <v>36.0</v>
      </c>
      <c r="BK45" s="19">
        <v>27.0</v>
      </c>
      <c r="BL45" s="19">
        <v>24.0</v>
      </c>
      <c r="BM45" s="19">
        <v>37.0</v>
      </c>
      <c r="BN45" s="19">
        <v>19.0</v>
      </c>
      <c r="BO45" s="19">
        <v>36.0</v>
      </c>
      <c r="BP45" s="19">
        <v>31.0</v>
      </c>
      <c r="BQ45" s="13">
        <f t="shared" ref="BQ45:BQ47" si="15">SUM(E45:BP45)</f>
        <v>1539</v>
      </c>
    </row>
    <row r="46" ht="12.75" customHeight="1">
      <c r="A46" s="18"/>
      <c r="B46" s="47">
        <v>2.0</v>
      </c>
      <c r="C46" s="48" t="s">
        <v>38</v>
      </c>
      <c r="D46" s="16"/>
      <c r="E46" s="19">
        <v>150.0</v>
      </c>
      <c r="F46" s="19">
        <v>152.0</v>
      </c>
      <c r="G46" s="19">
        <v>162.0</v>
      </c>
      <c r="H46" s="19">
        <v>148.0</v>
      </c>
      <c r="I46" s="19">
        <v>123.0</v>
      </c>
      <c r="J46" s="19">
        <v>130.0</v>
      </c>
      <c r="K46" s="19">
        <v>111.0</v>
      </c>
      <c r="L46" s="19">
        <v>142.0</v>
      </c>
      <c r="M46" s="19">
        <v>146.0</v>
      </c>
      <c r="N46" s="19">
        <v>157.0</v>
      </c>
      <c r="O46" s="19">
        <v>153.0</v>
      </c>
      <c r="P46" s="19">
        <v>154.0</v>
      </c>
      <c r="Q46" s="19">
        <v>116.0</v>
      </c>
      <c r="R46" s="19">
        <v>115.0</v>
      </c>
      <c r="S46" s="19">
        <v>141.0</v>
      </c>
      <c r="T46" s="19">
        <v>126.0</v>
      </c>
      <c r="U46" s="19">
        <v>131.0</v>
      </c>
      <c r="V46" s="19">
        <v>125.0</v>
      </c>
      <c r="W46" s="19">
        <v>159.0</v>
      </c>
      <c r="X46" s="19">
        <v>142.0</v>
      </c>
      <c r="Y46" s="19">
        <v>140.0</v>
      </c>
      <c r="Z46" s="19">
        <v>168.0</v>
      </c>
      <c r="AA46" s="19">
        <v>156.0</v>
      </c>
      <c r="AB46" s="19">
        <v>134.0</v>
      </c>
      <c r="AC46" s="19">
        <v>148.0</v>
      </c>
      <c r="AD46" s="19">
        <v>135.0</v>
      </c>
      <c r="AE46" s="19">
        <v>153.0</v>
      </c>
      <c r="AF46" s="19">
        <v>173.0</v>
      </c>
      <c r="AG46" s="19">
        <v>182.0</v>
      </c>
      <c r="AH46" s="19">
        <v>134.0</v>
      </c>
      <c r="AI46" s="19">
        <v>146.0</v>
      </c>
      <c r="AJ46" s="19">
        <v>122.0</v>
      </c>
      <c r="AK46" s="19">
        <v>145.0</v>
      </c>
      <c r="AL46" s="19">
        <v>142.0</v>
      </c>
      <c r="AM46" s="19">
        <v>135.0</v>
      </c>
      <c r="AN46" s="19">
        <v>127.0</v>
      </c>
      <c r="AO46" s="19">
        <v>153.0</v>
      </c>
      <c r="AP46" s="19">
        <v>130.0</v>
      </c>
      <c r="AQ46" s="19">
        <v>113.0</v>
      </c>
      <c r="AR46" s="19">
        <v>98.0</v>
      </c>
      <c r="AS46" s="19">
        <v>134.0</v>
      </c>
      <c r="AT46" s="19">
        <v>119.0</v>
      </c>
      <c r="AU46" s="19">
        <v>92.0</v>
      </c>
      <c r="AV46" s="19">
        <v>146.0</v>
      </c>
      <c r="AW46" s="19">
        <v>137.0</v>
      </c>
      <c r="AX46" s="19">
        <v>155.0</v>
      </c>
      <c r="AY46" s="19">
        <v>164.0</v>
      </c>
      <c r="AZ46" s="19">
        <v>156.0</v>
      </c>
      <c r="BA46" s="19">
        <v>184.0</v>
      </c>
      <c r="BB46" s="19">
        <v>157.0</v>
      </c>
      <c r="BC46" s="19">
        <v>153.0</v>
      </c>
      <c r="BD46" s="19">
        <v>151.0</v>
      </c>
      <c r="BE46" s="19">
        <v>157.0</v>
      </c>
      <c r="BF46" s="19">
        <v>158.0</v>
      </c>
      <c r="BG46" s="19">
        <v>159.0</v>
      </c>
      <c r="BH46" s="19">
        <v>130.0</v>
      </c>
      <c r="BI46" s="19">
        <v>148.0</v>
      </c>
      <c r="BJ46" s="19">
        <v>143.0</v>
      </c>
      <c r="BK46" s="19">
        <v>142.0</v>
      </c>
      <c r="BL46" s="19">
        <v>160.0</v>
      </c>
      <c r="BM46" s="19">
        <v>140.0</v>
      </c>
      <c r="BN46" s="19">
        <v>166.0</v>
      </c>
      <c r="BO46" s="19">
        <v>159.0</v>
      </c>
      <c r="BP46" s="19">
        <v>162.0</v>
      </c>
      <c r="BQ46" s="13">
        <f t="shared" si="15"/>
        <v>9189</v>
      </c>
    </row>
    <row r="47" ht="12.75" customHeight="1">
      <c r="A47" s="45"/>
      <c r="B47" s="47">
        <v>3.0</v>
      </c>
      <c r="C47" s="48" t="s">
        <v>39</v>
      </c>
      <c r="D47" s="16"/>
      <c r="E47" s="19">
        <v>35.0</v>
      </c>
      <c r="F47" s="19">
        <v>22.0</v>
      </c>
      <c r="G47" s="19">
        <v>32.0</v>
      </c>
      <c r="H47" s="19">
        <v>32.0</v>
      </c>
      <c r="I47" s="19">
        <v>32.0</v>
      </c>
      <c r="J47" s="19">
        <v>30.0</v>
      </c>
      <c r="K47" s="19">
        <v>32.0</v>
      </c>
      <c r="L47" s="19">
        <v>29.0</v>
      </c>
      <c r="M47" s="19">
        <v>20.0</v>
      </c>
      <c r="N47" s="19">
        <v>21.0</v>
      </c>
      <c r="O47" s="19">
        <v>27.0</v>
      </c>
      <c r="P47" s="19">
        <v>35.0</v>
      </c>
      <c r="Q47" s="19">
        <v>27.0</v>
      </c>
      <c r="R47" s="19">
        <v>32.0</v>
      </c>
      <c r="S47" s="19">
        <v>31.0</v>
      </c>
      <c r="T47" s="19">
        <v>47.0</v>
      </c>
      <c r="U47" s="19">
        <v>39.0</v>
      </c>
      <c r="V47" s="19">
        <v>20.0</v>
      </c>
      <c r="W47" s="19">
        <v>27.0</v>
      </c>
      <c r="X47" s="19">
        <v>21.0</v>
      </c>
      <c r="Y47" s="19">
        <v>24.0</v>
      </c>
      <c r="Z47" s="19">
        <v>21.0</v>
      </c>
      <c r="AA47" s="19">
        <v>27.0</v>
      </c>
      <c r="AB47" s="19">
        <v>33.0</v>
      </c>
      <c r="AC47" s="19">
        <v>14.0</v>
      </c>
      <c r="AD47" s="19">
        <v>21.0</v>
      </c>
      <c r="AE47" s="19">
        <v>23.0</v>
      </c>
      <c r="AF47" s="19">
        <v>23.0</v>
      </c>
      <c r="AG47" s="19">
        <v>13.0</v>
      </c>
      <c r="AH47" s="19">
        <v>29.0</v>
      </c>
      <c r="AI47" s="19">
        <v>25.0</v>
      </c>
      <c r="AJ47" s="19">
        <v>33.0</v>
      </c>
      <c r="AK47" s="19">
        <v>56.0</v>
      </c>
      <c r="AL47" s="19">
        <v>45.0</v>
      </c>
      <c r="AM47" s="19">
        <v>45.0</v>
      </c>
      <c r="AN47" s="19">
        <v>47.0</v>
      </c>
      <c r="AO47" s="19">
        <v>31.0</v>
      </c>
      <c r="AP47" s="19">
        <v>50.0</v>
      </c>
      <c r="AQ47" s="19">
        <v>62.0</v>
      </c>
      <c r="AR47" s="19">
        <v>76.0</v>
      </c>
      <c r="AS47" s="19">
        <v>57.0</v>
      </c>
      <c r="AT47" s="19">
        <v>40.0</v>
      </c>
      <c r="AU47" s="19">
        <v>30.0</v>
      </c>
      <c r="AV47" s="19">
        <v>60.0</v>
      </c>
      <c r="AW47" s="19">
        <v>53.0</v>
      </c>
      <c r="AX47" s="19">
        <v>62.0</v>
      </c>
      <c r="AY47" s="19">
        <v>30.0</v>
      </c>
      <c r="AZ47" s="19">
        <v>23.0</v>
      </c>
      <c r="BA47" s="19">
        <v>50.0</v>
      </c>
      <c r="BB47" s="19">
        <v>61.0</v>
      </c>
      <c r="BC47" s="19">
        <v>66.0</v>
      </c>
      <c r="BD47" s="19">
        <v>41.0</v>
      </c>
      <c r="BE47" s="19">
        <v>42.0</v>
      </c>
      <c r="BF47" s="19">
        <v>16.0</v>
      </c>
      <c r="BG47" s="19">
        <v>20.0</v>
      </c>
      <c r="BH47" s="19">
        <v>28.0</v>
      </c>
      <c r="BI47" s="19">
        <v>16.0</v>
      </c>
      <c r="BJ47" s="19">
        <v>31.0</v>
      </c>
      <c r="BK47" s="19">
        <v>39.0</v>
      </c>
      <c r="BL47" s="19">
        <v>36.0</v>
      </c>
      <c r="BM47" s="19">
        <v>36.0</v>
      </c>
      <c r="BN47" s="19">
        <v>22.0</v>
      </c>
      <c r="BO47" s="19">
        <v>25.0</v>
      </c>
      <c r="BP47" s="19">
        <v>16.0</v>
      </c>
      <c r="BQ47" s="13">
        <f t="shared" si="15"/>
        <v>2189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13"/>
      <c r="P49" s="13"/>
      <c r="Q49" s="13"/>
      <c r="R49" s="13"/>
      <c r="S49" s="61"/>
      <c r="T49" s="13"/>
      <c r="U49" s="13"/>
      <c r="V49" s="13"/>
      <c r="W49" s="13"/>
      <c r="X49" s="61"/>
      <c r="Y49" s="13"/>
      <c r="Z49" s="13"/>
      <c r="AA49" s="13"/>
      <c r="AB49" s="13"/>
      <c r="AC49" s="61"/>
      <c r="AD49" s="13"/>
      <c r="AE49" s="13"/>
      <c r="AF49" s="13"/>
      <c r="AG49" s="13"/>
      <c r="AH49" s="61"/>
      <c r="AI49" s="13"/>
      <c r="AJ49" s="13"/>
      <c r="AK49" s="13"/>
      <c r="AL49" s="13"/>
      <c r="AM49" s="61"/>
      <c r="AN49" s="13"/>
      <c r="AO49" s="13"/>
      <c r="AP49" s="13"/>
      <c r="AQ49" s="13"/>
      <c r="AR49" s="61"/>
      <c r="AS49" s="13"/>
      <c r="AT49" s="13"/>
      <c r="AU49" s="13"/>
      <c r="AV49" s="13"/>
      <c r="AW49" s="61"/>
      <c r="AX49" s="13"/>
      <c r="AY49" s="13"/>
      <c r="AZ49" s="13"/>
      <c r="BA49" s="13"/>
      <c r="BB49" s="61"/>
      <c r="BC49" s="13"/>
      <c r="BD49" s="13"/>
      <c r="BE49" s="13"/>
      <c r="BF49" s="13"/>
      <c r="BG49" s="61"/>
      <c r="BH49" s="13"/>
      <c r="BI49" s="13"/>
      <c r="BJ49" s="13"/>
      <c r="BK49" s="13"/>
      <c r="BL49" s="61"/>
      <c r="BM49" s="13"/>
      <c r="BN49" s="13"/>
      <c r="BO49" s="13"/>
      <c r="BP49" s="13"/>
      <c r="BQ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BP50" si="16">SUM(E45:E47)</f>
        <v>196</v>
      </c>
      <c r="F50" s="19">
        <f t="shared" si="16"/>
        <v>186</v>
      </c>
      <c r="G50" s="19">
        <f t="shared" si="16"/>
        <v>201</v>
      </c>
      <c r="H50" s="19">
        <f t="shared" si="16"/>
        <v>190</v>
      </c>
      <c r="I50" s="19">
        <f t="shared" si="16"/>
        <v>166</v>
      </c>
      <c r="J50" s="19">
        <f t="shared" si="16"/>
        <v>181</v>
      </c>
      <c r="K50" s="19">
        <f t="shared" si="16"/>
        <v>166</v>
      </c>
      <c r="L50" s="19">
        <f t="shared" si="16"/>
        <v>187</v>
      </c>
      <c r="M50" s="19">
        <f t="shared" si="16"/>
        <v>185</v>
      </c>
      <c r="N50" s="19">
        <f t="shared" si="16"/>
        <v>198</v>
      </c>
      <c r="O50" s="19">
        <f t="shared" si="16"/>
        <v>203</v>
      </c>
      <c r="P50" s="19">
        <f t="shared" si="16"/>
        <v>219</v>
      </c>
      <c r="Q50" s="19">
        <f t="shared" si="16"/>
        <v>191</v>
      </c>
      <c r="R50" s="19">
        <f t="shared" si="16"/>
        <v>190</v>
      </c>
      <c r="S50" s="19">
        <f t="shared" si="16"/>
        <v>225</v>
      </c>
      <c r="T50" s="19">
        <f t="shared" si="16"/>
        <v>204</v>
      </c>
      <c r="U50" s="19">
        <f t="shared" si="16"/>
        <v>183</v>
      </c>
      <c r="V50" s="19">
        <f t="shared" si="16"/>
        <v>197</v>
      </c>
      <c r="W50" s="19">
        <f t="shared" si="16"/>
        <v>205</v>
      </c>
      <c r="X50" s="19">
        <f t="shared" si="16"/>
        <v>181</v>
      </c>
      <c r="Y50" s="19">
        <f t="shared" si="16"/>
        <v>181</v>
      </c>
      <c r="Z50" s="19">
        <f t="shared" si="16"/>
        <v>211</v>
      </c>
      <c r="AA50" s="19">
        <f t="shared" si="16"/>
        <v>208</v>
      </c>
      <c r="AB50" s="19">
        <f t="shared" si="16"/>
        <v>185</v>
      </c>
      <c r="AC50" s="19">
        <f t="shared" si="16"/>
        <v>184</v>
      </c>
      <c r="AD50" s="19">
        <f t="shared" si="16"/>
        <v>174</v>
      </c>
      <c r="AE50" s="19">
        <f t="shared" si="16"/>
        <v>195</v>
      </c>
      <c r="AF50" s="19">
        <f t="shared" si="16"/>
        <v>212</v>
      </c>
      <c r="AG50" s="19">
        <f t="shared" si="16"/>
        <v>211</v>
      </c>
      <c r="AH50" s="19">
        <f t="shared" si="16"/>
        <v>191</v>
      </c>
      <c r="AI50" s="19">
        <f t="shared" si="16"/>
        <v>208</v>
      </c>
      <c r="AJ50" s="19">
        <f t="shared" si="16"/>
        <v>209</v>
      </c>
      <c r="AK50" s="19">
        <f t="shared" si="16"/>
        <v>208</v>
      </c>
      <c r="AL50" s="19">
        <f t="shared" si="16"/>
        <v>201</v>
      </c>
      <c r="AM50" s="19">
        <f t="shared" si="16"/>
        <v>199</v>
      </c>
      <c r="AN50" s="19">
        <f t="shared" si="16"/>
        <v>180</v>
      </c>
      <c r="AO50" s="19">
        <f t="shared" si="16"/>
        <v>199</v>
      </c>
      <c r="AP50" s="19">
        <f t="shared" si="16"/>
        <v>197</v>
      </c>
      <c r="AQ50" s="19">
        <f t="shared" si="16"/>
        <v>183</v>
      </c>
      <c r="AR50" s="19">
        <f t="shared" si="16"/>
        <v>192</v>
      </c>
      <c r="AS50" s="19">
        <f t="shared" si="16"/>
        <v>206</v>
      </c>
      <c r="AT50" s="19">
        <f t="shared" si="16"/>
        <v>179</v>
      </c>
      <c r="AU50" s="19">
        <f t="shared" si="16"/>
        <v>153</v>
      </c>
      <c r="AV50" s="19">
        <f t="shared" si="16"/>
        <v>225</v>
      </c>
      <c r="AW50" s="19">
        <f t="shared" si="16"/>
        <v>205</v>
      </c>
      <c r="AX50" s="19">
        <f t="shared" si="16"/>
        <v>224</v>
      </c>
      <c r="AY50" s="19">
        <f t="shared" si="16"/>
        <v>242</v>
      </c>
      <c r="AZ50" s="19">
        <f t="shared" si="16"/>
        <v>201</v>
      </c>
      <c r="BA50" s="19">
        <f t="shared" si="16"/>
        <v>249</v>
      </c>
      <c r="BB50" s="19">
        <f t="shared" si="16"/>
        <v>229</v>
      </c>
      <c r="BC50" s="19">
        <f t="shared" si="16"/>
        <v>238</v>
      </c>
      <c r="BD50" s="19">
        <f t="shared" si="16"/>
        <v>228</v>
      </c>
      <c r="BE50" s="19">
        <f t="shared" si="16"/>
        <v>223</v>
      </c>
      <c r="BF50" s="19">
        <f t="shared" si="16"/>
        <v>226</v>
      </c>
      <c r="BG50" s="19">
        <f t="shared" si="16"/>
        <v>203</v>
      </c>
      <c r="BH50" s="19">
        <f t="shared" si="16"/>
        <v>226</v>
      </c>
      <c r="BI50" s="19">
        <f t="shared" si="16"/>
        <v>191</v>
      </c>
      <c r="BJ50" s="19">
        <f t="shared" si="16"/>
        <v>210</v>
      </c>
      <c r="BK50" s="19">
        <f t="shared" si="16"/>
        <v>208</v>
      </c>
      <c r="BL50" s="19">
        <f t="shared" si="16"/>
        <v>220</v>
      </c>
      <c r="BM50" s="19">
        <f t="shared" si="16"/>
        <v>213</v>
      </c>
      <c r="BN50" s="19">
        <f t="shared" si="16"/>
        <v>207</v>
      </c>
      <c r="BO50" s="19">
        <f t="shared" si="16"/>
        <v>220</v>
      </c>
      <c r="BP50" s="19">
        <f t="shared" si="16"/>
        <v>209</v>
      </c>
      <c r="BQ50" s="13">
        <f t="shared" ref="BQ50:BQ52" si="17">SUM(E50:BP50)</f>
        <v>12917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1.0</v>
      </c>
      <c r="F51" s="19">
        <v>3.0</v>
      </c>
      <c r="G51" s="19">
        <v>1.0</v>
      </c>
      <c r="H51" s="19">
        <v>1.0</v>
      </c>
      <c r="I51" s="19">
        <v>1.0</v>
      </c>
      <c r="J51" s="19">
        <v>3.0</v>
      </c>
      <c r="K51" s="19">
        <v>1.0</v>
      </c>
      <c r="L51" s="19">
        <v>5.0</v>
      </c>
      <c r="M51" s="19"/>
      <c r="N51" s="19">
        <v>4.0</v>
      </c>
      <c r="O51" s="19">
        <v>3.0</v>
      </c>
      <c r="P51" s="19">
        <v>4.0</v>
      </c>
      <c r="Q51" s="19">
        <v>5.0</v>
      </c>
      <c r="R51" s="19">
        <v>7.0</v>
      </c>
      <c r="S51" s="19">
        <v>5.0</v>
      </c>
      <c r="T51" s="19">
        <v>4.0</v>
      </c>
      <c r="U51" s="19"/>
      <c r="V51" s="19"/>
      <c r="W51" s="19">
        <v>2.0</v>
      </c>
      <c r="X51" s="19">
        <v>4.0</v>
      </c>
      <c r="Y51" s="19">
        <v>2.0</v>
      </c>
      <c r="Z51" s="19">
        <v>5.0</v>
      </c>
      <c r="AA51" s="19">
        <v>2.0</v>
      </c>
      <c r="AB51" s="19">
        <v>1.0</v>
      </c>
      <c r="AC51" s="19"/>
      <c r="AD51" s="19">
        <v>4.0</v>
      </c>
      <c r="AE51" s="19">
        <v>2.0</v>
      </c>
      <c r="AF51" s="19">
        <v>4.0</v>
      </c>
      <c r="AG51" s="19">
        <v>7.0</v>
      </c>
      <c r="AH51" s="19">
        <v>13.0</v>
      </c>
      <c r="AI51" s="19">
        <v>4.0</v>
      </c>
      <c r="AJ51" s="19">
        <v>1.0</v>
      </c>
      <c r="AK51" s="19">
        <v>4.0</v>
      </c>
      <c r="AL51" s="19">
        <v>1.0</v>
      </c>
      <c r="AM51" s="19">
        <v>3.0</v>
      </c>
      <c r="AN51" s="19">
        <v>3.0</v>
      </c>
      <c r="AO51" s="19">
        <v>3.0</v>
      </c>
      <c r="AP51" s="19">
        <v>7.0</v>
      </c>
      <c r="AQ51" s="19">
        <v>2.0</v>
      </c>
      <c r="AR51" s="19"/>
      <c r="AS51" s="19">
        <v>3.0</v>
      </c>
      <c r="AT51" s="19">
        <v>4.0</v>
      </c>
      <c r="AU51" s="19">
        <v>4.0</v>
      </c>
      <c r="AV51" s="19">
        <v>3.0</v>
      </c>
      <c r="AW51" s="19">
        <v>2.0</v>
      </c>
      <c r="AX51" s="19">
        <v>1.0</v>
      </c>
      <c r="AY51" s="19">
        <v>2.0</v>
      </c>
      <c r="AZ51" s="19">
        <v>3.0</v>
      </c>
      <c r="BA51" s="19">
        <v>3.0</v>
      </c>
      <c r="BB51" s="19">
        <v>7.0</v>
      </c>
      <c r="BC51" s="19">
        <v>2.0</v>
      </c>
      <c r="BD51" s="19">
        <v>1.0</v>
      </c>
      <c r="BE51" s="19">
        <v>2.0</v>
      </c>
      <c r="BF51" s="19">
        <v>3.0</v>
      </c>
      <c r="BG51" s="19">
        <v>7.0</v>
      </c>
      <c r="BH51" s="19">
        <v>4.0</v>
      </c>
      <c r="BI51" s="19"/>
      <c r="BJ51" s="19">
        <v>6.0</v>
      </c>
      <c r="BK51" s="19">
        <v>6.0</v>
      </c>
      <c r="BL51" s="19">
        <v>7.0</v>
      </c>
      <c r="BM51" s="19">
        <v>1.0</v>
      </c>
      <c r="BN51" s="19">
        <v>2.0</v>
      </c>
      <c r="BO51" s="19">
        <v>1.0</v>
      </c>
      <c r="BP51" s="19">
        <v>4.0</v>
      </c>
      <c r="BQ51" s="13">
        <f t="shared" si="17"/>
        <v>200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BP52" si="18">SUM(E50:E51)</f>
        <v>197</v>
      </c>
      <c r="F52" s="13">
        <f t="shared" si="18"/>
        <v>189</v>
      </c>
      <c r="G52" s="13">
        <f t="shared" si="18"/>
        <v>202</v>
      </c>
      <c r="H52" s="13">
        <f t="shared" si="18"/>
        <v>191</v>
      </c>
      <c r="I52" s="13">
        <f t="shared" si="18"/>
        <v>167</v>
      </c>
      <c r="J52" s="13">
        <f t="shared" si="18"/>
        <v>184</v>
      </c>
      <c r="K52" s="13">
        <f t="shared" si="18"/>
        <v>167</v>
      </c>
      <c r="L52" s="13">
        <f t="shared" si="18"/>
        <v>192</v>
      </c>
      <c r="M52" s="13">
        <f t="shared" si="18"/>
        <v>185</v>
      </c>
      <c r="N52" s="13">
        <f t="shared" si="18"/>
        <v>202</v>
      </c>
      <c r="O52" s="13">
        <f t="shared" si="18"/>
        <v>206</v>
      </c>
      <c r="P52" s="13">
        <f t="shared" si="18"/>
        <v>223</v>
      </c>
      <c r="Q52" s="13">
        <f t="shared" si="18"/>
        <v>196</v>
      </c>
      <c r="R52" s="13">
        <f t="shared" si="18"/>
        <v>197</v>
      </c>
      <c r="S52" s="13">
        <f t="shared" si="18"/>
        <v>230</v>
      </c>
      <c r="T52" s="13">
        <f t="shared" si="18"/>
        <v>208</v>
      </c>
      <c r="U52" s="13">
        <f t="shared" si="18"/>
        <v>183</v>
      </c>
      <c r="V52" s="13">
        <f t="shared" si="18"/>
        <v>197</v>
      </c>
      <c r="W52" s="13">
        <f t="shared" si="18"/>
        <v>207</v>
      </c>
      <c r="X52" s="13">
        <f t="shared" si="18"/>
        <v>185</v>
      </c>
      <c r="Y52" s="13">
        <f t="shared" si="18"/>
        <v>183</v>
      </c>
      <c r="Z52" s="13">
        <f t="shared" si="18"/>
        <v>216</v>
      </c>
      <c r="AA52" s="13">
        <f t="shared" si="18"/>
        <v>210</v>
      </c>
      <c r="AB52" s="13">
        <f t="shared" si="18"/>
        <v>186</v>
      </c>
      <c r="AC52" s="13">
        <f t="shared" si="18"/>
        <v>184</v>
      </c>
      <c r="AD52" s="13">
        <f t="shared" si="18"/>
        <v>178</v>
      </c>
      <c r="AE52" s="13">
        <f t="shared" si="18"/>
        <v>197</v>
      </c>
      <c r="AF52" s="13">
        <f t="shared" si="18"/>
        <v>216</v>
      </c>
      <c r="AG52" s="13">
        <f t="shared" si="18"/>
        <v>218</v>
      </c>
      <c r="AH52" s="13">
        <f t="shared" si="18"/>
        <v>204</v>
      </c>
      <c r="AI52" s="13">
        <f t="shared" si="18"/>
        <v>212</v>
      </c>
      <c r="AJ52" s="13">
        <f t="shared" si="18"/>
        <v>210</v>
      </c>
      <c r="AK52" s="13">
        <f t="shared" si="18"/>
        <v>212</v>
      </c>
      <c r="AL52" s="13">
        <f t="shared" si="18"/>
        <v>202</v>
      </c>
      <c r="AM52" s="13">
        <f t="shared" si="18"/>
        <v>202</v>
      </c>
      <c r="AN52" s="13">
        <f t="shared" si="18"/>
        <v>183</v>
      </c>
      <c r="AO52" s="13">
        <f t="shared" si="18"/>
        <v>202</v>
      </c>
      <c r="AP52" s="13">
        <f t="shared" si="18"/>
        <v>204</v>
      </c>
      <c r="AQ52" s="13">
        <f t="shared" si="18"/>
        <v>185</v>
      </c>
      <c r="AR52" s="13">
        <f t="shared" si="18"/>
        <v>192</v>
      </c>
      <c r="AS52" s="13">
        <f t="shared" si="18"/>
        <v>209</v>
      </c>
      <c r="AT52" s="13">
        <f t="shared" si="18"/>
        <v>183</v>
      </c>
      <c r="AU52" s="13">
        <f t="shared" si="18"/>
        <v>157</v>
      </c>
      <c r="AV52" s="13">
        <f t="shared" si="18"/>
        <v>228</v>
      </c>
      <c r="AW52" s="13">
        <f t="shared" si="18"/>
        <v>207</v>
      </c>
      <c r="AX52" s="13">
        <f t="shared" si="18"/>
        <v>225</v>
      </c>
      <c r="AY52" s="13">
        <f t="shared" si="18"/>
        <v>244</v>
      </c>
      <c r="AZ52" s="13">
        <f t="shared" si="18"/>
        <v>204</v>
      </c>
      <c r="BA52" s="13">
        <f t="shared" si="18"/>
        <v>252</v>
      </c>
      <c r="BB52" s="13">
        <f t="shared" si="18"/>
        <v>236</v>
      </c>
      <c r="BC52" s="13">
        <f t="shared" si="18"/>
        <v>240</v>
      </c>
      <c r="BD52" s="13">
        <f t="shared" si="18"/>
        <v>229</v>
      </c>
      <c r="BE52" s="13">
        <f t="shared" si="18"/>
        <v>225</v>
      </c>
      <c r="BF52" s="13">
        <f t="shared" si="18"/>
        <v>229</v>
      </c>
      <c r="BG52" s="13">
        <f t="shared" si="18"/>
        <v>210</v>
      </c>
      <c r="BH52" s="13">
        <f t="shared" si="18"/>
        <v>230</v>
      </c>
      <c r="BI52" s="13">
        <f t="shared" si="18"/>
        <v>191</v>
      </c>
      <c r="BJ52" s="13">
        <f t="shared" si="18"/>
        <v>216</v>
      </c>
      <c r="BK52" s="13">
        <f t="shared" si="18"/>
        <v>214</v>
      </c>
      <c r="BL52" s="13">
        <f t="shared" si="18"/>
        <v>227</v>
      </c>
      <c r="BM52" s="13">
        <f t="shared" si="18"/>
        <v>214</v>
      </c>
      <c r="BN52" s="13">
        <f t="shared" si="18"/>
        <v>209</v>
      </c>
      <c r="BO52" s="13">
        <f t="shared" si="18"/>
        <v>221</v>
      </c>
      <c r="BP52" s="13">
        <f t="shared" si="18"/>
        <v>213</v>
      </c>
      <c r="BQ52" s="13">
        <f t="shared" si="17"/>
        <v>13117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BP12"/>
    <mergeCell ref="BQ12:BQ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BP15 E45:BP47">
    <cfRule type="containsBlanks" dxfId="1" priority="1">
      <formula>LEN(TRIM(E14))=0</formula>
    </cfRule>
  </conditionalFormatting>
  <conditionalFormatting sqref="E19:BP20">
    <cfRule type="containsBlanks" dxfId="1" priority="2">
      <formula>LEN(TRIM(E19))=0</formula>
    </cfRule>
  </conditionalFormatting>
  <conditionalFormatting sqref="E22:BP23 E25:BP26 E33:BP33 E35:BP35 E39:BP40">
    <cfRule type="containsBlanks" dxfId="1" priority="3">
      <formula>LEN(TRIM(E22))=0</formula>
    </cfRule>
  </conditionalFormatting>
  <conditionalFormatting sqref="E30:BP30">
    <cfRule type="expression" dxfId="0" priority="4">
      <formula>E30&lt;&gt;E46</formula>
    </cfRule>
  </conditionalFormatting>
  <conditionalFormatting sqref="E30:BP30">
    <cfRule type="expression" dxfId="0" priority="5">
      <formula>E30&lt;&gt;E34</formula>
    </cfRule>
  </conditionalFormatting>
  <conditionalFormatting sqref="E34:BP34">
    <cfRule type="expression" dxfId="2" priority="6">
      <formula>E30&lt;&gt;E34</formula>
    </cfRule>
  </conditionalFormatting>
  <conditionalFormatting sqref="E34:BP34">
    <cfRule type="expression" dxfId="3" priority="7">
      <formula>E30=E34</formula>
    </cfRule>
  </conditionalFormatting>
  <conditionalFormatting sqref="E34:BP34">
    <cfRule type="expression" dxfId="0" priority="8">
      <formula>E34&lt;&gt;E30</formula>
    </cfRule>
  </conditionalFormatting>
  <conditionalFormatting sqref="E34:BP34">
    <cfRule type="expression" dxfId="0" priority="9">
      <formula>E34&lt;&gt;#REF!</formula>
    </cfRule>
  </conditionalFormatting>
  <conditionalFormatting sqref="E50:BP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4" width="8.71"/>
    <col customWidth="1" min="55" max="55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117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74</v>
      </c>
      <c r="AD13" s="13" t="s">
        <v>75</v>
      </c>
      <c r="AE13" s="13" t="s">
        <v>76</v>
      </c>
      <c r="AF13" s="13" t="s">
        <v>77</v>
      </c>
      <c r="AG13" s="13" t="s">
        <v>78</v>
      </c>
      <c r="AH13" s="13" t="s">
        <v>79</v>
      </c>
      <c r="AI13" s="13" t="s">
        <v>80</v>
      </c>
      <c r="AJ13" s="13" t="s">
        <v>81</v>
      </c>
      <c r="AK13" s="13" t="s">
        <v>82</v>
      </c>
      <c r="AL13" s="13" t="s">
        <v>83</v>
      </c>
      <c r="AM13" s="13" t="s">
        <v>84</v>
      </c>
      <c r="AN13" s="13" t="s">
        <v>85</v>
      </c>
      <c r="AO13" s="13" t="s">
        <v>86</v>
      </c>
      <c r="AP13" s="13" t="s">
        <v>87</v>
      </c>
      <c r="AQ13" s="13" t="s">
        <v>88</v>
      </c>
      <c r="AR13" s="13" t="s">
        <v>89</v>
      </c>
      <c r="AS13" s="13" t="s">
        <v>90</v>
      </c>
      <c r="AT13" s="13" t="s">
        <v>91</v>
      </c>
      <c r="AU13" s="13" t="s">
        <v>92</v>
      </c>
      <c r="AV13" s="13" t="s">
        <v>93</v>
      </c>
      <c r="AW13" s="13" t="s">
        <v>94</v>
      </c>
      <c r="AX13" s="13" t="s">
        <v>95</v>
      </c>
      <c r="AY13" s="13" t="s">
        <v>96</v>
      </c>
      <c r="AZ13" s="13" t="s">
        <v>97</v>
      </c>
      <c r="BA13" s="13" t="s">
        <v>98</v>
      </c>
      <c r="BB13" s="13" t="s">
        <v>99</v>
      </c>
      <c r="BC13" s="36"/>
    </row>
    <row r="14" ht="12.75" customHeight="1">
      <c r="A14" s="18"/>
      <c r="B14" s="22" t="s">
        <v>11</v>
      </c>
      <c r="C14" s="23"/>
      <c r="D14" s="19" t="s">
        <v>12</v>
      </c>
      <c r="E14" s="19">
        <v>143.0</v>
      </c>
      <c r="F14" s="19">
        <v>107.0</v>
      </c>
      <c r="G14" s="19">
        <v>68.0</v>
      </c>
      <c r="H14" s="19">
        <v>146.0</v>
      </c>
      <c r="I14" s="19">
        <v>65.0</v>
      </c>
      <c r="J14" s="19">
        <v>125.0</v>
      </c>
      <c r="K14" s="19">
        <v>146.0</v>
      </c>
      <c r="L14" s="19">
        <v>108.0</v>
      </c>
      <c r="M14" s="19">
        <v>136.0</v>
      </c>
      <c r="N14" s="19">
        <v>140.0</v>
      </c>
      <c r="O14" s="19">
        <v>124.0</v>
      </c>
      <c r="P14" s="19">
        <v>121.0</v>
      </c>
      <c r="Q14" s="19">
        <v>106.0</v>
      </c>
      <c r="R14" s="19">
        <v>145.0</v>
      </c>
      <c r="S14" s="19">
        <v>150.0</v>
      </c>
      <c r="T14" s="19">
        <v>143.0</v>
      </c>
      <c r="U14" s="19">
        <v>138.0</v>
      </c>
      <c r="V14" s="19">
        <v>106.0</v>
      </c>
      <c r="W14" s="19">
        <v>123.0</v>
      </c>
      <c r="X14" s="19">
        <v>137.0</v>
      </c>
      <c r="Y14" s="19">
        <v>150.0</v>
      </c>
      <c r="Z14" s="19">
        <v>136.0</v>
      </c>
      <c r="AA14" s="19">
        <v>143.0</v>
      </c>
      <c r="AB14" s="19">
        <v>147.0</v>
      </c>
      <c r="AC14" s="19">
        <v>141.0</v>
      </c>
      <c r="AD14" s="19">
        <v>121.0</v>
      </c>
      <c r="AE14" s="19">
        <v>146.0</v>
      </c>
      <c r="AF14" s="19">
        <v>144.0</v>
      </c>
      <c r="AG14" s="19">
        <v>147.0</v>
      </c>
      <c r="AH14" s="19">
        <v>153.0</v>
      </c>
      <c r="AI14" s="19">
        <v>135.0</v>
      </c>
      <c r="AJ14" s="19">
        <v>149.0</v>
      </c>
      <c r="AK14" s="19">
        <v>140.0</v>
      </c>
      <c r="AL14" s="19">
        <v>146.0</v>
      </c>
      <c r="AM14" s="19">
        <v>119.0</v>
      </c>
      <c r="AN14" s="19">
        <v>144.0</v>
      </c>
      <c r="AO14" s="19">
        <v>143.0</v>
      </c>
      <c r="AP14" s="19">
        <v>90.0</v>
      </c>
      <c r="AQ14" s="19">
        <v>92.0</v>
      </c>
      <c r="AR14" s="19">
        <v>124.0</v>
      </c>
      <c r="AS14" s="19">
        <v>114.0</v>
      </c>
      <c r="AT14" s="19">
        <v>141.0</v>
      </c>
      <c r="AU14" s="19">
        <v>91.0</v>
      </c>
      <c r="AV14" s="19">
        <v>145.0</v>
      </c>
      <c r="AW14" s="19">
        <v>145.0</v>
      </c>
      <c r="AX14" s="19">
        <v>146.0</v>
      </c>
      <c r="AY14" s="19">
        <v>128.0</v>
      </c>
      <c r="AZ14" s="19">
        <v>132.0</v>
      </c>
      <c r="BA14" s="19">
        <v>108.0</v>
      </c>
      <c r="BB14" s="19">
        <v>129.0</v>
      </c>
      <c r="BC14" s="13">
        <f t="shared" ref="BC14:BC16" si="1">SUM(E14:BB14)</f>
        <v>6466</v>
      </c>
    </row>
    <row r="15" ht="12.75" customHeight="1">
      <c r="A15" s="18"/>
      <c r="B15" s="26"/>
      <c r="C15" s="27"/>
      <c r="D15" s="19" t="s">
        <v>13</v>
      </c>
      <c r="E15" s="19">
        <v>141.0</v>
      </c>
      <c r="F15" s="19">
        <v>109.0</v>
      </c>
      <c r="G15" s="19">
        <v>86.0</v>
      </c>
      <c r="H15" s="19">
        <v>147.0</v>
      </c>
      <c r="I15" s="19">
        <v>71.0</v>
      </c>
      <c r="J15" s="19">
        <v>125.0</v>
      </c>
      <c r="K15" s="19">
        <v>128.0</v>
      </c>
      <c r="L15" s="19">
        <v>125.0</v>
      </c>
      <c r="M15" s="19">
        <v>147.0</v>
      </c>
      <c r="N15" s="19">
        <v>144.0</v>
      </c>
      <c r="O15" s="19">
        <v>121.0</v>
      </c>
      <c r="P15" s="19">
        <v>119.0</v>
      </c>
      <c r="Q15" s="19">
        <v>99.0</v>
      </c>
      <c r="R15" s="19">
        <v>142.0</v>
      </c>
      <c r="S15" s="19">
        <v>143.0</v>
      </c>
      <c r="T15" s="19">
        <v>147.0</v>
      </c>
      <c r="U15" s="19">
        <v>156.0</v>
      </c>
      <c r="V15" s="19">
        <v>108.0</v>
      </c>
      <c r="W15" s="19">
        <v>123.0</v>
      </c>
      <c r="X15" s="19">
        <v>126.0</v>
      </c>
      <c r="Y15" s="19">
        <v>134.0</v>
      </c>
      <c r="Z15" s="19">
        <v>134.0</v>
      </c>
      <c r="AA15" s="19">
        <v>139.0</v>
      </c>
      <c r="AB15" s="19">
        <v>135.0</v>
      </c>
      <c r="AC15" s="19">
        <v>143.0</v>
      </c>
      <c r="AD15" s="19">
        <v>103.0</v>
      </c>
      <c r="AE15" s="19">
        <v>128.0</v>
      </c>
      <c r="AF15" s="19">
        <v>128.0</v>
      </c>
      <c r="AG15" s="19">
        <v>135.0</v>
      </c>
      <c r="AH15" s="19">
        <v>135.0</v>
      </c>
      <c r="AI15" s="19">
        <v>145.0</v>
      </c>
      <c r="AJ15" s="19">
        <v>126.0</v>
      </c>
      <c r="AK15" s="19">
        <v>150.0</v>
      </c>
      <c r="AL15" s="19">
        <v>128.0</v>
      </c>
      <c r="AM15" s="19">
        <v>114.0</v>
      </c>
      <c r="AN15" s="19">
        <v>143.0</v>
      </c>
      <c r="AO15" s="19">
        <v>138.0</v>
      </c>
      <c r="AP15" s="19">
        <v>94.0</v>
      </c>
      <c r="AQ15" s="19">
        <v>92.0</v>
      </c>
      <c r="AR15" s="19">
        <v>120.0</v>
      </c>
      <c r="AS15" s="19">
        <v>123.0</v>
      </c>
      <c r="AT15" s="19">
        <v>142.0</v>
      </c>
      <c r="AU15" s="19">
        <v>81.0</v>
      </c>
      <c r="AV15" s="19">
        <v>123.0</v>
      </c>
      <c r="AW15" s="19">
        <v>137.0</v>
      </c>
      <c r="AX15" s="19">
        <v>152.0</v>
      </c>
      <c r="AY15" s="19">
        <v>140.0</v>
      </c>
      <c r="AZ15" s="19">
        <v>122.0</v>
      </c>
      <c r="BA15" s="19">
        <v>102.0</v>
      </c>
      <c r="BB15" s="19">
        <v>129.0</v>
      </c>
      <c r="BC15" s="13">
        <f t="shared" si="1"/>
        <v>6322</v>
      </c>
    </row>
    <row r="16" ht="12.75" customHeight="1">
      <c r="A16" s="25"/>
      <c r="B16" s="21"/>
      <c r="C16" s="28"/>
      <c r="D16" s="13" t="s">
        <v>14</v>
      </c>
      <c r="E16" s="13">
        <f t="shared" ref="E16:BB16" si="2">SUM(E14:E15)</f>
        <v>284</v>
      </c>
      <c r="F16" s="13">
        <f t="shared" si="2"/>
        <v>216</v>
      </c>
      <c r="G16" s="13">
        <f t="shared" si="2"/>
        <v>154</v>
      </c>
      <c r="H16" s="13">
        <f t="shared" si="2"/>
        <v>293</v>
      </c>
      <c r="I16" s="13">
        <f t="shared" si="2"/>
        <v>136</v>
      </c>
      <c r="J16" s="13">
        <f t="shared" si="2"/>
        <v>250</v>
      </c>
      <c r="K16" s="13">
        <f t="shared" si="2"/>
        <v>274</v>
      </c>
      <c r="L16" s="13">
        <f t="shared" si="2"/>
        <v>233</v>
      </c>
      <c r="M16" s="13">
        <f t="shared" si="2"/>
        <v>283</v>
      </c>
      <c r="N16" s="13">
        <f t="shared" si="2"/>
        <v>284</v>
      </c>
      <c r="O16" s="13">
        <f t="shared" si="2"/>
        <v>245</v>
      </c>
      <c r="P16" s="13">
        <f t="shared" si="2"/>
        <v>240</v>
      </c>
      <c r="Q16" s="13">
        <f t="shared" si="2"/>
        <v>205</v>
      </c>
      <c r="R16" s="13">
        <f t="shared" si="2"/>
        <v>287</v>
      </c>
      <c r="S16" s="13">
        <f t="shared" si="2"/>
        <v>293</v>
      </c>
      <c r="T16" s="13">
        <f t="shared" si="2"/>
        <v>290</v>
      </c>
      <c r="U16" s="13">
        <f t="shared" si="2"/>
        <v>294</v>
      </c>
      <c r="V16" s="13">
        <f t="shared" si="2"/>
        <v>214</v>
      </c>
      <c r="W16" s="13">
        <f t="shared" si="2"/>
        <v>246</v>
      </c>
      <c r="X16" s="13">
        <f t="shared" si="2"/>
        <v>263</v>
      </c>
      <c r="Y16" s="13">
        <f t="shared" si="2"/>
        <v>284</v>
      </c>
      <c r="Z16" s="13">
        <f t="shared" si="2"/>
        <v>270</v>
      </c>
      <c r="AA16" s="13">
        <f t="shared" si="2"/>
        <v>282</v>
      </c>
      <c r="AB16" s="13">
        <f t="shared" si="2"/>
        <v>282</v>
      </c>
      <c r="AC16" s="13">
        <f t="shared" si="2"/>
        <v>284</v>
      </c>
      <c r="AD16" s="13">
        <f t="shared" si="2"/>
        <v>224</v>
      </c>
      <c r="AE16" s="13">
        <f t="shared" si="2"/>
        <v>274</v>
      </c>
      <c r="AF16" s="13">
        <f t="shared" si="2"/>
        <v>272</v>
      </c>
      <c r="AG16" s="13">
        <f t="shared" si="2"/>
        <v>282</v>
      </c>
      <c r="AH16" s="13">
        <f t="shared" si="2"/>
        <v>288</v>
      </c>
      <c r="AI16" s="13">
        <f t="shared" si="2"/>
        <v>280</v>
      </c>
      <c r="AJ16" s="13">
        <f t="shared" si="2"/>
        <v>275</v>
      </c>
      <c r="AK16" s="13">
        <f t="shared" si="2"/>
        <v>290</v>
      </c>
      <c r="AL16" s="13">
        <f t="shared" si="2"/>
        <v>274</v>
      </c>
      <c r="AM16" s="13">
        <f t="shared" si="2"/>
        <v>233</v>
      </c>
      <c r="AN16" s="13">
        <f t="shared" si="2"/>
        <v>287</v>
      </c>
      <c r="AO16" s="13">
        <f t="shared" si="2"/>
        <v>281</v>
      </c>
      <c r="AP16" s="13">
        <f t="shared" si="2"/>
        <v>184</v>
      </c>
      <c r="AQ16" s="13">
        <f t="shared" si="2"/>
        <v>184</v>
      </c>
      <c r="AR16" s="13">
        <f t="shared" si="2"/>
        <v>244</v>
      </c>
      <c r="AS16" s="13">
        <f t="shared" si="2"/>
        <v>237</v>
      </c>
      <c r="AT16" s="13">
        <f t="shared" si="2"/>
        <v>283</v>
      </c>
      <c r="AU16" s="13">
        <f t="shared" si="2"/>
        <v>172</v>
      </c>
      <c r="AV16" s="13">
        <f t="shared" si="2"/>
        <v>268</v>
      </c>
      <c r="AW16" s="13">
        <f t="shared" si="2"/>
        <v>282</v>
      </c>
      <c r="AX16" s="13">
        <f t="shared" si="2"/>
        <v>298</v>
      </c>
      <c r="AY16" s="13">
        <f t="shared" si="2"/>
        <v>268</v>
      </c>
      <c r="AZ16" s="13">
        <f t="shared" si="2"/>
        <v>254</v>
      </c>
      <c r="BA16" s="13">
        <f t="shared" si="2"/>
        <v>210</v>
      </c>
      <c r="BB16" s="13">
        <f t="shared" si="2"/>
        <v>258</v>
      </c>
      <c r="BC16" s="13">
        <f t="shared" si="1"/>
        <v>12788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19"/>
      <c r="Q17" s="19"/>
      <c r="R17" s="19"/>
      <c r="S17" s="59"/>
      <c r="T17" s="19"/>
      <c r="U17" s="19"/>
      <c r="V17" s="19"/>
      <c r="W17" s="19"/>
      <c r="X17" s="59"/>
      <c r="Y17" s="19"/>
      <c r="Z17" s="19"/>
      <c r="AA17" s="19"/>
      <c r="AB17" s="19"/>
      <c r="AC17" s="59"/>
      <c r="AD17" s="19"/>
      <c r="AE17" s="19"/>
      <c r="AF17" s="19"/>
      <c r="AG17" s="19"/>
      <c r="AH17" s="59"/>
      <c r="AI17" s="19"/>
      <c r="AJ17" s="19"/>
      <c r="AK17" s="19"/>
      <c r="AL17" s="19"/>
      <c r="AM17" s="59"/>
      <c r="AN17" s="19"/>
      <c r="AO17" s="19"/>
      <c r="AP17" s="19"/>
      <c r="AQ17" s="19"/>
      <c r="AR17" s="59"/>
      <c r="AS17" s="19"/>
      <c r="AT17" s="19"/>
      <c r="AU17" s="19"/>
      <c r="AV17" s="19"/>
      <c r="AW17" s="59"/>
      <c r="AX17" s="19"/>
      <c r="AY17" s="19"/>
      <c r="AZ17" s="19"/>
      <c r="BA17" s="19"/>
      <c r="BB17" s="59"/>
      <c r="BC17" s="6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19"/>
      <c r="Q18" s="19"/>
      <c r="R18" s="19"/>
      <c r="S18" s="59"/>
      <c r="T18" s="19"/>
      <c r="U18" s="19"/>
      <c r="V18" s="19"/>
      <c r="W18" s="19"/>
      <c r="X18" s="59"/>
      <c r="Y18" s="19"/>
      <c r="Z18" s="19"/>
      <c r="AA18" s="19"/>
      <c r="AB18" s="19"/>
      <c r="AC18" s="59"/>
      <c r="AD18" s="19"/>
      <c r="AE18" s="19"/>
      <c r="AF18" s="19"/>
      <c r="AG18" s="19"/>
      <c r="AH18" s="59"/>
      <c r="AI18" s="19"/>
      <c r="AJ18" s="19"/>
      <c r="AK18" s="19"/>
      <c r="AL18" s="19"/>
      <c r="AM18" s="59"/>
      <c r="AN18" s="19"/>
      <c r="AO18" s="19"/>
      <c r="AP18" s="19"/>
      <c r="AQ18" s="19"/>
      <c r="AR18" s="59"/>
      <c r="AS18" s="19"/>
      <c r="AT18" s="19"/>
      <c r="AU18" s="19"/>
      <c r="AV18" s="19"/>
      <c r="AW18" s="59"/>
      <c r="AX18" s="19"/>
      <c r="AY18" s="19"/>
      <c r="AZ18" s="19"/>
      <c r="BA18" s="19"/>
      <c r="BB18" s="59"/>
      <c r="BC18" s="6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105.0</v>
      </c>
      <c r="F19" s="19">
        <v>93.0</v>
      </c>
      <c r="G19" s="19">
        <v>59.0</v>
      </c>
      <c r="H19" s="19">
        <v>99.0</v>
      </c>
      <c r="I19" s="19">
        <v>45.0</v>
      </c>
      <c r="J19" s="19">
        <v>94.0</v>
      </c>
      <c r="K19" s="19">
        <v>113.0</v>
      </c>
      <c r="L19" s="19">
        <v>88.0</v>
      </c>
      <c r="M19" s="19">
        <v>104.0</v>
      </c>
      <c r="N19" s="19">
        <v>95.0</v>
      </c>
      <c r="O19" s="19">
        <v>90.0</v>
      </c>
      <c r="P19" s="19">
        <v>89.0</v>
      </c>
      <c r="Q19" s="19">
        <v>82.0</v>
      </c>
      <c r="R19" s="19">
        <v>112.0</v>
      </c>
      <c r="S19" s="19">
        <v>113.0</v>
      </c>
      <c r="T19" s="19">
        <v>104.0</v>
      </c>
      <c r="U19" s="19">
        <v>107.0</v>
      </c>
      <c r="V19" s="19">
        <v>84.0</v>
      </c>
      <c r="W19" s="19">
        <v>97.0</v>
      </c>
      <c r="X19" s="19">
        <v>90.0</v>
      </c>
      <c r="Y19" s="19">
        <v>96.0</v>
      </c>
      <c r="Z19" s="19">
        <v>108.0</v>
      </c>
      <c r="AA19" s="19">
        <v>111.0</v>
      </c>
      <c r="AB19" s="19">
        <v>108.0</v>
      </c>
      <c r="AC19" s="19">
        <v>104.0</v>
      </c>
      <c r="AD19" s="19">
        <v>89.0</v>
      </c>
      <c r="AE19" s="19">
        <v>113.0</v>
      </c>
      <c r="AF19" s="19">
        <v>114.0</v>
      </c>
      <c r="AG19" s="19">
        <v>120.0</v>
      </c>
      <c r="AH19" s="19">
        <v>111.0</v>
      </c>
      <c r="AI19" s="19">
        <v>107.0</v>
      </c>
      <c r="AJ19" s="19">
        <v>102.0</v>
      </c>
      <c r="AK19" s="19">
        <v>109.0</v>
      </c>
      <c r="AL19" s="19">
        <v>106.0</v>
      </c>
      <c r="AM19" s="19">
        <v>92.0</v>
      </c>
      <c r="AN19" s="19">
        <v>109.0</v>
      </c>
      <c r="AO19" s="19">
        <v>108.0</v>
      </c>
      <c r="AP19" s="19">
        <v>74.0</v>
      </c>
      <c r="AQ19" s="19">
        <v>74.0</v>
      </c>
      <c r="AR19" s="19">
        <v>91.0</v>
      </c>
      <c r="AS19" s="19">
        <v>91.0</v>
      </c>
      <c r="AT19" s="19">
        <v>103.0</v>
      </c>
      <c r="AU19" s="19">
        <v>69.0</v>
      </c>
      <c r="AV19" s="19">
        <v>115.0</v>
      </c>
      <c r="AW19" s="19">
        <v>108.0</v>
      </c>
      <c r="AX19" s="19">
        <v>110.0</v>
      </c>
      <c r="AY19" s="19">
        <v>101.0</v>
      </c>
      <c r="AZ19" s="19">
        <v>101.0</v>
      </c>
      <c r="BA19" s="19">
        <v>78.0</v>
      </c>
      <c r="BB19" s="19">
        <v>97.0</v>
      </c>
      <c r="BC19" s="13">
        <f t="shared" ref="BC19:BC30" si="3">SUM(E19:BB19)</f>
        <v>4882</v>
      </c>
    </row>
    <row r="20" ht="12.75" customHeight="1">
      <c r="A20" s="33"/>
      <c r="B20" s="27"/>
      <c r="C20" s="34"/>
      <c r="D20" s="19" t="s">
        <v>13</v>
      </c>
      <c r="E20" s="19">
        <v>115.0</v>
      </c>
      <c r="F20" s="19">
        <v>84.0</v>
      </c>
      <c r="G20" s="19">
        <v>81.0</v>
      </c>
      <c r="H20" s="19">
        <v>108.0</v>
      </c>
      <c r="I20" s="19">
        <v>57.0</v>
      </c>
      <c r="J20" s="19">
        <v>90.0</v>
      </c>
      <c r="K20" s="19">
        <v>120.0</v>
      </c>
      <c r="L20" s="19">
        <v>100.0</v>
      </c>
      <c r="M20" s="19">
        <v>114.0</v>
      </c>
      <c r="N20" s="19">
        <v>119.0</v>
      </c>
      <c r="O20" s="19">
        <v>95.0</v>
      </c>
      <c r="P20" s="19">
        <v>91.0</v>
      </c>
      <c r="Q20" s="19">
        <v>81.0</v>
      </c>
      <c r="R20" s="19">
        <v>128.0</v>
      </c>
      <c r="S20" s="19">
        <v>124.0</v>
      </c>
      <c r="T20" s="19">
        <v>120.0</v>
      </c>
      <c r="U20" s="19">
        <v>128.0</v>
      </c>
      <c r="V20" s="19">
        <v>84.0</v>
      </c>
      <c r="W20" s="19">
        <v>89.0</v>
      </c>
      <c r="X20" s="19">
        <v>95.0</v>
      </c>
      <c r="Y20" s="19">
        <v>100.0</v>
      </c>
      <c r="Z20" s="19">
        <v>114.0</v>
      </c>
      <c r="AA20" s="19">
        <v>122.0</v>
      </c>
      <c r="AB20" s="19">
        <v>113.0</v>
      </c>
      <c r="AC20" s="19">
        <v>115.0</v>
      </c>
      <c r="AD20" s="19">
        <v>81.0</v>
      </c>
      <c r="AE20" s="19">
        <v>95.0</v>
      </c>
      <c r="AF20" s="19">
        <v>101.0</v>
      </c>
      <c r="AG20" s="19">
        <v>115.0</v>
      </c>
      <c r="AH20" s="19">
        <v>110.0</v>
      </c>
      <c r="AI20" s="19">
        <v>114.0</v>
      </c>
      <c r="AJ20" s="19">
        <v>107.0</v>
      </c>
      <c r="AK20" s="19">
        <v>131.0</v>
      </c>
      <c r="AL20" s="19">
        <v>112.0</v>
      </c>
      <c r="AM20" s="19">
        <v>98.0</v>
      </c>
      <c r="AN20" s="19">
        <v>118.0</v>
      </c>
      <c r="AO20" s="19">
        <v>122.0</v>
      </c>
      <c r="AP20" s="19">
        <v>89.0</v>
      </c>
      <c r="AQ20" s="19">
        <v>74.0</v>
      </c>
      <c r="AR20" s="19">
        <v>95.0</v>
      </c>
      <c r="AS20" s="19">
        <v>103.0</v>
      </c>
      <c r="AT20" s="19">
        <v>113.0</v>
      </c>
      <c r="AU20" s="19">
        <v>65.0</v>
      </c>
      <c r="AV20" s="19">
        <v>106.0</v>
      </c>
      <c r="AW20" s="19">
        <v>106.0</v>
      </c>
      <c r="AX20" s="19">
        <v>121.0</v>
      </c>
      <c r="AY20" s="19">
        <v>120.0</v>
      </c>
      <c r="AZ20" s="19">
        <v>100.0</v>
      </c>
      <c r="BA20" s="19">
        <v>78.0</v>
      </c>
      <c r="BB20" s="19">
        <v>111.0</v>
      </c>
      <c r="BC20" s="13">
        <f t="shared" si="3"/>
        <v>5172</v>
      </c>
    </row>
    <row r="21" ht="12.75" customHeight="1">
      <c r="A21" s="35"/>
      <c r="B21" s="28"/>
      <c r="C21" s="36"/>
      <c r="D21" s="13" t="s">
        <v>14</v>
      </c>
      <c r="E21" s="13">
        <f t="shared" ref="E21:BB21" si="4">SUM(E19:E20)</f>
        <v>220</v>
      </c>
      <c r="F21" s="13">
        <f t="shared" si="4"/>
        <v>177</v>
      </c>
      <c r="G21" s="13">
        <f t="shared" si="4"/>
        <v>140</v>
      </c>
      <c r="H21" s="13">
        <f t="shared" si="4"/>
        <v>207</v>
      </c>
      <c r="I21" s="13">
        <f t="shared" si="4"/>
        <v>102</v>
      </c>
      <c r="J21" s="13">
        <f t="shared" si="4"/>
        <v>184</v>
      </c>
      <c r="K21" s="13">
        <f t="shared" si="4"/>
        <v>233</v>
      </c>
      <c r="L21" s="13">
        <f t="shared" si="4"/>
        <v>188</v>
      </c>
      <c r="M21" s="13">
        <f t="shared" si="4"/>
        <v>218</v>
      </c>
      <c r="N21" s="13">
        <f t="shared" si="4"/>
        <v>214</v>
      </c>
      <c r="O21" s="13">
        <f t="shared" si="4"/>
        <v>185</v>
      </c>
      <c r="P21" s="13">
        <f t="shared" si="4"/>
        <v>180</v>
      </c>
      <c r="Q21" s="13">
        <f t="shared" si="4"/>
        <v>163</v>
      </c>
      <c r="R21" s="13">
        <f t="shared" si="4"/>
        <v>240</v>
      </c>
      <c r="S21" s="13">
        <f t="shared" si="4"/>
        <v>237</v>
      </c>
      <c r="T21" s="13">
        <f t="shared" si="4"/>
        <v>224</v>
      </c>
      <c r="U21" s="13">
        <f t="shared" si="4"/>
        <v>235</v>
      </c>
      <c r="V21" s="13">
        <f t="shared" si="4"/>
        <v>168</v>
      </c>
      <c r="W21" s="13">
        <f t="shared" si="4"/>
        <v>186</v>
      </c>
      <c r="X21" s="13">
        <f t="shared" si="4"/>
        <v>185</v>
      </c>
      <c r="Y21" s="13">
        <f t="shared" si="4"/>
        <v>196</v>
      </c>
      <c r="Z21" s="13">
        <f t="shared" si="4"/>
        <v>222</v>
      </c>
      <c r="AA21" s="13">
        <f t="shared" si="4"/>
        <v>233</v>
      </c>
      <c r="AB21" s="13">
        <f t="shared" si="4"/>
        <v>221</v>
      </c>
      <c r="AC21" s="13">
        <f t="shared" si="4"/>
        <v>219</v>
      </c>
      <c r="AD21" s="13">
        <f t="shared" si="4"/>
        <v>170</v>
      </c>
      <c r="AE21" s="13">
        <f t="shared" si="4"/>
        <v>208</v>
      </c>
      <c r="AF21" s="13">
        <f t="shared" si="4"/>
        <v>215</v>
      </c>
      <c r="AG21" s="13">
        <f t="shared" si="4"/>
        <v>235</v>
      </c>
      <c r="AH21" s="13">
        <f t="shared" si="4"/>
        <v>221</v>
      </c>
      <c r="AI21" s="13">
        <f t="shared" si="4"/>
        <v>221</v>
      </c>
      <c r="AJ21" s="13">
        <f t="shared" si="4"/>
        <v>209</v>
      </c>
      <c r="AK21" s="13">
        <f t="shared" si="4"/>
        <v>240</v>
      </c>
      <c r="AL21" s="13">
        <f t="shared" si="4"/>
        <v>218</v>
      </c>
      <c r="AM21" s="13">
        <f t="shared" si="4"/>
        <v>190</v>
      </c>
      <c r="AN21" s="13">
        <f t="shared" si="4"/>
        <v>227</v>
      </c>
      <c r="AO21" s="13">
        <f t="shared" si="4"/>
        <v>230</v>
      </c>
      <c r="AP21" s="13">
        <f t="shared" si="4"/>
        <v>163</v>
      </c>
      <c r="AQ21" s="13">
        <f t="shared" si="4"/>
        <v>148</v>
      </c>
      <c r="AR21" s="13">
        <f t="shared" si="4"/>
        <v>186</v>
      </c>
      <c r="AS21" s="13">
        <f t="shared" si="4"/>
        <v>194</v>
      </c>
      <c r="AT21" s="13">
        <f t="shared" si="4"/>
        <v>216</v>
      </c>
      <c r="AU21" s="13">
        <f t="shared" si="4"/>
        <v>134</v>
      </c>
      <c r="AV21" s="13">
        <f t="shared" si="4"/>
        <v>221</v>
      </c>
      <c r="AW21" s="13">
        <f t="shared" si="4"/>
        <v>214</v>
      </c>
      <c r="AX21" s="13">
        <f t="shared" si="4"/>
        <v>231</v>
      </c>
      <c r="AY21" s="13">
        <f t="shared" si="4"/>
        <v>221</v>
      </c>
      <c r="AZ21" s="13">
        <f t="shared" si="4"/>
        <v>201</v>
      </c>
      <c r="BA21" s="13">
        <f t="shared" si="4"/>
        <v>156</v>
      </c>
      <c r="BB21" s="13">
        <f t="shared" si="4"/>
        <v>208</v>
      </c>
      <c r="BC21" s="13">
        <f t="shared" si="3"/>
        <v>10054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2.0</v>
      </c>
      <c r="G22" s="19">
        <v>1.0</v>
      </c>
      <c r="H22" s="19">
        <v>1.0</v>
      </c>
      <c r="I22" s="19">
        <v>0.0</v>
      </c>
      <c r="J22" s="19">
        <v>0.0</v>
      </c>
      <c r="K22" s="19">
        <v>0.0</v>
      </c>
      <c r="L22" s="19">
        <v>1.0</v>
      </c>
      <c r="M22" s="19">
        <v>0.0</v>
      </c>
      <c r="N22" s="19">
        <v>4.0</v>
      </c>
      <c r="O22" s="19">
        <v>8.0</v>
      </c>
      <c r="P22" s="19">
        <v>0.0</v>
      </c>
      <c r="Q22" s="19">
        <v>0.0</v>
      </c>
      <c r="R22" s="19">
        <v>8.0</v>
      </c>
      <c r="S22" s="19">
        <v>11.0</v>
      </c>
      <c r="T22" s="19">
        <v>10.0</v>
      </c>
      <c r="U22" s="19">
        <v>0.0</v>
      </c>
      <c r="V22" s="19">
        <v>2.0</v>
      </c>
      <c r="W22" s="19">
        <v>0.0</v>
      </c>
      <c r="X22" s="19">
        <v>2.0</v>
      </c>
      <c r="Y22" s="19">
        <v>0.0</v>
      </c>
      <c r="Z22" s="19">
        <v>0.0</v>
      </c>
      <c r="AA22" s="19">
        <v>0.0</v>
      </c>
      <c r="AB22" s="19">
        <v>0.0</v>
      </c>
      <c r="AC22" s="19">
        <v>1.0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1.0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0.0</v>
      </c>
      <c r="AS22" s="19">
        <v>0.0</v>
      </c>
      <c r="AT22" s="19">
        <v>1.0</v>
      </c>
      <c r="AU22" s="19">
        <v>0.0</v>
      </c>
      <c r="AV22" s="19">
        <v>1.0</v>
      </c>
      <c r="AW22" s="19">
        <v>1.0</v>
      </c>
      <c r="AX22" s="19"/>
      <c r="AY22" s="19"/>
      <c r="AZ22" s="19"/>
      <c r="BA22" s="19"/>
      <c r="BB22" s="19"/>
      <c r="BC22" s="13">
        <f t="shared" si="3"/>
        <v>55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0.0</v>
      </c>
      <c r="H23" s="19">
        <v>0.0</v>
      </c>
      <c r="I23" s="19">
        <v>0.0</v>
      </c>
      <c r="J23" s="19">
        <v>1.0</v>
      </c>
      <c r="K23" s="19">
        <v>0.0</v>
      </c>
      <c r="L23" s="19">
        <v>0.0</v>
      </c>
      <c r="M23" s="19">
        <v>1.0</v>
      </c>
      <c r="N23" s="19">
        <v>1.0</v>
      </c>
      <c r="O23" s="19">
        <v>0.0</v>
      </c>
      <c r="P23" s="19">
        <v>0.0</v>
      </c>
      <c r="Q23" s="19">
        <v>7.0</v>
      </c>
      <c r="R23" s="19">
        <v>3.0</v>
      </c>
      <c r="S23" s="19">
        <v>1.0</v>
      </c>
      <c r="T23" s="19">
        <v>0.0</v>
      </c>
      <c r="U23" s="19">
        <v>0.0</v>
      </c>
      <c r="V23" s="19">
        <v>0.0</v>
      </c>
      <c r="W23" s="19">
        <v>0.0</v>
      </c>
      <c r="X23" s="19">
        <v>2.0</v>
      </c>
      <c r="Y23" s="19">
        <v>2.0</v>
      </c>
      <c r="Z23" s="19">
        <v>0.0</v>
      </c>
      <c r="AA23" s="19">
        <v>0.0</v>
      </c>
      <c r="AB23" s="19">
        <v>1.0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2.0</v>
      </c>
      <c r="AK23" s="19">
        <v>0.0</v>
      </c>
      <c r="AL23" s="19">
        <v>2.0</v>
      </c>
      <c r="AM23" s="19">
        <v>1.0</v>
      </c>
      <c r="AN23" s="19">
        <v>1.0</v>
      </c>
      <c r="AO23" s="19">
        <v>0.0</v>
      </c>
      <c r="AP23" s="19">
        <v>0.0</v>
      </c>
      <c r="AQ23" s="19">
        <v>0.0</v>
      </c>
      <c r="AR23" s="19">
        <v>0.0</v>
      </c>
      <c r="AS23" s="19">
        <v>0.0</v>
      </c>
      <c r="AT23" s="19">
        <v>1.0</v>
      </c>
      <c r="AU23" s="19">
        <v>0.0</v>
      </c>
      <c r="AV23" s="19">
        <v>0.0</v>
      </c>
      <c r="AW23" s="19">
        <v>2.0</v>
      </c>
      <c r="AX23" s="19">
        <v>1.0</v>
      </c>
      <c r="AY23" s="19"/>
      <c r="AZ23" s="19"/>
      <c r="BA23" s="19"/>
      <c r="BB23" s="19">
        <v>1.0</v>
      </c>
      <c r="BC23" s="13">
        <f t="shared" si="3"/>
        <v>31</v>
      </c>
    </row>
    <row r="24" ht="12.75" customHeight="1">
      <c r="A24" s="35"/>
      <c r="B24" s="28"/>
      <c r="C24" s="36"/>
      <c r="D24" s="13" t="s">
        <v>14</v>
      </c>
      <c r="E24" s="13">
        <f t="shared" ref="E24:BB24" si="5">SUM(E22:E23)</f>
        <v>0</v>
      </c>
      <c r="F24" s="13">
        <f t="shared" si="5"/>
        <v>3</v>
      </c>
      <c r="G24" s="13">
        <f t="shared" si="5"/>
        <v>1</v>
      </c>
      <c r="H24" s="13">
        <f t="shared" si="5"/>
        <v>1</v>
      </c>
      <c r="I24" s="13">
        <f t="shared" si="5"/>
        <v>0</v>
      </c>
      <c r="J24" s="13">
        <f t="shared" si="5"/>
        <v>1</v>
      </c>
      <c r="K24" s="13">
        <f t="shared" si="5"/>
        <v>0</v>
      </c>
      <c r="L24" s="13">
        <f t="shared" si="5"/>
        <v>1</v>
      </c>
      <c r="M24" s="13">
        <f t="shared" si="5"/>
        <v>1</v>
      </c>
      <c r="N24" s="13">
        <f t="shared" si="5"/>
        <v>5</v>
      </c>
      <c r="O24" s="13">
        <f t="shared" si="5"/>
        <v>8</v>
      </c>
      <c r="P24" s="13">
        <f t="shared" si="5"/>
        <v>0</v>
      </c>
      <c r="Q24" s="13">
        <f t="shared" si="5"/>
        <v>7</v>
      </c>
      <c r="R24" s="13">
        <f t="shared" si="5"/>
        <v>11</v>
      </c>
      <c r="S24" s="13">
        <f t="shared" si="5"/>
        <v>12</v>
      </c>
      <c r="T24" s="13">
        <f t="shared" si="5"/>
        <v>10</v>
      </c>
      <c r="U24" s="13">
        <f t="shared" si="5"/>
        <v>0</v>
      </c>
      <c r="V24" s="13">
        <f t="shared" si="5"/>
        <v>2</v>
      </c>
      <c r="W24" s="13">
        <f t="shared" si="5"/>
        <v>0</v>
      </c>
      <c r="X24" s="13">
        <f t="shared" si="5"/>
        <v>4</v>
      </c>
      <c r="Y24" s="13">
        <f t="shared" si="5"/>
        <v>2</v>
      </c>
      <c r="Z24" s="13">
        <f t="shared" si="5"/>
        <v>0</v>
      </c>
      <c r="AA24" s="13">
        <f t="shared" si="5"/>
        <v>0</v>
      </c>
      <c r="AB24" s="13">
        <f t="shared" si="5"/>
        <v>1</v>
      </c>
      <c r="AC24" s="13">
        <f t="shared" si="5"/>
        <v>1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2</v>
      </c>
      <c r="AK24" s="13">
        <f t="shared" si="5"/>
        <v>0</v>
      </c>
      <c r="AL24" s="13">
        <f t="shared" si="5"/>
        <v>3</v>
      </c>
      <c r="AM24" s="13">
        <f t="shared" si="5"/>
        <v>1</v>
      </c>
      <c r="AN24" s="13">
        <f t="shared" si="5"/>
        <v>1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2</v>
      </c>
      <c r="AU24" s="13">
        <f t="shared" si="5"/>
        <v>0</v>
      </c>
      <c r="AV24" s="13">
        <f t="shared" si="5"/>
        <v>1</v>
      </c>
      <c r="AW24" s="13">
        <f t="shared" si="5"/>
        <v>3</v>
      </c>
      <c r="AX24" s="13">
        <f t="shared" si="5"/>
        <v>1</v>
      </c>
      <c r="AY24" s="13">
        <f t="shared" si="5"/>
        <v>0</v>
      </c>
      <c r="AZ24" s="13">
        <f t="shared" si="5"/>
        <v>0</v>
      </c>
      <c r="BA24" s="13">
        <f t="shared" si="5"/>
        <v>0</v>
      </c>
      <c r="BB24" s="13">
        <f t="shared" si="5"/>
        <v>1</v>
      </c>
      <c r="BC24" s="13">
        <f t="shared" si="3"/>
        <v>86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2.0</v>
      </c>
      <c r="K25" s="19">
        <v>2.0</v>
      </c>
      <c r="L25" s="19">
        <v>0.0</v>
      </c>
      <c r="M25" s="19">
        <v>0.0</v>
      </c>
      <c r="N25" s="19">
        <v>1.0</v>
      </c>
      <c r="O25" s="19">
        <v>2.0</v>
      </c>
      <c r="P25" s="19">
        <v>1.0</v>
      </c>
      <c r="Q25" s="19">
        <v>0.0</v>
      </c>
      <c r="R25" s="19">
        <v>1.0</v>
      </c>
      <c r="S25" s="19">
        <v>3.0</v>
      </c>
      <c r="T25" s="19">
        <v>0.0</v>
      </c>
      <c r="U25" s="19">
        <v>1.0</v>
      </c>
      <c r="V25" s="19">
        <v>1.0</v>
      </c>
      <c r="W25" s="19">
        <v>2.0</v>
      </c>
      <c r="X25" s="19">
        <v>4.0</v>
      </c>
      <c r="Y25" s="19">
        <v>0.0</v>
      </c>
      <c r="Z25" s="19">
        <v>1.0</v>
      </c>
      <c r="AA25" s="19">
        <v>3.0</v>
      </c>
      <c r="AB25" s="19">
        <v>0.0</v>
      </c>
      <c r="AC25" s="19">
        <v>1.0</v>
      </c>
      <c r="AD25" s="19">
        <v>2.0</v>
      </c>
      <c r="AE25" s="19">
        <v>0.0</v>
      </c>
      <c r="AF25" s="19">
        <v>0.0</v>
      </c>
      <c r="AG25" s="19">
        <v>2.0</v>
      </c>
      <c r="AH25" s="19">
        <v>1.0</v>
      </c>
      <c r="AI25" s="19">
        <v>2.0</v>
      </c>
      <c r="AJ25" s="19">
        <v>3.0</v>
      </c>
      <c r="AK25" s="19">
        <v>0.0</v>
      </c>
      <c r="AL25" s="19">
        <v>3.0</v>
      </c>
      <c r="AM25" s="19">
        <v>1.0</v>
      </c>
      <c r="AN25" s="19">
        <v>0.0</v>
      </c>
      <c r="AO25" s="19">
        <v>1.0</v>
      </c>
      <c r="AP25" s="19">
        <v>0.0</v>
      </c>
      <c r="AQ25" s="19">
        <v>0.0</v>
      </c>
      <c r="AR25" s="19">
        <v>1.0</v>
      </c>
      <c r="AS25" s="19">
        <v>0.0</v>
      </c>
      <c r="AT25" s="19">
        <v>5.0</v>
      </c>
      <c r="AU25" s="19">
        <v>2.0</v>
      </c>
      <c r="AV25" s="19">
        <v>0.0</v>
      </c>
      <c r="AW25" s="19">
        <v>2.0</v>
      </c>
      <c r="AX25" s="19"/>
      <c r="AY25" s="19"/>
      <c r="AZ25" s="19">
        <v>2.0</v>
      </c>
      <c r="BA25" s="19"/>
      <c r="BB25" s="19">
        <v>1.0</v>
      </c>
      <c r="BC25" s="13">
        <f t="shared" si="3"/>
        <v>53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1.0</v>
      </c>
      <c r="G26" s="19">
        <v>0.0</v>
      </c>
      <c r="H26" s="19">
        <v>0.0</v>
      </c>
      <c r="I26" s="19">
        <v>1.0</v>
      </c>
      <c r="J26" s="19">
        <v>1.0</v>
      </c>
      <c r="K26" s="19">
        <v>2.0</v>
      </c>
      <c r="L26" s="19">
        <v>1.0</v>
      </c>
      <c r="M26" s="19">
        <v>1.0</v>
      </c>
      <c r="N26" s="19">
        <v>1.0</v>
      </c>
      <c r="O26" s="19">
        <v>0.0</v>
      </c>
      <c r="P26" s="19">
        <v>0.0</v>
      </c>
      <c r="Q26" s="19">
        <v>0.0</v>
      </c>
      <c r="R26" s="19">
        <v>0.0</v>
      </c>
      <c r="S26" s="19">
        <v>1.0</v>
      </c>
      <c r="T26" s="19">
        <v>0.0</v>
      </c>
      <c r="U26" s="19">
        <v>5.0</v>
      </c>
      <c r="V26" s="19">
        <v>0.0</v>
      </c>
      <c r="W26" s="19">
        <v>0.0</v>
      </c>
      <c r="X26" s="19">
        <v>4.0</v>
      </c>
      <c r="Y26" s="19">
        <v>1.0</v>
      </c>
      <c r="Z26" s="19">
        <v>2.0</v>
      </c>
      <c r="AA26" s="19">
        <v>3.0</v>
      </c>
      <c r="AB26" s="19">
        <v>0.0</v>
      </c>
      <c r="AC26" s="19">
        <v>0.0</v>
      </c>
      <c r="AD26" s="19">
        <v>3.0</v>
      </c>
      <c r="AE26" s="19">
        <v>2.0</v>
      </c>
      <c r="AF26" s="19">
        <v>0.0</v>
      </c>
      <c r="AG26" s="19">
        <v>1.0</v>
      </c>
      <c r="AH26" s="19">
        <v>4.0</v>
      </c>
      <c r="AI26" s="19">
        <v>6.0</v>
      </c>
      <c r="AJ26" s="19">
        <v>1.0</v>
      </c>
      <c r="AK26" s="19">
        <v>1.0</v>
      </c>
      <c r="AL26" s="19">
        <v>3.0</v>
      </c>
      <c r="AM26" s="19">
        <v>1.0</v>
      </c>
      <c r="AN26" s="19">
        <v>2.0</v>
      </c>
      <c r="AO26" s="19">
        <v>1.0</v>
      </c>
      <c r="AP26" s="19">
        <v>0.0</v>
      </c>
      <c r="AQ26" s="19">
        <v>1.0</v>
      </c>
      <c r="AR26" s="19">
        <v>1.0</v>
      </c>
      <c r="AS26" s="19">
        <v>0.0</v>
      </c>
      <c r="AT26" s="19">
        <v>1.0</v>
      </c>
      <c r="AU26" s="19">
        <v>2.0</v>
      </c>
      <c r="AV26" s="19">
        <v>0.0</v>
      </c>
      <c r="AW26" s="19">
        <v>7.0</v>
      </c>
      <c r="AX26" s="19"/>
      <c r="AY26" s="19"/>
      <c r="AZ26" s="19">
        <v>5.0</v>
      </c>
      <c r="BA26" s="19"/>
      <c r="BB26" s="19">
        <v>1.0</v>
      </c>
      <c r="BC26" s="13">
        <f t="shared" si="3"/>
        <v>69</v>
      </c>
    </row>
    <row r="27" ht="12.75" customHeight="1">
      <c r="A27" s="35"/>
      <c r="B27" s="28"/>
      <c r="C27" s="36"/>
      <c r="D27" s="13" t="s">
        <v>14</v>
      </c>
      <c r="E27" s="13">
        <f t="shared" ref="E27:BB27" si="6">SUM(E25:E26)</f>
        <v>2</v>
      </c>
      <c r="F27" s="13">
        <f t="shared" si="6"/>
        <v>1</v>
      </c>
      <c r="G27" s="13">
        <f t="shared" si="6"/>
        <v>0</v>
      </c>
      <c r="H27" s="13">
        <f t="shared" si="6"/>
        <v>0</v>
      </c>
      <c r="I27" s="13">
        <f t="shared" si="6"/>
        <v>1</v>
      </c>
      <c r="J27" s="13">
        <f t="shared" si="6"/>
        <v>3</v>
      </c>
      <c r="K27" s="13">
        <f t="shared" si="6"/>
        <v>4</v>
      </c>
      <c r="L27" s="13">
        <f t="shared" si="6"/>
        <v>1</v>
      </c>
      <c r="M27" s="13">
        <f t="shared" si="6"/>
        <v>1</v>
      </c>
      <c r="N27" s="13">
        <f t="shared" si="6"/>
        <v>2</v>
      </c>
      <c r="O27" s="13">
        <f t="shared" si="6"/>
        <v>2</v>
      </c>
      <c r="P27" s="13">
        <f t="shared" si="6"/>
        <v>1</v>
      </c>
      <c r="Q27" s="13">
        <f t="shared" si="6"/>
        <v>0</v>
      </c>
      <c r="R27" s="13">
        <f t="shared" si="6"/>
        <v>1</v>
      </c>
      <c r="S27" s="13">
        <f t="shared" si="6"/>
        <v>4</v>
      </c>
      <c r="T27" s="13">
        <f t="shared" si="6"/>
        <v>0</v>
      </c>
      <c r="U27" s="13">
        <f t="shared" si="6"/>
        <v>6</v>
      </c>
      <c r="V27" s="13">
        <f t="shared" si="6"/>
        <v>1</v>
      </c>
      <c r="W27" s="13">
        <f t="shared" si="6"/>
        <v>2</v>
      </c>
      <c r="X27" s="13">
        <f t="shared" si="6"/>
        <v>8</v>
      </c>
      <c r="Y27" s="13">
        <f t="shared" si="6"/>
        <v>1</v>
      </c>
      <c r="Z27" s="13">
        <f t="shared" si="6"/>
        <v>3</v>
      </c>
      <c r="AA27" s="13">
        <f t="shared" si="6"/>
        <v>6</v>
      </c>
      <c r="AB27" s="13">
        <f t="shared" si="6"/>
        <v>0</v>
      </c>
      <c r="AC27" s="13">
        <f t="shared" si="6"/>
        <v>1</v>
      </c>
      <c r="AD27" s="13">
        <f t="shared" si="6"/>
        <v>5</v>
      </c>
      <c r="AE27" s="13">
        <f t="shared" si="6"/>
        <v>2</v>
      </c>
      <c r="AF27" s="13">
        <f t="shared" si="6"/>
        <v>0</v>
      </c>
      <c r="AG27" s="13">
        <f t="shared" si="6"/>
        <v>3</v>
      </c>
      <c r="AH27" s="13">
        <f t="shared" si="6"/>
        <v>5</v>
      </c>
      <c r="AI27" s="13">
        <f t="shared" si="6"/>
        <v>8</v>
      </c>
      <c r="AJ27" s="13">
        <f t="shared" si="6"/>
        <v>4</v>
      </c>
      <c r="AK27" s="13">
        <f t="shared" si="6"/>
        <v>1</v>
      </c>
      <c r="AL27" s="13">
        <f t="shared" si="6"/>
        <v>6</v>
      </c>
      <c r="AM27" s="13">
        <f t="shared" si="6"/>
        <v>2</v>
      </c>
      <c r="AN27" s="13">
        <f t="shared" si="6"/>
        <v>2</v>
      </c>
      <c r="AO27" s="13">
        <f t="shared" si="6"/>
        <v>2</v>
      </c>
      <c r="AP27" s="13">
        <f t="shared" si="6"/>
        <v>0</v>
      </c>
      <c r="AQ27" s="13">
        <f t="shared" si="6"/>
        <v>1</v>
      </c>
      <c r="AR27" s="13">
        <f t="shared" si="6"/>
        <v>2</v>
      </c>
      <c r="AS27" s="13">
        <f t="shared" si="6"/>
        <v>0</v>
      </c>
      <c r="AT27" s="13">
        <f t="shared" si="6"/>
        <v>6</v>
      </c>
      <c r="AU27" s="13">
        <f t="shared" si="6"/>
        <v>4</v>
      </c>
      <c r="AV27" s="13">
        <f t="shared" si="6"/>
        <v>0</v>
      </c>
      <c r="AW27" s="13">
        <f t="shared" si="6"/>
        <v>9</v>
      </c>
      <c r="AX27" s="13">
        <f t="shared" si="6"/>
        <v>0</v>
      </c>
      <c r="AY27" s="13">
        <f t="shared" si="6"/>
        <v>0</v>
      </c>
      <c r="AZ27" s="13">
        <f t="shared" si="6"/>
        <v>7</v>
      </c>
      <c r="BA27" s="13">
        <f t="shared" si="6"/>
        <v>0</v>
      </c>
      <c r="BB27" s="13">
        <f t="shared" si="6"/>
        <v>2</v>
      </c>
      <c r="BC27" s="13">
        <f t="shared" si="3"/>
        <v>122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S28" si="7">SUM(E19,E22,E25)</f>
        <v>105</v>
      </c>
      <c r="F28" s="13">
        <f t="shared" si="7"/>
        <v>95</v>
      </c>
      <c r="G28" s="13">
        <f t="shared" si="7"/>
        <v>60</v>
      </c>
      <c r="H28" s="13">
        <f t="shared" si="7"/>
        <v>100</v>
      </c>
      <c r="I28" s="13">
        <f t="shared" si="7"/>
        <v>45</v>
      </c>
      <c r="J28" s="13">
        <f t="shared" si="7"/>
        <v>96</v>
      </c>
      <c r="K28" s="13">
        <f t="shared" si="7"/>
        <v>115</v>
      </c>
      <c r="L28" s="13">
        <f t="shared" si="7"/>
        <v>89</v>
      </c>
      <c r="M28" s="13">
        <f t="shared" si="7"/>
        <v>104</v>
      </c>
      <c r="N28" s="13">
        <f t="shared" si="7"/>
        <v>100</v>
      </c>
      <c r="O28" s="13">
        <f t="shared" si="7"/>
        <v>100</v>
      </c>
      <c r="P28" s="13">
        <f t="shared" si="7"/>
        <v>90</v>
      </c>
      <c r="Q28" s="13">
        <f t="shared" si="7"/>
        <v>82</v>
      </c>
      <c r="R28" s="13">
        <f t="shared" si="7"/>
        <v>121</v>
      </c>
      <c r="S28" s="13">
        <f t="shared" si="7"/>
        <v>127</v>
      </c>
      <c r="T28" s="13">
        <f t="shared" si="7"/>
        <v>114</v>
      </c>
      <c r="U28" s="13">
        <f t="shared" si="7"/>
        <v>108</v>
      </c>
      <c r="V28" s="13">
        <f t="shared" si="7"/>
        <v>87</v>
      </c>
      <c r="W28" s="13">
        <f t="shared" si="7"/>
        <v>99</v>
      </c>
      <c r="X28" s="13">
        <f t="shared" si="7"/>
        <v>96</v>
      </c>
      <c r="Y28" s="13">
        <f t="shared" si="7"/>
        <v>96</v>
      </c>
      <c r="Z28" s="13">
        <f t="shared" si="7"/>
        <v>109</v>
      </c>
      <c r="AA28" s="13">
        <f t="shared" si="7"/>
        <v>114</v>
      </c>
      <c r="AB28" s="13">
        <f t="shared" si="7"/>
        <v>108</v>
      </c>
      <c r="AC28" s="13">
        <f t="shared" si="7"/>
        <v>106</v>
      </c>
      <c r="AD28" s="13">
        <f t="shared" si="7"/>
        <v>91</v>
      </c>
      <c r="AE28" s="13">
        <f t="shared" si="7"/>
        <v>113</v>
      </c>
      <c r="AF28" s="13">
        <f t="shared" si="7"/>
        <v>114</v>
      </c>
      <c r="AG28" s="13">
        <f t="shared" si="7"/>
        <v>122</v>
      </c>
      <c r="AH28" s="13">
        <f t="shared" si="7"/>
        <v>112</v>
      </c>
      <c r="AI28" s="13">
        <f t="shared" si="7"/>
        <v>109</v>
      </c>
      <c r="AJ28" s="13">
        <f t="shared" si="7"/>
        <v>105</v>
      </c>
      <c r="AK28" s="13">
        <f t="shared" si="7"/>
        <v>109</v>
      </c>
      <c r="AL28" s="13">
        <f t="shared" si="7"/>
        <v>110</v>
      </c>
      <c r="AM28" s="13">
        <f t="shared" si="7"/>
        <v>93</v>
      </c>
      <c r="AN28" s="13">
        <f t="shared" si="7"/>
        <v>109</v>
      </c>
      <c r="AO28" s="13">
        <f t="shared" si="7"/>
        <v>109</v>
      </c>
      <c r="AP28" s="13">
        <f t="shared" si="7"/>
        <v>74</v>
      </c>
      <c r="AQ28" s="13">
        <f t="shared" si="7"/>
        <v>74</v>
      </c>
      <c r="AR28" s="13">
        <f t="shared" si="7"/>
        <v>92</v>
      </c>
      <c r="AS28" s="13">
        <f t="shared" si="7"/>
        <v>91</v>
      </c>
      <c r="AT28" s="13">
        <v>109.0</v>
      </c>
      <c r="AU28" s="13">
        <f t="shared" ref="AU28:AU29" si="11">SUM(AU19,AU22,AU25)</f>
        <v>71</v>
      </c>
      <c r="AV28" s="13">
        <v>116.0</v>
      </c>
      <c r="AW28" s="13">
        <f t="shared" ref="AW28:BB28" si="8">SUM(AW19,AW22,AW25)</f>
        <v>111</v>
      </c>
      <c r="AX28" s="13">
        <f t="shared" si="8"/>
        <v>110</v>
      </c>
      <c r="AY28" s="13">
        <f t="shared" si="8"/>
        <v>101</v>
      </c>
      <c r="AZ28" s="13">
        <f t="shared" si="8"/>
        <v>103</v>
      </c>
      <c r="BA28" s="13">
        <f t="shared" si="8"/>
        <v>78</v>
      </c>
      <c r="BB28" s="13">
        <f t="shared" si="8"/>
        <v>98</v>
      </c>
      <c r="BC28" s="13">
        <f t="shared" si="3"/>
        <v>4990</v>
      </c>
    </row>
    <row r="29" ht="12.75" customHeight="1">
      <c r="A29" s="35"/>
      <c r="B29" s="27"/>
      <c r="C29" s="34"/>
      <c r="D29" s="13" t="s">
        <v>13</v>
      </c>
      <c r="E29" s="13">
        <f t="shared" ref="E29:AI29" si="9">SUM(E20,E23,E26)</f>
        <v>117</v>
      </c>
      <c r="F29" s="13">
        <f t="shared" si="9"/>
        <v>86</v>
      </c>
      <c r="G29" s="13">
        <f t="shared" si="9"/>
        <v>81</v>
      </c>
      <c r="H29" s="13">
        <f t="shared" si="9"/>
        <v>108</v>
      </c>
      <c r="I29" s="13">
        <f t="shared" si="9"/>
        <v>58</v>
      </c>
      <c r="J29" s="13">
        <f t="shared" si="9"/>
        <v>92</v>
      </c>
      <c r="K29" s="13">
        <f t="shared" si="9"/>
        <v>122</v>
      </c>
      <c r="L29" s="13">
        <f t="shared" si="9"/>
        <v>101</v>
      </c>
      <c r="M29" s="13">
        <f t="shared" si="9"/>
        <v>116</v>
      </c>
      <c r="N29" s="13">
        <f t="shared" si="9"/>
        <v>121</v>
      </c>
      <c r="O29" s="13">
        <f t="shared" si="9"/>
        <v>95</v>
      </c>
      <c r="P29" s="13">
        <f t="shared" si="9"/>
        <v>91</v>
      </c>
      <c r="Q29" s="13">
        <f t="shared" si="9"/>
        <v>88</v>
      </c>
      <c r="R29" s="13">
        <f t="shared" si="9"/>
        <v>131</v>
      </c>
      <c r="S29" s="13">
        <f t="shared" si="9"/>
        <v>126</v>
      </c>
      <c r="T29" s="13">
        <f t="shared" si="9"/>
        <v>120</v>
      </c>
      <c r="U29" s="13">
        <f t="shared" si="9"/>
        <v>133</v>
      </c>
      <c r="V29" s="13">
        <f t="shared" si="9"/>
        <v>84</v>
      </c>
      <c r="W29" s="13">
        <f t="shared" si="9"/>
        <v>89</v>
      </c>
      <c r="X29" s="13">
        <f t="shared" si="9"/>
        <v>101</v>
      </c>
      <c r="Y29" s="13">
        <f t="shared" si="9"/>
        <v>103</v>
      </c>
      <c r="Z29" s="13">
        <f t="shared" si="9"/>
        <v>116</v>
      </c>
      <c r="AA29" s="13">
        <f t="shared" si="9"/>
        <v>125</v>
      </c>
      <c r="AB29" s="13">
        <f t="shared" si="9"/>
        <v>114</v>
      </c>
      <c r="AC29" s="13">
        <f t="shared" si="9"/>
        <v>115</v>
      </c>
      <c r="AD29" s="13">
        <f t="shared" si="9"/>
        <v>84</v>
      </c>
      <c r="AE29" s="13">
        <f t="shared" si="9"/>
        <v>97</v>
      </c>
      <c r="AF29" s="13">
        <f t="shared" si="9"/>
        <v>101</v>
      </c>
      <c r="AG29" s="13">
        <f t="shared" si="9"/>
        <v>116</v>
      </c>
      <c r="AH29" s="13">
        <f t="shared" si="9"/>
        <v>114</v>
      </c>
      <c r="AI29" s="13">
        <f t="shared" si="9"/>
        <v>120</v>
      </c>
      <c r="AJ29" s="13">
        <v>110.0</v>
      </c>
      <c r="AK29" s="13">
        <f>SUM(AK20,AK23,AK26)</f>
        <v>132</v>
      </c>
      <c r="AL29" s="13">
        <v>117.0</v>
      </c>
      <c r="AM29" s="13">
        <v>100.0</v>
      </c>
      <c r="AN29" s="13">
        <v>121.0</v>
      </c>
      <c r="AO29" s="13">
        <f>SUM(AO20,AO23,AO26)</f>
        <v>123</v>
      </c>
      <c r="AP29" s="13">
        <v>89.0</v>
      </c>
      <c r="AQ29" s="13">
        <f t="shared" ref="AQ29:AS29" si="10">SUM(AQ20,AQ23,AQ26)</f>
        <v>75</v>
      </c>
      <c r="AR29" s="13">
        <f t="shared" si="10"/>
        <v>96</v>
      </c>
      <c r="AS29" s="13">
        <f t="shared" si="10"/>
        <v>103</v>
      </c>
      <c r="AT29" s="13">
        <v>115.0</v>
      </c>
      <c r="AU29" s="13">
        <f t="shared" si="11"/>
        <v>67</v>
      </c>
      <c r="AV29" s="13">
        <f>SUM(AV20,AV23,AV26)</f>
        <v>106</v>
      </c>
      <c r="AW29" s="13">
        <v>115.0</v>
      </c>
      <c r="AX29" s="13">
        <f t="shared" ref="AX29:BB29" si="12">SUM(AX20,AX23,AX26)</f>
        <v>122</v>
      </c>
      <c r="AY29" s="13">
        <f t="shared" si="12"/>
        <v>120</v>
      </c>
      <c r="AZ29" s="13">
        <f t="shared" si="12"/>
        <v>105</v>
      </c>
      <c r="BA29" s="13">
        <f t="shared" si="12"/>
        <v>78</v>
      </c>
      <c r="BB29" s="13">
        <f t="shared" si="12"/>
        <v>113</v>
      </c>
      <c r="BC29" s="13">
        <f t="shared" si="3"/>
        <v>5272</v>
      </c>
    </row>
    <row r="30" ht="12.75" customHeight="1">
      <c r="A30" s="35"/>
      <c r="B30" s="28"/>
      <c r="C30" s="36"/>
      <c r="D30" s="13" t="s">
        <v>14</v>
      </c>
      <c r="E30" s="13">
        <f t="shared" ref="E30:BB30" si="13">SUM(E28:E29)</f>
        <v>222</v>
      </c>
      <c r="F30" s="13">
        <f t="shared" si="13"/>
        <v>181</v>
      </c>
      <c r="G30" s="13">
        <f t="shared" si="13"/>
        <v>141</v>
      </c>
      <c r="H30" s="13">
        <f t="shared" si="13"/>
        <v>208</v>
      </c>
      <c r="I30" s="13">
        <f t="shared" si="13"/>
        <v>103</v>
      </c>
      <c r="J30" s="13">
        <f t="shared" si="13"/>
        <v>188</v>
      </c>
      <c r="K30" s="13">
        <f t="shared" si="13"/>
        <v>237</v>
      </c>
      <c r="L30" s="13">
        <f t="shared" si="13"/>
        <v>190</v>
      </c>
      <c r="M30" s="13">
        <f t="shared" si="13"/>
        <v>220</v>
      </c>
      <c r="N30" s="13">
        <f t="shared" si="13"/>
        <v>221</v>
      </c>
      <c r="O30" s="13">
        <f t="shared" si="13"/>
        <v>195</v>
      </c>
      <c r="P30" s="13">
        <f t="shared" si="13"/>
        <v>181</v>
      </c>
      <c r="Q30" s="13">
        <f t="shared" si="13"/>
        <v>170</v>
      </c>
      <c r="R30" s="13">
        <f t="shared" si="13"/>
        <v>252</v>
      </c>
      <c r="S30" s="13">
        <f t="shared" si="13"/>
        <v>253</v>
      </c>
      <c r="T30" s="13">
        <f t="shared" si="13"/>
        <v>234</v>
      </c>
      <c r="U30" s="13">
        <f t="shared" si="13"/>
        <v>241</v>
      </c>
      <c r="V30" s="13">
        <f t="shared" si="13"/>
        <v>171</v>
      </c>
      <c r="W30" s="13">
        <f t="shared" si="13"/>
        <v>188</v>
      </c>
      <c r="X30" s="13">
        <f t="shared" si="13"/>
        <v>197</v>
      </c>
      <c r="Y30" s="13">
        <f t="shared" si="13"/>
        <v>199</v>
      </c>
      <c r="Z30" s="13">
        <f t="shared" si="13"/>
        <v>225</v>
      </c>
      <c r="AA30" s="13">
        <f t="shared" si="13"/>
        <v>239</v>
      </c>
      <c r="AB30" s="13">
        <f t="shared" si="13"/>
        <v>222</v>
      </c>
      <c r="AC30" s="13">
        <f t="shared" si="13"/>
        <v>221</v>
      </c>
      <c r="AD30" s="13">
        <f t="shared" si="13"/>
        <v>175</v>
      </c>
      <c r="AE30" s="13">
        <f t="shared" si="13"/>
        <v>210</v>
      </c>
      <c r="AF30" s="13">
        <f t="shared" si="13"/>
        <v>215</v>
      </c>
      <c r="AG30" s="13">
        <f t="shared" si="13"/>
        <v>238</v>
      </c>
      <c r="AH30" s="13">
        <f t="shared" si="13"/>
        <v>226</v>
      </c>
      <c r="AI30" s="13">
        <f t="shared" si="13"/>
        <v>229</v>
      </c>
      <c r="AJ30" s="13">
        <f t="shared" si="13"/>
        <v>215</v>
      </c>
      <c r="AK30" s="13">
        <f t="shared" si="13"/>
        <v>241</v>
      </c>
      <c r="AL30" s="13">
        <f t="shared" si="13"/>
        <v>227</v>
      </c>
      <c r="AM30" s="13">
        <f t="shared" si="13"/>
        <v>193</v>
      </c>
      <c r="AN30" s="13">
        <f t="shared" si="13"/>
        <v>230</v>
      </c>
      <c r="AO30" s="13">
        <f t="shared" si="13"/>
        <v>232</v>
      </c>
      <c r="AP30" s="13">
        <f t="shared" si="13"/>
        <v>163</v>
      </c>
      <c r="AQ30" s="13">
        <f t="shared" si="13"/>
        <v>149</v>
      </c>
      <c r="AR30" s="13">
        <f t="shared" si="13"/>
        <v>188</v>
      </c>
      <c r="AS30" s="13">
        <f t="shared" si="13"/>
        <v>194</v>
      </c>
      <c r="AT30" s="13">
        <f t="shared" si="13"/>
        <v>224</v>
      </c>
      <c r="AU30" s="13">
        <f t="shared" si="13"/>
        <v>138</v>
      </c>
      <c r="AV30" s="13">
        <f t="shared" si="13"/>
        <v>222</v>
      </c>
      <c r="AW30" s="13">
        <f t="shared" si="13"/>
        <v>226</v>
      </c>
      <c r="AX30" s="13">
        <f t="shared" si="13"/>
        <v>232</v>
      </c>
      <c r="AY30" s="13">
        <f t="shared" si="13"/>
        <v>221</v>
      </c>
      <c r="AZ30" s="13">
        <f t="shared" si="13"/>
        <v>208</v>
      </c>
      <c r="BA30" s="13">
        <f t="shared" si="13"/>
        <v>156</v>
      </c>
      <c r="BB30" s="13">
        <f t="shared" si="13"/>
        <v>211</v>
      </c>
      <c r="BC30" s="13">
        <f t="shared" si="3"/>
        <v>10262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19"/>
      <c r="Q31" s="19"/>
      <c r="R31" s="19"/>
      <c r="S31" s="59"/>
      <c r="T31" s="19"/>
      <c r="U31" s="19"/>
      <c r="V31" s="19"/>
      <c r="W31" s="19"/>
      <c r="X31" s="59"/>
      <c r="Y31" s="19"/>
      <c r="Z31" s="19"/>
      <c r="AA31" s="19"/>
      <c r="AB31" s="19"/>
      <c r="AC31" s="59"/>
      <c r="AD31" s="19"/>
      <c r="AE31" s="19"/>
      <c r="AF31" s="19"/>
      <c r="AG31" s="19"/>
      <c r="AH31" s="59"/>
      <c r="AI31" s="19"/>
      <c r="AJ31" s="19"/>
      <c r="AK31" s="19"/>
      <c r="AL31" s="19"/>
      <c r="AM31" s="59"/>
      <c r="AN31" s="19"/>
      <c r="AO31" s="19"/>
      <c r="AP31" s="19"/>
      <c r="AQ31" s="19"/>
      <c r="AR31" s="59"/>
      <c r="AS31" s="19"/>
      <c r="AT31" s="19"/>
      <c r="AU31" s="19"/>
      <c r="AV31" s="19"/>
      <c r="AW31" s="59"/>
      <c r="AX31" s="19"/>
      <c r="AY31" s="19"/>
      <c r="AZ31" s="19"/>
      <c r="BA31" s="19"/>
      <c r="BB31" s="59"/>
      <c r="BC31" s="6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13"/>
      <c r="Q32" s="13"/>
      <c r="R32" s="13"/>
      <c r="S32" s="61"/>
      <c r="T32" s="13"/>
      <c r="U32" s="13"/>
      <c r="V32" s="13"/>
      <c r="W32" s="13"/>
      <c r="X32" s="61"/>
      <c r="Y32" s="13"/>
      <c r="Z32" s="13"/>
      <c r="AA32" s="13"/>
      <c r="AB32" s="13"/>
      <c r="AC32" s="61"/>
      <c r="AD32" s="13"/>
      <c r="AE32" s="13"/>
      <c r="AF32" s="13"/>
      <c r="AG32" s="13"/>
      <c r="AH32" s="61"/>
      <c r="AI32" s="13"/>
      <c r="AJ32" s="13"/>
      <c r="AK32" s="13"/>
      <c r="AL32" s="13"/>
      <c r="AM32" s="61"/>
      <c r="AN32" s="13"/>
      <c r="AO32" s="13"/>
      <c r="AP32" s="13"/>
      <c r="AQ32" s="13"/>
      <c r="AR32" s="61"/>
      <c r="AS32" s="13"/>
      <c r="AT32" s="13"/>
      <c r="AU32" s="13"/>
      <c r="AV32" s="13"/>
      <c r="AW32" s="61"/>
      <c r="AX32" s="13"/>
      <c r="AY32" s="13"/>
      <c r="AZ32" s="13"/>
      <c r="BA32" s="13"/>
      <c r="BB32" s="61"/>
      <c r="BC32" s="60"/>
    </row>
    <row r="33" ht="12.75" customHeight="1">
      <c r="A33" s="19">
        <v>1.0</v>
      </c>
      <c r="B33" s="20" t="s">
        <v>27</v>
      </c>
      <c r="C33" s="15"/>
      <c r="D33" s="16"/>
      <c r="E33" s="19">
        <v>292.0</v>
      </c>
      <c r="F33" s="19">
        <v>222.0</v>
      </c>
      <c r="G33" s="19">
        <v>159.0</v>
      </c>
      <c r="H33" s="19">
        <v>304.0</v>
      </c>
      <c r="I33" s="19">
        <v>141.0</v>
      </c>
      <c r="J33" s="19">
        <v>255.0</v>
      </c>
      <c r="K33" s="19">
        <v>279.0</v>
      </c>
      <c r="L33" s="19">
        <v>235.0</v>
      </c>
      <c r="M33" s="19">
        <v>296.0</v>
      </c>
      <c r="N33" s="19">
        <v>294.0</v>
      </c>
      <c r="O33" s="19">
        <v>251.0</v>
      </c>
      <c r="P33" s="19">
        <v>246.0</v>
      </c>
      <c r="Q33" s="19">
        <v>210.0</v>
      </c>
      <c r="R33" s="19">
        <v>299.0</v>
      </c>
      <c r="S33" s="19">
        <v>301.0</v>
      </c>
      <c r="T33" s="19">
        <v>297.0</v>
      </c>
      <c r="U33" s="19">
        <v>306.0</v>
      </c>
      <c r="V33" s="19">
        <v>221.0</v>
      </c>
      <c r="W33" s="19">
        <v>252.0</v>
      </c>
      <c r="X33" s="19">
        <v>271.0</v>
      </c>
      <c r="Y33" s="19">
        <v>315.0</v>
      </c>
      <c r="Z33" s="19">
        <v>276.0</v>
      </c>
      <c r="AA33" s="19">
        <v>292.0</v>
      </c>
      <c r="AB33" s="19">
        <v>287.0</v>
      </c>
      <c r="AC33" s="19">
        <v>291.0</v>
      </c>
      <c r="AD33" s="19">
        <v>229.0</v>
      </c>
      <c r="AE33" s="19">
        <v>280.0</v>
      </c>
      <c r="AF33" s="19">
        <v>278.0</v>
      </c>
      <c r="AG33" s="19">
        <v>290.0</v>
      </c>
      <c r="AH33" s="19">
        <v>294.0</v>
      </c>
      <c r="AI33" s="19">
        <v>286.0</v>
      </c>
      <c r="AJ33" s="19">
        <v>283.0</v>
      </c>
      <c r="AK33" s="19">
        <v>297.0</v>
      </c>
      <c r="AL33" s="19">
        <v>285.0</v>
      </c>
      <c r="AM33" s="19">
        <v>238.0</v>
      </c>
      <c r="AN33" s="19">
        <v>293.0</v>
      </c>
      <c r="AO33" s="19">
        <v>285.0</v>
      </c>
      <c r="AP33" s="19">
        <v>190.0</v>
      </c>
      <c r="AQ33" s="19">
        <v>188.0</v>
      </c>
      <c r="AR33" s="19">
        <v>251.0</v>
      </c>
      <c r="AS33" s="19">
        <v>242.0</v>
      </c>
      <c r="AT33" s="19">
        <v>288.0</v>
      </c>
      <c r="AU33" s="19">
        <v>176.0</v>
      </c>
      <c r="AV33" s="19">
        <v>269.0</v>
      </c>
      <c r="AW33" s="19">
        <v>287.0</v>
      </c>
      <c r="AX33" s="19">
        <v>303.0</v>
      </c>
      <c r="AY33" s="19">
        <v>275.0</v>
      </c>
      <c r="AZ33" s="19">
        <v>261.0</v>
      </c>
      <c r="BA33" s="19">
        <v>215.0</v>
      </c>
      <c r="BB33" s="19">
        <v>264.0</v>
      </c>
      <c r="BC33" s="13">
        <f t="shared" ref="BC33:BC36" si="14">SUM(E33:BB33)</f>
        <v>13139</v>
      </c>
    </row>
    <row r="34" ht="12.75" customHeight="1">
      <c r="A34" s="19">
        <v>2.0</v>
      </c>
      <c r="B34" s="20" t="s">
        <v>28</v>
      </c>
      <c r="C34" s="15"/>
      <c r="D34" s="16"/>
      <c r="E34" s="13">
        <v>222.0</v>
      </c>
      <c r="F34" s="13">
        <v>181.0</v>
      </c>
      <c r="G34" s="13">
        <v>141.0</v>
      </c>
      <c r="H34" s="13">
        <v>208.0</v>
      </c>
      <c r="I34" s="13">
        <v>103.0</v>
      </c>
      <c r="J34" s="13">
        <v>188.0</v>
      </c>
      <c r="K34" s="13">
        <v>237.0</v>
      </c>
      <c r="L34" s="13">
        <v>190.0</v>
      </c>
      <c r="M34" s="13">
        <v>220.0</v>
      </c>
      <c r="N34" s="13">
        <v>221.0</v>
      </c>
      <c r="O34" s="13">
        <v>195.0</v>
      </c>
      <c r="P34" s="13">
        <v>181.0</v>
      </c>
      <c r="Q34" s="13">
        <v>170.0</v>
      </c>
      <c r="R34" s="13">
        <v>252.0</v>
      </c>
      <c r="S34" s="13">
        <v>253.0</v>
      </c>
      <c r="T34" s="13">
        <v>234.0</v>
      </c>
      <c r="U34" s="13">
        <v>241.0</v>
      </c>
      <c r="V34" s="13">
        <v>171.0</v>
      </c>
      <c r="W34" s="13">
        <v>188.0</v>
      </c>
      <c r="X34" s="13">
        <v>197.0</v>
      </c>
      <c r="Y34" s="13">
        <v>199.0</v>
      </c>
      <c r="Z34" s="13">
        <v>225.0</v>
      </c>
      <c r="AA34" s="13">
        <v>239.0</v>
      </c>
      <c r="AB34" s="13">
        <v>222.0</v>
      </c>
      <c r="AC34" s="13">
        <v>221.0</v>
      </c>
      <c r="AD34" s="13">
        <v>175.0</v>
      </c>
      <c r="AE34" s="13">
        <v>210.0</v>
      </c>
      <c r="AF34" s="13">
        <v>215.0</v>
      </c>
      <c r="AG34" s="13">
        <v>238.0</v>
      </c>
      <c r="AH34" s="13">
        <v>226.0</v>
      </c>
      <c r="AI34" s="13">
        <v>229.0</v>
      </c>
      <c r="AJ34" s="13">
        <v>215.0</v>
      </c>
      <c r="AK34" s="13">
        <v>241.0</v>
      </c>
      <c r="AL34" s="13">
        <v>226.0</v>
      </c>
      <c r="AM34" s="13">
        <v>193.0</v>
      </c>
      <c r="AN34" s="13">
        <v>231.0</v>
      </c>
      <c r="AO34" s="13">
        <v>232.0</v>
      </c>
      <c r="AP34" s="13">
        <v>163.0</v>
      </c>
      <c r="AQ34" s="13">
        <v>149.0</v>
      </c>
      <c r="AR34" s="13">
        <v>188.0</v>
      </c>
      <c r="AS34" s="13">
        <v>194.0</v>
      </c>
      <c r="AT34" s="13">
        <v>224.0</v>
      </c>
      <c r="AU34" s="13">
        <v>138.0</v>
      </c>
      <c r="AV34" s="13">
        <v>222.0</v>
      </c>
      <c r="AW34" s="13">
        <v>226.0</v>
      </c>
      <c r="AX34" s="13">
        <v>232.0</v>
      </c>
      <c r="AY34" s="13">
        <v>221.0</v>
      </c>
      <c r="AZ34" s="13">
        <v>208.0</v>
      </c>
      <c r="BA34" s="13">
        <v>156.0</v>
      </c>
      <c r="BB34" s="13">
        <v>211.0</v>
      </c>
      <c r="BC34" s="13">
        <f t="shared" si="14"/>
        <v>10262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/>
      <c r="L35" s="19">
        <v>1.0</v>
      </c>
      <c r="M35" s="19"/>
      <c r="N35" s="19"/>
      <c r="O35" s="19"/>
      <c r="P35" s="19"/>
      <c r="Q35" s="19">
        <v>1.0</v>
      </c>
      <c r="R35" s="19"/>
      <c r="S35" s="19">
        <v>2.0</v>
      </c>
      <c r="T35" s="19">
        <v>1.0</v>
      </c>
      <c r="U35" s="19">
        <v>0.0</v>
      </c>
      <c r="V35" s="19">
        <v>0.0</v>
      </c>
      <c r="W35" s="19">
        <v>0.0</v>
      </c>
      <c r="X35" s="19">
        <v>0.0</v>
      </c>
      <c r="Y35" s="19">
        <v>1.0</v>
      </c>
      <c r="Z35" s="19">
        <v>1.0</v>
      </c>
      <c r="AA35" s="19">
        <v>0.0</v>
      </c>
      <c r="AB35" s="19">
        <v>1.0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/>
      <c r="AJ35" s="19"/>
      <c r="AK35" s="19"/>
      <c r="AL35" s="19"/>
      <c r="AM35" s="19"/>
      <c r="AN35" s="19"/>
      <c r="AO35" s="19">
        <v>1.0</v>
      </c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3">
        <f t="shared" si="14"/>
        <v>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BB36" si="15">E33-(E34+E35)</f>
        <v>70</v>
      </c>
      <c r="F36" s="13">
        <f t="shared" si="15"/>
        <v>41</v>
      </c>
      <c r="G36" s="13">
        <f t="shared" si="15"/>
        <v>18</v>
      </c>
      <c r="H36" s="13">
        <f t="shared" si="15"/>
        <v>96</v>
      </c>
      <c r="I36" s="13">
        <f t="shared" si="15"/>
        <v>38</v>
      </c>
      <c r="J36" s="13">
        <f t="shared" si="15"/>
        <v>67</v>
      </c>
      <c r="K36" s="13">
        <f t="shared" si="15"/>
        <v>42</v>
      </c>
      <c r="L36" s="13">
        <f t="shared" si="15"/>
        <v>44</v>
      </c>
      <c r="M36" s="13">
        <f t="shared" si="15"/>
        <v>76</v>
      </c>
      <c r="N36" s="13">
        <f t="shared" si="15"/>
        <v>73</v>
      </c>
      <c r="O36" s="13">
        <f t="shared" si="15"/>
        <v>56</v>
      </c>
      <c r="P36" s="13">
        <f t="shared" si="15"/>
        <v>65</v>
      </c>
      <c r="Q36" s="13">
        <f t="shared" si="15"/>
        <v>39</v>
      </c>
      <c r="R36" s="13">
        <f t="shared" si="15"/>
        <v>47</v>
      </c>
      <c r="S36" s="13">
        <f t="shared" si="15"/>
        <v>46</v>
      </c>
      <c r="T36" s="13">
        <f t="shared" si="15"/>
        <v>62</v>
      </c>
      <c r="U36" s="13">
        <f t="shared" si="15"/>
        <v>65</v>
      </c>
      <c r="V36" s="13">
        <f t="shared" si="15"/>
        <v>50</v>
      </c>
      <c r="W36" s="13">
        <f t="shared" si="15"/>
        <v>64</v>
      </c>
      <c r="X36" s="13">
        <f t="shared" si="15"/>
        <v>74</v>
      </c>
      <c r="Y36" s="13">
        <f t="shared" si="15"/>
        <v>115</v>
      </c>
      <c r="Z36" s="13">
        <f t="shared" si="15"/>
        <v>50</v>
      </c>
      <c r="AA36" s="13">
        <f t="shared" si="15"/>
        <v>53</v>
      </c>
      <c r="AB36" s="13">
        <f t="shared" si="15"/>
        <v>64</v>
      </c>
      <c r="AC36" s="13">
        <f t="shared" si="15"/>
        <v>70</v>
      </c>
      <c r="AD36" s="13">
        <f t="shared" si="15"/>
        <v>54</v>
      </c>
      <c r="AE36" s="13">
        <f t="shared" si="15"/>
        <v>70</v>
      </c>
      <c r="AF36" s="13">
        <f t="shared" si="15"/>
        <v>63</v>
      </c>
      <c r="AG36" s="13">
        <f t="shared" si="15"/>
        <v>52</v>
      </c>
      <c r="AH36" s="13">
        <f t="shared" si="15"/>
        <v>68</v>
      </c>
      <c r="AI36" s="13">
        <f t="shared" si="15"/>
        <v>57</v>
      </c>
      <c r="AJ36" s="13">
        <f t="shared" si="15"/>
        <v>68</v>
      </c>
      <c r="AK36" s="13">
        <f t="shared" si="15"/>
        <v>56</v>
      </c>
      <c r="AL36" s="13">
        <f t="shared" si="15"/>
        <v>59</v>
      </c>
      <c r="AM36" s="13">
        <f t="shared" si="15"/>
        <v>45</v>
      </c>
      <c r="AN36" s="13">
        <f t="shared" si="15"/>
        <v>62</v>
      </c>
      <c r="AO36" s="13">
        <f t="shared" si="15"/>
        <v>52</v>
      </c>
      <c r="AP36" s="13">
        <f t="shared" si="15"/>
        <v>27</v>
      </c>
      <c r="AQ36" s="13">
        <f t="shared" si="15"/>
        <v>39</v>
      </c>
      <c r="AR36" s="13">
        <f t="shared" si="15"/>
        <v>63</v>
      </c>
      <c r="AS36" s="13">
        <f t="shared" si="15"/>
        <v>48</v>
      </c>
      <c r="AT36" s="13">
        <f t="shared" si="15"/>
        <v>64</v>
      </c>
      <c r="AU36" s="13">
        <f t="shared" si="15"/>
        <v>38</v>
      </c>
      <c r="AV36" s="13">
        <f t="shared" si="15"/>
        <v>47</v>
      </c>
      <c r="AW36" s="13">
        <f t="shared" si="15"/>
        <v>61</v>
      </c>
      <c r="AX36" s="13">
        <f t="shared" si="15"/>
        <v>71</v>
      </c>
      <c r="AY36" s="13">
        <f t="shared" si="15"/>
        <v>54</v>
      </c>
      <c r="AZ36" s="13">
        <f t="shared" si="15"/>
        <v>53</v>
      </c>
      <c r="BA36" s="13">
        <f t="shared" si="15"/>
        <v>59</v>
      </c>
      <c r="BB36" s="13">
        <f t="shared" si="15"/>
        <v>53</v>
      </c>
      <c r="BC36" s="13">
        <f t="shared" si="14"/>
        <v>2868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19"/>
      <c r="P37" s="19"/>
      <c r="Q37" s="19"/>
      <c r="R37" s="19"/>
      <c r="S37" s="59"/>
      <c r="T37" s="19"/>
      <c r="U37" s="19"/>
      <c r="V37" s="19"/>
      <c r="W37" s="19"/>
      <c r="X37" s="59"/>
      <c r="Y37" s="19"/>
      <c r="Z37" s="19"/>
      <c r="AA37" s="19"/>
      <c r="AB37" s="19"/>
      <c r="AC37" s="59"/>
      <c r="AD37" s="19"/>
      <c r="AE37" s="19"/>
      <c r="AF37" s="19"/>
      <c r="AG37" s="19"/>
      <c r="AH37" s="59"/>
      <c r="AI37" s="19"/>
      <c r="AJ37" s="19"/>
      <c r="AK37" s="19"/>
      <c r="AL37" s="19"/>
      <c r="AM37" s="59"/>
      <c r="AN37" s="19"/>
      <c r="AO37" s="19"/>
      <c r="AP37" s="19"/>
      <c r="AQ37" s="19"/>
      <c r="AR37" s="59"/>
      <c r="AS37" s="19"/>
      <c r="AT37" s="19"/>
      <c r="AU37" s="19"/>
      <c r="AV37" s="19"/>
      <c r="AW37" s="59"/>
      <c r="AX37" s="19"/>
      <c r="AY37" s="19"/>
      <c r="AZ37" s="19"/>
      <c r="BA37" s="19"/>
      <c r="BB37" s="59"/>
      <c r="BC37" s="6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13"/>
      <c r="Q38" s="13"/>
      <c r="R38" s="13"/>
      <c r="S38" s="61"/>
      <c r="T38" s="13"/>
      <c r="U38" s="13"/>
      <c r="V38" s="13"/>
      <c r="W38" s="13"/>
      <c r="X38" s="61"/>
      <c r="Y38" s="13"/>
      <c r="Z38" s="13"/>
      <c r="AA38" s="13"/>
      <c r="AB38" s="13"/>
      <c r="AC38" s="61"/>
      <c r="AD38" s="13"/>
      <c r="AE38" s="13"/>
      <c r="AF38" s="13"/>
      <c r="AG38" s="13"/>
      <c r="AH38" s="61"/>
      <c r="AI38" s="13"/>
      <c r="AJ38" s="13"/>
      <c r="AK38" s="13"/>
      <c r="AL38" s="13"/>
      <c r="AM38" s="61"/>
      <c r="AN38" s="13"/>
      <c r="AO38" s="13"/>
      <c r="AP38" s="13"/>
      <c r="AQ38" s="13"/>
      <c r="AR38" s="61"/>
      <c r="AS38" s="13"/>
      <c r="AT38" s="13"/>
      <c r="AU38" s="13"/>
      <c r="AV38" s="13"/>
      <c r="AW38" s="61"/>
      <c r="AX38" s="13"/>
      <c r="AY38" s="13"/>
      <c r="AZ38" s="13"/>
      <c r="BA38" s="13"/>
      <c r="BB38" s="61"/>
      <c r="BC38" s="60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1.0</v>
      </c>
      <c r="G39" s="19">
        <v>0.0</v>
      </c>
      <c r="H39" s="19">
        <v>1.0</v>
      </c>
      <c r="I39" s="19">
        <v>0.0</v>
      </c>
      <c r="J39" s="19">
        <v>0.0</v>
      </c>
      <c r="K39" s="19">
        <v>1.0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1.0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1.0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1.0</v>
      </c>
      <c r="AI39" s="19">
        <v>0.0</v>
      </c>
      <c r="AJ39" s="19">
        <v>0.0</v>
      </c>
      <c r="AK39" s="19">
        <v>0.0</v>
      </c>
      <c r="AL39" s="19">
        <v>0.0</v>
      </c>
      <c r="AM39" s="19">
        <v>0.0</v>
      </c>
      <c r="AN39" s="19">
        <v>4.0</v>
      </c>
      <c r="AO39" s="19">
        <v>0.0</v>
      </c>
      <c r="AP39" s="19">
        <v>0.0</v>
      </c>
      <c r="AQ39" s="19">
        <v>0.0</v>
      </c>
      <c r="AR39" s="19">
        <v>0.0</v>
      </c>
      <c r="AS39" s="19">
        <v>0.0</v>
      </c>
      <c r="AT39" s="19">
        <v>0.0</v>
      </c>
      <c r="AU39" s="19">
        <v>0.0</v>
      </c>
      <c r="AV39" s="19">
        <v>0.0</v>
      </c>
      <c r="AW39" s="19">
        <v>0.0</v>
      </c>
      <c r="AX39" s="19"/>
      <c r="AY39" s="19"/>
      <c r="AZ39" s="19"/>
      <c r="BA39" s="19">
        <v>1.0</v>
      </c>
      <c r="BB39" s="19"/>
      <c r="BC39" s="13">
        <f t="shared" ref="BC39:BC41" si="16">SUM(E39:BB39)</f>
        <v>12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1.0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1.0</v>
      </c>
      <c r="O40" s="19">
        <v>1.0</v>
      </c>
      <c r="P40" s="19">
        <v>0.0</v>
      </c>
      <c r="Q40" s="19">
        <v>0.0</v>
      </c>
      <c r="R40" s="19">
        <v>0.0</v>
      </c>
      <c r="S40" s="19">
        <v>2.0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1.0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2.0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0.0</v>
      </c>
      <c r="AU40" s="19">
        <v>0.0</v>
      </c>
      <c r="AV40" s="19">
        <v>0.0</v>
      </c>
      <c r="AW40" s="19">
        <v>0.0</v>
      </c>
      <c r="AX40" s="19"/>
      <c r="AY40" s="19"/>
      <c r="AZ40" s="19"/>
      <c r="BA40" s="19">
        <v>1.0</v>
      </c>
      <c r="BB40" s="19"/>
      <c r="BC40" s="13">
        <f t="shared" si="16"/>
        <v>9</v>
      </c>
    </row>
    <row r="41" ht="12.75" customHeight="1">
      <c r="A41" s="41"/>
      <c r="B41" s="44"/>
      <c r="C41" s="28"/>
      <c r="D41" s="13" t="s">
        <v>14</v>
      </c>
      <c r="E41" s="13">
        <f t="shared" ref="E41:BB41" si="17">SUM(E39:E40)</f>
        <v>1</v>
      </c>
      <c r="F41" s="13">
        <f t="shared" si="17"/>
        <v>1</v>
      </c>
      <c r="G41" s="13">
        <f t="shared" si="17"/>
        <v>0</v>
      </c>
      <c r="H41" s="13">
        <f t="shared" si="17"/>
        <v>2</v>
      </c>
      <c r="I41" s="13">
        <f t="shared" si="17"/>
        <v>0</v>
      </c>
      <c r="J41" s="13">
        <f t="shared" si="17"/>
        <v>0</v>
      </c>
      <c r="K41" s="13">
        <f t="shared" si="17"/>
        <v>1</v>
      </c>
      <c r="L41" s="13">
        <f t="shared" si="17"/>
        <v>0</v>
      </c>
      <c r="M41" s="13">
        <f t="shared" si="17"/>
        <v>0</v>
      </c>
      <c r="N41" s="13">
        <f t="shared" si="17"/>
        <v>1</v>
      </c>
      <c r="O41" s="13">
        <f t="shared" si="17"/>
        <v>1</v>
      </c>
      <c r="P41" s="13">
        <f t="shared" si="17"/>
        <v>0</v>
      </c>
      <c r="Q41" s="13">
        <f t="shared" si="17"/>
        <v>0</v>
      </c>
      <c r="R41" s="13">
        <f t="shared" si="17"/>
        <v>0</v>
      </c>
      <c r="S41" s="13">
        <f t="shared" si="17"/>
        <v>3</v>
      </c>
      <c r="T41" s="13">
        <f t="shared" si="17"/>
        <v>0</v>
      </c>
      <c r="U41" s="13">
        <f t="shared" si="17"/>
        <v>0</v>
      </c>
      <c r="V41" s="13">
        <f t="shared" si="17"/>
        <v>0</v>
      </c>
      <c r="W41" s="13">
        <f t="shared" si="17"/>
        <v>0</v>
      </c>
      <c r="X41" s="13">
        <f t="shared" si="17"/>
        <v>0</v>
      </c>
      <c r="Y41" s="13">
        <f t="shared" si="17"/>
        <v>1</v>
      </c>
      <c r="Z41" s="13">
        <f t="shared" si="17"/>
        <v>0</v>
      </c>
      <c r="AA41" s="13">
        <f t="shared" si="17"/>
        <v>1</v>
      </c>
      <c r="AB41" s="13">
        <f t="shared" si="17"/>
        <v>0</v>
      </c>
      <c r="AC41" s="13">
        <f t="shared" si="17"/>
        <v>0</v>
      </c>
      <c r="AD41" s="13">
        <f t="shared" si="17"/>
        <v>0</v>
      </c>
      <c r="AE41" s="13">
        <f t="shared" si="17"/>
        <v>0</v>
      </c>
      <c r="AF41" s="13">
        <f t="shared" si="17"/>
        <v>0</v>
      </c>
      <c r="AG41" s="13">
        <f t="shared" si="17"/>
        <v>0</v>
      </c>
      <c r="AH41" s="13">
        <f t="shared" si="17"/>
        <v>1</v>
      </c>
      <c r="AI41" s="13">
        <f t="shared" si="17"/>
        <v>0</v>
      </c>
      <c r="AJ41" s="13">
        <f t="shared" si="17"/>
        <v>0</v>
      </c>
      <c r="AK41" s="13">
        <f t="shared" si="17"/>
        <v>0</v>
      </c>
      <c r="AL41" s="13">
        <f t="shared" si="17"/>
        <v>0</v>
      </c>
      <c r="AM41" s="13">
        <f t="shared" si="17"/>
        <v>0</v>
      </c>
      <c r="AN41" s="13">
        <f t="shared" si="17"/>
        <v>6</v>
      </c>
      <c r="AO41" s="13">
        <f t="shared" si="17"/>
        <v>0</v>
      </c>
      <c r="AP41" s="13">
        <f t="shared" si="17"/>
        <v>0</v>
      </c>
      <c r="AQ41" s="13">
        <f t="shared" si="17"/>
        <v>0</v>
      </c>
      <c r="AR41" s="13">
        <f t="shared" si="17"/>
        <v>0</v>
      </c>
      <c r="AS41" s="13">
        <f t="shared" si="17"/>
        <v>0</v>
      </c>
      <c r="AT41" s="13">
        <f t="shared" si="17"/>
        <v>0</v>
      </c>
      <c r="AU41" s="13">
        <f t="shared" si="17"/>
        <v>0</v>
      </c>
      <c r="AV41" s="13">
        <f t="shared" si="17"/>
        <v>0</v>
      </c>
      <c r="AW41" s="13">
        <f t="shared" si="17"/>
        <v>0</v>
      </c>
      <c r="AX41" s="13">
        <f t="shared" si="17"/>
        <v>0</v>
      </c>
      <c r="AY41" s="13">
        <f t="shared" si="17"/>
        <v>0</v>
      </c>
      <c r="AZ41" s="13">
        <f t="shared" si="17"/>
        <v>0</v>
      </c>
      <c r="BA41" s="13">
        <f t="shared" si="17"/>
        <v>2</v>
      </c>
      <c r="BB41" s="13">
        <f t="shared" si="17"/>
        <v>0</v>
      </c>
      <c r="BC41" s="13">
        <f t="shared" si="16"/>
        <v>21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19"/>
      <c r="Q42" s="19"/>
      <c r="R42" s="19"/>
      <c r="S42" s="59"/>
      <c r="T42" s="19"/>
      <c r="U42" s="19"/>
      <c r="V42" s="19"/>
      <c r="W42" s="19"/>
      <c r="X42" s="59"/>
      <c r="Y42" s="19"/>
      <c r="Z42" s="19"/>
      <c r="AA42" s="19"/>
      <c r="AB42" s="19"/>
      <c r="AC42" s="59"/>
      <c r="AD42" s="19"/>
      <c r="AE42" s="19"/>
      <c r="AF42" s="19"/>
      <c r="AG42" s="19"/>
      <c r="AH42" s="59"/>
      <c r="AI42" s="19"/>
      <c r="AJ42" s="19"/>
      <c r="AK42" s="19"/>
      <c r="AL42" s="19"/>
      <c r="AM42" s="59"/>
      <c r="AN42" s="19"/>
      <c r="AO42" s="19"/>
      <c r="AP42" s="19"/>
      <c r="AQ42" s="19"/>
      <c r="AR42" s="59"/>
      <c r="AS42" s="19"/>
      <c r="AT42" s="19"/>
      <c r="AU42" s="19"/>
      <c r="AV42" s="19"/>
      <c r="AW42" s="59"/>
      <c r="AX42" s="19"/>
      <c r="AY42" s="19"/>
      <c r="AZ42" s="19"/>
      <c r="BA42" s="19"/>
      <c r="BB42" s="59"/>
      <c r="BC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  <c r="Q43" s="13"/>
      <c r="R43" s="13"/>
      <c r="S43" s="61"/>
      <c r="T43" s="13"/>
      <c r="U43" s="13"/>
      <c r="V43" s="13"/>
      <c r="W43" s="13"/>
      <c r="X43" s="61"/>
      <c r="Y43" s="13"/>
      <c r="Z43" s="13"/>
      <c r="AA43" s="13"/>
      <c r="AB43" s="13"/>
      <c r="AC43" s="61"/>
      <c r="AD43" s="13"/>
      <c r="AE43" s="13"/>
      <c r="AF43" s="13"/>
      <c r="AG43" s="13"/>
      <c r="AH43" s="61"/>
      <c r="AI43" s="13"/>
      <c r="AJ43" s="13"/>
      <c r="AK43" s="13"/>
      <c r="AL43" s="13"/>
      <c r="AM43" s="61"/>
      <c r="AN43" s="13"/>
      <c r="AO43" s="13"/>
      <c r="AP43" s="13"/>
      <c r="AQ43" s="13"/>
      <c r="AR43" s="61"/>
      <c r="AS43" s="13"/>
      <c r="AT43" s="13"/>
      <c r="AU43" s="13"/>
      <c r="AV43" s="13"/>
      <c r="AW43" s="61"/>
      <c r="AX43" s="13"/>
      <c r="AY43" s="13"/>
      <c r="AZ43" s="13"/>
      <c r="BA43" s="13"/>
      <c r="BB43" s="61"/>
      <c r="BC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9"/>
      <c r="Q44" s="19"/>
      <c r="R44" s="19"/>
      <c r="S44" s="59"/>
      <c r="T44" s="19"/>
      <c r="U44" s="19"/>
      <c r="V44" s="19"/>
      <c r="W44" s="19"/>
      <c r="X44" s="59"/>
      <c r="Y44" s="19"/>
      <c r="Z44" s="19"/>
      <c r="AA44" s="19"/>
      <c r="AB44" s="19"/>
      <c r="AC44" s="59"/>
      <c r="AD44" s="19"/>
      <c r="AE44" s="19"/>
      <c r="AF44" s="19"/>
      <c r="AG44" s="19"/>
      <c r="AH44" s="59"/>
      <c r="AI44" s="19"/>
      <c r="AJ44" s="19"/>
      <c r="AK44" s="19"/>
      <c r="AL44" s="19"/>
      <c r="AM44" s="59"/>
      <c r="AN44" s="19"/>
      <c r="AO44" s="19"/>
      <c r="AP44" s="19"/>
      <c r="AQ44" s="19"/>
      <c r="AR44" s="59"/>
      <c r="AS44" s="19"/>
      <c r="AT44" s="19"/>
      <c r="AU44" s="19"/>
      <c r="AV44" s="19"/>
      <c r="AW44" s="59"/>
      <c r="AX44" s="19"/>
      <c r="AY44" s="19"/>
      <c r="AZ44" s="19"/>
      <c r="BA44" s="19"/>
      <c r="BB44" s="59"/>
      <c r="BC44" s="13"/>
    </row>
    <row r="45" ht="12.75" customHeight="1">
      <c r="A45" s="62"/>
      <c r="B45" s="47">
        <v>1.0</v>
      </c>
      <c r="C45" s="48" t="s">
        <v>37</v>
      </c>
      <c r="D45" s="16"/>
      <c r="E45" s="19">
        <v>26.0</v>
      </c>
      <c r="F45" s="19">
        <v>26.0</v>
      </c>
      <c r="G45" s="19">
        <v>16.0</v>
      </c>
      <c r="H45" s="19">
        <v>32.0</v>
      </c>
      <c r="I45" s="19">
        <v>8.0</v>
      </c>
      <c r="J45" s="19">
        <v>12.0</v>
      </c>
      <c r="K45" s="19">
        <v>14.0</v>
      </c>
      <c r="L45" s="19">
        <v>23.0</v>
      </c>
      <c r="M45" s="19">
        <v>26.0</v>
      </c>
      <c r="N45" s="19">
        <v>16.0</v>
      </c>
      <c r="O45" s="19">
        <v>50.0</v>
      </c>
      <c r="P45" s="19">
        <v>26.0</v>
      </c>
      <c r="Q45" s="19">
        <v>28.0</v>
      </c>
      <c r="R45" s="19">
        <v>36.0</v>
      </c>
      <c r="S45" s="19">
        <v>38.0</v>
      </c>
      <c r="T45" s="19">
        <v>38.0</v>
      </c>
      <c r="U45" s="19">
        <v>52.0</v>
      </c>
      <c r="V45" s="19">
        <v>18.0</v>
      </c>
      <c r="W45" s="19">
        <v>30.0</v>
      </c>
      <c r="X45" s="19">
        <v>47.0</v>
      </c>
      <c r="Y45" s="19">
        <v>53.0</v>
      </c>
      <c r="Z45" s="19">
        <v>34.0</v>
      </c>
      <c r="AA45" s="19">
        <v>49.0</v>
      </c>
      <c r="AB45" s="19">
        <v>39.0</v>
      </c>
      <c r="AC45" s="19">
        <v>24.0</v>
      </c>
      <c r="AD45" s="19">
        <v>37.0</v>
      </c>
      <c r="AE45" s="19">
        <v>15.0</v>
      </c>
      <c r="AF45" s="19">
        <v>20.0</v>
      </c>
      <c r="AG45" s="19">
        <v>30.0</v>
      </c>
      <c r="AH45" s="19">
        <v>65.0</v>
      </c>
      <c r="AI45" s="19">
        <v>74.0</v>
      </c>
      <c r="AJ45" s="19">
        <v>63.0</v>
      </c>
      <c r="AK45" s="19">
        <v>58.0</v>
      </c>
      <c r="AL45" s="19">
        <v>26.0</v>
      </c>
      <c r="AM45" s="19">
        <v>39.0</v>
      </c>
      <c r="AN45" s="19">
        <v>25.0</v>
      </c>
      <c r="AO45" s="19">
        <v>48.0</v>
      </c>
      <c r="AP45" s="19">
        <v>41.0</v>
      </c>
      <c r="AQ45" s="19">
        <v>43.0</v>
      </c>
      <c r="AR45" s="19">
        <v>15.0</v>
      </c>
      <c r="AS45" s="19">
        <v>24.0</v>
      </c>
      <c r="AT45" s="19">
        <v>31.0</v>
      </c>
      <c r="AU45" s="19">
        <v>14.0</v>
      </c>
      <c r="AV45" s="19">
        <v>52.0</v>
      </c>
      <c r="AW45" s="19">
        <v>38.0</v>
      </c>
      <c r="AX45" s="19">
        <v>37.0</v>
      </c>
      <c r="AY45" s="19">
        <v>14.0</v>
      </c>
      <c r="AZ45" s="19">
        <v>20.0</v>
      </c>
      <c r="BA45" s="19">
        <v>12.0</v>
      </c>
      <c r="BB45" s="19">
        <v>35.0</v>
      </c>
      <c r="BC45" s="13">
        <f t="shared" ref="BC45:BC47" si="18">SUM(E45:BB45)</f>
        <v>1637</v>
      </c>
    </row>
    <row r="46" ht="12.75" customHeight="1">
      <c r="A46" s="18"/>
      <c r="B46" s="47">
        <v>2.0</v>
      </c>
      <c r="C46" s="48" t="s">
        <v>38</v>
      </c>
      <c r="D46" s="16"/>
      <c r="E46" s="19">
        <v>147.0</v>
      </c>
      <c r="F46" s="19">
        <v>120.0</v>
      </c>
      <c r="G46" s="19">
        <v>76.0</v>
      </c>
      <c r="H46" s="19">
        <v>116.0</v>
      </c>
      <c r="I46" s="19">
        <v>64.0</v>
      </c>
      <c r="J46" s="19">
        <v>120.0</v>
      </c>
      <c r="K46" s="19">
        <v>156.0</v>
      </c>
      <c r="L46" s="19">
        <v>131.0</v>
      </c>
      <c r="M46" s="19">
        <v>151.0</v>
      </c>
      <c r="N46" s="19">
        <v>130.0</v>
      </c>
      <c r="O46" s="19">
        <v>95.0</v>
      </c>
      <c r="P46" s="19">
        <v>107.0</v>
      </c>
      <c r="Q46" s="19">
        <v>98.0</v>
      </c>
      <c r="R46" s="19">
        <v>184.0</v>
      </c>
      <c r="S46" s="19">
        <v>164.0</v>
      </c>
      <c r="T46" s="19">
        <v>155.0</v>
      </c>
      <c r="U46" s="19">
        <v>145.0</v>
      </c>
      <c r="V46" s="19">
        <v>115.0</v>
      </c>
      <c r="W46" s="19">
        <v>97.0</v>
      </c>
      <c r="X46" s="19">
        <v>112.0</v>
      </c>
      <c r="Y46" s="19">
        <v>107.0</v>
      </c>
      <c r="Z46" s="19">
        <v>133.0</v>
      </c>
      <c r="AA46" s="19">
        <v>143.0</v>
      </c>
      <c r="AB46" s="19">
        <v>135.0</v>
      </c>
      <c r="AC46" s="19">
        <v>154.0</v>
      </c>
      <c r="AD46" s="19">
        <v>108.0</v>
      </c>
      <c r="AE46" s="19">
        <v>129.0</v>
      </c>
      <c r="AF46" s="19">
        <v>151.0</v>
      </c>
      <c r="AG46" s="19">
        <v>181.0</v>
      </c>
      <c r="AH46" s="19">
        <v>141.0</v>
      </c>
      <c r="AI46" s="19">
        <v>143.0</v>
      </c>
      <c r="AJ46" s="19">
        <v>126.0</v>
      </c>
      <c r="AK46" s="19">
        <v>128.0</v>
      </c>
      <c r="AL46" s="19">
        <v>159.0</v>
      </c>
      <c r="AM46" s="19">
        <v>123.0</v>
      </c>
      <c r="AN46" s="19">
        <v>149.0</v>
      </c>
      <c r="AO46" s="19">
        <v>147.0</v>
      </c>
      <c r="AP46" s="19">
        <v>96.0</v>
      </c>
      <c r="AQ46" s="19">
        <v>85.0</v>
      </c>
      <c r="AR46" s="19">
        <v>154.0</v>
      </c>
      <c r="AS46" s="19">
        <v>125.0</v>
      </c>
      <c r="AT46" s="19">
        <v>156.0</v>
      </c>
      <c r="AU46" s="19">
        <v>94.0</v>
      </c>
      <c r="AV46" s="19">
        <v>135.0</v>
      </c>
      <c r="AW46" s="19">
        <v>141.0</v>
      </c>
      <c r="AX46" s="19">
        <v>156.0</v>
      </c>
      <c r="AY46" s="19">
        <v>159.0</v>
      </c>
      <c r="AZ46" s="19">
        <v>158.0</v>
      </c>
      <c r="BA46" s="19">
        <v>101.0</v>
      </c>
      <c r="BB46" s="19">
        <v>142.0</v>
      </c>
      <c r="BC46" s="13">
        <f t="shared" si="18"/>
        <v>6542</v>
      </c>
    </row>
    <row r="47" ht="12.75" customHeight="1">
      <c r="A47" s="45"/>
      <c r="B47" s="47">
        <v>3.0</v>
      </c>
      <c r="C47" s="48" t="s">
        <v>39</v>
      </c>
      <c r="D47" s="16"/>
      <c r="E47" s="19">
        <v>45.0</v>
      </c>
      <c r="F47" s="19">
        <v>35.0</v>
      </c>
      <c r="G47" s="19">
        <v>42.0</v>
      </c>
      <c r="H47" s="19">
        <v>55.0</v>
      </c>
      <c r="I47" s="19">
        <v>31.0</v>
      </c>
      <c r="J47" s="19">
        <v>56.0</v>
      </c>
      <c r="K47" s="19">
        <v>67.0</v>
      </c>
      <c r="L47" s="19">
        <v>34.0</v>
      </c>
      <c r="M47" s="19">
        <v>39.0</v>
      </c>
      <c r="N47" s="19">
        <v>73.0</v>
      </c>
      <c r="O47" s="19">
        <v>49.0</v>
      </c>
      <c r="P47" s="19">
        <v>43.0</v>
      </c>
      <c r="Q47" s="19">
        <v>44.0</v>
      </c>
      <c r="R47" s="19">
        <v>28.0</v>
      </c>
      <c r="S47" s="19">
        <v>46.0</v>
      </c>
      <c r="T47" s="19">
        <v>39.0</v>
      </c>
      <c r="U47" s="19">
        <v>39.0</v>
      </c>
      <c r="V47" s="19">
        <v>36.0</v>
      </c>
      <c r="W47" s="19">
        <v>59.0</v>
      </c>
      <c r="X47" s="19">
        <v>32.0</v>
      </c>
      <c r="Y47" s="19">
        <v>38.0</v>
      </c>
      <c r="Z47" s="19">
        <v>52.0</v>
      </c>
      <c r="AA47" s="19">
        <v>46.0</v>
      </c>
      <c r="AB47" s="19">
        <v>45.0</v>
      </c>
      <c r="AC47" s="19">
        <v>39.0</v>
      </c>
      <c r="AD47" s="19">
        <v>27.0</v>
      </c>
      <c r="AE47" s="19">
        <v>65.0</v>
      </c>
      <c r="AF47" s="19">
        <v>41.0</v>
      </c>
      <c r="AG47" s="19">
        <v>26.0</v>
      </c>
      <c r="AH47" s="19">
        <v>18.0</v>
      </c>
      <c r="AI47" s="19">
        <v>9.0</v>
      </c>
      <c r="AJ47" s="19">
        <v>25.0</v>
      </c>
      <c r="AK47" s="19">
        <v>53.0</v>
      </c>
      <c r="AL47" s="19">
        <v>40.0</v>
      </c>
      <c r="AM47" s="19">
        <v>28.0</v>
      </c>
      <c r="AN47" s="19">
        <v>53.0</v>
      </c>
      <c r="AO47" s="19">
        <v>35.0</v>
      </c>
      <c r="AP47" s="19">
        <v>25.0</v>
      </c>
      <c r="AQ47" s="19">
        <v>18.0</v>
      </c>
      <c r="AR47" s="19">
        <v>19.0</v>
      </c>
      <c r="AS47" s="19">
        <v>44.0</v>
      </c>
      <c r="AT47" s="19">
        <v>31.0</v>
      </c>
      <c r="AU47" s="19">
        <v>28.0</v>
      </c>
      <c r="AV47" s="19">
        <v>31.0</v>
      </c>
      <c r="AW47" s="19">
        <v>43.0</v>
      </c>
      <c r="AX47" s="19">
        <v>33.0</v>
      </c>
      <c r="AY47" s="19">
        <v>42.0</v>
      </c>
      <c r="AZ47" s="19">
        <v>27.0</v>
      </c>
      <c r="BA47" s="19">
        <v>40.0</v>
      </c>
      <c r="BB47" s="19">
        <v>32.0</v>
      </c>
      <c r="BC47" s="13">
        <f t="shared" si="18"/>
        <v>1945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13"/>
      <c r="P49" s="13"/>
      <c r="Q49" s="13"/>
      <c r="R49" s="13"/>
      <c r="S49" s="61"/>
      <c r="T49" s="13"/>
      <c r="U49" s="13"/>
      <c r="V49" s="13"/>
      <c r="W49" s="13"/>
      <c r="X49" s="61"/>
      <c r="Y49" s="13"/>
      <c r="Z49" s="13"/>
      <c r="AA49" s="13"/>
      <c r="AB49" s="13"/>
      <c r="AC49" s="61"/>
      <c r="AD49" s="13"/>
      <c r="AE49" s="13"/>
      <c r="AF49" s="13"/>
      <c r="AG49" s="13"/>
      <c r="AH49" s="61"/>
      <c r="AI49" s="13"/>
      <c r="AJ49" s="13"/>
      <c r="AK49" s="13"/>
      <c r="AL49" s="13"/>
      <c r="AM49" s="61"/>
      <c r="AN49" s="13"/>
      <c r="AO49" s="13"/>
      <c r="AP49" s="13"/>
      <c r="AQ49" s="13"/>
      <c r="AR49" s="61"/>
      <c r="AS49" s="13"/>
      <c r="AT49" s="13"/>
      <c r="AU49" s="13"/>
      <c r="AV49" s="13"/>
      <c r="AW49" s="61"/>
      <c r="AX49" s="13"/>
      <c r="AY49" s="13"/>
      <c r="AZ49" s="13"/>
      <c r="BA49" s="13"/>
      <c r="BB49" s="61"/>
      <c r="BC49" s="13"/>
    </row>
    <row r="50" ht="12.75" customHeight="1">
      <c r="A50" s="42"/>
      <c r="B50" s="54" t="s">
        <v>42</v>
      </c>
      <c r="C50" s="55" t="s">
        <v>43</v>
      </c>
      <c r="D50" s="16"/>
      <c r="E50" s="19">
        <f t="shared" ref="E50:BB50" si="19">SUM(E45:E47)</f>
        <v>218</v>
      </c>
      <c r="F50" s="19">
        <f t="shared" si="19"/>
        <v>181</v>
      </c>
      <c r="G50" s="19">
        <f t="shared" si="19"/>
        <v>134</v>
      </c>
      <c r="H50" s="19">
        <f t="shared" si="19"/>
        <v>203</v>
      </c>
      <c r="I50" s="19">
        <f t="shared" si="19"/>
        <v>103</v>
      </c>
      <c r="J50" s="19">
        <f t="shared" si="19"/>
        <v>188</v>
      </c>
      <c r="K50" s="19">
        <f t="shared" si="19"/>
        <v>237</v>
      </c>
      <c r="L50" s="19">
        <f t="shared" si="19"/>
        <v>188</v>
      </c>
      <c r="M50" s="19">
        <f t="shared" si="19"/>
        <v>216</v>
      </c>
      <c r="N50" s="19">
        <f t="shared" si="19"/>
        <v>219</v>
      </c>
      <c r="O50" s="19">
        <f t="shared" si="19"/>
        <v>194</v>
      </c>
      <c r="P50" s="19">
        <f t="shared" si="19"/>
        <v>176</v>
      </c>
      <c r="Q50" s="19">
        <f t="shared" si="19"/>
        <v>170</v>
      </c>
      <c r="R50" s="19">
        <f t="shared" si="19"/>
        <v>248</v>
      </c>
      <c r="S50" s="19">
        <f t="shared" si="19"/>
        <v>248</v>
      </c>
      <c r="T50" s="19">
        <f t="shared" si="19"/>
        <v>232</v>
      </c>
      <c r="U50" s="19">
        <f t="shared" si="19"/>
        <v>236</v>
      </c>
      <c r="V50" s="19">
        <f t="shared" si="19"/>
        <v>169</v>
      </c>
      <c r="W50" s="19">
        <f t="shared" si="19"/>
        <v>186</v>
      </c>
      <c r="X50" s="19">
        <f t="shared" si="19"/>
        <v>191</v>
      </c>
      <c r="Y50" s="19">
        <f t="shared" si="19"/>
        <v>198</v>
      </c>
      <c r="Z50" s="19">
        <f t="shared" si="19"/>
        <v>219</v>
      </c>
      <c r="AA50" s="19">
        <f t="shared" si="19"/>
        <v>238</v>
      </c>
      <c r="AB50" s="19">
        <f t="shared" si="19"/>
        <v>219</v>
      </c>
      <c r="AC50" s="19">
        <f t="shared" si="19"/>
        <v>217</v>
      </c>
      <c r="AD50" s="19">
        <f t="shared" si="19"/>
        <v>172</v>
      </c>
      <c r="AE50" s="19">
        <f t="shared" si="19"/>
        <v>209</v>
      </c>
      <c r="AF50" s="19">
        <f t="shared" si="19"/>
        <v>212</v>
      </c>
      <c r="AG50" s="19">
        <f t="shared" si="19"/>
        <v>237</v>
      </c>
      <c r="AH50" s="19">
        <f t="shared" si="19"/>
        <v>224</v>
      </c>
      <c r="AI50" s="19">
        <f t="shared" si="19"/>
        <v>226</v>
      </c>
      <c r="AJ50" s="19">
        <f t="shared" si="19"/>
        <v>214</v>
      </c>
      <c r="AK50" s="19">
        <f t="shared" si="19"/>
        <v>239</v>
      </c>
      <c r="AL50" s="19">
        <f t="shared" si="19"/>
        <v>225</v>
      </c>
      <c r="AM50" s="19">
        <f t="shared" si="19"/>
        <v>190</v>
      </c>
      <c r="AN50" s="19">
        <f t="shared" si="19"/>
        <v>227</v>
      </c>
      <c r="AO50" s="19">
        <f t="shared" si="19"/>
        <v>230</v>
      </c>
      <c r="AP50" s="19">
        <f t="shared" si="19"/>
        <v>162</v>
      </c>
      <c r="AQ50" s="19">
        <f t="shared" si="19"/>
        <v>146</v>
      </c>
      <c r="AR50" s="19">
        <f t="shared" si="19"/>
        <v>188</v>
      </c>
      <c r="AS50" s="19">
        <f t="shared" si="19"/>
        <v>193</v>
      </c>
      <c r="AT50" s="19">
        <f t="shared" si="19"/>
        <v>218</v>
      </c>
      <c r="AU50" s="19">
        <f t="shared" si="19"/>
        <v>136</v>
      </c>
      <c r="AV50" s="19">
        <f t="shared" si="19"/>
        <v>218</v>
      </c>
      <c r="AW50" s="19">
        <f t="shared" si="19"/>
        <v>222</v>
      </c>
      <c r="AX50" s="19">
        <f t="shared" si="19"/>
        <v>226</v>
      </c>
      <c r="AY50" s="19">
        <f t="shared" si="19"/>
        <v>215</v>
      </c>
      <c r="AZ50" s="19">
        <f t="shared" si="19"/>
        <v>205</v>
      </c>
      <c r="BA50" s="19">
        <f t="shared" si="19"/>
        <v>153</v>
      </c>
      <c r="BB50" s="19">
        <f t="shared" si="19"/>
        <v>209</v>
      </c>
      <c r="BC50" s="13">
        <f t="shared" ref="BC50:BC52" si="20">SUM(E50:BB50)</f>
        <v>10124</v>
      </c>
    </row>
    <row r="51" ht="12.75" customHeight="1">
      <c r="A51" s="35"/>
      <c r="B51" s="54" t="s">
        <v>44</v>
      </c>
      <c r="C51" s="55" t="s">
        <v>45</v>
      </c>
      <c r="D51" s="16"/>
      <c r="E51" s="19">
        <v>4.0</v>
      </c>
      <c r="F51" s="19"/>
      <c r="G51" s="19">
        <v>7.0</v>
      </c>
      <c r="H51" s="19">
        <v>5.0</v>
      </c>
      <c r="I51" s="19"/>
      <c r="J51" s="19"/>
      <c r="K51" s="19"/>
      <c r="L51" s="19">
        <v>2.0</v>
      </c>
      <c r="M51" s="19">
        <v>4.0</v>
      </c>
      <c r="N51" s="19">
        <v>2.0</v>
      </c>
      <c r="O51" s="19">
        <v>1.0</v>
      </c>
      <c r="P51" s="19">
        <v>5.0</v>
      </c>
      <c r="Q51" s="19"/>
      <c r="R51" s="19">
        <v>4.0</v>
      </c>
      <c r="S51" s="19">
        <v>5.0</v>
      </c>
      <c r="T51" s="19">
        <v>2.0</v>
      </c>
      <c r="U51" s="19">
        <v>5.0</v>
      </c>
      <c r="V51" s="19">
        <v>2.0</v>
      </c>
      <c r="W51" s="19">
        <v>2.0</v>
      </c>
      <c r="X51" s="19">
        <v>6.0</v>
      </c>
      <c r="Y51" s="19">
        <v>1.0</v>
      </c>
      <c r="Z51" s="19">
        <v>6.0</v>
      </c>
      <c r="AA51" s="19">
        <v>1.0</v>
      </c>
      <c r="AB51" s="19">
        <v>3.0</v>
      </c>
      <c r="AC51" s="19">
        <v>4.0</v>
      </c>
      <c r="AD51" s="19">
        <v>3.0</v>
      </c>
      <c r="AE51" s="19">
        <v>1.0</v>
      </c>
      <c r="AF51" s="19">
        <v>3.0</v>
      </c>
      <c r="AG51" s="19">
        <v>1.0</v>
      </c>
      <c r="AH51" s="19">
        <v>2.0</v>
      </c>
      <c r="AI51" s="19">
        <v>3.0</v>
      </c>
      <c r="AJ51" s="19">
        <v>1.0</v>
      </c>
      <c r="AK51" s="19">
        <v>2.0</v>
      </c>
      <c r="AL51" s="19">
        <v>2.0</v>
      </c>
      <c r="AM51" s="19">
        <v>3.0</v>
      </c>
      <c r="AN51" s="19">
        <v>3.0</v>
      </c>
      <c r="AO51" s="19">
        <v>2.0</v>
      </c>
      <c r="AP51" s="19">
        <v>1.0</v>
      </c>
      <c r="AQ51" s="19">
        <v>3.0</v>
      </c>
      <c r="AR51" s="19"/>
      <c r="AS51" s="19">
        <v>1.0</v>
      </c>
      <c r="AT51" s="19">
        <v>6.0</v>
      </c>
      <c r="AU51" s="19">
        <v>2.0</v>
      </c>
      <c r="AV51" s="19">
        <v>4.0</v>
      </c>
      <c r="AW51" s="19">
        <v>4.0</v>
      </c>
      <c r="AX51" s="19">
        <v>6.0</v>
      </c>
      <c r="AY51" s="19">
        <v>6.0</v>
      </c>
      <c r="AZ51" s="19">
        <v>3.0</v>
      </c>
      <c r="BA51" s="19">
        <v>3.0</v>
      </c>
      <c r="BB51" s="19">
        <v>2.0</v>
      </c>
      <c r="BC51" s="13">
        <f t="shared" si="20"/>
        <v>138</v>
      </c>
    </row>
    <row r="52" ht="12.75" customHeight="1">
      <c r="A52" s="41"/>
      <c r="B52" s="54" t="s">
        <v>46</v>
      </c>
      <c r="C52" s="55" t="s">
        <v>47</v>
      </c>
      <c r="D52" s="16"/>
      <c r="E52" s="13">
        <f t="shared" ref="E52:BB52" si="21">SUM(E50:E51)</f>
        <v>222</v>
      </c>
      <c r="F52" s="13">
        <f t="shared" si="21"/>
        <v>181</v>
      </c>
      <c r="G52" s="13">
        <f t="shared" si="21"/>
        <v>141</v>
      </c>
      <c r="H52" s="13">
        <f t="shared" si="21"/>
        <v>208</v>
      </c>
      <c r="I52" s="13">
        <f t="shared" si="21"/>
        <v>103</v>
      </c>
      <c r="J52" s="13">
        <f t="shared" si="21"/>
        <v>188</v>
      </c>
      <c r="K52" s="13">
        <f t="shared" si="21"/>
        <v>237</v>
      </c>
      <c r="L52" s="13">
        <f t="shared" si="21"/>
        <v>190</v>
      </c>
      <c r="M52" s="13">
        <f t="shared" si="21"/>
        <v>220</v>
      </c>
      <c r="N52" s="13">
        <f t="shared" si="21"/>
        <v>221</v>
      </c>
      <c r="O52" s="13">
        <f t="shared" si="21"/>
        <v>195</v>
      </c>
      <c r="P52" s="13">
        <f t="shared" si="21"/>
        <v>181</v>
      </c>
      <c r="Q52" s="13">
        <f t="shared" si="21"/>
        <v>170</v>
      </c>
      <c r="R52" s="13">
        <f t="shared" si="21"/>
        <v>252</v>
      </c>
      <c r="S52" s="13">
        <f t="shared" si="21"/>
        <v>253</v>
      </c>
      <c r="T52" s="13">
        <f t="shared" si="21"/>
        <v>234</v>
      </c>
      <c r="U52" s="13">
        <f t="shared" si="21"/>
        <v>241</v>
      </c>
      <c r="V52" s="13">
        <f t="shared" si="21"/>
        <v>171</v>
      </c>
      <c r="W52" s="13">
        <f t="shared" si="21"/>
        <v>188</v>
      </c>
      <c r="X52" s="13">
        <f t="shared" si="21"/>
        <v>197</v>
      </c>
      <c r="Y52" s="13">
        <f t="shared" si="21"/>
        <v>199</v>
      </c>
      <c r="Z52" s="13">
        <f t="shared" si="21"/>
        <v>225</v>
      </c>
      <c r="AA52" s="13">
        <f t="shared" si="21"/>
        <v>239</v>
      </c>
      <c r="AB52" s="13">
        <f t="shared" si="21"/>
        <v>222</v>
      </c>
      <c r="AC52" s="13">
        <f t="shared" si="21"/>
        <v>221</v>
      </c>
      <c r="AD52" s="13">
        <f t="shared" si="21"/>
        <v>175</v>
      </c>
      <c r="AE52" s="13">
        <f t="shared" si="21"/>
        <v>210</v>
      </c>
      <c r="AF52" s="13">
        <f t="shared" si="21"/>
        <v>215</v>
      </c>
      <c r="AG52" s="13">
        <f t="shared" si="21"/>
        <v>238</v>
      </c>
      <c r="AH52" s="13">
        <f t="shared" si="21"/>
        <v>226</v>
      </c>
      <c r="AI52" s="13">
        <f t="shared" si="21"/>
        <v>229</v>
      </c>
      <c r="AJ52" s="13">
        <f t="shared" si="21"/>
        <v>215</v>
      </c>
      <c r="AK52" s="13">
        <f t="shared" si="21"/>
        <v>241</v>
      </c>
      <c r="AL52" s="13">
        <f t="shared" si="21"/>
        <v>227</v>
      </c>
      <c r="AM52" s="13">
        <f t="shared" si="21"/>
        <v>193</v>
      </c>
      <c r="AN52" s="13">
        <f t="shared" si="21"/>
        <v>230</v>
      </c>
      <c r="AO52" s="13">
        <f t="shared" si="21"/>
        <v>232</v>
      </c>
      <c r="AP52" s="13">
        <f t="shared" si="21"/>
        <v>163</v>
      </c>
      <c r="AQ52" s="13">
        <f t="shared" si="21"/>
        <v>149</v>
      </c>
      <c r="AR52" s="13">
        <f t="shared" si="21"/>
        <v>188</v>
      </c>
      <c r="AS52" s="13">
        <f t="shared" si="21"/>
        <v>194</v>
      </c>
      <c r="AT52" s="13">
        <f t="shared" si="21"/>
        <v>224</v>
      </c>
      <c r="AU52" s="13">
        <f t="shared" si="21"/>
        <v>138</v>
      </c>
      <c r="AV52" s="13">
        <f t="shared" si="21"/>
        <v>222</v>
      </c>
      <c r="AW52" s="13">
        <f t="shared" si="21"/>
        <v>226</v>
      </c>
      <c r="AX52" s="13">
        <f t="shared" si="21"/>
        <v>232</v>
      </c>
      <c r="AY52" s="13">
        <f t="shared" si="21"/>
        <v>221</v>
      </c>
      <c r="AZ52" s="13">
        <f t="shared" si="21"/>
        <v>208</v>
      </c>
      <c r="BA52" s="13">
        <f t="shared" si="21"/>
        <v>156</v>
      </c>
      <c r="BB52" s="13">
        <f t="shared" si="21"/>
        <v>211</v>
      </c>
      <c r="BC52" s="13">
        <f t="shared" si="20"/>
        <v>10262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BB12"/>
    <mergeCell ref="BC12:BC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BB15 E45:BB47">
    <cfRule type="containsBlanks" dxfId="1" priority="1">
      <formula>LEN(TRIM(E14))=0</formula>
    </cfRule>
  </conditionalFormatting>
  <conditionalFormatting sqref="E19:BB20">
    <cfRule type="containsBlanks" dxfId="1" priority="2">
      <formula>LEN(TRIM(E19))=0</formula>
    </cfRule>
  </conditionalFormatting>
  <conditionalFormatting sqref="E22:BB23 E25:BB26 E33:BB33 E35:BB35 E39:BB40">
    <cfRule type="containsBlanks" dxfId="1" priority="3">
      <formula>LEN(TRIM(E22))=0</formula>
    </cfRule>
  </conditionalFormatting>
  <conditionalFormatting sqref="E30:BB30">
    <cfRule type="expression" dxfId="0" priority="4">
      <formula>E30&lt;&gt;E46</formula>
    </cfRule>
  </conditionalFormatting>
  <conditionalFormatting sqref="E30:BB30">
    <cfRule type="expression" dxfId="0" priority="5">
      <formula>E30&lt;&gt;E34</formula>
    </cfRule>
  </conditionalFormatting>
  <conditionalFormatting sqref="E34:BB34">
    <cfRule type="expression" dxfId="2" priority="6">
      <formula>E30&lt;&gt;E34</formula>
    </cfRule>
  </conditionalFormatting>
  <conditionalFormatting sqref="E34:BB34">
    <cfRule type="expression" dxfId="3" priority="7">
      <formula>E30=E34</formula>
    </cfRule>
  </conditionalFormatting>
  <conditionalFormatting sqref="E34:BB34">
    <cfRule type="expression" dxfId="0" priority="8">
      <formula>E34&lt;&gt;E30</formula>
    </cfRule>
  </conditionalFormatting>
  <conditionalFormatting sqref="E34:BB34">
    <cfRule type="expression" dxfId="0" priority="9">
      <formula>E34&lt;&gt;#REF!</formula>
    </cfRule>
  </conditionalFormatting>
  <conditionalFormatting sqref="E50:BB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