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ALASMALANG" sheetId="2" r:id="rId5"/>
    <sheet state="visible" name="BENELAN KIDUL" sheetId="3" r:id="rId6"/>
    <sheet state="visible" name="CANTUK" sheetId="4" r:id="rId7"/>
    <sheet state="visible" name="GAMBOR" sheetId="5" r:id="rId8"/>
    <sheet state="visible" name="GUMIRIH" sheetId="6" r:id="rId9"/>
    <sheet state="visible" name="KEMIRI" sheetId="7" r:id="rId10"/>
    <sheet state="visible" name="LEMAHBANGKULON" sheetId="8" r:id="rId11"/>
    <sheet state="visible" name="PADANG" sheetId="9" r:id="rId12"/>
    <sheet state="visible" name="SINGOJURUH" sheetId="10" r:id="rId13"/>
    <sheet state="visible" name="SINGOLATREN" sheetId="11" r:id="rId14"/>
    <sheet state="visible" name="SUMBERBARU" sheetId="12" r:id="rId15"/>
  </sheets>
  <definedNames/>
  <calcPr/>
  <extLst>
    <ext uri="GoogleSheetsCustomDataVersion2">
      <go:sheetsCustomData xmlns:go="http://customooxmlschemas.google.com/" r:id="rId16" roundtripDataChecksum="34rFNsoU8BBGCnyaK8dH4MiPoFdr2iO+vrt7OU00+FQ="/>
    </ext>
  </extLst>
</workbook>
</file>

<file path=xl/sharedStrings.xml><?xml version="1.0" encoding="utf-8"?>
<sst xmlns="http://schemas.openxmlformats.org/spreadsheetml/2006/main" count="941" uniqueCount="84">
  <si>
    <t>Kecamatan</t>
  </si>
  <si>
    <t>SINGOJURUH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</si>
  <si>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</si>
  <si>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</si>
  <si>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</si>
  <si>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</si>
  <si>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</si>
  <si>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</si>
  <si>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</si>
  <si>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</si>
  <si>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</si>
  <si>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</si>
  <si>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</si>
  <si>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</si>
  <si>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</si>
  <si>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</si>
  <si>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</si>
  <si>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</si>
  <si>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</si>
  <si>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</si>
  <si>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</si>
  <si>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</si>
  <si>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</si>
  <si>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</si>
  <si>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</si>
  <si>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</si>
  <si>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</si>
  <si>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</si>
  <si>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</si>
  <si>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</si>
  <si>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</si>
  <si>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</si>
  <si>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</si>
  <si>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</si>
  <si>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</si>
  <si>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</si>
  <si>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</si>
  <si>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</si>
  <si>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</si>
  <si>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</si>
  <si>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</si>
  <si>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</si>
  <si>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</si>
  <si>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</si>
  <si>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</si>
  <si>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</si>
  <si>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</si>
  <si>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</si>
  <si>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</si>
  <si>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ALASMALANG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</si>
  <si>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</si>
  <si>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</si>
  <si>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</si>
  <si>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</si>
  <si>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</si>
  <si>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</si>
  <si>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</si>
  <si>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</si>
  <si>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</si>
  <si>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</si>
  <si>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</si>
  <si>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</si>
  <si>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</si>
  <si>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</si>
  <si>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</si>
  <si>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</si>
  <si>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</si>
  <si>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BENELAN KIDUL</t>
  </si>
  <si>
    <t>CANTUK</t>
  </si>
  <si>
    <t>GAMBOR</t>
  </si>
  <si>
    <t>ga jelas</t>
  </si>
  <si>
    <t>GUMIRIH</t>
  </si>
  <si>
    <t>KEMIRI</t>
  </si>
  <si>
    <t>LEMAHBANGKULON</t>
  </si>
  <si>
    <t>PADANG</t>
  </si>
  <si>
    <t>TPS 018</t>
  </si>
  <si>
    <t>TPS 019</t>
  </si>
  <si>
    <t>TPS 020</t>
  </si>
  <si>
    <t>TPS 021</t>
  </si>
  <si>
    <t>TPS 022</t>
  </si>
  <si>
    <t>TPS 023</t>
  </si>
  <si>
    <t>TPS 024</t>
  </si>
  <si>
    <t>SINGOLATREN</t>
  </si>
  <si>
    <t>SUMBERBARU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</si>
</sst>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ALASMALANG!V14+'BENELAN KIDUL'!S14+CANTUK!T14+GAMBOR!N14+GUMIRIH!S14+KEMIRI!U14+LEMAHBANGKULON!Q14+PADANG!Q14+SINGOJURUH!AC14+SINGOLATREN!T14+SUMBERBARU!S14</f>
        <v>19829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ALASMALANG!V15+'BENELAN KIDUL'!S15+CANTUK!T15+GAMBOR!N15+GUMIRIH!S15+KEMIRI!U15+LEMAHBANGKULON!Q15+PADANG!Q15+SINGOJURUH!AC15+SINGOLATREN!T15+SUMBERBARU!S15</f>
        <v>20143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39972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ALASMALANG!V19+'BENELAN KIDUL'!S19+CANTUK!T19+GAMBOR!N19+GUMIRIH!S19+KEMIRI!U19+LEMAHBANGKULON!Q19+PADANG!Q19+SINGOJURUH!AC19+SINGOLATREN!T19+SUMBERBARU!S19</f>
        <v>14837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ALASMALANG!V20+'BENELAN KIDUL'!S20+CANTUK!T20+GAMBOR!N20+GUMIRIH!S20+KEMIRI!U20+LEMAHBANGKULON!Q20+PADANG!Q20+SINGOJURUH!AC20+SINGOLATREN!T20+SUMBERBARU!S20</f>
        <v>16054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30891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ALASMALANG!V22+'BENELAN KIDUL'!S22+CANTUK!T22+GAMBOR!N22+GUMIRIH!S22+KEMIRI!U22+LEMAHBANGKULON!Q22+PADANG!Q22+SINGOJURUH!AC22+SINGOLATREN!T22+SUMBERBARU!S22</f>
        <v>55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ALASMALANG!V23+'BENELAN KIDUL'!S23+CANTUK!T23+GAMBOR!N23+GUMIRIH!S23+KEMIRI!U23+LEMAHBANGKULON!Q23+PADANG!Q23+SINGOJURUH!AC23+SINGOLATREN!T23+SUMBERBARU!S23</f>
        <v>54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109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ALASMALANG!V25+'BENELAN KIDUL'!S25+CANTUK!T25+GAMBOR!N25+GUMIRIH!S25+KEMIRI!U25+LEMAHBANGKULON!Q25+PADANG!Q25+SINGOJURUH!AC25+SINGOLATREN!T25+SUMBERBARU!S25</f>
        <v>142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ALASMALANG!V26+'BENELAN KIDUL'!S26+CANTUK!T26+GAMBOR!N26+GUMIRIH!S26+KEMIRI!U26+LEMAHBANGKULON!Q26+PADANG!Q26+SINGOJURUH!AC26+SINGOLATREN!T26+SUMBERBARU!S26</f>
        <v>171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313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15034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16279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31313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ALASMALANG!V33+'BENELAN KIDUL'!S33+CANTUK!T33+GAMBOR!N33+GUMIRIH!S33+KEMIRI!U33+LEMAHBANGKULON!Q33+PADANG!Q33+SINGOJURUH!AC33+SINGOLATREN!T33+SUMBERBARU!S33</f>
        <v>39691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ALASMALANG!V34+'BENELAN KIDUL'!S34+CANTUK!T34+GAMBOR!N34+GUMIRIH!S34+KEMIRI!U34+LEMAHBANGKULON!Q34+PADANG!Q34+SINGOJURUH!AC34+SINGOLATREN!T34+SUMBERBARU!S34</f>
        <v>31276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ALASMALANG!V35+'BENELAN KIDUL'!S35+CANTUK!T35+GAMBOR!N35+GUMIRIH!S35+KEMIRI!U35+LEMAHBANGKULON!Q35+PADANG!Q35+SINGOJURUH!AC35+SINGOLATREN!T35+SUMBERBARU!S35</f>
        <v>94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8321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ALASMALANG!V39+'BENELAN KIDUL'!S39+CANTUK!T39+GAMBOR!N39+GUMIRIH!S39+KEMIRI!U39+LEMAHBANGKULON!Q39+PADANG!Q39+SINGOJURUH!AC39+SINGOLATREN!T39+SUMBERBARU!S39</f>
        <v>33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ALASMALANG!V40+'BENELAN KIDUL'!S40+CANTUK!T40+GAMBOR!N40+GUMIRIH!S40+KEMIRI!U40+LEMAHBANGKULON!Q40+PADANG!Q40+SINGOJURUH!AC40+SINGOLATREN!T40+SUMBERBARU!S40</f>
        <v>55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88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f>ALASMALANG!V45+'BENELAN KIDUL'!S45+CANTUK!T45+GAMBOR!N45+GUMIRIH!S45+KEMIRI!U45+LEMAHBANGKULON!Q45+PADANG!Q45+SINGOJURUH!AC45+SINGOLATREN!T45+SUMBERBARU!S45</f>
        <v>2722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>
        <v>2.0</v>
      </c>
      <c r="C46" s="48" t="s">
        <v>38</v>
      </c>
      <c r="D46" s="16"/>
      <c r="E46" s="24">
        <f>ALASMALANG!V46+'BENELAN KIDUL'!S46+CANTUK!T46+GAMBOR!N46+GUMIRIH!S46+KEMIRI!U46+LEMAHBANGKULON!Q46+PADANG!Q46+SINGOJURUH!AC46+SINGOLATREN!T46+SUMBERBARU!S46</f>
        <v>22888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>
        <v>3.0</v>
      </c>
      <c r="C47" s="48" t="s">
        <v>39</v>
      </c>
      <c r="D47" s="16"/>
      <c r="E47" s="24">
        <f>ALASMALANG!V47+'BENELAN KIDUL'!S47+CANTUK!T47+GAMBOR!N47+GUMIRIH!S47+KEMIRI!U47+LEMAHBANGKULON!Q47+PADANG!Q47+SINGOJURUH!AC47+SINGOLATREN!T47+SUMBERBARU!S47</f>
        <v>4817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3" t="s">
        <v>42</v>
      </c>
      <c r="C50" s="54" t="s">
        <v>43</v>
      </c>
      <c r="D50" s="16"/>
      <c r="E50" s="24">
        <f>ALASMALANG!V50+'BENELAN KIDUL'!S50+CANTUK!T50+GAMBOR!N50+GUMIRIH!S50+KEMIRI!U50+LEMAHBANGKULON!Q50+PADANG!Q50+SINGOJURUH!AC50+SINGOLATREN!T50+SUMBERBARU!S50</f>
        <v>30427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3" t="s">
        <v>44</v>
      </c>
      <c r="C51" s="54" t="s">
        <v>45</v>
      </c>
      <c r="D51" s="16"/>
      <c r="E51" s="24">
        <f>ALASMALANG!V51+'BENELAN KIDUL'!S51+CANTUK!T51+GAMBOR!N51+GUMIRIH!S51+KEMIRI!U51+LEMAHBANGKULON!Q51+PADANG!Q51+SINGOJURUH!AC51+SINGOLATREN!T51+SUMBERBARU!S51</f>
        <v>640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3" t="s">
        <v>46</v>
      </c>
      <c r="C52" s="54" t="s">
        <v>47</v>
      </c>
      <c r="D52" s="16"/>
      <c r="E52" s="13">
        <f>SUM(E50:E51)</f>
        <v>31067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5"/>
      <c r="C53" s="5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5"/>
      <c r="C54" s="5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5"/>
      <c r="C55" s="5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5"/>
      <c r="C56" s="5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5"/>
      <c r="C57" s="5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5"/>
      <c r="C58" s="5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5"/>
      <c r="C59" s="5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5"/>
      <c r="C60" s="5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5"/>
      <c r="C61" s="5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5"/>
      <c r="C62" s="5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hidden="1" customHeight="1"/>
    <row r="2" ht="12.75" hidden="1" customHeight="1">
      <c r="C2" s="8" t="s">
        <v>0</v>
      </c>
      <c r="D2" s="8" t="s">
        <v>1</v>
      </c>
    </row>
    <row r="3" ht="12.75" hidden="1" customHeight="1">
      <c r="C3" s="8" t="s">
        <v>2</v>
      </c>
      <c r="D3" s="8" t="s">
        <v>3</v>
      </c>
    </row>
    <row r="4" ht="12.75" hidden="1" customHeight="1">
      <c r="C4" s="8" t="s">
        <v>4</v>
      </c>
      <c r="D4" s="8" t="s">
        <v>5</v>
      </c>
    </row>
    <row r="5" ht="12.75" hidden="1" customHeight="1">
      <c r="C5" s="8"/>
      <c r="D5" s="8"/>
    </row>
    <row r="6" ht="12.75" hidden="1" customHeight="1">
      <c r="C6" s="8"/>
      <c r="D6" s="8"/>
    </row>
    <row r="7" ht="12.75" hidden="1" customHeight="1">
      <c r="C7" s="8"/>
      <c r="D7" s="8"/>
    </row>
    <row r="8" ht="12.75" hidden="1" customHeight="1">
      <c r="C8" s="8"/>
      <c r="D8" s="8"/>
    </row>
    <row r="9" ht="12.75" hidden="1" customHeight="1">
      <c r="C9" s="8" t="s">
        <v>48</v>
      </c>
      <c r="D9" s="8" t="s">
        <v>49</v>
      </c>
    </row>
    <row r="10" ht="12.75" hidden="1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110.0</v>
      </c>
      <c r="G14" s="19">
        <v>95.0</v>
      </c>
      <c r="H14" s="19">
        <v>116.0</v>
      </c>
      <c r="I14" s="19">
        <v>101.0</v>
      </c>
      <c r="J14" s="19">
        <v>88.0</v>
      </c>
      <c r="K14" s="19">
        <v>79.0</v>
      </c>
      <c r="L14" s="19">
        <v>121.0</v>
      </c>
      <c r="M14" s="19">
        <v>101.0</v>
      </c>
      <c r="N14" s="19">
        <v>107.0</v>
      </c>
      <c r="O14" s="19">
        <v>99.0</v>
      </c>
      <c r="P14" s="19">
        <v>103.0</v>
      </c>
      <c r="Q14" s="19">
        <v>128.0</v>
      </c>
      <c r="R14" s="19">
        <v>83.0</v>
      </c>
      <c r="S14" s="19">
        <v>104.0</v>
      </c>
      <c r="T14" s="19">
        <v>93.0</v>
      </c>
      <c r="U14" s="19">
        <v>127.0</v>
      </c>
      <c r="V14" s="13">
        <f t="shared" ref="V14:V16" si="1">SUM(E14:U14)</f>
        <v>1779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102.0</v>
      </c>
      <c r="G15" s="19">
        <v>92.0</v>
      </c>
      <c r="H15" s="19">
        <v>125.0</v>
      </c>
      <c r="I15" s="19">
        <v>117.0</v>
      </c>
      <c r="J15" s="19">
        <v>94.0</v>
      </c>
      <c r="K15" s="19">
        <v>93.0</v>
      </c>
      <c r="L15" s="19">
        <v>124.0</v>
      </c>
      <c r="M15" s="19">
        <v>94.0</v>
      </c>
      <c r="N15" s="19">
        <v>117.0</v>
      </c>
      <c r="O15" s="19">
        <v>90.0</v>
      </c>
      <c r="P15" s="19">
        <v>108.0</v>
      </c>
      <c r="Q15" s="19">
        <v>126.0</v>
      </c>
      <c r="R15" s="19">
        <v>85.0</v>
      </c>
      <c r="S15" s="19">
        <v>113.0</v>
      </c>
      <c r="T15" s="19">
        <v>113.0</v>
      </c>
      <c r="U15" s="19">
        <v>110.0</v>
      </c>
      <c r="V15" s="13">
        <f t="shared" si="1"/>
        <v>1831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252</v>
      </c>
      <c r="F16" s="13">
        <f t="shared" si="2"/>
        <v>212</v>
      </c>
      <c r="G16" s="13">
        <f t="shared" si="2"/>
        <v>187</v>
      </c>
      <c r="H16" s="13">
        <f t="shared" si="2"/>
        <v>241</v>
      </c>
      <c r="I16" s="13">
        <f t="shared" si="2"/>
        <v>218</v>
      </c>
      <c r="J16" s="13">
        <f t="shared" si="2"/>
        <v>182</v>
      </c>
      <c r="K16" s="13">
        <f t="shared" si="2"/>
        <v>172</v>
      </c>
      <c r="L16" s="13">
        <f t="shared" si="2"/>
        <v>245</v>
      </c>
      <c r="M16" s="13">
        <f t="shared" si="2"/>
        <v>195</v>
      </c>
      <c r="N16" s="13">
        <f t="shared" si="2"/>
        <v>224</v>
      </c>
      <c r="O16" s="13">
        <f t="shared" si="2"/>
        <v>189</v>
      </c>
      <c r="P16" s="13">
        <f t="shared" si="2"/>
        <v>211</v>
      </c>
      <c r="Q16" s="13">
        <f t="shared" si="2"/>
        <v>254</v>
      </c>
      <c r="R16" s="13">
        <f t="shared" si="2"/>
        <v>168</v>
      </c>
      <c r="S16" s="13">
        <f t="shared" si="2"/>
        <v>217</v>
      </c>
      <c r="T16" s="13">
        <f t="shared" si="2"/>
        <v>206</v>
      </c>
      <c r="U16" s="13">
        <f t="shared" si="2"/>
        <v>237</v>
      </c>
      <c r="V16" s="13">
        <f t="shared" si="1"/>
        <v>3610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90.0</v>
      </c>
      <c r="G19" s="19">
        <v>71.0</v>
      </c>
      <c r="H19" s="19">
        <v>89.0</v>
      </c>
      <c r="I19" s="19">
        <v>80.0</v>
      </c>
      <c r="J19" s="19">
        <v>65.0</v>
      </c>
      <c r="K19" s="19">
        <v>63.0</v>
      </c>
      <c r="L19" s="19">
        <v>92.0</v>
      </c>
      <c r="M19" s="19">
        <v>82.0</v>
      </c>
      <c r="N19" s="19">
        <v>86.0</v>
      </c>
      <c r="O19" s="19">
        <v>81.0</v>
      </c>
      <c r="P19" s="19">
        <v>83.0</v>
      </c>
      <c r="Q19" s="19">
        <v>81.0</v>
      </c>
      <c r="R19" s="19">
        <v>66.0</v>
      </c>
      <c r="S19" s="19">
        <v>81.0</v>
      </c>
      <c r="T19" s="19">
        <v>82.0</v>
      </c>
      <c r="U19" s="19">
        <v>107.0</v>
      </c>
      <c r="V19" s="13">
        <f t="shared" ref="V19:V30" si="3">SUM(E19:U19)</f>
        <v>1413</v>
      </c>
    </row>
    <row r="20" ht="12.75" customHeight="1">
      <c r="A20" s="33"/>
      <c r="B20" s="27"/>
      <c r="C20" s="34"/>
      <c r="D20" s="19" t="s">
        <v>13</v>
      </c>
      <c r="E20" s="19">
        <v>94.0</v>
      </c>
      <c r="F20" s="19">
        <v>90.0</v>
      </c>
      <c r="G20" s="19">
        <v>81.0</v>
      </c>
      <c r="H20" s="19">
        <v>95.0</v>
      </c>
      <c r="I20" s="19">
        <v>102.0</v>
      </c>
      <c r="J20" s="19">
        <v>77.0</v>
      </c>
      <c r="K20" s="19">
        <v>74.0</v>
      </c>
      <c r="L20" s="19">
        <v>100.0</v>
      </c>
      <c r="M20" s="19">
        <v>79.0</v>
      </c>
      <c r="N20" s="19">
        <v>95.0</v>
      </c>
      <c r="O20" s="19">
        <v>74.0</v>
      </c>
      <c r="P20" s="19">
        <v>86.0</v>
      </c>
      <c r="Q20" s="19">
        <v>96.0</v>
      </c>
      <c r="R20" s="19">
        <v>74.0</v>
      </c>
      <c r="S20" s="19">
        <v>95.0</v>
      </c>
      <c r="T20" s="19">
        <v>102.0</v>
      </c>
      <c r="U20" s="19">
        <v>104.0</v>
      </c>
      <c r="V20" s="13">
        <f t="shared" si="3"/>
        <v>1518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208</v>
      </c>
      <c r="F21" s="13">
        <f t="shared" si="4"/>
        <v>180</v>
      </c>
      <c r="G21" s="13">
        <f t="shared" si="4"/>
        <v>152</v>
      </c>
      <c r="H21" s="13">
        <f t="shared" si="4"/>
        <v>184</v>
      </c>
      <c r="I21" s="13">
        <f t="shared" si="4"/>
        <v>182</v>
      </c>
      <c r="J21" s="13">
        <f t="shared" si="4"/>
        <v>142</v>
      </c>
      <c r="K21" s="13">
        <f t="shared" si="4"/>
        <v>137</v>
      </c>
      <c r="L21" s="13">
        <f t="shared" si="4"/>
        <v>192</v>
      </c>
      <c r="M21" s="13">
        <f t="shared" si="4"/>
        <v>161</v>
      </c>
      <c r="N21" s="13">
        <f t="shared" si="4"/>
        <v>181</v>
      </c>
      <c r="O21" s="13">
        <f t="shared" si="4"/>
        <v>155</v>
      </c>
      <c r="P21" s="13">
        <f t="shared" si="4"/>
        <v>169</v>
      </c>
      <c r="Q21" s="13">
        <f t="shared" si="4"/>
        <v>177</v>
      </c>
      <c r="R21" s="13">
        <f t="shared" si="4"/>
        <v>140</v>
      </c>
      <c r="S21" s="13">
        <f t="shared" si="4"/>
        <v>176</v>
      </c>
      <c r="T21" s="13">
        <f t="shared" si="4"/>
        <v>184</v>
      </c>
      <c r="U21" s="13">
        <f t="shared" si="4"/>
        <v>211</v>
      </c>
      <c r="V21" s="13">
        <f t="shared" si="3"/>
        <v>2931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1.0</v>
      </c>
      <c r="V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5.0</v>
      </c>
      <c r="F25" s="19">
        <v>6.0</v>
      </c>
      <c r="G25" s="19">
        <v>1.0</v>
      </c>
      <c r="H25" s="19">
        <v>0.0</v>
      </c>
      <c r="I25" s="19">
        <v>0.0</v>
      </c>
      <c r="J25" s="19">
        <v>1.0</v>
      </c>
      <c r="K25" s="19">
        <v>0.0</v>
      </c>
      <c r="L25" s="19">
        <v>1.0</v>
      </c>
      <c r="M25" s="19">
        <v>0.0</v>
      </c>
      <c r="N25" s="19">
        <v>4.0</v>
      </c>
      <c r="O25" s="19">
        <v>1.0</v>
      </c>
      <c r="P25" s="19">
        <v>2.0</v>
      </c>
      <c r="Q25" s="19">
        <v>3.0</v>
      </c>
      <c r="R25" s="19">
        <v>0.0</v>
      </c>
      <c r="S25" s="19">
        <v>3.0</v>
      </c>
      <c r="T25" s="19">
        <v>2.0</v>
      </c>
      <c r="U25" s="19"/>
      <c r="V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6.0</v>
      </c>
      <c r="G26" s="19">
        <v>2.0</v>
      </c>
      <c r="H26" s="19">
        <v>0.0</v>
      </c>
      <c r="I26" s="19">
        <v>0.0</v>
      </c>
      <c r="J26" s="19">
        <v>2.0</v>
      </c>
      <c r="K26" s="19">
        <v>0.0</v>
      </c>
      <c r="L26" s="19">
        <v>2.0</v>
      </c>
      <c r="M26" s="19">
        <v>0.0</v>
      </c>
      <c r="N26" s="19">
        <v>1.0</v>
      </c>
      <c r="O26" s="19">
        <v>1.0</v>
      </c>
      <c r="P26" s="19">
        <v>1.0</v>
      </c>
      <c r="Q26" s="19">
        <v>1.0</v>
      </c>
      <c r="R26" s="19">
        <v>1.0</v>
      </c>
      <c r="S26" s="19">
        <v>1.0</v>
      </c>
      <c r="T26" s="19">
        <v>3.0</v>
      </c>
      <c r="U26" s="19"/>
      <c r="V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8</v>
      </c>
      <c r="F27" s="13">
        <f t="shared" si="6"/>
        <v>12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5</v>
      </c>
      <c r="O27" s="13">
        <f t="shared" si="6"/>
        <v>2</v>
      </c>
      <c r="P27" s="13">
        <f t="shared" si="6"/>
        <v>3</v>
      </c>
      <c r="Q27" s="13">
        <f t="shared" si="6"/>
        <v>4</v>
      </c>
      <c r="R27" s="13">
        <f t="shared" si="6"/>
        <v>1</v>
      </c>
      <c r="S27" s="13">
        <f t="shared" si="6"/>
        <v>4</v>
      </c>
      <c r="T27" s="13">
        <f t="shared" si="6"/>
        <v>5</v>
      </c>
      <c r="U27" s="13">
        <f t="shared" si="6"/>
        <v>0</v>
      </c>
      <c r="V27" s="13">
        <f t="shared" si="3"/>
        <v>53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119</v>
      </c>
      <c r="F28" s="13">
        <f t="shared" si="7"/>
        <v>96</v>
      </c>
      <c r="G28" s="13">
        <f t="shared" si="7"/>
        <v>72</v>
      </c>
      <c r="H28" s="13">
        <f t="shared" si="7"/>
        <v>89</v>
      </c>
      <c r="I28" s="13">
        <f t="shared" si="7"/>
        <v>80</v>
      </c>
      <c r="J28" s="13">
        <f t="shared" si="7"/>
        <v>66</v>
      </c>
      <c r="K28" s="13">
        <f t="shared" si="7"/>
        <v>63</v>
      </c>
      <c r="L28" s="13">
        <f t="shared" si="7"/>
        <v>93</v>
      </c>
      <c r="M28" s="13">
        <f t="shared" si="7"/>
        <v>82</v>
      </c>
      <c r="N28" s="13">
        <f t="shared" si="7"/>
        <v>90</v>
      </c>
      <c r="O28" s="13">
        <f t="shared" si="7"/>
        <v>82</v>
      </c>
      <c r="P28" s="13">
        <f t="shared" si="7"/>
        <v>85</v>
      </c>
      <c r="Q28" s="13">
        <f t="shared" si="7"/>
        <v>84</v>
      </c>
      <c r="R28" s="13">
        <f t="shared" si="7"/>
        <v>66</v>
      </c>
      <c r="S28" s="13">
        <f t="shared" si="7"/>
        <v>84</v>
      </c>
      <c r="T28" s="13">
        <f t="shared" si="7"/>
        <v>84</v>
      </c>
      <c r="U28" s="13">
        <f t="shared" si="7"/>
        <v>107</v>
      </c>
      <c r="V28" s="13">
        <f t="shared" si="3"/>
        <v>1442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97</v>
      </c>
      <c r="F29" s="13">
        <f t="shared" si="8"/>
        <v>96</v>
      </c>
      <c r="G29" s="13">
        <f t="shared" si="8"/>
        <v>83</v>
      </c>
      <c r="H29" s="13">
        <f t="shared" si="8"/>
        <v>95</v>
      </c>
      <c r="I29" s="13">
        <f t="shared" si="8"/>
        <v>102</v>
      </c>
      <c r="J29" s="13">
        <f t="shared" si="8"/>
        <v>79</v>
      </c>
      <c r="K29" s="13">
        <f t="shared" si="8"/>
        <v>74</v>
      </c>
      <c r="L29" s="13">
        <f t="shared" si="8"/>
        <v>102</v>
      </c>
      <c r="M29" s="13">
        <f t="shared" si="8"/>
        <v>79</v>
      </c>
      <c r="N29" s="13">
        <f t="shared" si="8"/>
        <v>96</v>
      </c>
      <c r="O29" s="13">
        <f t="shared" si="8"/>
        <v>75</v>
      </c>
      <c r="P29" s="13">
        <f t="shared" si="8"/>
        <v>87</v>
      </c>
      <c r="Q29" s="13">
        <f t="shared" si="8"/>
        <v>97</v>
      </c>
      <c r="R29" s="13">
        <f t="shared" si="8"/>
        <v>75</v>
      </c>
      <c r="S29" s="13">
        <f t="shared" si="8"/>
        <v>96</v>
      </c>
      <c r="T29" s="13">
        <f t="shared" si="8"/>
        <v>105</v>
      </c>
      <c r="U29" s="13">
        <f t="shared" si="8"/>
        <v>105</v>
      </c>
      <c r="V29" s="13">
        <f t="shared" si="3"/>
        <v>1543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216</v>
      </c>
      <c r="F30" s="13">
        <f t="shared" si="9"/>
        <v>192</v>
      </c>
      <c r="G30" s="13">
        <f t="shared" si="9"/>
        <v>155</v>
      </c>
      <c r="H30" s="13">
        <f t="shared" si="9"/>
        <v>184</v>
      </c>
      <c r="I30" s="13">
        <f t="shared" si="9"/>
        <v>182</v>
      </c>
      <c r="J30" s="13">
        <f t="shared" si="9"/>
        <v>145</v>
      </c>
      <c r="K30" s="13">
        <f t="shared" si="9"/>
        <v>137</v>
      </c>
      <c r="L30" s="13">
        <f t="shared" si="9"/>
        <v>195</v>
      </c>
      <c r="M30" s="13">
        <f t="shared" si="9"/>
        <v>161</v>
      </c>
      <c r="N30" s="13">
        <f t="shared" si="9"/>
        <v>186</v>
      </c>
      <c r="O30" s="13">
        <f t="shared" si="9"/>
        <v>157</v>
      </c>
      <c r="P30" s="13">
        <f t="shared" si="9"/>
        <v>172</v>
      </c>
      <c r="Q30" s="13">
        <f t="shared" si="9"/>
        <v>181</v>
      </c>
      <c r="R30" s="13">
        <f t="shared" si="9"/>
        <v>141</v>
      </c>
      <c r="S30" s="13">
        <f t="shared" si="9"/>
        <v>180</v>
      </c>
      <c r="T30" s="13">
        <f t="shared" si="9"/>
        <v>189</v>
      </c>
      <c r="U30" s="13">
        <f t="shared" si="9"/>
        <v>212</v>
      </c>
      <c r="V30" s="13">
        <f t="shared" si="3"/>
        <v>2985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248.0</v>
      </c>
      <c r="F33" s="19">
        <v>208.0</v>
      </c>
      <c r="G33" s="19">
        <v>184.0</v>
      </c>
      <c r="H33" s="19">
        <v>238.0</v>
      </c>
      <c r="I33" s="19">
        <v>212.0</v>
      </c>
      <c r="J33" s="19">
        <v>173.0</v>
      </c>
      <c r="K33" s="19">
        <v>185.0</v>
      </c>
      <c r="L33" s="19">
        <v>240.0</v>
      </c>
      <c r="M33" s="19">
        <v>189.0</v>
      </c>
      <c r="N33" s="19">
        <v>220.0</v>
      </c>
      <c r="O33" s="19">
        <v>183.0</v>
      </c>
      <c r="P33" s="19">
        <v>208.0</v>
      </c>
      <c r="Q33" s="19">
        <v>254.0</v>
      </c>
      <c r="R33" s="19">
        <v>172.0</v>
      </c>
      <c r="S33" s="19">
        <v>212.0</v>
      </c>
      <c r="T33" s="19">
        <v>203.0</v>
      </c>
      <c r="U33" s="19">
        <v>233.0</v>
      </c>
      <c r="V33" s="13">
        <f t="shared" ref="V33:V36" si="10">SUM(E33:U33)</f>
        <v>3562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192.0</v>
      </c>
      <c r="G34" s="13">
        <v>155.0</v>
      </c>
      <c r="H34" s="13">
        <v>184.0</v>
      </c>
      <c r="I34" s="13">
        <v>182.0</v>
      </c>
      <c r="J34" s="13">
        <v>145.0</v>
      </c>
      <c r="K34" s="13">
        <v>137.0</v>
      </c>
      <c r="L34" s="13">
        <v>195.0</v>
      </c>
      <c r="M34" s="13">
        <v>161.0</v>
      </c>
      <c r="N34" s="13">
        <v>186.0</v>
      </c>
      <c r="O34" s="13">
        <v>157.0</v>
      </c>
      <c r="P34" s="13">
        <v>172.0</v>
      </c>
      <c r="Q34" s="13">
        <v>181.0</v>
      </c>
      <c r="R34" s="13">
        <v>141.0</v>
      </c>
      <c r="S34" s="13">
        <v>180.0</v>
      </c>
      <c r="T34" s="13">
        <v>189.0</v>
      </c>
      <c r="U34" s="13">
        <v>212.0</v>
      </c>
      <c r="V34" s="13">
        <f t="shared" si="10"/>
        <v>2985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3.0</v>
      </c>
      <c r="S35" s="19">
        <v>0.0</v>
      </c>
      <c r="T35" s="19"/>
      <c r="U35" s="19"/>
      <c r="V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32</v>
      </c>
      <c r="F36" s="13">
        <f t="shared" si="11"/>
        <v>16</v>
      </c>
      <c r="G36" s="13">
        <f t="shared" si="11"/>
        <v>29</v>
      </c>
      <c r="H36" s="13">
        <f t="shared" si="11"/>
        <v>54</v>
      </c>
      <c r="I36" s="13">
        <f t="shared" si="11"/>
        <v>30</v>
      </c>
      <c r="J36" s="13">
        <f t="shared" si="11"/>
        <v>28</v>
      </c>
      <c r="K36" s="13">
        <f t="shared" si="11"/>
        <v>48</v>
      </c>
      <c r="L36" s="13">
        <f t="shared" si="11"/>
        <v>45</v>
      </c>
      <c r="M36" s="13">
        <f t="shared" si="11"/>
        <v>28</v>
      </c>
      <c r="N36" s="13">
        <f t="shared" si="11"/>
        <v>34</v>
      </c>
      <c r="O36" s="13">
        <f t="shared" si="11"/>
        <v>26</v>
      </c>
      <c r="P36" s="13">
        <f t="shared" si="11"/>
        <v>36</v>
      </c>
      <c r="Q36" s="13">
        <f t="shared" si="11"/>
        <v>73</v>
      </c>
      <c r="R36" s="13">
        <f t="shared" si="11"/>
        <v>28</v>
      </c>
      <c r="S36" s="13">
        <f t="shared" si="11"/>
        <v>32</v>
      </c>
      <c r="T36" s="13">
        <f t="shared" si="11"/>
        <v>14</v>
      </c>
      <c r="U36" s="13">
        <f t="shared" si="11"/>
        <v>21</v>
      </c>
      <c r="V36" s="13">
        <f t="shared" si="10"/>
        <v>574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>
        <v>2.0</v>
      </c>
      <c r="S39" s="19">
        <v>1.0</v>
      </c>
      <c r="T39" s="19"/>
      <c r="U39" s="19"/>
      <c r="V39" s="13">
        <f t="shared" ref="V39:V41" si="12">SUM(E39:U39)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2.0</v>
      </c>
      <c r="T40" s="19"/>
      <c r="U40" s="19"/>
      <c r="V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3</v>
      </c>
      <c r="T41" s="13">
        <f t="shared" si="13"/>
        <v>0</v>
      </c>
      <c r="U41" s="13">
        <f t="shared" si="13"/>
        <v>0</v>
      </c>
      <c r="V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3"/>
    </row>
    <row r="45" ht="12.75" customHeight="1">
      <c r="A45" s="30"/>
      <c r="B45" s="47">
        <v>1.0</v>
      </c>
      <c r="C45" s="48" t="s">
        <v>37</v>
      </c>
      <c r="D45" s="16"/>
      <c r="E45" s="19">
        <v>14.0</v>
      </c>
      <c r="F45" s="19">
        <v>19.0</v>
      </c>
      <c r="G45" s="19">
        <v>12.0</v>
      </c>
      <c r="H45" s="19">
        <v>16.0</v>
      </c>
      <c r="I45" s="19">
        <v>13.0</v>
      </c>
      <c r="J45" s="19">
        <v>21.0</v>
      </c>
      <c r="K45" s="19">
        <v>20.0</v>
      </c>
      <c r="L45" s="19">
        <v>17.0</v>
      </c>
      <c r="M45" s="19">
        <v>13.0</v>
      </c>
      <c r="N45" s="19">
        <v>14.0</v>
      </c>
      <c r="O45" s="19">
        <v>5.0</v>
      </c>
      <c r="P45" s="19">
        <v>12.0</v>
      </c>
      <c r="Q45" s="19">
        <v>8.0</v>
      </c>
      <c r="R45" s="19">
        <v>10.0</v>
      </c>
      <c r="S45" s="19">
        <v>17.0</v>
      </c>
      <c r="T45" s="19">
        <v>10.0</v>
      </c>
      <c r="U45" s="19">
        <v>32.0</v>
      </c>
      <c r="V45" s="13">
        <f t="shared" ref="V45:V47" si="14">SUM(E45:U45)</f>
        <v>253</v>
      </c>
    </row>
    <row r="46" ht="12.75" customHeight="1">
      <c r="A46" s="18"/>
      <c r="B46" s="47">
        <v>2.0</v>
      </c>
      <c r="C46" s="48" t="s">
        <v>38</v>
      </c>
      <c r="D46" s="16"/>
      <c r="E46" s="19">
        <v>157.0</v>
      </c>
      <c r="F46" s="19">
        <v>125.0</v>
      </c>
      <c r="G46" s="19">
        <v>97.0</v>
      </c>
      <c r="H46" s="19">
        <v>130.0</v>
      </c>
      <c r="I46" s="19">
        <v>140.0</v>
      </c>
      <c r="J46" s="19">
        <v>107.0</v>
      </c>
      <c r="K46" s="19">
        <v>92.0</v>
      </c>
      <c r="L46" s="19">
        <v>128.0</v>
      </c>
      <c r="M46" s="19">
        <v>68.0</v>
      </c>
      <c r="N46" s="19">
        <v>144.0</v>
      </c>
      <c r="O46" s="19">
        <v>124.0</v>
      </c>
      <c r="P46" s="19">
        <v>134.0</v>
      </c>
      <c r="Q46" s="19">
        <v>132.0</v>
      </c>
      <c r="R46" s="19">
        <v>107.0</v>
      </c>
      <c r="S46" s="19">
        <v>121.0</v>
      </c>
      <c r="T46" s="19">
        <v>133.0</v>
      </c>
      <c r="U46" s="19">
        <v>156.0</v>
      </c>
      <c r="V46" s="13">
        <f t="shared" si="14"/>
        <v>2095</v>
      </c>
    </row>
    <row r="47" ht="12.75" customHeight="1">
      <c r="A47" s="18"/>
      <c r="B47" s="47">
        <v>3.0</v>
      </c>
      <c r="C47" s="48" t="s">
        <v>39</v>
      </c>
      <c r="D47" s="16"/>
      <c r="E47" s="19">
        <v>35.0</v>
      </c>
      <c r="F47" s="19">
        <v>46.0</v>
      </c>
      <c r="G47" s="19">
        <v>44.0</v>
      </c>
      <c r="H47" s="19">
        <v>42.0</v>
      </c>
      <c r="I47" s="19">
        <v>24.0</v>
      </c>
      <c r="J47" s="19">
        <v>16.0</v>
      </c>
      <c r="K47" s="19">
        <v>18.0</v>
      </c>
      <c r="L47" s="19">
        <v>49.0</v>
      </c>
      <c r="M47" s="19">
        <v>78.0</v>
      </c>
      <c r="N47" s="19">
        <v>25.0</v>
      </c>
      <c r="O47" s="19">
        <v>25.0</v>
      </c>
      <c r="P47" s="19">
        <v>34.0</v>
      </c>
      <c r="Q47" s="19">
        <v>41.0</v>
      </c>
      <c r="R47" s="19">
        <v>22.0</v>
      </c>
      <c r="S47" s="19">
        <v>33.0</v>
      </c>
      <c r="T47" s="19">
        <v>34.0</v>
      </c>
      <c r="U47" s="19">
        <v>14.0</v>
      </c>
      <c r="V47" s="13">
        <f t="shared" si="14"/>
        <v>580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13"/>
      <c r="S49" s="13"/>
      <c r="T49" s="13"/>
      <c r="U49" s="13"/>
      <c r="V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U50" si="15">SUM(E45:E47)</f>
        <v>206</v>
      </c>
      <c r="F50" s="19">
        <f t="shared" si="15"/>
        <v>190</v>
      </c>
      <c r="G50" s="19">
        <f t="shared" si="15"/>
        <v>153</v>
      </c>
      <c r="H50" s="19">
        <f t="shared" si="15"/>
        <v>188</v>
      </c>
      <c r="I50" s="19">
        <f t="shared" si="15"/>
        <v>177</v>
      </c>
      <c r="J50" s="19">
        <f t="shared" si="15"/>
        <v>144</v>
      </c>
      <c r="K50" s="19">
        <f t="shared" si="15"/>
        <v>130</v>
      </c>
      <c r="L50" s="19">
        <f t="shared" si="15"/>
        <v>194</v>
      </c>
      <c r="M50" s="19">
        <f t="shared" si="15"/>
        <v>159</v>
      </c>
      <c r="N50" s="19">
        <f t="shared" si="15"/>
        <v>183</v>
      </c>
      <c r="O50" s="19">
        <f t="shared" si="15"/>
        <v>154</v>
      </c>
      <c r="P50" s="19">
        <f t="shared" si="15"/>
        <v>180</v>
      </c>
      <c r="Q50" s="19">
        <f t="shared" si="15"/>
        <v>181</v>
      </c>
      <c r="R50" s="19">
        <f t="shared" si="15"/>
        <v>139</v>
      </c>
      <c r="S50" s="19">
        <f t="shared" si="15"/>
        <v>171</v>
      </c>
      <c r="T50" s="19">
        <f t="shared" si="15"/>
        <v>177</v>
      </c>
      <c r="U50" s="19">
        <f t="shared" si="15"/>
        <v>202</v>
      </c>
      <c r="V50" s="13">
        <f t="shared" ref="V50:V52" si="16">SUM(E50:U50)</f>
        <v>2928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7.0</v>
      </c>
      <c r="F51" s="19">
        <v>2.0</v>
      </c>
      <c r="G51" s="19">
        <v>2.0</v>
      </c>
      <c r="H51" s="19">
        <v>2.0</v>
      </c>
      <c r="I51" s="19">
        <v>5.0</v>
      </c>
      <c r="J51" s="19">
        <v>1.0</v>
      </c>
      <c r="K51" s="19">
        <v>1.0</v>
      </c>
      <c r="L51" s="19">
        <v>1.0</v>
      </c>
      <c r="M51" s="19">
        <v>2.0</v>
      </c>
      <c r="N51" s="19">
        <v>3.0</v>
      </c>
      <c r="O51" s="19">
        <v>3.0</v>
      </c>
      <c r="P51" s="19">
        <v>2.0</v>
      </c>
      <c r="Q51" s="19">
        <v>2.0</v>
      </c>
      <c r="R51" s="19">
        <v>2.0</v>
      </c>
      <c r="S51" s="19">
        <v>2.0</v>
      </c>
      <c r="T51" s="19">
        <v>8.0</v>
      </c>
      <c r="U51" s="19">
        <v>5.0</v>
      </c>
      <c r="V51" s="13">
        <f t="shared" si="16"/>
        <v>50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U52" si="17">SUM(E50:E51)</f>
        <v>213</v>
      </c>
      <c r="F52" s="13">
        <f t="shared" si="17"/>
        <v>192</v>
      </c>
      <c r="G52" s="13">
        <f t="shared" si="17"/>
        <v>155</v>
      </c>
      <c r="H52" s="13">
        <f t="shared" si="17"/>
        <v>190</v>
      </c>
      <c r="I52" s="13">
        <f t="shared" si="17"/>
        <v>182</v>
      </c>
      <c r="J52" s="13">
        <f t="shared" si="17"/>
        <v>145</v>
      </c>
      <c r="K52" s="13">
        <f t="shared" si="17"/>
        <v>131</v>
      </c>
      <c r="L52" s="13">
        <f t="shared" si="17"/>
        <v>195</v>
      </c>
      <c r="M52" s="13">
        <f t="shared" si="17"/>
        <v>161</v>
      </c>
      <c r="N52" s="13">
        <f t="shared" si="17"/>
        <v>186</v>
      </c>
      <c r="O52" s="13">
        <f t="shared" si="17"/>
        <v>157</v>
      </c>
      <c r="P52" s="13">
        <f t="shared" si="17"/>
        <v>182</v>
      </c>
      <c r="Q52" s="13">
        <f t="shared" si="17"/>
        <v>183</v>
      </c>
      <c r="R52" s="13">
        <f t="shared" si="17"/>
        <v>141</v>
      </c>
      <c r="S52" s="13">
        <f t="shared" si="17"/>
        <v>173</v>
      </c>
      <c r="T52" s="13">
        <f t="shared" si="17"/>
        <v>185</v>
      </c>
      <c r="U52" s="13">
        <f t="shared" si="17"/>
        <v>207</v>
      </c>
      <c r="V52" s="13">
        <f t="shared" si="16"/>
        <v>2978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U42"/>
    <mergeCell ref="B43:D43"/>
    <mergeCell ref="A44:D44"/>
    <mergeCell ref="C45:D45"/>
  </mergeCells>
  <conditionalFormatting sqref="E14:U15 E19:U20 E22:U23 E25:U26 E33:U33 E35:U35 E39:U40 E45:U47 E50:U51">
    <cfRule type="containsBlanks" dxfId="1" priority="1">
      <formula>LEN(TRIM(E14))=0</formula>
    </cfRule>
  </conditionalFormatting>
  <conditionalFormatting sqref="E30:U30">
    <cfRule type="expression" dxfId="0" priority="2">
      <formula>E30&lt;&gt;E46</formula>
    </cfRule>
  </conditionalFormatting>
  <conditionalFormatting sqref="E30:U30">
    <cfRule type="expression" dxfId="0" priority="3">
      <formula>E30&lt;&gt;E34</formula>
    </cfRule>
  </conditionalFormatting>
  <conditionalFormatting sqref="E34:U34">
    <cfRule type="expression" dxfId="2" priority="4">
      <formula>E30&lt;&gt;E34</formula>
    </cfRule>
  </conditionalFormatting>
  <conditionalFormatting sqref="E34:U34">
    <cfRule type="expression" dxfId="3" priority="5">
      <formula>E30=E34</formula>
    </cfRule>
  </conditionalFormatting>
  <conditionalFormatting sqref="E34:U34">
    <cfRule type="expression" dxfId="0" priority="6">
      <formula>E34&lt;&gt;E30</formula>
    </cfRule>
  </conditionalFormatting>
  <conditionalFormatting sqref="E34:U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130.0</v>
      </c>
      <c r="G14" s="19">
        <v>130.0</v>
      </c>
      <c r="H14" s="19">
        <v>146.0</v>
      </c>
      <c r="I14" s="19">
        <v>139.0</v>
      </c>
      <c r="J14" s="19">
        <v>137.0</v>
      </c>
      <c r="K14" s="19">
        <v>149.0</v>
      </c>
      <c r="L14" s="19">
        <v>133.0</v>
      </c>
      <c r="M14" s="19">
        <v>123.0</v>
      </c>
      <c r="N14" s="19">
        <v>136.0</v>
      </c>
      <c r="O14" s="19">
        <v>128.0</v>
      </c>
      <c r="P14" s="19">
        <v>107.0</v>
      </c>
      <c r="Q14" s="19">
        <v>127.0</v>
      </c>
      <c r="R14" s="19">
        <v>117.0</v>
      </c>
      <c r="S14" s="13">
        <f t="shared" ref="S14:S16" si="1">SUM(E14:R14)</f>
        <v>1840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119.0</v>
      </c>
      <c r="G15" s="19">
        <v>135.0</v>
      </c>
      <c r="H15" s="19">
        <v>133.0</v>
      </c>
      <c r="I15" s="19">
        <v>129.0</v>
      </c>
      <c r="J15" s="19">
        <v>144.0</v>
      </c>
      <c r="K15" s="19">
        <v>133.0</v>
      </c>
      <c r="L15" s="19">
        <v>134.0</v>
      </c>
      <c r="M15" s="19">
        <v>115.0</v>
      </c>
      <c r="N15" s="19">
        <v>125.0</v>
      </c>
      <c r="O15" s="19">
        <v>139.0</v>
      </c>
      <c r="P15" s="19">
        <v>101.0</v>
      </c>
      <c r="Q15" s="19">
        <v>123.0</v>
      </c>
      <c r="R15" s="19">
        <v>112.0</v>
      </c>
      <c r="S15" s="13">
        <f t="shared" si="1"/>
        <v>1768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264</v>
      </c>
      <c r="F16" s="13">
        <f t="shared" si="2"/>
        <v>249</v>
      </c>
      <c r="G16" s="13">
        <f t="shared" si="2"/>
        <v>265</v>
      </c>
      <c r="H16" s="13">
        <f t="shared" si="2"/>
        <v>279</v>
      </c>
      <c r="I16" s="13">
        <f t="shared" si="2"/>
        <v>268</v>
      </c>
      <c r="J16" s="13">
        <f t="shared" si="2"/>
        <v>281</v>
      </c>
      <c r="K16" s="13">
        <f t="shared" si="2"/>
        <v>282</v>
      </c>
      <c r="L16" s="13">
        <f t="shared" si="2"/>
        <v>267</v>
      </c>
      <c r="M16" s="13">
        <f t="shared" si="2"/>
        <v>238</v>
      </c>
      <c r="N16" s="13">
        <f t="shared" si="2"/>
        <v>261</v>
      </c>
      <c r="O16" s="13">
        <f t="shared" si="2"/>
        <v>267</v>
      </c>
      <c r="P16" s="13">
        <f t="shared" si="2"/>
        <v>208</v>
      </c>
      <c r="Q16" s="13">
        <f t="shared" si="2"/>
        <v>250</v>
      </c>
      <c r="R16" s="13">
        <f t="shared" si="2"/>
        <v>229</v>
      </c>
      <c r="S16" s="13">
        <f t="shared" si="1"/>
        <v>3608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107.0</v>
      </c>
      <c r="G19" s="19">
        <v>102.0</v>
      </c>
      <c r="H19" s="19">
        <v>112.0</v>
      </c>
      <c r="I19" s="19">
        <v>110.0</v>
      </c>
      <c r="J19" s="19">
        <v>105.0</v>
      </c>
      <c r="K19" s="19">
        <v>117.0</v>
      </c>
      <c r="L19" s="19">
        <v>102.0</v>
      </c>
      <c r="M19" s="19">
        <v>86.0</v>
      </c>
      <c r="N19" s="19">
        <v>101.0</v>
      </c>
      <c r="O19" s="19">
        <v>93.0</v>
      </c>
      <c r="P19" s="19">
        <v>82.0</v>
      </c>
      <c r="Q19" s="19">
        <v>97.0</v>
      </c>
      <c r="R19" s="19">
        <v>96.0</v>
      </c>
      <c r="S19" s="13">
        <f t="shared" ref="S19:S30" si="3">SUM(E19:R19)</f>
        <v>1421</v>
      </c>
    </row>
    <row r="20" ht="12.75" customHeight="1">
      <c r="A20" s="33"/>
      <c r="B20" s="27"/>
      <c r="C20" s="34"/>
      <c r="D20" s="19" t="s">
        <v>13</v>
      </c>
      <c r="E20" s="19">
        <v>108.0</v>
      </c>
      <c r="F20" s="19">
        <v>99.0</v>
      </c>
      <c r="G20" s="19">
        <v>113.0</v>
      </c>
      <c r="H20" s="19">
        <v>114.0</v>
      </c>
      <c r="I20" s="19">
        <v>106.0</v>
      </c>
      <c r="J20" s="19">
        <v>117.0</v>
      </c>
      <c r="K20" s="19">
        <v>115.0</v>
      </c>
      <c r="L20" s="19">
        <v>108.0</v>
      </c>
      <c r="M20" s="19">
        <v>93.0</v>
      </c>
      <c r="N20" s="19">
        <v>83.0</v>
      </c>
      <c r="O20" s="19">
        <v>108.0</v>
      </c>
      <c r="P20" s="19">
        <v>78.0</v>
      </c>
      <c r="Q20" s="19">
        <v>107.0</v>
      </c>
      <c r="R20" s="19">
        <v>98.0</v>
      </c>
      <c r="S20" s="13">
        <f t="shared" si="3"/>
        <v>1447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219</v>
      </c>
      <c r="F21" s="13">
        <f t="shared" si="4"/>
        <v>206</v>
      </c>
      <c r="G21" s="13">
        <f t="shared" si="4"/>
        <v>215</v>
      </c>
      <c r="H21" s="13">
        <f t="shared" si="4"/>
        <v>226</v>
      </c>
      <c r="I21" s="13">
        <f t="shared" si="4"/>
        <v>216</v>
      </c>
      <c r="J21" s="13">
        <f t="shared" si="4"/>
        <v>222</v>
      </c>
      <c r="K21" s="13">
        <f t="shared" si="4"/>
        <v>232</v>
      </c>
      <c r="L21" s="13">
        <f t="shared" si="4"/>
        <v>210</v>
      </c>
      <c r="M21" s="13">
        <f t="shared" si="4"/>
        <v>179</v>
      </c>
      <c r="N21" s="13">
        <f t="shared" si="4"/>
        <v>184</v>
      </c>
      <c r="O21" s="13">
        <f t="shared" si="4"/>
        <v>201</v>
      </c>
      <c r="P21" s="13">
        <f t="shared" si="4"/>
        <v>160</v>
      </c>
      <c r="Q21" s="13">
        <f t="shared" si="4"/>
        <v>204</v>
      </c>
      <c r="R21" s="13">
        <f t="shared" si="4"/>
        <v>194</v>
      </c>
      <c r="S21" s="13">
        <f t="shared" si="3"/>
        <v>2868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3.0</v>
      </c>
      <c r="I22" s="19">
        <v>1.0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1.0</v>
      </c>
      <c r="H23" s="19">
        <v>3.0</v>
      </c>
      <c r="I23" s="19">
        <v>2.0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2</v>
      </c>
      <c r="G24" s="13">
        <f t="shared" si="5"/>
        <v>1</v>
      </c>
      <c r="H24" s="13">
        <f t="shared" si="5"/>
        <v>6</v>
      </c>
      <c r="I24" s="13">
        <f t="shared" si="5"/>
        <v>3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5.0</v>
      </c>
      <c r="G25" s="19">
        <v>1.0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2.0</v>
      </c>
      <c r="N25" s="19">
        <v>0.0</v>
      </c>
      <c r="O25" s="19">
        <v>2.0</v>
      </c>
      <c r="P25" s="19">
        <v>0.0</v>
      </c>
      <c r="Q25" s="19">
        <v>0.0</v>
      </c>
      <c r="R25" s="19">
        <v>0.0</v>
      </c>
      <c r="S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6.0</v>
      </c>
      <c r="G26" s="19">
        <v>1.0</v>
      </c>
      <c r="H26" s="19">
        <v>0.0</v>
      </c>
      <c r="I26" s="19">
        <v>0.0</v>
      </c>
      <c r="J26" s="19">
        <v>2.0</v>
      </c>
      <c r="K26" s="19">
        <v>0.0</v>
      </c>
      <c r="L26" s="19">
        <v>0.0</v>
      </c>
      <c r="M26" s="19">
        <v>3.0</v>
      </c>
      <c r="N26" s="19">
        <v>0.0</v>
      </c>
      <c r="O26" s="19">
        <v>3.0</v>
      </c>
      <c r="P26" s="19">
        <v>0.0</v>
      </c>
      <c r="Q26" s="19">
        <v>0.0</v>
      </c>
      <c r="R26" s="19">
        <v>0.0</v>
      </c>
      <c r="S26" s="13">
        <f t="shared" si="3"/>
        <v>15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11</v>
      </c>
      <c r="G27" s="13">
        <f t="shared" si="6"/>
        <v>2</v>
      </c>
      <c r="H27" s="13">
        <f t="shared" si="6"/>
        <v>1</v>
      </c>
      <c r="I27" s="13">
        <f t="shared" si="6"/>
        <v>0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6"/>
        <v>5</v>
      </c>
      <c r="N27" s="13">
        <f t="shared" si="6"/>
        <v>0</v>
      </c>
      <c r="O27" s="13">
        <f t="shared" si="6"/>
        <v>5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26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113</v>
      </c>
      <c r="G28" s="13">
        <f t="shared" si="7"/>
        <v>103</v>
      </c>
      <c r="H28" s="13">
        <f t="shared" si="7"/>
        <v>116</v>
      </c>
      <c r="I28" s="13">
        <f t="shared" si="7"/>
        <v>111</v>
      </c>
      <c r="J28" s="13">
        <f t="shared" si="7"/>
        <v>105</v>
      </c>
      <c r="K28" s="13">
        <f t="shared" si="7"/>
        <v>117</v>
      </c>
      <c r="L28" s="13">
        <f t="shared" si="7"/>
        <v>102</v>
      </c>
      <c r="M28" s="13">
        <f t="shared" si="7"/>
        <v>89</v>
      </c>
      <c r="N28" s="13">
        <f t="shared" si="7"/>
        <v>101</v>
      </c>
      <c r="O28" s="13">
        <f t="shared" si="7"/>
        <v>95</v>
      </c>
      <c r="P28" s="13">
        <f t="shared" si="7"/>
        <v>82</v>
      </c>
      <c r="Q28" s="13">
        <f t="shared" si="7"/>
        <v>97</v>
      </c>
      <c r="R28" s="13">
        <f t="shared" si="7"/>
        <v>96</v>
      </c>
      <c r="S28" s="13">
        <f t="shared" si="3"/>
        <v>1438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108</v>
      </c>
      <c r="F29" s="13">
        <f t="shared" si="8"/>
        <v>106</v>
      </c>
      <c r="G29" s="13">
        <f t="shared" si="8"/>
        <v>115</v>
      </c>
      <c r="H29" s="13">
        <f t="shared" si="8"/>
        <v>117</v>
      </c>
      <c r="I29" s="13">
        <f t="shared" si="8"/>
        <v>108</v>
      </c>
      <c r="J29" s="13">
        <f t="shared" si="8"/>
        <v>119</v>
      </c>
      <c r="K29" s="13">
        <f t="shared" si="8"/>
        <v>115</v>
      </c>
      <c r="L29" s="13">
        <f t="shared" si="8"/>
        <v>108</v>
      </c>
      <c r="M29" s="13">
        <f t="shared" si="8"/>
        <v>97</v>
      </c>
      <c r="N29" s="13">
        <f t="shared" si="8"/>
        <v>83</v>
      </c>
      <c r="O29" s="13">
        <f t="shared" si="8"/>
        <v>111</v>
      </c>
      <c r="P29" s="13">
        <f t="shared" si="8"/>
        <v>78</v>
      </c>
      <c r="Q29" s="13">
        <f t="shared" si="8"/>
        <v>107</v>
      </c>
      <c r="R29" s="13">
        <f t="shared" si="8"/>
        <v>98</v>
      </c>
      <c r="S29" s="13">
        <f t="shared" si="3"/>
        <v>1470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219</v>
      </c>
      <c r="F30" s="13">
        <f t="shared" si="9"/>
        <v>219</v>
      </c>
      <c r="G30" s="13">
        <f t="shared" si="9"/>
        <v>218</v>
      </c>
      <c r="H30" s="13">
        <f t="shared" si="9"/>
        <v>233</v>
      </c>
      <c r="I30" s="13">
        <f t="shared" si="9"/>
        <v>219</v>
      </c>
      <c r="J30" s="13">
        <f t="shared" si="9"/>
        <v>224</v>
      </c>
      <c r="K30" s="13">
        <f t="shared" si="9"/>
        <v>232</v>
      </c>
      <c r="L30" s="13">
        <f t="shared" si="9"/>
        <v>210</v>
      </c>
      <c r="M30" s="13">
        <f t="shared" si="9"/>
        <v>186</v>
      </c>
      <c r="N30" s="13">
        <f t="shared" si="9"/>
        <v>184</v>
      </c>
      <c r="O30" s="13">
        <f t="shared" si="9"/>
        <v>206</v>
      </c>
      <c r="P30" s="13">
        <f t="shared" si="9"/>
        <v>160</v>
      </c>
      <c r="Q30" s="13">
        <f t="shared" si="9"/>
        <v>204</v>
      </c>
      <c r="R30" s="13">
        <f t="shared" si="9"/>
        <v>194</v>
      </c>
      <c r="S30" s="13">
        <f t="shared" si="3"/>
        <v>2908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240.0</v>
      </c>
      <c r="G33" s="19">
        <v>258.0</v>
      </c>
      <c r="H33" s="19">
        <v>272.0</v>
      </c>
      <c r="I33" s="19">
        <v>260.0</v>
      </c>
      <c r="J33" s="19">
        <v>275.0</v>
      </c>
      <c r="K33" s="19">
        <v>274.0</v>
      </c>
      <c r="L33" s="19">
        <v>283.0</v>
      </c>
      <c r="M33" s="19">
        <v>234.0</v>
      </c>
      <c r="N33" s="19">
        <v>233.0</v>
      </c>
      <c r="O33" s="19">
        <v>259.0</v>
      </c>
      <c r="P33" s="19">
        <v>201.0</v>
      </c>
      <c r="Q33" s="19">
        <v>245.0</v>
      </c>
      <c r="R33" s="19">
        <v>236.0</v>
      </c>
      <c r="S33" s="13">
        <f t="shared" ref="S33:S36" si="10">SUM(E33:R33)</f>
        <v>3531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219.0</v>
      </c>
      <c r="G34" s="13">
        <v>218.0</v>
      </c>
      <c r="H34" s="13">
        <v>233.0</v>
      </c>
      <c r="I34" s="13">
        <v>219.0</v>
      </c>
      <c r="J34" s="13">
        <v>224.0</v>
      </c>
      <c r="K34" s="13">
        <v>232.0</v>
      </c>
      <c r="L34" s="13">
        <v>210.0</v>
      </c>
      <c r="M34" s="13">
        <v>186.0</v>
      </c>
      <c r="N34" s="13">
        <v>184.0</v>
      </c>
      <c r="O34" s="13">
        <v>206.0</v>
      </c>
      <c r="P34" s="13">
        <v>160.0</v>
      </c>
      <c r="Q34" s="13">
        <v>204.0</v>
      </c>
      <c r="R34" s="13">
        <v>194.0</v>
      </c>
      <c r="S34" s="13">
        <f t="shared" si="10"/>
        <v>2908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4.0</v>
      </c>
      <c r="H35" s="19">
        <v>0.0</v>
      </c>
      <c r="I35" s="19">
        <v>1.0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42</v>
      </c>
      <c r="F36" s="13">
        <f t="shared" si="11"/>
        <v>21</v>
      </c>
      <c r="G36" s="13">
        <f t="shared" si="11"/>
        <v>36</v>
      </c>
      <c r="H36" s="13">
        <f t="shared" si="11"/>
        <v>39</v>
      </c>
      <c r="I36" s="13">
        <f t="shared" si="11"/>
        <v>40</v>
      </c>
      <c r="J36" s="13">
        <f t="shared" si="11"/>
        <v>51</v>
      </c>
      <c r="K36" s="13">
        <f t="shared" si="11"/>
        <v>42</v>
      </c>
      <c r="L36" s="13">
        <f t="shared" si="11"/>
        <v>72</v>
      </c>
      <c r="M36" s="13">
        <f t="shared" si="11"/>
        <v>48</v>
      </c>
      <c r="N36" s="13">
        <f t="shared" si="11"/>
        <v>49</v>
      </c>
      <c r="O36" s="13">
        <f t="shared" si="11"/>
        <v>53</v>
      </c>
      <c r="P36" s="13">
        <f t="shared" si="11"/>
        <v>41</v>
      </c>
      <c r="Q36" s="13">
        <f t="shared" si="11"/>
        <v>41</v>
      </c>
      <c r="R36" s="13">
        <f t="shared" si="11"/>
        <v>42</v>
      </c>
      <c r="S36" s="13">
        <f t="shared" si="10"/>
        <v>617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0.0</v>
      </c>
      <c r="S39" s="13">
        <f t="shared" ref="S39:S41" si="12">SUM(E39:R39)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3.0</v>
      </c>
      <c r="G40" s="19">
        <v>0.0</v>
      </c>
      <c r="H40" s="19">
        <v>4.0</v>
      </c>
      <c r="I40" s="19">
        <v>0.0</v>
      </c>
      <c r="J40" s="19">
        <v>4.0</v>
      </c>
      <c r="K40" s="19">
        <v>0.0</v>
      </c>
      <c r="L40" s="19">
        <v>0.0</v>
      </c>
      <c r="M40" s="19">
        <v>0.0</v>
      </c>
      <c r="N40" s="19">
        <v>2.0</v>
      </c>
      <c r="O40" s="19">
        <v>0.0</v>
      </c>
      <c r="P40" s="19">
        <v>0.0</v>
      </c>
      <c r="Q40" s="19">
        <v>0.0</v>
      </c>
      <c r="R40" s="19">
        <v>0.0</v>
      </c>
      <c r="S40" s="13">
        <f t="shared" si="12"/>
        <v>13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4</v>
      </c>
      <c r="G41" s="13">
        <f t="shared" si="13"/>
        <v>0</v>
      </c>
      <c r="H41" s="13">
        <f t="shared" si="13"/>
        <v>6</v>
      </c>
      <c r="I41" s="13">
        <f t="shared" si="13"/>
        <v>0</v>
      </c>
      <c r="J41" s="13">
        <f t="shared" si="13"/>
        <v>4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18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3"/>
    </row>
    <row r="45" ht="12.75" customHeight="1">
      <c r="A45" s="30"/>
      <c r="B45" s="47">
        <v>1.0</v>
      </c>
      <c r="C45" s="48" t="s">
        <v>37</v>
      </c>
      <c r="D45" s="16"/>
      <c r="E45" s="19">
        <v>15.0</v>
      </c>
      <c r="F45" s="19">
        <v>40.0</v>
      </c>
      <c r="G45" s="19">
        <v>39.0</v>
      </c>
      <c r="H45" s="19">
        <v>12.0</v>
      </c>
      <c r="I45" s="19">
        <v>21.0</v>
      </c>
      <c r="J45" s="19">
        <v>26.0</v>
      </c>
      <c r="K45" s="19">
        <v>18.0</v>
      </c>
      <c r="L45" s="19">
        <v>17.0</v>
      </c>
      <c r="M45" s="19">
        <v>37.0</v>
      </c>
      <c r="N45" s="19">
        <v>22.0</v>
      </c>
      <c r="O45" s="19">
        <v>11.0</v>
      </c>
      <c r="P45" s="19">
        <v>13.0</v>
      </c>
      <c r="Q45" s="19">
        <v>17.0</v>
      </c>
      <c r="R45" s="19">
        <v>8.0</v>
      </c>
      <c r="S45" s="13">
        <f t="shared" ref="S45:S47" si="14">SUM(E45:R45)</f>
        <v>296</v>
      </c>
    </row>
    <row r="46" ht="12.75" customHeight="1">
      <c r="A46" s="18"/>
      <c r="B46" s="47">
        <v>2.0</v>
      </c>
      <c r="C46" s="48" t="s">
        <v>38</v>
      </c>
      <c r="D46" s="16"/>
      <c r="E46" s="19">
        <v>122.0</v>
      </c>
      <c r="F46" s="19">
        <v>125.0</v>
      </c>
      <c r="G46" s="19">
        <v>112.0</v>
      </c>
      <c r="H46" s="19">
        <v>171.0</v>
      </c>
      <c r="I46" s="19">
        <v>147.0</v>
      </c>
      <c r="J46" s="19">
        <v>167.0</v>
      </c>
      <c r="K46" s="19">
        <v>178.0</v>
      </c>
      <c r="L46" s="19">
        <v>175.0</v>
      </c>
      <c r="M46" s="19">
        <v>122.0</v>
      </c>
      <c r="N46" s="19">
        <v>120.0</v>
      </c>
      <c r="O46" s="19">
        <v>163.0</v>
      </c>
      <c r="P46" s="19">
        <v>109.0</v>
      </c>
      <c r="Q46" s="19">
        <v>153.0</v>
      </c>
      <c r="R46" s="19">
        <v>147.0</v>
      </c>
      <c r="S46" s="13">
        <f t="shared" si="14"/>
        <v>2011</v>
      </c>
    </row>
    <row r="47" ht="12.75" customHeight="1">
      <c r="A47" s="18"/>
      <c r="B47" s="47">
        <v>3.0</v>
      </c>
      <c r="C47" s="48" t="s">
        <v>39</v>
      </c>
      <c r="D47" s="16"/>
      <c r="E47" s="19">
        <v>80.0</v>
      </c>
      <c r="F47" s="19">
        <v>53.0</v>
      </c>
      <c r="G47" s="19">
        <v>66.0</v>
      </c>
      <c r="H47" s="19">
        <v>46.0</v>
      </c>
      <c r="I47" s="19">
        <v>45.0</v>
      </c>
      <c r="J47" s="19">
        <v>30.0</v>
      </c>
      <c r="K47" s="19">
        <v>32.0</v>
      </c>
      <c r="L47" s="19">
        <v>12.0</v>
      </c>
      <c r="M47" s="19">
        <v>13.0</v>
      </c>
      <c r="N47" s="19">
        <v>41.0</v>
      </c>
      <c r="O47" s="19">
        <v>29.0</v>
      </c>
      <c r="P47" s="19">
        <v>34.0</v>
      </c>
      <c r="Q47" s="19">
        <v>21.0</v>
      </c>
      <c r="R47" s="19">
        <v>36.0</v>
      </c>
      <c r="S47" s="13">
        <f t="shared" si="14"/>
        <v>538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R50" si="15">SUM(E45:E47)</f>
        <v>217</v>
      </c>
      <c r="F50" s="19">
        <f t="shared" si="15"/>
        <v>218</v>
      </c>
      <c r="G50" s="19">
        <f t="shared" si="15"/>
        <v>217</v>
      </c>
      <c r="H50" s="19">
        <f t="shared" si="15"/>
        <v>229</v>
      </c>
      <c r="I50" s="19">
        <f t="shared" si="15"/>
        <v>213</v>
      </c>
      <c r="J50" s="19">
        <f t="shared" si="15"/>
        <v>223</v>
      </c>
      <c r="K50" s="19">
        <f t="shared" si="15"/>
        <v>228</v>
      </c>
      <c r="L50" s="19">
        <f t="shared" si="15"/>
        <v>204</v>
      </c>
      <c r="M50" s="19">
        <f t="shared" si="15"/>
        <v>172</v>
      </c>
      <c r="N50" s="19">
        <f t="shared" si="15"/>
        <v>183</v>
      </c>
      <c r="O50" s="19">
        <f t="shared" si="15"/>
        <v>203</v>
      </c>
      <c r="P50" s="19">
        <f t="shared" si="15"/>
        <v>156</v>
      </c>
      <c r="Q50" s="19">
        <f t="shared" si="15"/>
        <v>191</v>
      </c>
      <c r="R50" s="19">
        <f t="shared" si="15"/>
        <v>191</v>
      </c>
      <c r="S50" s="13">
        <f t="shared" ref="S50:S52" si="16">SUM(E50:R50)</f>
        <v>2845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1.0</v>
      </c>
      <c r="G51" s="19">
        <v>1.0</v>
      </c>
      <c r="H51" s="19">
        <v>4.0</v>
      </c>
      <c r="I51" s="19">
        <v>5.0</v>
      </c>
      <c r="J51" s="19">
        <v>1.0</v>
      </c>
      <c r="K51" s="19">
        <v>4.0</v>
      </c>
      <c r="L51" s="19">
        <v>6.0</v>
      </c>
      <c r="M51" s="19">
        <v>4.0</v>
      </c>
      <c r="N51" s="19">
        <v>1.0</v>
      </c>
      <c r="O51" s="19">
        <v>2.0</v>
      </c>
      <c r="P51" s="19">
        <v>4.0</v>
      </c>
      <c r="Q51" s="19">
        <v>2.0</v>
      </c>
      <c r="R51" s="19">
        <v>2.0</v>
      </c>
      <c r="S51" s="13">
        <f t="shared" si="16"/>
        <v>39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R52" si="17">SUM(E50:E51)</f>
        <v>219</v>
      </c>
      <c r="F52" s="13">
        <f t="shared" si="17"/>
        <v>219</v>
      </c>
      <c r="G52" s="13">
        <f t="shared" si="17"/>
        <v>218</v>
      </c>
      <c r="H52" s="13">
        <f t="shared" si="17"/>
        <v>233</v>
      </c>
      <c r="I52" s="13">
        <f t="shared" si="17"/>
        <v>218</v>
      </c>
      <c r="J52" s="13">
        <f t="shared" si="17"/>
        <v>224</v>
      </c>
      <c r="K52" s="13">
        <f t="shared" si="17"/>
        <v>232</v>
      </c>
      <c r="L52" s="13">
        <f t="shared" si="17"/>
        <v>210</v>
      </c>
      <c r="M52" s="13">
        <f t="shared" si="17"/>
        <v>176</v>
      </c>
      <c r="N52" s="13">
        <f t="shared" si="17"/>
        <v>184</v>
      </c>
      <c r="O52" s="13">
        <f t="shared" si="17"/>
        <v>205</v>
      </c>
      <c r="P52" s="13">
        <f t="shared" si="17"/>
        <v>160</v>
      </c>
      <c r="Q52" s="13">
        <f t="shared" si="17"/>
        <v>193</v>
      </c>
      <c r="R52" s="13">
        <f t="shared" si="17"/>
        <v>193</v>
      </c>
      <c r="S52" s="13">
        <f t="shared" si="16"/>
        <v>2884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O42"/>
    <mergeCell ref="B43:D43"/>
    <mergeCell ref="A44:D44"/>
    <mergeCell ref="C45:D45"/>
  </mergeCells>
  <conditionalFormatting sqref="E14:R15 E45:R4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50:R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130.0</v>
      </c>
      <c r="G14" s="19">
        <v>131.0</v>
      </c>
      <c r="H14" s="19">
        <v>142.0</v>
      </c>
      <c r="I14" s="19">
        <v>130.0</v>
      </c>
      <c r="J14" s="19">
        <v>128.0</v>
      </c>
      <c r="K14" s="19">
        <v>117.0</v>
      </c>
      <c r="L14" s="19">
        <v>118.0</v>
      </c>
      <c r="M14" s="19">
        <v>126.0</v>
      </c>
      <c r="N14" s="19">
        <v>132.0</v>
      </c>
      <c r="O14" s="19">
        <v>97.0</v>
      </c>
      <c r="P14" s="19">
        <v>102.0</v>
      </c>
      <c r="Q14" s="19">
        <v>121.0</v>
      </c>
      <c r="R14" s="19">
        <v>118.0</v>
      </c>
      <c r="S14" s="19">
        <v>124.0</v>
      </c>
      <c r="T14" s="13">
        <f t="shared" ref="T14:T16" si="1">SUM(E14:S14)</f>
        <v>1851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128.0</v>
      </c>
      <c r="G15" s="19">
        <v>126.0</v>
      </c>
      <c r="H15" s="19">
        <v>128.0</v>
      </c>
      <c r="I15" s="19">
        <v>129.0</v>
      </c>
      <c r="J15" s="19">
        <v>134.0</v>
      </c>
      <c r="K15" s="19">
        <v>131.0</v>
      </c>
      <c r="L15" s="19">
        <v>131.0</v>
      </c>
      <c r="M15" s="19">
        <v>129.0</v>
      </c>
      <c r="N15" s="19">
        <v>152.0</v>
      </c>
      <c r="O15" s="19">
        <v>107.0</v>
      </c>
      <c r="P15" s="19">
        <v>111.0</v>
      </c>
      <c r="Q15" s="19">
        <v>124.0</v>
      </c>
      <c r="R15" s="19">
        <v>125.0</v>
      </c>
      <c r="S15" s="19">
        <v>117.0</v>
      </c>
      <c r="T15" s="13">
        <f t="shared" si="1"/>
        <v>1908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271</v>
      </c>
      <c r="F16" s="13">
        <f t="shared" si="2"/>
        <v>258</v>
      </c>
      <c r="G16" s="13">
        <f t="shared" si="2"/>
        <v>257</v>
      </c>
      <c r="H16" s="13">
        <f t="shared" si="2"/>
        <v>270</v>
      </c>
      <c r="I16" s="13">
        <f t="shared" si="2"/>
        <v>259</v>
      </c>
      <c r="J16" s="13">
        <f t="shared" si="2"/>
        <v>262</v>
      </c>
      <c r="K16" s="13">
        <f t="shared" si="2"/>
        <v>248</v>
      </c>
      <c r="L16" s="13">
        <f t="shared" si="2"/>
        <v>249</v>
      </c>
      <c r="M16" s="13">
        <f t="shared" si="2"/>
        <v>255</v>
      </c>
      <c r="N16" s="13">
        <f t="shared" si="2"/>
        <v>284</v>
      </c>
      <c r="O16" s="13">
        <f t="shared" si="2"/>
        <v>204</v>
      </c>
      <c r="P16" s="13">
        <f t="shared" si="2"/>
        <v>213</v>
      </c>
      <c r="Q16" s="13">
        <f t="shared" si="2"/>
        <v>245</v>
      </c>
      <c r="R16" s="13">
        <f t="shared" si="2"/>
        <v>243</v>
      </c>
      <c r="S16" s="13">
        <f t="shared" si="2"/>
        <v>241</v>
      </c>
      <c r="T16" s="13">
        <f t="shared" si="1"/>
        <v>3759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99.0</v>
      </c>
      <c r="G19" s="19">
        <v>93.0</v>
      </c>
      <c r="H19" s="19">
        <v>104.0</v>
      </c>
      <c r="I19" s="19">
        <v>99.0</v>
      </c>
      <c r="J19" s="19">
        <v>101.0</v>
      </c>
      <c r="K19" s="19">
        <v>98.0</v>
      </c>
      <c r="L19" s="19">
        <v>92.0</v>
      </c>
      <c r="M19" s="19">
        <v>82.0</v>
      </c>
      <c r="N19" s="19">
        <v>87.0</v>
      </c>
      <c r="O19" s="19">
        <v>84.0</v>
      </c>
      <c r="P19" s="19">
        <v>71.0</v>
      </c>
      <c r="Q19" s="19">
        <v>91.0</v>
      </c>
      <c r="R19" s="19">
        <v>90.0</v>
      </c>
      <c r="S19" s="19">
        <v>104.0</v>
      </c>
      <c r="T19" s="13">
        <f t="shared" ref="T19:T30" si="3">SUM(E19:S19)</f>
        <v>1387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102.0</v>
      </c>
      <c r="G20" s="19">
        <v>97.0</v>
      </c>
      <c r="H20" s="19">
        <v>104.0</v>
      </c>
      <c r="I20" s="19">
        <v>108.0</v>
      </c>
      <c r="J20" s="19">
        <v>111.0</v>
      </c>
      <c r="K20" s="19">
        <v>96.0</v>
      </c>
      <c r="L20" s="19">
        <v>108.0</v>
      </c>
      <c r="M20" s="19">
        <v>89.0</v>
      </c>
      <c r="N20" s="19">
        <v>109.0</v>
      </c>
      <c r="O20" s="19">
        <v>69.0</v>
      </c>
      <c r="P20" s="19">
        <v>84.0</v>
      </c>
      <c r="Q20" s="19">
        <v>103.0</v>
      </c>
      <c r="R20" s="19">
        <v>104.0</v>
      </c>
      <c r="S20" s="19">
        <v>98.0</v>
      </c>
      <c r="T20" s="13">
        <f t="shared" si="3"/>
        <v>1492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202</v>
      </c>
      <c r="F21" s="13">
        <f t="shared" si="4"/>
        <v>201</v>
      </c>
      <c r="G21" s="13">
        <f t="shared" si="4"/>
        <v>190</v>
      </c>
      <c r="H21" s="13">
        <f t="shared" si="4"/>
        <v>208</v>
      </c>
      <c r="I21" s="13">
        <f t="shared" si="4"/>
        <v>207</v>
      </c>
      <c r="J21" s="13">
        <f t="shared" si="4"/>
        <v>212</v>
      </c>
      <c r="K21" s="13">
        <f t="shared" si="4"/>
        <v>194</v>
      </c>
      <c r="L21" s="13">
        <f t="shared" si="4"/>
        <v>200</v>
      </c>
      <c r="M21" s="13">
        <f t="shared" si="4"/>
        <v>171</v>
      </c>
      <c r="N21" s="13">
        <f t="shared" si="4"/>
        <v>196</v>
      </c>
      <c r="O21" s="13">
        <f t="shared" si="4"/>
        <v>153</v>
      </c>
      <c r="P21" s="13">
        <f t="shared" si="4"/>
        <v>155</v>
      </c>
      <c r="Q21" s="13">
        <f t="shared" si="4"/>
        <v>194</v>
      </c>
      <c r="R21" s="13">
        <f t="shared" si="4"/>
        <v>194</v>
      </c>
      <c r="S21" s="13">
        <f t="shared" si="4"/>
        <v>202</v>
      </c>
      <c r="T21" s="13">
        <f t="shared" si="3"/>
        <v>2879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2.0</v>
      </c>
      <c r="P22" s="19">
        <v>0.0</v>
      </c>
      <c r="Q22" s="19">
        <v>1.0</v>
      </c>
      <c r="R22" s="19">
        <v>1.0</v>
      </c>
      <c r="S22" s="19">
        <v>2.0</v>
      </c>
      <c r="T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2.0</v>
      </c>
      <c r="M23" s="19">
        <v>1.0</v>
      </c>
      <c r="N23" s="19">
        <v>0.0</v>
      </c>
      <c r="O23" s="19">
        <v>0.0</v>
      </c>
      <c r="P23" s="19">
        <v>1.0</v>
      </c>
      <c r="Q23" s="19">
        <v>1.0</v>
      </c>
      <c r="R23" s="19">
        <v>1.0</v>
      </c>
      <c r="S23" s="19">
        <v>2.0</v>
      </c>
      <c r="T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1</v>
      </c>
      <c r="N24" s="13">
        <f t="shared" si="5"/>
        <v>0</v>
      </c>
      <c r="O24" s="13">
        <f t="shared" si="5"/>
        <v>2</v>
      </c>
      <c r="P24" s="13">
        <f t="shared" si="5"/>
        <v>1</v>
      </c>
      <c r="Q24" s="13">
        <f t="shared" si="5"/>
        <v>2</v>
      </c>
      <c r="R24" s="13">
        <f t="shared" si="5"/>
        <v>2</v>
      </c>
      <c r="S24" s="13">
        <f t="shared" si="5"/>
        <v>4</v>
      </c>
      <c r="T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1.0</v>
      </c>
      <c r="N25" s="19">
        <v>2.0</v>
      </c>
      <c r="O25" s="19">
        <v>2.0</v>
      </c>
      <c r="P25" s="19">
        <v>0.0</v>
      </c>
      <c r="Q25" s="19">
        <v>1.0</v>
      </c>
      <c r="R25" s="19">
        <v>1.0</v>
      </c>
      <c r="S25" s="19">
        <v>0.0</v>
      </c>
      <c r="T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2.0</v>
      </c>
      <c r="L26" s="19">
        <v>1.0</v>
      </c>
      <c r="M26" s="19">
        <v>0.0</v>
      </c>
      <c r="N26" s="19">
        <v>1.0</v>
      </c>
      <c r="O26" s="19">
        <v>1.0</v>
      </c>
      <c r="P26" s="19">
        <v>1.0</v>
      </c>
      <c r="Q26" s="19">
        <v>0.0</v>
      </c>
      <c r="R26" s="19">
        <v>0.0</v>
      </c>
      <c r="S26" s="19">
        <v>0.0</v>
      </c>
      <c r="T26" s="13">
        <f t="shared" si="3"/>
        <v>9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2</v>
      </c>
      <c r="L27" s="13">
        <f t="shared" si="6"/>
        <v>1</v>
      </c>
      <c r="M27" s="13">
        <f t="shared" si="6"/>
        <v>1</v>
      </c>
      <c r="N27" s="13">
        <f t="shared" si="6"/>
        <v>3</v>
      </c>
      <c r="O27" s="13">
        <f t="shared" si="6"/>
        <v>3</v>
      </c>
      <c r="P27" s="13">
        <f t="shared" si="6"/>
        <v>1</v>
      </c>
      <c r="Q27" s="13">
        <f t="shared" si="6"/>
        <v>1</v>
      </c>
      <c r="R27" s="13">
        <f t="shared" si="6"/>
        <v>1</v>
      </c>
      <c r="S27" s="13">
        <f t="shared" si="6"/>
        <v>0</v>
      </c>
      <c r="T27" s="13">
        <f t="shared" si="3"/>
        <v>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93</v>
      </c>
      <c r="F28" s="13">
        <f t="shared" si="7"/>
        <v>99</v>
      </c>
      <c r="G28" s="13">
        <f t="shared" si="7"/>
        <v>94</v>
      </c>
      <c r="H28" s="13">
        <f t="shared" si="7"/>
        <v>104</v>
      </c>
      <c r="I28" s="13">
        <f t="shared" si="7"/>
        <v>100</v>
      </c>
      <c r="J28" s="13">
        <f t="shared" si="7"/>
        <v>101</v>
      </c>
      <c r="K28" s="13">
        <f t="shared" si="7"/>
        <v>98</v>
      </c>
      <c r="L28" s="13">
        <f t="shared" si="7"/>
        <v>92</v>
      </c>
      <c r="M28" s="13">
        <f t="shared" si="7"/>
        <v>83</v>
      </c>
      <c r="N28" s="13">
        <f t="shared" si="7"/>
        <v>89</v>
      </c>
      <c r="O28" s="13">
        <f t="shared" si="7"/>
        <v>88</v>
      </c>
      <c r="P28" s="13">
        <f t="shared" si="7"/>
        <v>71</v>
      </c>
      <c r="Q28" s="13">
        <f t="shared" si="7"/>
        <v>93</v>
      </c>
      <c r="R28" s="13">
        <f t="shared" si="7"/>
        <v>92</v>
      </c>
      <c r="S28" s="13">
        <f t="shared" si="7"/>
        <v>106</v>
      </c>
      <c r="T28" s="13">
        <f t="shared" si="3"/>
        <v>1403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113</v>
      </c>
      <c r="F29" s="13">
        <f t="shared" si="8"/>
        <v>102</v>
      </c>
      <c r="G29" s="13">
        <f t="shared" si="8"/>
        <v>97</v>
      </c>
      <c r="H29" s="13">
        <f t="shared" si="8"/>
        <v>105</v>
      </c>
      <c r="I29" s="13">
        <f t="shared" si="8"/>
        <v>109</v>
      </c>
      <c r="J29" s="13">
        <f t="shared" si="8"/>
        <v>111</v>
      </c>
      <c r="K29" s="13">
        <f t="shared" si="8"/>
        <v>98</v>
      </c>
      <c r="L29" s="13">
        <f t="shared" si="8"/>
        <v>111</v>
      </c>
      <c r="M29" s="13">
        <f t="shared" si="8"/>
        <v>90</v>
      </c>
      <c r="N29" s="13">
        <f t="shared" si="8"/>
        <v>110</v>
      </c>
      <c r="O29" s="13">
        <f t="shared" si="8"/>
        <v>70</v>
      </c>
      <c r="P29" s="13">
        <f t="shared" si="8"/>
        <v>86</v>
      </c>
      <c r="Q29" s="13">
        <f t="shared" si="8"/>
        <v>104</v>
      </c>
      <c r="R29" s="13">
        <f t="shared" si="8"/>
        <v>105</v>
      </c>
      <c r="S29" s="13">
        <f t="shared" si="8"/>
        <v>100</v>
      </c>
      <c r="T29" s="13">
        <f t="shared" si="3"/>
        <v>1511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206</v>
      </c>
      <c r="F30" s="13">
        <f t="shared" si="9"/>
        <v>201</v>
      </c>
      <c r="G30" s="13">
        <f t="shared" si="9"/>
        <v>191</v>
      </c>
      <c r="H30" s="13">
        <f t="shared" si="9"/>
        <v>209</v>
      </c>
      <c r="I30" s="13">
        <f t="shared" si="9"/>
        <v>209</v>
      </c>
      <c r="J30" s="13">
        <f t="shared" si="9"/>
        <v>212</v>
      </c>
      <c r="K30" s="13">
        <f t="shared" si="9"/>
        <v>196</v>
      </c>
      <c r="L30" s="13">
        <f t="shared" si="9"/>
        <v>203</v>
      </c>
      <c r="M30" s="13">
        <f t="shared" si="9"/>
        <v>173</v>
      </c>
      <c r="N30" s="13">
        <f t="shared" si="9"/>
        <v>199</v>
      </c>
      <c r="O30" s="13">
        <f t="shared" si="9"/>
        <v>158</v>
      </c>
      <c r="P30" s="13">
        <f t="shared" si="9"/>
        <v>157</v>
      </c>
      <c r="Q30" s="13">
        <f t="shared" si="9"/>
        <v>197</v>
      </c>
      <c r="R30" s="13">
        <f t="shared" si="9"/>
        <v>197</v>
      </c>
      <c r="S30" s="13">
        <f t="shared" si="9"/>
        <v>206</v>
      </c>
      <c r="T30" s="13">
        <f t="shared" si="3"/>
        <v>2914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266.0</v>
      </c>
      <c r="F33" s="19">
        <v>254.0</v>
      </c>
      <c r="G33" s="19">
        <v>253.0</v>
      </c>
      <c r="H33" s="19">
        <v>266.0</v>
      </c>
      <c r="I33" s="19">
        <v>255.0</v>
      </c>
      <c r="J33" s="19">
        <v>258.0</v>
      </c>
      <c r="K33" s="19">
        <v>248.0</v>
      </c>
      <c r="L33" s="19">
        <v>241.0</v>
      </c>
      <c r="M33" s="19">
        <v>250.0</v>
      </c>
      <c r="N33" s="19">
        <v>280.0</v>
      </c>
      <c r="O33" s="19">
        <v>202.0</v>
      </c>
      <c r="P33" s="19">
        <v>207.0</v>
      </c>
      <c r="Q33" s="19">
        <v>241.0</v>
      </c>
      <c r="R33" s="19">
        <v>239.0</v>
      </c>
      <c r="S33" s="19">
        <v>238.0</v>
      </c>
      <c r="T33" s="13">
        <f t="shared" ref="T33:T36" si="10">SUM(E33:S33)</f>
        <v>3698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201.0</v>
      </c>
      <c r="G34" s="13">
        <v>191.0</v>
      </c>
      <c r="H34" s="13">
        <v>209.0</v>
      </c>
      <c r="I34" s="13">
        <v>209.0</v>
      </c>
      <c r="J34" s="13">
        <v>212.0</v>
      </c>
      <c r="K34" s="13">
        <v>196.0</v>
      </c>
      <c r="L34" s="13">
        <v>203.0</v>
      </c>
      <c r="M34" s="13">
        <v>173.0</v>
      </c>
      <c r="N34" s="13">
        <v>199.0</v>
      </c>
      <c r="O34" s="13">
        <v>158.0</v>
      </c>
      <c r="P34" s="13">
        <v>137.0</v>
      </c>
      <c r="Q34" s="13">
        <v>202.0</v>
      </c>
      <c r="R34" s="13">
        <v>197.0</v>
      </c>
      <c r="S34" s="13">
        <v>206.0</v>
      </c>
      <c r="T34" s="13">
        <f t="shared" si="10"/>
        <v>2899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2.0</v>
      </c>
      <c r="S35" s="19">
        <v>0.0</v>
      </c>
      <c r="T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60</v>
      </c>
      <c r="F36" s="13">
        <f t="shared" si="11"/>
        <v>53</v>
      </c>
      <c r="G36" s="13">
        <f t="shared" si="11"/>
        <v>61</v>
      </c>
      <c r="H36" s="13">
        <f t="shared" si="11"/>
        <v>57</v>
      </c>
      <c r="I36" s="13">
        <f t="shared" si="11"/>
        <v>46</v>
      </c>
      <c r="J36" s="13">
        <f t="shared" si="11"/>
        <v>46</v>
      </c>
      <c r="K36" s="13">
        <f t="shared" si="11"/>
        <v>52</v>
      </c>
      <c r="L36" s="13">
        <f t="shared" si="11"/>
        <v>38</v>
      </c>
      <c r="M36" s="13">
        <f t="shared" si="11"/>
        <v>77</v>
      </c>
      <c r="N36" s="13">
        <f t="shared" si="11"/>
        <v>81</v>
      </c>
      <c r="O36" s="13">
        <f t="shared" si="11"/>
        <v>44</v>
      </c>
      <c r="P36" s="13">
        <f t="shared" si="11"/>
        <v>70</v>
      </c>
      <c r="Q36" s="13">
        <f t="shared" si="11"/>
        <v>39</v>
      </c>
      <c r="R36" s="13">
        <f t="shared" si="11"/>
        <v>40</v>
      </c>
      <c r="S36" s="13">
        <f t="shared" si="11"/>
        <v>32</v>
      </c>
      <c r="T36" s="13">
        <f t="shared" si="10"/>
        <v>796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1.0</v>
      </c>
      <c r="T39" s="13">
        <f t="shared" ref="T39:T41" si="12">SUM(E39:S39)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1.0</v>
      </c>
      <c r="Q40" s="19">
        <v>0.0</v>
      </c>
      <c r="R40" s="19">
        <v>0.0</v>
      </c>
      <c r="S40" s="19">
        <v>0.0</v>
      </c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3"/>
    </row>
    <row r="45" ht="12.75" customHeight="1">
      <c r="A45" s="30"/>
      <c r="B45" s="47">
        <v>1.0</v>
      </c>
      <c r="C45" s="48" t="s">
        <v>37</v>
      </c>
      <c r="D45" s="16"/>
      <c r="E45" s="19">
        <v>3.0</v>
      </c>
      <c r="F45" s="19">
        <v>12.0</v>
      </c>
      <c r="G45" s="19">
        <v>21.0</v>
      </c>
      <c r="H45" s="19">
        <v>15.0</v>
      </c>
      <c r="I45" s="19">
        <v>12.0</v>
      </c>
      <c r="J45" s="19">
        <v>25.0</v>
      </c>
      <c r="K45" s="19">
        <v>23.0</v>
      </c>
      <c r="L45" s="19">
        <v>8.0</v>
      </c>
      <c r="M45" s="19">
        <v>7.0</v>
      </c>
      <c r="N45" s="19">
        <v>14.0</v>
      </c>
      <c r="O45" s="19">
        <v>9.0</v>
      </c>
      <c r="P45" s="19">
        <v>18.0</v>
      </c>
      <c r="Q45" s="19">
        <v>8.0</v>
      </c>
      <c r="R45" s="19">
        <v>21.0</v>
      </c>
      <c r="S45" s="19">
        <v>8.0</v>
      </c>
      <c r="T45" s="13">
        <f t="shared" ref="T45:T47" si="14">SUM(E45:S45)</f>
        <v>204</v>
      </c>
    </row>
    <row r="46" ht="12.75" customHeight="1">
      <c r="A46" s="18"/>
      <c r="B46" s="47">
        <v>2.0</v>
      </c>
      <c r="C46" s="48" t="s">
        <v>38</v>
      </c>
      <c r="D46" s="16"/>
      <c r="E46" s="19">
        <v>174.0</v>
      </c>
      <c r="F46" s="19">
        <v>162.0</v>
      </c>
      <c r="G46" s="19">
        <v>133.0</v>
      </c>
      <c r="H46" s="19">
        <v>179.0</v>
      </c>
      <c r="I46" s="19">
        <v>165.0</v>
      </c>
      <c r="J46" s="19">
        <v>166.0</v>
      </c>
      <c r="K46" s="19">
        <v>148.0</v>
      </c>
      <c r="L46" s="19">
        <v>171.0</v>
      </c>
      <c r="M46" s="19">
        <v>152.0</v>
      </c>
      <c r="N46" s="19">
        <v>156.0</v>
      </c>
      <c r="O46" s="19">
        <v>159.0</v>
      </c>
      <c r="P46" s="19">
        <v>134.0</v>
      </c>
      <c r="Q46" s="19">
        <v>168.0</v>
      </c>
      <c r="R46" s="19">
        <v>143.0</v>
      </c>
      <c r="S46" s="19">
        <v>163.0</v>
      </c>
      <c r="T46" s="13">
        <f t="shared" si="14"/>
        <v>2373</v>
      </c>
    </row>
    <row r="47" ht="12.75" customHeight="1">
      <c r="A47" s="18"/>
      <c r="B47" s="47">
        <v>3.0</v>
      </c>
      <c r="C47" s="48" t="s">
        <v>39</v>
      </c>
      <c r="D47" s="16"/>
      <c r="E47" s="19">
        <v>26.0</v>
      </c>
      <c r="F47" s="19">
        <v>29.0</v>
      </c>
      <c r="G47" s="19">
        <v>36.0</v>
      </c>
      <c r="H47" s="19">
        <v>11.0</v>
      </c>
      <c r="I47" s="19">
        <v>27.0</v>
      </c>
      <c r="J47" s="19">
        <v>19.0</v>
      </c>
      <c r="K47" s="19">
        <v>19.0</v>
      </c>
      <c r="L47" s="19">
        <v>16.0</v>
      </c>
      <c r="M47" s="19">
        <v>12.0</v>
      </c>
      <c r="N47" s="19">
        <v>25.0</v>
      </c>
      <c r="O47" s="19">
        <v>11.0</v>
      </c>
      <c r="P47" s="19">
        <v>14.0</v>
      </c>
      <c r="Q47" s="19">
        <v>14.0</v>
      </c>
      <c r="R47" s="19">
        <v>29.0</v>
      </c>
      <c r="S47" s="19">
        <v>32.0</v>
      </c>
      <c r="T47" s="13">
        <f t="shared" si="14"/>
        <v>320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S50" si="15">SUM(E45:E47)</f>
        <v>203</v>
      </c>
      <c r="F50" s="19">
        <f t="shared" si="15"/>
        <v>203</v>
      </c>
      <c r="G50" s="19">
        <f t="shared" si="15"/>
        <v>190</v>
      </c>
      <c r="H50" s="19">
        <f t="shared" si="15"/>
        <v>205</v>
      </c>
      <c r="I50" s="19">
        <f t="shared" si="15"/>
        <v>204</v>
      </c>
      <c r="J50" s="19">
        <f t="shared" si="15"/>
        <v>210</v>
      </c>
      <c r="K50" s="19">
        <f t="shared" si="15"/>
        <v>190</v>
      </c>
      <c r="L50" s="19">
        <f t="shared" si="15"/>
        <v>195</v>
      </c>
      <c r="M50" s="19">
        <f t="shared" si="15"/>
        <v>171</v>
      </c>
      <c r="N50" s="19">
        <f t="shared" si="15"/>
        <v>195</v>
      </c>
      <c r="O50" s="19">
        <f t="shared" si="15"/>
        <v>179</v>
      </c>
      <c r="P50" s="19">
        <f t="shared" si="15"/>
        <v>166</v>
      </c>
      <c r="Q50" s="19">
        <f t="shared" si="15"/>
        <v>190</v>
      </c>
      <c r="R50" s="19">
        <f t="shared" si="15"/>
        <v>193</v>
      </c>
      <c r="S50" s="19">
        <f t="shared" si="15"/>
        <v>203</v>
      </c>
      <c r="T50" s="13">
        <f t="shared" ref="T50:T52" si="16">SUM(E50:S50)</f>
        <v>2897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5.0</v>
      </c>
      <c r="G51" s="19">
        <v>1.0</v>
      </c>
      <c r="H51" s="19">
        <v>4.0</v>
      </c>
      <c r="I51" s="19">
        <v>5.0</v>
      </c>
      <c r="J51" s="19">
        <v>2.0</v>
      </c>
      <c r="K51" s="19">
        <v>6.0</v>
      </c>
      <c r="L51" s="19">
        <v>8.0</v>
      </c>
      <c r="M51" s="19">
        <v>2.0</v>
      </c>
      <c r="N51" s="19">
        <v>3.0</v>
      </c>
      <c r="O51" s="19">
        <v>9.0</v>
      </c>
      <c r="P51" s="19">
        <v>1.0</v>
      </c>
      <c r="Q51" s="19">
        <v>12.0</v>
      </c>
      <c r="R51" s="19">
        <v>4.0</v>
      </c>
      <c r="S51" s="19">
        <v>4.0</v>
      </c>
      <c r="T51" s="13">
        <f t="shared" si="16"/>
        <v>69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S52" si="17">SUM(E50:E51)</f>
        <v>206</v>
      </c>
      <c r="F52" s="13">
        <f t="shared" si="17"/>
        <v>208</v>
      </c>
      <c r="G52" s="13">
        <f t="shared" si="17"/>
        <v>191</v>
      </c>
      <c r="H52" s="13">
        <f t="shared" si="17"/>
        <v>209</v>
      </c>
      <c r="I52" s="13">
        <f t="shared" si="17"/>
        <v>209</v>
      </c>
      <c r="J52" s="13">
        <f t="shared" si="17"/>
        <v>212</v>
      </c>
      <c r="K52" s="13">
        <f t="shared" si="17"/>
        <v>196</v>
      </c>
      <c r="L52" s="13">
        <f t="shared" si="17"/>
        <v>203</v>
      </c>
      <c r="M52" s="13">
        <f t="shared" si="17"/>
        <v>173</v>
      </c>
      <c r="N52" s="13">
        <f t="shared" si="17"/>
        <v>198</v>
      </c>
      <c r="O52" s="13">
        <f t="shared" si="17"/>
        <v>188</v>
      </c>
      <c r="P52" s="13">
        <f t="shared" si="17"/>
        <v>167</v>
      </c>
      <c r="Q52" s="13">
        <f t="shared" si="17"/>
        <v>202</v>
      </c>
      <c r="R52" s="13">
        <f t="shared" si="17"/>
        <v>197</v>
      </c>
      <c r="S52" s="13">
        <f t="shared" si="17"/>
        <v>207</v>
      </c>
      <c r="T52" s="13">
        <f t="shared" si="16"/>
        <v>2966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 E45:S4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50:S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hidden="1" customHeight="1"/>
    <row r="2" ht="12.75" hidden="1" customHeight="1">
      <c r="C2" s="8" t="s">
        <v>0</v>
      </c>
      <c r="D2" s="8" t="s">
        <v>1</v>
      </c>
    </row>
    <row r="3" ht="12.75" hidden="1" customHeight="1">
      <c r="C3" s="8" t="s">
        <v>2</v>
      </c>
      <c r="D3" s="8" t="s">
        <v>3</v>
      </c>
    </row>
    <row r="4" ht="12.75" hidden="1" customHeight="1">
      <c r="C4" s="8" t="s">
        <v>4</v>
      </c>
      <c r="D4" s="8" t="s">
        <v>5</v>
      </c>
    </row>
    <row r="5" ht="12.75" hidden="1" customHeight="1">
      <c r="C5" s="8"/>
      <c r="D5" s="8"/>
    </row>
    <row r="6" ht="12.75" hidden="1" customHeight="1">
      <c r="C6" s="8"/>
      <c r="D6" s="8"/>
    </row>
    <row r="7" ht="12.75" hidden="1" customHeight="1">
      <c r="C7" s="8"/>
      <c r="D7" s="8"/>
    </row>
    <row r="8" ht="12.75" hidden="1" customHeight="1">
      <c r="C8" s="8"/>
      <c r="D8" s="8"/>
    </row>
    <row r="9" ht="12.75" hidden="1" customHeight="1">
      <c r="C9" s="8" t="s">
        <v>48</v>
      </c>
      <c r="D9" s="8" t="s">
        <v>69</v>
      </c>
    </row>
    <row r="10" ht="12.75" hidden="1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146.0</v>
      </c>
      <c r="G14" s="19">
        <v>125.0</v>
      </c>
      <c r="H14" s="19">
        <v>119.0</v>
      </c>
      <c r="I14" s="19">
        <v>115.0</v>
      </c>
      <c r="J14" s="19">
        <v>132.0</v>
      </c>
      <c r="K14" s="19">
        <v>150.0</v>
      </c>
      <c r="L14" s="19">
        <v>127.0</v>
      </c>
      <c r="M14" s="19">
        <v>112.0</v>
      </c>
      <c r="N14" s="13">
        <f t="shared" ref="N14:N16" si="1">SUM(E14:M14)</f>
        <v>1151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131.0</v>
      </c>
      <c r="G15" s="19">
        <v>134.0</v>
      </c>
      <c r="H15" s="19">
        <v>117.0</v>
      </c>
      <c r="I15" s="19">
        <v>120.0</v>
      </c>
      <c r="J15" s="19">
        <v>120.0</v>
      </c>
      <c r="K15" s="19">
        <v>132.0</v>
      </c>
      <c r="L15" s="19">
        <v>128.0</v>
      </c>
      <c r="M15" s="19">
        <v>122.0</v>
      </c>
      <c r="N15" s="13">
        <f t="shared" si="1"/>
        <v>1129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250</v>
      </c>
      <c r="F16" s="13">
        <f t="shared" si="2"/>
        <v>277</v>
      </c>
      <c r="G16" s="13">
        <f t="shared" si="2"/>
        <v>259</v>
      </c>
      <c r="H16" s="13">
        <f t="shared" si="2"/>
        <v>236</v>
      </c>
      <c r="I16" s="13">
        <f t="shared" si="2"/>
        <v>235</v>
      </c>
      <c r="J16" s="13">
        <f t="shared" si="2"/>
        <v>252</v>
      </c>
      <c r="K16" s="13">
        <f t="shared" si="2"/>
        <v>282</v>
      </c>
      <c r="L16" s="13">
        <f t="shared" si="2"/>
        <v>255</v>
      </c>
      <c r="M16" s="13">
        <f t="shared" si="2"/>
        <v>234</v>
      </c>
      <c r="N16" s="13">
        <f t="shared" si="1"/>
        <v>2280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91.0</v>
      </c>
      <c r="F19" s="19">
        <v>124.0</v>
      </c>
      <c r="G19" s="19">
        <v>88.0</v>
      </c>
      <c r="H19" s="19">
        <v>88.0</v>
      </c>
      <c r="I19" s="19">
        <v>94.0</v>
      </c>
      <c r="J19" s="19">
        <v>106.0</v>
      </c>
      <c r="K19" s="19">
        <v>115.0</v>
      </c>
      <c r="L19" s="19">
        <v>83.0</v>
      </c>
      <c r="M19" s="19">
        <v>96.0</v>
      </c>
      <c r="N19" s="13">
        <f t="shared" ref="N19:N30" si="3">SUM(E19:M19)</f>
        <v>885</v>
      </c>
    </row>
    <row r="20" ht="12.75" customHeight="1">
      <c r="A20" s="33"/>
      <c r="B20" s="27"/>
      <c r="C20" s="34"/>
      <c r="D20" s="19" t="s">
        <v>13</v>
      </c>
      <c r="E20" s="19">
        <v>97.0</v>
      </c>
      <c r="F20" s="19">
        <v>115.0</v>
      </c>
      <c r="G20" s="19">
        <v>95.0</v>
      </c>
      <c r="H20" s="19">
        <v>91.0</v>
      </c>
      <c r="I20" s="19">
        <v>102.0</v>
      </c>
      <c r="J20" s="19">
        <v>92.0</v>
      </c>
      <c r="K20" s="19">
        <v>105.0</v>
      </c>
      <c r="L20" s="19">
        <v>101.0</v>
      </c>
      <c r="M20" s="19">
        <v>100.0</v>
      </c>
      <c r="N20" s="13">
        <f t="shared" si="3"/>
        <v>898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188</v>
      </c>
      <c r="F21" s="13">
        <f t="shared" si="4"/>
        <v>239</v>
      </c>
      <c r="G21" s="13">
        <f t="shared" si="4"/>
        <v>183</v>
      </c>
      <c r="H21" s="13">
        <f t="shared" si="4"/>
        <v>179</v>
      </c>
      <c r="I21" s="13">
        <f t="shared" si="4"/>
        <v>196</v>
      </c>
      <c r="J21" s="13">
        <f t="shared" si="4"/>
        <v>198</v>
      </c>
      <c r="K21" s="13">
        <f t="shared" si="4"/>
        <v>220</v>
      </c>
      <c r="L21" s="13">
        <f t="shared" si="4"/>
        <v>184</v>
      </c>
      <c r="M21" s="13">
        <f t="shared" si="4"/>
        <v>196</v>
      </c>
      <c r="N21" s="13">
        <f t="shared" si="3"/>
        <v>1783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>
        <v>1.0</v>
      </c>
      <c r="L22" s="19"/>
      <c r="M22" s="19"/>
      <c r="N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>
        <v>4.0</v>
      </c>
      <c r="H25" s="19">
        <v>1.0</v>
      </c>
      <c r="I25" s="19">
        <v>1.0</v>
      </c>
      <c r="J25" s="19"/>
      <c r="K25" s="19">
        <v>1.0</v>
      </c>
      <c r="L25" s="19">
        <v>1.0</v>
      </c>
      <c r="M25" s="19">
        <v>1.0</v>
      </c>
      <c r="N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1.0</v>
      </c>
      <c r="G26" s="19">
        <v>1.0</v>
      </c>
      <c r="H26" s="19">
        <v>3.0</v>
      </c>
      <c r="I26" s="19">
        <v>2.0</v>
      </c>
      <c r="J26" s="19"/>
      <c r="K26" s="19">
        <v>1.0</v>
      </c>
      <c r="L26" s="19">
        <v>3.0</v>
      </c>
      <c r="M26" s="19">
        <v>1.0</v>
      </c>
      <c r="N26" s="13">
        <f t="shared" si="3"/>
        <v>15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3</v>
      </c>
      <c r="F27" s="13">
        <f t="shared" si="6"/>
        <v>1</v>
      </c>
      <c r="G27" s="13">
        <f t="shared" si="6"/>
        <v>5</v>
      </c>
      <c r="H27" s="13">
        <f t="shared" si="6"/>
        <v>4</v>
      </c>
      <c r="I27" s="13">
        <f t="shared" si="6"/>
        <v>3</v>
      </c>
      <c r="J27" s="13">
        <f t="shared" si="6"/>
        <v>0</v>
      </c>
      <c r="K27" s="13">
        <f t="shared" si="6"/>
        <v>2</v>
      </c>
      <c r="L27" s="13">
        <f t="shared" si="6"/>
        <v>4</v>
      </c>
      <c r="M27" s="13">
        <f t="shared" si="6"/>
        <v>2</v>
      </c>
      <c r="N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91</v>
      </c>
      <c r="F28" s="13">
        <f t="shared" si="7"/>
        <v>124</v>
      </c>
      <c r="G28" s="13">
        <f t="shared" si="7"/>
        <v>92</v>
      </c>
      <c r="H28" s="13">
        <f t="shared" si="7"/>
        <v>89</v>
      </c>
      <c r="I28" s="13">
        <f t="shared" si="7"/>
        <v>95</v>
      </c>
      <c r="J28" s="13">
        <f t="shared" si="7"/>
        <v>106</v>
      </c>
      <c r="K28" s="13">
        <f t="shared" si="7"/>
        <v>117</v>
      </c>
      <c r="L28" s="13">
        <f t="shared" si="7"/>
        <v>84</v>
      </c>
      <c r="M28" s="13">
        <f t="shared" si="7"/>
        <v>97</v>
      </c>
      <c r="N28" s="13">
        <f t="shared" si="3"/>
        <v>895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100</v>
      </c>
      <c r="F29" s="13">
        <f t="shared" si="8"/>
        <v>116</v>
      </c>
      <c r="G29" s="13">
        <f t="shared" si="8"/>
        <v>96</v>
      </c>
      <c r="H29" s="13">
        <f t="shared" si="8"/>
        <v>94</v>
      </c>
      <c r="I29" s="13">
        <f t="shared" si="8"/>
        <v>104</v>
      </c>
      <c r="J29" s="13">
        <f t="shared" si="8"/>
        <v>92</v>
      </c>
      <c r="K29" s="13">
        <f t="shared" si="8"/>
        <v>106</v>
      </c>
      <c r="L29" s="13">
        <f t="shared" si="8"/>
        <v>104</v>
      </c>
      <c r="M29" s="13">
        <f t="shared" si="8"/>
        <v>101</v>
      </c>
      <c r="N29" s="13">
        <f t="shared" si="3"/>
        <v>913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191</v>
      </c>
      <c r="F30" s="13">
        <f t="shared" si="9"/>
        <v>240</v>
      </c>
      <c r="G30" s="13">
        <f t="shared" si="9"/>
        <v>188</v>
      </c>
      <c r="H30" s="13">
        <f t="shared" si="9"/>
        <v>183</v>
      </c>
      <c r="I30" s="13">
        <f t="shared" si="9"/>
        <v>199</v>
      </c>
      <c r="J30" s="13">
        <f t="shared" si="9"/>
        <v>198</v>
      </c>
      <c r="K30" s="13">
        <f t="shared" si="9"/>
        <v>223</v>
      </c>
      <c r="L30" s="13">
        <f t="shared" si="9"/>
        <v>188</v>
      </c>
      <c r="M30" s="13">
        <f t="shared" si="9"/>
        <v>198</v>
      </c>
      <c r="N30" s="13">
        <f t="shared" si="3"/>
        <v>1808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244.0</v>
      </c>
      <c r="F33" s="19">
        <v>283.0</v>
      </c>
      <c r="G33" s="19">
        <v>256.0</v>
      </c>
      <c r="H33" s="19">
        <v>241.0</v>
      </c>
      <c r="I33" s="19">
        <v>241.0</v>
      </c>
      <c r="J33" s="19">
        <v>248.0</v>
      </c>
      <c r="K33" s="19">
        <v>278.0</v>
      </c>
      <c r="L33" s="19">
        <v>250.0</v>
      </c>
      <c r="M33" s="19">
        <v>229.0</v>
      </c>
      <c r="N33" s="13">
        <f t="shared" ref="N33:N36" si="10">SUM(E33:M33)</f>
        <v>2270</v>
      </c>
    </row>
    <row r="34" ht="12.75" customHeight="1">
      <c r="A34" s="19">
        <v>2.0</v>
      </c>
      <c r="B34" s="20" t="s">
        <v>28</v>
      </c>
      <c r="C34" s="15"/>
      <c r="D34" s="16"/>
      <c r="E34" s="13">
        <v>191.0</v>
      </c>
      <c r="F34" s="13">
        <v>240.0</v>
      </c>
      <c r="G34" s="13">
        <v>188.0</v>
      </c>
      <c r="H34" s="13">
        <v>183.0</v>
      </c>
      <c r="I34" s="13">
        <v>199.0</v>
      </c>
      <c r="J34" s="13">
        <v>198.0</v>
      </c>
      <c r="K34" s="13">
        <v>223.0</v>
      </c>
      <c r="L34" s="13">
        <v>188.0</v>
      </c>
      <c r="M34" s="13">
        <v>198.0</v>
      </c>
      <c r="N34" s="13">
        <f t="shared" si="10"/>
        <v>1808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>
        <v>1.0</v>
      </c>
      <c r="H35" s="19"/>
      <c r="I35" s="19">
        <v>5.0</v>
      </c>
      <c r="J35" s="19"/>
      <c r="K35" s="19"/>
      <c r="L35" s="19"/>
      <c r="M35" s="19"/>
      <c r="N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53</v>
      </c>
      <c r="F36" s="13">
        <f t="shared" si="11"/>
        <v>43</v>
      </c>
      <c r="G36" s="13">
        <f t="shared" si="11"/>
        <v>67</v>
      </c>
      <c r="H36" s="13">
        <f t="shared" si="11"/>
        <v>58</v>
      </c>
      <c r="I36" s="13">
        <f t="shared" si="11"/>
        <v>37</v>
      </c>
      <c r="J36" s="13">
        <f t="shared" si="11"/>
        <v>50</v>
      </c>
      <c r="K36" s="13">
        <f t="shared" si="11"/>
        <v>55</v>
      </c>
      <c r="L36" s="13">
        <f t="shared" si="11"/>
        <v>62</v>
      </c>
      <c r="M36" s="13">
        <f t="shared" si="11"/>
        <v>31</v>
      </c>
      <c r="N36" s="13">
        <f t="shared" si="10"/>
        <v>456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3">
        <f t="shared" ref="N39:N41" si="12">SUM(E39:M39)</f>
        <v>0</v>
      </c>
    </row>
    <row r="40" ht="12.75" customHeight="1">
      <c r="A40" s="33"/>
      <c r="C40" s="27"/>
      <c r="D40" s="19" t="s">
        <v>13</v>
      </c>
      <c r="E40" s="19"/>
      <c r="F40" s="19"/>
      <c r="G40" s="19">
        <v>1.0</v>
      </c>
      <c r="H40" s="19"/>
      <c r="I40" s="19"/>
      <c r="J40" s="19">
        <v>1.0</v>
      </c>
      <c r="K40" s="19"/>
      <c r="L40" s="19"/>
      <c r="M40" s="19"/>
      <c r="N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/>
      <c r="B45" s="47">
        <v>1.0</v>
      </c>
      <c r="C45" s="48" t="s">
        <v>37</v>
      </c>
      <c r="D45" s="16"/>
      <c r="E45" s="19">
        <v>12.0</v>
      </c>
      <c r="F45" s="19">
        <v>27.0</v>
      </c>
      <c r="G45" s="19">
        <v>19.0</v>
      </c>
      <c r="H45" s="19">
        <v>8.0</v>
      </c>
      <c r="I45" s="19">
        <v>21.0</v>
      </c>
      <c r="J45" s="19">
        <v>30.0</v>
      </c>
      <c r="K45" s="19">
        <v>34.0</v>
      </c>
      <c r="L45" s="19">
        <v>21.0</v>
      </c>
      <c r="M45" s="19">
        <v>25.0</v>
      </c>
      <c r="N45" s="13">
        <f t="shared" ref="N45:N47" si="14">SUM(E45:M45)</f>
        <v>197</v>
      </c>
      <c r="O45" s="62" t="s">
        <v>70</v>
      </c>
    </row>
    <row r="46" ht="12.75" customHeight="1">
      <c r="A46" s="18"/>
      <c r="B46" s="47">
        <v>2.0</v>
      </c>
      <c r="C46" s="48" t="s">
        <v>38</v>
      </c>
      <c r="D46" s="16"/>
      <c r="E46" s="19">
        <v>155.0</v>
      </c>
      <c r="F46" s="19">
        <v>189.0</v>
      </c>
      <c r="G46" s="19">
        <v>151.0</v>
      </c>
      <c r="H46" s="19">
        <v>153.0</v>
      </c>
      <c r="I46" s="19">
        <v>151.0</v>
      </c>
      <c r="J46" s="19">
        <v>152.0</v>
      </c>
      <c r="K46" s="19">
        <v>164.0</v>
      </c>
      <c r="L46" s="19">
        <v>153.0</v>
      </c>
      <c r="M46" s="19">
        <v>140.0</v>
      </c>
      <c r="N46" s="13">
        <f t="shared" si="14"/>
        <v>1408</v>
      </c>
    </row>
    <row r="47" ht="12.75" customHeight="1">
      <c r="A47" s="18"/>
      <c r="B47" s="47">
        <v>3.0</v>
      </c>
      <c r="C47" s="48" t="s">
        <v>39</v>
      </c>
      <c r="D47" s="16"/>
      <c r="E47" s="19">
        <v>16.0</v>
      </c>
      <c r="F47" s="19">
        <v>17.0</v>
      </c>
      <c r="G47" s="19">
        <v>11.0</v>
      </c>
      <c r="H47" s="19">
        <v>15.0</v>
      </c>
      <c r="I47" s="19">
        <v>23.0</v>
      </c>
      <c r="J47" s="19">
        <v>10.0</v>
      </c>
      <c r="K47" s="19">
        <v>19.0</v>
      </c>
      <c r="L47" s="19">
        <v>12.0</v>
      </c>
      <c r="M47" s="19">
        <v>22.0</v>
      </c>
      <c r="N47" s="13">
        <f t="shared" si="14"/>
        <v>145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M50" si="15">SUM(E45:E47)</f>
        <v>183</v>
      </c>
      <c r="F50" s="19">
        <f t="shared" si="15"/>
        <v>233</v>
      </c>
      <c r="G50" s="19">
        <f t="shared" si="15"/>
        <v>181</v>
      </c>
      <c r="H50" s="19">
        <f t="shared" si="15"/>
        <v>176</v>
      </c>
      <c r="I50" s="19">
        <f t="shared" si="15"/>
        <v>195</v>
      </c>
      <c r="J50" s="19">
        <f t="shared" si="15"/>
        <v>192</v>
      </c>
      <c r="K50" s="19">
        <f t="shared" si="15"/>
        <v>217</v>
      </c>
      <c r="L50" s="19">
        <f t="shared" si="15"/>
        <v>186</v>
      </c>
      <c r="M50" s="19">
        <f t="shared" si="15"/>
        <v>187</v>
      </c>
      <c r="N50" s="13">
        <f t="shared" ref="N50:N52" si="16">SUM(E50:M50)</f>
        <v>1750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8.0</v>
      </c>
      <c r="F51" s="19">
        <v>7.0</v>
      </c>
      <c r="G51" s="19">
        <v>7.0</v>
      </c>
      <c r="H51" s="19">
        <v>7.0</v>
      </c>
      <c r="I51" s="19">
        <v>6.0</v>
      </c>
      <c r="J51" s="19">
        <v>6.0</v>
      </c>
      <c r="K51" s="19">
        <v>6.0</v>
      </c>
      <c r="L51" s="19">
        <v>2.0</v>
      </c>
      <c r="M51" s="19">
        <v>1.0</v>
      </c>
      <c r="N51" s="13">
        <f t="shared" si="16"/>
        <v>50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M52" si="17">SUM(E50:E51)</f>
        <v>191</v>
      </c>
      <c r="F52" s="13">
        <f t="shared" si="17"/>
        <v>240</v>
      </c>
      <c r="G52" s="13">
        <f t="shared" si="17"/>
        <v>188</v>
      </c>
      <c r="H52" s="13">
        <f t="shared" si="17"/>
        <v>183</v>
      </c>
      <c r="I52" s="13">
        <f t="shared" si="17"/>
        <v>201</v>
      </c>
      <c r="J52" s="13">
        <f t="shared" si="17"/>
        <v>198</v>
      </c>
      <c r="K52" s="13">
        <f t="shared" si="17"/>
        <v>223</v>
      </c>
      <c r="L52" s="13">
        <f t="shared" si="17"/>
        <v>188</v>
      </c>
      <c r="M52" s="13">
        <f t="shared" si="17"/>
        <v>188</v>
      </c>
      <c r="N52" s="13">
        <f t="shared" si="16"/>
        <v>1800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M15 E45:M47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E30&lt;&gt;E46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50:M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118.0</v>
      </c>
      <c r="F14" s="19">
        <v>97.0</v>
      </c>
      <c r="G14" s="19">
        <v>102.0</v>
      </c>
      <c r="H14" s="19">
        <v>133.0</v>
      </c>
      <c r="I14" s="19">
        <v>126.0</v>
      </c>
      <c r="J14" s="19">
        <v>127.0</v>
      </c>
      <c r="K14" s="19">
        <v>134.0</v>
      </c>
      <c r="L14" s="19">
        <v>118.0</v>
      </c>
      <c r="M14" s="19">
        <v>141.0</v>
      </c>
      <c r="N14" s="19">
        <v>140.0</v>
      </c>
      <c r="O14" s="19">
        <v>132.0</v>
      </c>
      <c r="P14" s="19">
        <v>134.0</v>
      </c>
      <c r="Q14" s="19">
        <v>143.0</v>
      </c>
      <c r="R14" s="19">
        <v>94.0</v>
      </c>
      <c r="S14" s="13">
        <f t="shared" ref="S14:S16" si="1">SUM(E14:R14)</f>
        <v>1739</v>
      </c>
    </row>
    <row r="15" ht="12.75" customHeight="1">
      <c r="A15" s="18"/>
      <c r="B15" s="26"/>
      <c r="C15" s="27"/>
      <c r="D15" s="19" t="s">
        <v>13</v>
      </c>
      <c r="E15" s="19">
        <v>116.0</v>
      </c>
      <c r="F15" s="19">
        <v>103.0</v>
      </c>
      <c r="G15" s="19">
        <v>110.0</v>
      </c>
      <c r="H15" s="19">
        <v>126.0</v>
      </c>
      <c r="I15" s="19">
        <v>128.0</v>
      </c>
      <c r="J15" s="19">
        <v>130.0</v>
      </c>
      <c r="K15" s="19">
        <v>141.0</v>
      </c>
      <c r="L15" s="19">
        <v>131.0</v>
      </c>
      <c r="M15" s="19">
        <v>133.0</v>
      </c>
      <c r="N15" s="19">
        <v>124.0</v>
      </c>
      <c r="O15" s="19">
        <v>144.0</v>
      </c>
      <c r="P15" s="19">
        <v>143.0</v>
      </c>
      <c r="Q15" s="19">
        <v>129.0</v>
      </c>
      <c r="R15" s="19">
        <v>86.0</v>
      </c>
      <c r="S15" s="13">
        <f t="shared" si="1"/>
        <v>1744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234</v>
      </c>
      <c r="F16" s="13">
        <f t="shared" si="2"/>
        <v>200</v>
      </c>
      <c r="G16" s="13">
        <f t="shared" si="2"/>
        <v>212</v>
      </c>
      <c r="H16" s="13">
        <f t="shared" si="2"/>
        <v>259</v>
      </c>
      <c r="I16" s="13">
        <f t="shared" si="2"/>
        <v>254</v>
      </c>
      <c r="J16" s="13">
        <f t="shared" si="2"/>
        <v>257</v>
      </c>
      <c r="K16" s="13">
        <f t="shared" si="2"/>
        <v>275</v>
      </c>
      <c r="L16" s="13">
        <f t="shared" si="2"/>
        <v>249</v>
      </c>
      <c r="M16" s="13">
        <f t="shared" si="2"/>
        <v>274</v>
      </c>
      <c r="N16" s="13">
        <f t="shared" si="2"/>
        <v>264</v>
      </c>
      <c r="O16" s="13">
        <f t="shared" si="2"/>
        <v>276</v>
      </c>
      <c r="P16" s="13">
        <f t="shared" si="2"/>
        <v>277</v>
      </c>
      <c r="Q16" s="13">
        <f t="shared" si="2"/>
        <v>272</v>
      </c>
      <c r="R16" s="13">
        <f t="shared" si="2"/>
        <v>180</v>
      </c>
      <c r="S16" s="13">
        <f t="shared" si="1"/>
        <v>3483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60.0</v>
      </c>
      <c r="G19" s="19">
        <v>73.0</v>
      </c>
      <c r="H19" s="19">
        <v>92.0</v>
      </c>
      <c r="I19" s="19">
        <v>96.0</v>
      </c>
      <c r="J19" s="19">
        <v>94.0</v>
      </c>
      <c r="K19" s="19">
        <v>100.0</v>
      </c>
      <c r="L19" s="19">
        <v>77.0</v>
      </c>
      <c r="M19" s="19">
        <v>96.0</v>
      </c>
      <c r="N19" s="19">
        <v>106.0</v>
      </c>
      <c r="O19" s="19">
        <v>109.0</v>
      </c>
      <c r="P19" s="19">
        <v>96.0</v>
      </c>
      <c r="Q19" s="19">
        <v>95.0</v>
      </c>
      <c r="R19" s="19">
        <v>74.0</v>
      </c>
      <c r="S19" s="13">
        <f t="shared" ref="S19:S30" si="3">SUM(E19:R19)</f>
        <v>1253</v>
      </c>
    </row>
    <row r="20" ht="12.75" customHeight="1">
      <c r="A20" s="33"/>
      <c r="B20" s="27"/>
      <c r="C20" s="34"/>
      <c r="D20" s="19" t="s">
        <v>13</v>
      </c>
      <c r="E20" s="19">
        <v>88.0</v>
      </c>
      <c r="F20" s="19">
        <v>72.0</v>
      </c>
      <c r="G20" s="19">
        <v>85.0</v>
      </c>
      <c r="H20" s="19">
        <v>100.0</v>
      </c>
      <c r="I20" s="19">
        <v>108.0</v>
      </c>
      <c r="J20" s="19">
        <v>89.0</v>
      </c>
      <c r="K20" s="19">
        <v>113.0</v>
      </c>
      <c r="L20" s="19">
        <v>96.0</v>
      </c>
      <c r="M20" s="19">
        <v>101.0</v>
      </c>
      <c r="N20" s="19">
        <v>111.0</v>
      </c>
      <c r="O20" s="19">
        <v>99.0</v>
      </c>
      <c r="P20" s="19">
        <v>102.0</v>
      </c>
      <c r="Q20" s="19">
        <v>103.0</v>
      </c>
      <c r="R20" s="19">
        <v>65.0</v>
      </c>
      <c r="S20" s="13">
        <f t="shared" si="3"/>
        <v>1332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173</v>
      </c>
      <c r="F21" s="13">
        <f t="shared" si="4"/>
        <v>132</v>
      </c>
      <c r="G21" s="13">
        <f t="shared" si="4"/>
        <v>158</v>
      </c>
      <c r="H21" s="13">
        <f t="shared" si="4"/>
        <v>192</v>
      </c>
      <c r="I21" s="13">
        <f t="shared" si="4"/>
        <v>204</v>
      </c>
      <c r="J21" s="13">
        <f t="shared" si="4"/>
        <v>183</v>
      </c>
      <c r="K21" s="13">
        <f t="shared" si="4"/>
        <v>213</v>
      </c>
      <c r="L21" s="13">
        <f t="shared" si="4"/>
        <v>173</v>
      </c>
      <c r="M21" s="13">
        <f t="shared" si="4"/>
        <v>197</v>
      </c>
      <c r="N21" s="13">
        <f t="shared" si="4"/>
        <v>217</v>
      </c>
      <c r="O21" s="13">
        <f t="shared" si="4"/>
        <v>208</v>
      </c>
      <c r="P21" s="13">
        <f t="shared" si="4"/>
        <v>198</v>
      </c>
      <c r="Q21" s="13">
        <f t="shared" si="4"/>
        <v>198</v>
      </c>
      <c r="R21" s="13">
        <f t="shared" si="4"/>
        <v>139</v>
      </c>
      <c r="S21" s="13">
        <f t="shared" si="3"/>
        <v>2585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2.0</v>
      </c>
      <c r="L22" s="19">
        <v>3.0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1.0</v>
      </c>
      <c r="N23" s="19">
        <v>0.0</v>
      </c>
      <c r="O23" s="19">
        <v>1.0</v>
      </c>
      <c r="P23" s="19">
        <v>1.0</v>
      </c>
      <c r="Q23" s="19">
        <v>1.0</v>
      </c>
      <c r="R23" s="19">
        <v>0.0</v>
      </c>
      <c r="S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2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2</v>
      </c>
      <c r="L24" s="13">
        <f t="shared" si="5"/>
        <v>4</v>
      </c>
      <c r="M24" s="13">
        <f t="shared" si="5"/>
        <v>1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0</v>
      </c>
      <c r="S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3.0</v>
      </c>
      <c r="M25" s="19">
        <v>0.0</v>
      </c>
      <c r="N25" s="19">
        <v>0.0</v>
      </c>
      <c r="O25" s="19">
        <v>3.0</v>
      </c>
      <c r="P25" s="19">
        <v>0.0</v>
      </c>
      <c r="Q25" s="19">
        <v>0.0</v>
      </c>
      <c r="R25" s="19">
        <v>0.0</v>
      </c>
      <c r="S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1.0</v>
      </c>
      <c r="L26" s="19">
        <v>1.0</v>
      </c>
      <c r="M26" s="19">
        <v>3.0</v>
      </c>
      <c r="N26" s="19">
        <v>0.0</v>
      </c>
      <c r="O26" s="19">
        <v>3.0</v>
      </c>
      <c r="P26" s="19">
        <v>3.0</v>
      </c>
      <c r="Q26" s="19">
        <v>0.0</v>
      </c>
      <c r="R26" s="19">
        <v>0.0</v>
      </c>
      <c r="S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4</v>
      </c>
      <c r="M27" s="13">
        <f t="shared" si="6"/>
        <v>3</v>
      </c>
      <c r="N27" s="13">
        <f t="shared" si="6"/>
        <v>0</v>
      </c>
      <c r="O27" s="13">
        <f t="shared" si="6"/>
        <v>6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3"/>
        <v>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86</v>
      </c>
      <c r="F28" s="13">
        <f t="shared" si="7"/>
        <v>60</v>
      </c>
      <c r="G28" s="13">
        <f t="shared" si="7"/>
        <v>74</v>
      </c>
      <c r="H28" s="13">
        <f t="shared" si="7"/>
        <v>92</v>
      </c>
      <c r="I28" s="13">
        <f t="shared" si="7"/>
        <v>96</v>
      </c>
      <c r="J28" s="13">
        <f t="shared" si="7"/>
        <v>94</v>
      </c>
      <c r="K28" s="13">
        <f t="shared" si="7"/>
        <v>102</v>
      </c>
      <c r="L28" s="13">
        <f t="shared" si="7"/>
        <v>83</v>
      </c>
      <c r="M28" s="13">
        <f t="shared" si="7"/>
        <v>96</v>
      </c>
      <c r="N28" s="13">
        <f t="shared" si="7"/>
        <v>106</v>
      </c>
      <c r="O28" s="13">
        <f t="shared" si="7"/>
        <v>112</v>
      </c>
      <c r="P28" s="13">
        <f t="shared" si="7"/>
        <v>96</v>
      </c>
      <c r="Q28" s="13">
        <f t="shared" si="7"/>
        <v>95</v>
      </c>
      <c r="R28" s="13">
        <f t="shared" si="7"/>
        <v>74</v>
      </c>
      <c r="S28" s="13">
        <f t="shared" si="3"/>
        <v>1266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89</v>
      </c>
      <c r="F29" s="13">
        <f t="shared" si="8"/>
        <v>72</v>
      </c>
      <c r="G29" s="13">
        <f t="shared" si="8"/>
        <v>85</v>
      </c>
      <c r="H29" s="13">
        <f t="shared" si="8"/>
        <v>101</v>
      </c>
      <c r="I29" s="13">
        <f t="shared" si="8"/>
        <v>108</v>
      </c>
      <c r="J29" s="13">
        <f t="shared" si="8"/>
        <v>89</v>
      </c>
      <c r="K29" s="13">
        <f t="shared" si="8"/>
        <v>114</v>
      </c>
      <c r="L29" s="13">
        <f t="shared" si="8"/>
        <v>98</v>
      </c>
      <c r="M29" s="13">
        <f t="shared" si="8"/>
        <v>105</v>
      </c>
      <c r="N29" s="13">
        <f t="shared" si="8"/>
        <v>111</v>
      </c>
      <c r="O29" s="13">
        <f t="shared" si="8"/>
        <v>103</v>
      </c>
      <c r="P29" s="13">
        <f t="shared" si="8"/>
        <v>106</v>
      </c>
      <c r="Q29" s="13">
        <f t="shared" si="8"/>
        <v>104</v>
      </c>
      <c r="R29" s="13">
        <f t="shared" si="8"/>
        <v>65</v>
      </c>
      <c r="S29" s="13">
        <f t="shared" si="3"/>
        <v>1350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175</v>
      </c>
      <c r="F30" s="13">
        <f t="shared" si="9"/>
        <v>132</v>
      </c>
      <c r="G30" s="13">
        <f t="shared" si="9"/>
        <v>159</v>
      </c>
      <c r="H30" s="13">
        <f t="shared" si="9"/>
        <v>193</v>
      </c>
      <c r="I30" s="13">
        <f t="shared" si="9"/>
        <v>204</v>
      </c>
      <c r="J30" s="13">
        <f t="shared" si="9"/>
        <v>183</v>
      </c>
      <c r="K30" s="13">
        <f t="shared" si="9"/>
        <v>216</v>
      </c>
      <c r="L30" s="13">
        <f t="shared" si="9"/>
        <v>181</v>
      </c>
      <c r="M30" s="13">
        <f t="shared" si="9"/>
        <v>201</v>
      </c>
      <c r="N30" s="13">
        <f t="shared" si="9"/>
        <v>217</v>
      </c>
      <c r="O30" s="13">
        <f t="shared" si="9"/>
        <v>215</v>
      </c>
      <c r="P30" s="13">
        <f t="shared" si="9"/>
        <v>202</v>
      </c>
      <c r="Q30" s="13">
        <f t="shared" si="9"/>
        <v>199</v>
      </c>
      <c r="R30" s="13">
        <f t="shared" si="9"/>
        <v>139</v>
      </c>
      <c r="S30" s="13">
        <f t="shared" si="3"/>
        <v>2616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339.0</v>
      </c>
      <c r="F33" s="19">
        <v>284.0</v>
      </c>
      <c r="G33" s="19">
        <v>218.0</v>
      </c>
      <c r="H33" s="19">
        <v>264.0</v>
      </c>
      <c r="I33" s="19">
        <v>269.0</v>
      </c>
      <c r="J33" s="19">
        <v>242.0</v>
      </c>
      <c r="K33" s="19">
        <v>261.0</v>
      </c>
      <c r="L33" s="19">
        <v>254.0</v>
      </c>
      <c r="M33" s="19">
        <v>279.0</v>
      </c>
      <c r="N33" s="19">
        <v>269.0</v>
      </c>
      <c r="O33" s="19">
        <v>282.0</v>
      </c>
      <c r="P33" s="19">
        <v>277.0</v>
      </c>
      <c r="Q33" s="19">
        <v>279.0</v>
      </c>
      <c r="R33" s="19">
        <v>189.0</v>
      </c>
      <c r="S33" s="13">
        <f t="shared" ref="S33:S36" si="10">SUM(E33:R33)</f>
        <v>3706</v>
      </c>
    </row>
    <row r="34" ht="12.75" customHeight="1">
      <c r="A34" s="19">
        <v>2.0</v>
      </c>
      <c r="B34" s="20" t="s">
        <v>28</v>
      </c>
      <c r="C34" s="15"/>
      <c r="D34" s="16"/>
      <c r="E34" s="13">
        <v>175.0</v>
      </c>
      <c r="F34" s="13">
        <v>132.0</v>
      </c>
      <c r="G34" s="13">
        <v>159.0</v>
      </c>
      <c r="H34" s="13">
        <v>193.0</v>
      </c>
      <c r="I34" s="13">
        <v>204.0</v>
      </c>
      <c r="J34" s="13">
        <v>183.0</v>
      </c>
      <c r="K34" s="13">
        <v>216.0</v>
      </c>
      <c r="L34" s="13">
        <v>181.0</v>
      </c>
      <c r="M34" s="13">
        <v>201.0</v>
      </c>
      <c r="N34" s="13">
        <v>217.0</v>
      </c>
      <c r="O34" s="13">
        <v>215.0</v>
      </c>
      <c r="P34" s="13">
        <v>202.0</v>
      </c>
      <c r="Q34" s="13">
        <v>199.0</v>
      </c>
      <c r="R34" s="13">
        <v>109.0</v>
      </c>
      <c r="S34" s="13">
        <f t="shared" si="10"/>
        <v>2586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164</v>
      </c>
      <c r="F36" s="13">
        <f t="shared" si="11"/>
        <v>152</v>
      </c>
      <c r="G36" s="13">
        <f t="shared" si="11"/>
        <v>57</v>
      </c>
      <c r="H36" s="13">
        <f t="shared" si="11"/>
        <v>71</v>
      </c>
      <c r="I36" s="13">
        <f t="shared" si="11"/>
        <v>65</v>
      </c>
      <c r="J36" s="13">
        <f t="shared" si="11"/>
        <v>59</v>
      </c>
      <c r="K36" s="13">
        <f t="shared" si="11"/>
        <v>44</v>
      </c>
      <c r="L36" s="13">
        <f t="shared" si="11"/>
        <v>73</v>
      </c>
      <c r="M36" s="13">
        <f t="shared" si="11"/>
        <v>78</v>
      </c>
      <c r="N36" s="13">
        <f t="shared" si="11"/>
        <v>52</v>
      </c>
      <c r="O36" s="13">
        <f t="shared" si="11"/>
        <v>66</v>
      </c>
      <c r="P36" s="13">
        <f t="shared" si="11"/>
        <v>75</v>
      </c>
      <c r="Q36" s="13">
        <f t="shared" si="11"/>
        <v>80</v>
      </c>
      <c r="R36" s="13">
        <f t="shared" si="11"/>
        <v>80</v>
      </c>
      <c r="S36" s="13">
        <f t="shared" si="10"/>
        <v>1116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3">
        <f t="shared" ref="S39:S41" si="12">SUM(E39:R39)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3"/>
    </row>
    <row r="45" ht="12.75" customHeight="1">
      <c r="A45" s="30"/>
      <c r="B45" s="47">
        <v>1.0</v>
      </c>
      <c r="C45" s="48" t="s">
        <v>37</v>
      </c>
      <c r="D45" s="16"/>
      <c r="E45" s="19">
        <v>32.0</v>
      </c>
      <c r="F45" s="19">
        <v>18.0</v>
      </c>
      <c r="G45" s="19">
        <v>21.0</v>
      </c>
      <c r="H45" s="19">
        <v>30.0</v>
      </c>
      <c r="I45" s="19">
        <v>10.0</v>
      </c>
      <c r="J45" s="19">
        <v>4.0</v>
      </c>
      <c r="K45" s="19">
        <v>26.0</v>
      </c>
      <c r="L45" s="19">
        <v>26.0</v>
      </c>
      <c r="M45" s="19">
        <v>7.0</v>
      </c>
      <c r="N45" s="19">
        <v>2.0</v>
      </c>
      <c r="O45" s="19">
        <v>7.0</v>
      </c>
      <c r="P45" s="19">
        <v>14.0</v>
      </c>
      <c r="Q45" s="19">
        <v>8.0</v>
      </c>
      <c r="R45" s="19">
        <v>3.0</v>
      </c>
      <c r="S45" s="13">
        <f t="shared" ref="S45:S47" si="14">SUM(E45:R45)</f>
        <v>208</v>
      </c>
    </row>
    <row r="46" ht="12.75" customHeight="1">
      <c r="A46" s="18"/>
      <c r="B46" s="47">
        <v>2.0</v>
      </c>
      <c r="C46" s="48" t="s">
        <v>38</v>
      </c>
      <c r="D46" s="16"/>
      <c r="E46" s="19">
        <v>133.0</v>
      </c>
      <c r="F46" s="19">
        <v>108.0</v>
      </c>
      <c r="G46" s="19">
        <v>117.0</v>
      </c>
      <c r="H46" s="19">
        <v>135.0</v>
      </c>
      <c r="I46" s="19">
        <v>160.0</v>
      </c>
      <c r="J46" s="19">
        <v>163.0</v>
      </c>
      <c r="K46" s="19">
        <v>163.0</v>
      </c>
      <c r="L46" s="19">
        <v>135.0</v>
      </c>
      <c r="M46" s="19">
        <v>165.0</v>
      </c>
      <c r="N46" s="19">
        <v>148.0</v>
      </c>
      <c r="O46" s="19">
        <v>163.0</v>
      </c>
      <c r="P46" s="19">
        <v>146.0</v>
      </c>
      <c r="Q46" s="19">
        <v>146.0</v>
      </c>
      <c r="R46" s="19">
        <v>127.0</v>
      </c>
      <c r="S46" s="13">
        <f t="shared" si="14"/>
        <v>2009</v>
      </c>
    </row>
    <row r="47" ht="12.75" customHeight="1">
      <c r="A47" s="18"/>
      <c r="B47" s="47">
        <v>3.0</v>
      </c>
      <c r="C47" s="48" t="s">
        <v>39</v>
      </c>
      <c r="D47" s="16"/>
      <c r="E47" s="19">
        <v>6.0</v>
      </c>
      <c r="F47" s="19">
        <v>5.0</v>
      </c>
      <c r="G47" s="19">
        <v>19.0</v>
      </c>
      <c r="H47" s="19">
        <v>25.0</v>
      </c>
      <c r="I47" s="19">
        <v>11.0</v>
      </c>
      <c r="J47" s="19">
        <v>9.0</v>
      </c>
      <c r="K47" s="19">
        <v>25.0</v>
      </c>
      <c r="L47" s="19">
        <v>16.0</v>
      </c>
      <c r="M47" s="19">
        <v>21.0</v>
      </c>
      <c r="N47" s="19">
        <v>59.0</v>
      </c>
      <c r="O47" s="19">
        <v>28.0</v>
      </c>
      <c r="P47" s="19">
        <v>37.0</v>
      </c>
      <c r="Q47" s="19">
        <v>43.0</v>
      </c>
      <c r="R47" s="19">
        <v>1.0</v>
      </c>
      <c r="S47" s="13">
        <f t="shared" si="14"/>
        <v>305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13"/>
      <c r="S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R50" si="15">SUM(E45:E47)</f>
        <v>171</v>
      </c>
      <c r="F50" s="19">
        <f t="shared" si="15"/>
        <v>131</v>
      </c>
      <c r="G50" s="19">
        <f t="shared" si="15"/>
        <v>157</v>
      </c>
      <c r="H50" s="19">
        <f t="shared" si="15"/>
        <v>190</v>
      </c>
      <c r="I50" s="19">
        <f t="shared" si="15"/>
        <v>181</v>
      </c>
      <c r="J50" s="19">
        <f t="shared" si="15"/>
        <v>176</v>
      </c>
      <c r="K50" s="19">
        <f t="shared" si="15"/>
        <v>214</v>
      </c>
      <c r="L50" s="19">
        <f t="shared" si="15"/>
        <v>177</v>
      </c>
      <c r="M50" s="19">
        <f t="shared" si="15"/>
        <v>193</v>
      </c>
      <c r="N50" s="19">
        <f t="shared" si="15"/>
        <v>209</v>
      </c>
      <c r="O50" s="19">
        <f t="shared" si="15"/>
        <v>198</v>
      </c>
      <c r="P50" s="19">
        <f t="shared" si="15"/>
        <v>197</v>
      </c>
      <c r="Q50" s="19">
        <f t="shared" si="15"/>
        <v>197</v>
      </c>
      <c r="R50" s="19">
        <f t="shared" si="15"/>
        <v>131</v>
      </c>
      <c r="S50" s="13">
        <f t="shared" ref="S50:S52" si="16">SUM(E50:R50)</f>
        <v>2522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4.0</v>
      </c>
      <c r="F51" s="19">
        <v>1.0</v>
      </c>
      <c r="G51" s="19">
        <v>2.0</v>
      </c>
      <c r="H51" s="19">
        <v>1.0</v>
      </c>
      <c r="I51" s="19">
        <v>3.0</v>
      </c>
      <c r="J51" s="19">
        <v>7.0</v>
      </c>
      <c r="K51" s="19">
        <v>2.0</v>
      </c>
      <c r="L51" s="19">
        <v>4.0</v>
      </c>
      <c r="M51" s="19">
        <v>8.0</v>
      </c>
      <c r="N51" s="19">
        <v>9.0</v>
      </c>
      <c r="O51" s="19">
        <v>17.0</v>
      </c>
      <c r="P51" s="19">
        <v>5.0</v>
      </c>
      <c r="Q51" s="19">
        <v>2.0</v>
      </c>
      <c r="R51" s="19">
        <v>3.0</v>
      </c>
      <c r="S51" s="13">
        <f t="shared" si="16"/>
        <v>68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R52" si="17">SUM(E50:E51)</f>
        <v>175</v>
      </c>
      <c r="F52" s="13">
        <f t="shared" si="17"/>
        <v>132</v>
      </c>
      <c r="G52" s="13">
        <f t="shared" si="17"/>
        <v>159</v>
      </c>
      <c r="H52" s="13">
        <f t="shared" si="17"/>
        <v>191</v>
      </c>
      <c r="I52" s="13">
        <f t="shared" si="17"/>
        <v>184</v>
      </c>
      <c r="J52" s="13">
        <f t="shared" si="17"/>
        <v>183</v>
      </c>
      <c r="K52" s="13">
        <f t="shared" si="17"/>
        <v>216</v>
      </c>
      <c r="L52" s="13">
        <f t="shared" si="17"/>
        <v>181</v>
      </c>
      <c r="M52" s="13">
        <f t="shared" si="17"/>
        <v>201</v>
      </c>
      <c r="N52" s="13">
        <f t="shared" si="17"/>
        <v>218</v>
      </c>
      <c r="O52" s="13">
        <f t="shared" si="17"/>
        <v>215</v>
      </c>
      <c r="P52" s="13">
        <f t="shared" si="17"/>
        <v>202</v>
      </c>
      <c r="Q52" s="13">
        <f t="shared" si="17"/>
        <v>199</v>
      </c>
      <c r="R52" s="13">
        <f t="shared" si="17"/>
        <v>134</v>
      </c>
      <c r="S52" s="13">
        <f t="shared" si="16"/>
        <v>2590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R15 E45:R4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50:R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118.0</v>
      </c>
      <c r="F14" s="19">
        <v>114.0</v>
      </c>
      <c r="G14" s="19">
        <v>110.0</v>
      </c>
      <c r="H14" s="19">
        <v>97.0</v>
      </c>
      <c r="I14" s="19">
        <v>115.0</v>
      </c>
      <c r="J14" s="19">
        <v>147.0</v>
      </c>
      <c r="K14" s="19">
        <v>110.0</v>
      </c>
      <c r="L14" s="19">
        <v>151.0</v>
      </c>
      <c r="M14" s="19">
        <v>134.0</v>
      </c>
      <c r="N14" s="19">
        <v>136.0</v>
      </c>
      <c r="O14" s="19">
        <v>132.0</v>
      </c>
      <c r="P14" s="19">
        <v>118.0</v>
      </c>
      <c r="Q14" s="19">
        <v>120.0</v>
      </c>
      <c r="R14" s="19">
        <v>125.0</v>
      </c>
      <c r="S14" s="19">
        <v>138.0</v>
      </c>
      <c r="T14" s="19">
        <v>113.0</v>
      </c>
      <c r="U14" s="13">
        <f t="shared" ref="U14:U16" si="1">SUM(E14:T14)</f>
        <v>1978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126.0</v>
      </c>
      <c r="G15" s="19">
        <v>114.0</v>
      </c>
      <c r="H15" s="19">
        <v>93.0</v>
      </c>
      <c r="I15" s="19">
        <v>112.0</v>
      </c>
      <c r="J15" s="19">
        <v>148.0</v>
      </c>
      <c r="K15" s="19">
        <v>113.0</v>
      </c>
      <c r="L15" s="19">
        <v>130.0</v>
      </c>
      <c r="M15" s="19">
        <v>146.0</v>
      </c>
      <c r="N15" s="19">
        <v>140.0</v>
      </c>
      <c r="O15" s="19">
        <v>139.0</v>
      </c>
      <c r="P15" s="19">
        <v>115.0</v>
      </c>
      <c r="Q15" s="19">
        <v>119.0</v>
      </c>
      <c r="R15" s="19">
        <v>120.0</v>
      </c>
      <c r="S15" s="19">
        <v>126.0</v>
      </c>
      <c r="T15" s="19">
        <v>128.0</v>
      </c>
      <c r="U15" s="13">
        <f t="shared" si="1"/>
        <v>1983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232</v>
      </c>
      <c r="F16" s="13">
        <f t="shared" si="2"/>
        <v>240</v>
      </c>
      <c r="G16" s="13">
        <f t="shared" si="2"/>
        <v>224</v>
      </c>
      <c r="H16" s="13">
        <f t="shared" si="2"/>
        <v>190</v>
      </c>
      <c r="I16" s="13">
        <f t="shared" si="2"/>
        <v>227</v>
      </c>
      <c r="J16" s="13">
        <f t="shared" si="2"/>
        <v>295</v>
      </c>
      <c r="K16" s="13">
        <f t="shared" si="2"/>
        <v>223</v>
      </c>
      <c r="L16" s="13">
        <f t="shared" si="2"/>
        <v>281</v>
      </c>
      <c r="M16" s="13">
        <f t="shared" si="2"/>
        <v>280</v>
      </c>
      <c r="N16" s="13">
        <f t="shared" si="2"/>
        <v>276</v>
      </c>
      <c r="O16" s="13">
        <f t="shared" si="2"/>
        <v>271</v>
      </c>
      <c r="P16" s="13">
        <f t="shared" si="2"/>
        <v>233</v>
      </c>
      <c r="Q16" s="13">
        <f t="shared" si="2"/>
        <v>239</v>
      </c>
      <c r="R16" s="13">
        <f t="shared" si="2"/>
        <v>245</v>
      </c>
      <c r="S16" s="13">
        <f t="shared" si="2"/>
        <v>264</v>
      </c>
      <c r="T16" s="13">
        <f t="shared" si="2"/>
        <v>241</v>
      </c>
      <c r="U16" s="13">
        <f t="shared" si="1"/>
        <v>3961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78.0</v>
      </c>
      <c r="F19" s="19">
        <v>84.0</v>
      </c>
      <c r="G19" s="19">
        <v>80.0</v>
      </c>
      <c r="H19" s="19">
        <v>57.0</v>
      </c>
      <c r="I19" s="19">
        <v>69.0</v>
      </c>
      <c r="J19" s="19">
        <v>94.0</v>
      </c>
      <c r="K19" s="19">
        <v>81.0</v>
      </c>
      <c r="L19" s="19">
        <v>107.0</v>
      </c>
      <c r="M19" s="19">
        <v>86.0</v>
      </c>
      <c r="N19" s="19">
        <v>87.0</v>
      </c>
      <c r="O19" s="19">
        <v>78.0</v>
      </c>
      <c r="P19" s="19">
        <v>84.0</v>
      </c>
      <c r="Q19" s="19">
        <v>77.0</v>
      </c>
      <c r="R19" s="19">
        <v>87.0</v>
      </c>
      <c r="S19" s="19">
        <v>93.0</v>
      </c>
      <c r="T19" s="19">
        <v>74.0</v>
      </c>
      <c r="U19" s="13">
        <f t="shared" ref="U19:U30" si="3">SUM(E19:T19)</f>
        <v>1316</v>
      </c>
    </row>
    <row r="20" ht="12.75" customHeight="1">
      <c r="A20" s="33"/>
      <c r="B20" s="27"/>
      <c r="C20" s="34"/>
      <c r="D20" s="19" t="s">
        <v>13</v>
      </c>
      <c r="E20" s="19">
        <v>74.0</v>
      </c>
      <c r="F20" s="19">
        <v>95.0</v>
      </c>
      <c r="G20" s="19">
        <v>88.0</v>
      </c>
      <c r="H20" s="19">
        <v>63.0</v>
      </c>
      <c r="I20" s="19">
        <v>88.0</v>
      </c>
      <c r="J20" s="19">
        <v>103.0</v>
      </c>
      <c r="K20" s="19">
        <v>83.0</v>
      </c>
      <c r="L20" s="19">
        <v>106.0</v>
      </c>
      <c r="M20" s="19">
        <v>110.0</v>
      </c>
      <c r="N20" s="19">
        <v>109.0</v>
      </c>
      <c r="O20" s="19">
        <v>92.0</v>
      </c>
      <c r="P20" s="19">
        <v>86.0</v>
      </c>
      <c r="Q20" s="19">
        <v>90.0</v>
      </c>
      <c r="R20" s="19">
        <v>92.0</v>
      </c>
      <c r="S20" s="19">
        <v>108.0</v>
      </c>
      <c r="T20" s="19">
        <v>95.0</v>
      </c>
      <c r="U20" s="13">
        <f t="shared" si="3"/>
        <v>1482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152</v>
      </c>
      <c r="F21" s="13">
        <f t="shared" si="4"/>
        <v>179</v>
      </c>
      <c r="G21" s="13">
        <f t="shared" si="4"/>
        <v>168</v>
      </c>
      <c r="H21" s="13">
        <f t="shared" si="4"/>
        <v>120</v>
      </c>
      <c r="I21" s="13">
        <f t="shared" si="4"/>
        <v>157</v>
      </c>
      <c r="J21" s="13">
        <f t="shared" si="4"/>
        <v>197</v>
      </c>
      <c r="K21" s="13">
        <f t="shared" si="4"/>
        <v>164</v>
      </c>
      <c r="L21" s="13">
        <f t="shared" si="4"/>
        <v>213</v>
      </c>
      <c r="M21" s="13">
        <f t="shared" si="4"/>
        <v>196</v>
      </c>
      <c r="N21" s="13">
        <f t="shared" si="4"/>
        <v>196</v>
      </c>
      <c r="O21" s="13">
        <f t="shared" si="4"/>
        <v>170</v>
      </c>
      <c r="P21" s="13">
        <f t="shared" si="4"/>
        <v>170</v>
      </c>
      <c r="Q21" s="13">
        <f t="shared" si="4"/>
        <v>167</v>
      </c>
      <c r="R21" s="13">
        <f t="shared" si="4"/>
        <v>179</v>
      </c>
      <c r="S21" s="13">
        <f t="shared" si="4"/>
        <v>201</v>
      </c>
      <c r="T21" s="13">
        <f t="shared" si="4"/>
        <v>169</v>
      </c>
      <c r="U21" s="13">
        <f t="shared" si="3"/>
        <v>2798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2.0</v>
      </c>
      <c r="P22" s="19">
        <v>0.0</v>
      </c>
      <c r="Q22" s="19">
        <v>1.0</v>
      </c>
      <c r="R22" s="19">
        <v>0.0</v>
      </c>
      <c r="S22" s="19">
        <v>2.0</v>
      </c>
      <c r="T22" s="19"/>
      <c r="U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1.0</v>
      </c>
      <c r="S23" s="19">
        <v>1.0</v>
      </c>
      <c r="T23" s="19"/>
      <c r="U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3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2</v>
      </c>
      <c r="P24" s="13">
        <f t="shared" si="5"/>
        <v>0</v>
      </c>
      <c r="Q24" s="13">
        <f t="shared" si="5"/>
        <v>2</v>
      </c>
      <c r="R24" s="13">
        <f t="shared" si="5"/>
        <v>1</v>
      </c>
      <c r="S24" s="13">
        <f t="shared" si="5"/>
        <v>3</v>
      </c>
      <c r="T24" s="13">
        <f t="shared" si="5"/>
        <v>0</v>
      </c>
      <c r="U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1.0</v>
      </c>
      <c r="H25" s="19">
        <v>0.0</v>
      </c>
      <c r="I25" s="19">
        <v>0.0</v>
      </c>
      <c r="J25" s="19">
        <v>0.0</v>
      </c>
      <c r="K25" s="19">
        <v>4.0</v>
      </c>
      <c r="L25" s="19">
        <v>0.0</v>
      </c>
      <c r="M25" s="19">
        <v>3.0</v>
      </c>
      <c r="N25" s="19">
        <v>2.0</v>
      </c>
      <c r="O25" s="19">
        <v>0.0</v>
      </c>
      <c r="P25" s="19">
        <v>1.0</v>
      </c>
      <c r="Q25" s="19">
        <v>0.0</v>
      </c>
      <c r="R25" s="19">
        <v>1.0</v>
      </c>
      <c r="S25" s="19">
        <v>1.0</v>
      </c>
      <c r="T25" s="19"/>
      <c r="U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1.0</v>
      </c>
      <c r="H26" s="19">
        <v>1.0</v>
      </c>
      <c r="I26" s="19">
        <v>1.0</v>
      </c>
      <c r="J26" s="19">
        <v>0.0</v>
      </c>
      <c r="K26" s="19">
        <v>4.0</v>
      </c>
      <c r="L26" s="19">
        <v>0.0</v>
      </c>
      <c r="M26" s="19">
        <v>0.0</v>
      </c>
      <c r="N26" s="19">
        <v>1.0</v>
      </c>
      <c r="O26" s="19">
        <v>0.0</v>
      </c>
      <c r="P26" s="19">
        <v>2.0</v>
      </c>
      <c r="Q26" s="19">
        <v>0.0</v>
      </c>
      <c r="R26" s="19">
        <v>3.0</v>
      </c>
      <c r="S26" s="19">
        <v>4.0</v>
      </c>
      <c r="T26" s="19"/>
      <c r="U26" s="13">
        <f t="shared" si="3"/>
        <v>18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1</v>
      </c>
      <c r="F27" s="13">
        <f t="shared" si="6"/>
        <v>1</v>
      </c>
      <c r="G27" s="13">
        <f t="shared" si="6"/>
        <v>2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8</v>
      </c>
      <c r="L27" s="13">
        <f t="shared" si="6"/>
        <v>0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4</v>
      </c>
      <c r="S27" s="13">
        <f t="shared" si="6"/>
        <v>5</v>
      </c>
      <c r="T27" s="13">
        <f t="shared" si="6"/>
        <v>0</v>
      </c>
      <c r="U27" s="13">
        <f t="shared" si="3"/>
        <v>32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79</v>
      </c>
      <c r="F28" s="13">
        <f t="shared" si="7"/>
        <v>85</v>
      </c>
      <c r="G28" s="13">
        <f t="shared" si="7"/>
        <v>81</v>
      </c>
      <c r="H28" s="13">
        <f t="shared" si="7"/>
        <v>57</v>
      </c>
      <c r="I28" s="13">
        <f t="shared" si="7"/>
        <v>69</v>
      </c>
      <c r="J28" s="13">
        <f t="shared" si="7"/>
        <v>94</v>
      </c>
      <c r="K28" s="13">
        <f t="shared" si="7"/>
        <v>85</v>
      </c>
      <c r="L28" s="13">
        <f t="shared" si="7"/>
        <v>108</v>
      </c>
      <c r="M28" s="13">
        <f t="shared" si="7"/>
        <v>89</v>
      </c>
      <c r="N28" s="13">
        <f t="shared" si="7"/>
        <v>89</v>
      </c>
      <c r="O28" s="13">
        <f t="shared" si="7"/>
        <v>80</v>
      </c>
      <c r="P28" s="13">
        <f t="shared" si="7"/>
        <v>85</v>
      </c>
      <c r="Q28" s="13">
        <f t="shared" si="7"/>
        <v>78</v>
      </c>
      <c r="R28" s="13">
        <f t="shared" si="7"/>
        <v>88</v>
      </c>
      <c r="S28" s="13">
        <f t="shared" si="7"/>
        <v>96</v>
      </c>
      <c r="T28" s="13">
        <f t="shared" si="7"/>
        <v>74</v>
      </c>
      <c r="U28" s="13">
        <f t="shared" si="3"/>
        <v>1337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77</v>
      </c>
      <c r="F29" s="13">
        <f t="shared" si="8"/>
        <v>95</v>
      </c>
      <c r="G29" s="13">
        <f t="shared" si="8"/>
        <v>89</v>
      </c>
      <c r="H29" s="13">
        <f t="shared" si="8"/>
        <v>65</v>
      </c>
      <c r="I29" s="13">
        <f t="shared" si="8"/>
        <v>89</v>
      </c>
      <c r="J29" s="13">
        <f t="shared" si="8"/>
        <v>103</v>
      </c>
      <c r="K29" s="13">
        <f t="shared" si="8"/>
        <v>87</v>
      </c>
      <c r="L29" s="13">
        <f t="shared" si="8"/>
        <v>106</v>
      </c>
      <c r="M29" s="13">
        <f t="shared" si="8"/>
        <v>110</v>
      </c>
      <c r="N29" s="13">
        <f t="shared" si="8"/>
        <v>110</v>
      </c>
      <c r="O29" s="13">
        <f t="shared" si="8"/>
        <v>92</v>
      </c>
      <c r="P29" s="13">
        <f t="shared" si="8"/>
        <v>88</v>
      </c>
      <c r="Q29" s="13">
        <f t="shared" si="8"/>
        <v>91</v>
      </c>
      <c r="R29" s="13">
        <f t="shared" si="8"/>
        <v>96</v>
      </c>
      <c r="S29" s="13">
        <f t="shared" si="8"/>
        <v>113</v>
      </c>
      <c r="T29" s="13">
        <f t="shared" si="8"/>
        <v>95</v>
      </c>
      <c r="U29" s="13">
        <f t="shared" si="3"/>
        <v>1506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156</v>
      </c>
      <c r="F30" s="13">
        <f t="shared" si="9"/>
        <v>180</v>
      </c>
      <c r="G30" s="13">
        <f t="shared" si="9"/>
        <v>170</v>
      </c>
      <c r="H30" s="13">
        <f t="shared" si="9"/>
        <v>122</v>
      </c>
      <c r="I30" s="13">
        <f t="shared" si="9"/>
        <v>158</v>
      </c>
      <c r="J30" s="13">
        <f t="shared" si="9"/>
        <v>197</v>
      </c>
      <c r="K30" s="13">
        <f t="shared" si="9"/>
        <v>172</v>
      </c>
      <c r="L30" s="13">
        <f t="shared" si="9"/>
        <v>214</v>
      </c>
      <c r="M30" s="13">
        <f t="shared" si="9"/>
        <v>199</v>
      </c>
      <c r="N30" s="13">
        <f t="shared" si="9"/>
        <v>199</v>
      </c>
      <c r="O30" s="13">
        <f t="shared" si="9"/>
        <v>172</v>
      </c>
      <c r="P30" s="13">
        <f t="shared" si="9"/>
        <v>173</v>
      </c>
      <c r="Q30" s="13">
        <f t="shared" si="9"/>
        <v>169</v>
      </c>
      <c r="R30" s="13">
        <f t="shared" si="9"/>
        <v>184</v>
      </c>
      <c r="S30" s="13">
        <f t="shared" si="9"/>
        <v>209</v>
      </c>
      <c r="T30" s="13">
        <f t="shared" si="9"/>
        <v>169</v>
      </c>
      <c r="U30" s="13">
        <f t="shared" si="3"/>
        <v>2843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59"/>
    </row>
    <row r="33" ht="12.75" customHeight="1">
      <c r="A33" s="19">
        <v>1.0</v>
      </c>
      <c r="B33" s="20" t="s">
        <v>27</v>
      </c>
      <c r="C33" s="15"/>
      <c r="D33" s="16"/>
      <c r="E33" s="19">
        <v>227.0</v>
      </c>
      <c r="F33" s="19">
        <v>235.0</v>
      </c>
      <c r="G33" s="19">
        <v>219.0</v>
      </c>
      <c r="H33" s="19">
        <v>183.0</v>
      </c>
      <c r="I33" s="19">
        <v>212.0</v>
      </c>
      <c r="J33" s="19">
        <v>190.0</v>
      </c>
      <c r="K33" s="19">
        <v>224.0</v>
      </c>
      <c r="L33" s="19">
        <v>278.0</v>
      </c>
      <c r="M33" s="19">
        <v>277.0</v>
      </c>
      <c r="N33" s="19">
        <v>272.0</v>
      </c>
      <c r="O33" s="19">
        <v>265.0</v>
      </c>
      <c r="P33" s="19">
        <v>228.0</v>
      </c>
      <c r="Q33" s="19">
        <v>233.0</v>
      </c>
      <c r="R33" s="19">
        <v>240.0</v>
      </c>
      <c r="S33" s="19">
        <v>250.0</v>
      </c>
      <c r="T33" s="19">
        <v>237.0</v>
      </c>
      <c r="U33" s="13">
        <f t="shared" ref="U33:U36" si="10">SUM(E33:T33)</f>
        <v>3770</v>
      </c>
    </row>
    <row r="34" ht="12.75" customHeight="1">
      <c r="A34" s="19">
        <v>2.0</v>
      </c>
      <c r="B34" s="20" t="s">
        <v>28</v>
      </c>
      <c r="C34" s="15"/>
      <c r="D34" s="16"/>
      <c r="E34" s="13">
        <v>156.0</v>
      </c>
      <c r="F34" s="13">
        <v>180.0</v>
      </c>
      <c r="G34" s="13">
        <v>170.0</v>
      </c>
      <c r="H34" s="13">
        <v>122.0</v>
      </c>
      <c r="I34" s="13">
        <v>158.0</v>
      </c>
      <c r="J34" s="13">
        <v>197.0</v>
      </c>
      <c r="K34" s="13">
        <v>172.0</v>
      </c>
      <c r="L34" s="13">
        <v>214.0</v>
      </c>
      <c r="M34" s="13">
        <v>199.0</v>
      </c>
      <c r="N34" s="13">
        <v>201.0</v>
      </c>
      <c r="O34" s="13">
        <v>172.0</v>
      </c>
      <c r="P34" s="13">
        <v>173.0</v>
      </c>
      <c r="Q34" s="13">
        <v>169.0</v>
      </c>
      <c r="R34" s="13">
        <v>154.0</v>
      </c>
      <c r="S34" s="13">
        <v>208.0</v>
      </c>
      <c r="T34" s="13">
        <v>189.0</v>
      </c>
      <c r="U34" s="13">
        <f t="shared" si="10"/>
        <v>2834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2.0</v>
      </c>
      <c r="S35" s="19">
        <v>0.0</v>
      </c>
      <c r="T35" s="19"/>
      <c r="U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71</v>
      </c>
      <c r="F36" s="13">
        <f t="shared" si="11"/>
        <v>55</v>
      </c>
      <c r="G36" s="13">
        <f t="shared" si="11"/>
        <v>49</v>
      </c>
      <c r="H36" s="13">
        <f t="shared" si="11"/>
        <v>61</v>
      </c>
      <c r="I36" s="13">
        <f t="shared" si="11"/>
        <v>54</v>
      </c>
      <c r="J36" s="13">
        <f t="shared" si="11"/>
        <v>-7</v>
      </c>
      <c r="K36" s="13">
        <f t="shared" si="11"/>
        <v>51</v>
      </c>
      <c r="L36" s="13">
        <f t="shared" si="11"/>
        <v>64</v>
      </c>
      <c r="M36" s="13">
        <f t="shared" si="11"/>
        <v>78</v>
      </c>
      <c r="N36" s="13">
        <f t="shared" si="11"/>
        <v>71</v>
      </c>
      <c r="O36" s="13">
        <f t="shared" si="11"/>
        <v>93</v>
      </c>
      <c r="P36" s="13">
        <f t="shared" si="11"/>
        <v>55</v>
      </c>
      <c r="Q36" s="13">
        <f t="shared" si="11"/>
        <v>64</v>
      </c>
      <c r="R36" s="13">
        <f t="shared" si="11"/>
        <v>84</v>
      </c>
      <c r="S36" s="13">
        <f t="shared" si="11"/>
        <v>42</v>
      </c>
      <c r="T36" s="13">
        <f t="shared" si="11"/>
        <v>48</v>
      </c>
      <c r="U36" s="13">
        <f t="shared" si="10"/>
        <v>933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58"/>
      <c r="R37" s="61"/>
      <c r="S37" s="61"/>
      <c r="T37" s="61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3.0</v>
      </c>
      <c r="H39" s="19">
        <v>0.0</v>
      </c>
      <c r="I39" s="19">
        <v>1.0</v>
      </c>
      <c r="J39" s="19">
        <v>0.0</v>
      </c>
      <c r="K39" s="19">
        <v>0.0</v>
      </c>
      <c r="L39" s="19">
        <v>2.0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/>
      <c r="U39" s="13">
        <f t="shared" ref="U39:U41" si="12">SUM(E39:T39)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>
        <v>1.0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1.0</v>
      </c>
      <c r="R40" s="19">
        <v>0.0</v>
      </c>
      <c r="S40" s="19">
        <v>0.0</v>
      </c>
      <c r="T40" s="19"/>
      <c r="U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1</v>
      </c>
      <c r="F41" s="13">
        <f t="shared" si="13"/>
        <v>1</v>
      </c>
      <c r="G41" s="13">
        <f t="shared" si="13"/>
        <v>4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58"/>
      <c r="R42" s="19"/>
      <c r="S42" s="58"/>
      <c r="T42" s="1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60"/>
      <c r="R43" s="13"/>
      <c r="S43" s="60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58"/>
      <c r="R44" s="19"/>
      <c r="S44" s="58"/>
      <c r="T44" s="19"/>
      <c r="U44" s="13"/>
    </row>
    <row r="45" ht="12.75" customHeight="1">
      <c r="A45" s="30"/>
      <c r="B45" s="47">
        <v>1.0</v>
      </c>
      <c r="C45" s="48" t="s">
        <v>37</v>
      </c>
      <c r="D45" s="16"/>
      <c r="E45" s="19">
        <v>22.0</v>
      </c>
      <c r="F45" s="19">
        <v>14.0</v>
      </c>
      <c r="G45" s="19">
        <v>13.0</v>
      </c>
      <c r="H45" s="19">
        <v>16.0</v>
      </c>
      <c r="I45" s="19">
        <v>7.0</v>
      </c>
      <c r="J45" s="19">
        <v>22.0</v>
      </c>
      <c r="K45" s="19">
        <v>15.0</v>
      </c>
      <c r="L45" s="19">
        <v>8.0</v>
      </c>
      <c r="M45" s="19">
        <v>18.0</v>
      </c>
      <c r="N45" s="19">
        <v>12.0</v>
      </c>
      <c r="O45" s="19">
        <v>26.0</v>
      </c>
      <c r="P45" s="19">
        <v>31.0</v>
      </c>
      <c r="Q45" s="19">
        <v>19.0</v>
      </c>
      <c r="R45" s="19">
        <v>7.0</v>
      </c>
      <c r="S45" s="19">
        <v>20.0</v>
      </c>
      <c r="T45" s="19">
        <v>12.0</v>
      </c>
      <c r="U45" s="13">
        <f t="shared" ref="U45:U47" si="14">SUM(E45:T45)</f>
        <v>262</v>
      </c>
    </row>
    <row r="46" ht="12.75" customHeight="1">
      <c r="A46" s="18"/>
      <c r="B46" s="47">
        <v>2.0</v>
      </c>
      <c r="C46" s="48" t="s">
        <v>38</v>
      </c>
      <c r="D46" s="16"/>
      <c r="E46" s="19">
        <v>103.0</v>
      </c>
      <c r="F46" s="19">
        <v>123.0</v>
      </c>
      <c r="G46" s="19">
        <v>128.0</v>
      </c>
      <c r="H46" s="19">
        <v>79.0</v>
      </c>
      <c r="I46" s="19">
        <v>117.0</v>
      </c>
      <c r="J46" s="19">
        <v>140.0</v>
      </c>
      <c r="K46" s="19">
        <v>124.0</v>
      </c>
      <c r="L46" s="19">
        <v>131.0</v>
      </c>
      <c r="M46" s="19">
        <v>138.0</v>
      </c>
      <c r="N46" s="19">
        <v>157.0</v>
      </c>
      <c r="O46" s="19">
        <v>119.0</v>
      </c>
      <c r="P46" s="19">
        <v>121.0</v>
      </c>
      <c r="Q46" s="19">
        <v>137.0</v>
      </c>
      <c r="R46" s="19">
        <v>153.0</v>
      </c>
      <c r="S46" s="19">
        <v>135.0</v>
      </c>
      <c r="T46" s="19">
        <v>127.0</v>
      </c>
      <c r="U46" s="13">
        <f t="shared" si="14"/>
        <v>2032</v>
      </c>
    </row>
    <row r="47" ht="12.75" customHeight="1">
      <c r="A47" s="18"/>
      <c r="B47" s="47">
        <v>3.0</v>
      </c>
      <c r="C47" s="48" t="s">
        <v>39</v>
      </c>
      <c r="D47" s="16"/>
      <c r="E47" s="19">
        <v>29.0</v>
      </c>
      <c r="F47" s="19">
        <v>39.0</v>
      </c>
      <c r="G47" s="19">
        <v>28.0</v>
      </c>
      <c r="H47" s="19">
        <v>35.0</v>
      </c>
      <c r="I47" s="19">
        <v>32.0</v>
      </c>
      <c r="J47" s="19">
        <v>34.0</v>
      </c>
      <c r="K47" s="19">
        <v>27.0</v>
      </c>
      <c r="L47" s="19">
        <v>44.0</v>
      </c>
      <c r="M47" s="19">
        <v>22.0</v>
      </c>
      <c r="N47" s="19">
        <v>27.0</v>
      </c>
      <c r="O47" s="19">
        <v>23.0</v>
      </c>
      <c r="P47" s="19">
        <v>19.0</v>
      </c>
      <c r="Q47" s="19">
        <v>12.0</v>
      </c>
      <c r="R47" s="19">
        <v>19.0</v>
      </c>
      <c r="S47" s="19">
        <v>21.0</v>
      </c>
      <c r="T47" s="19">
        <v>36.0</v>
      </c>
      <c r="U47" s="13">
        <f t="shared" si="14"/>
        <v>447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60"/>
      <c r="U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T50" si="15">SUM(E45:E47)</f>
        <v>154</v>
      </c>
      <c r="F50" s="19">
        <f t="shared" si="15"/>
        <v>176</v>
      </c>
      <c r="G50" s="19">
        <f t="shared" si="15"/>
        <v>169</v>
      </c>
      <c r="H50" s="19">
        <f t="shared" si="15"/>
        <v>130</v>
      </c>
      <c r="I50" s="19">
        <f t="shared" si="15"/>
        <v>156</v>
      </c>
      <c r="J50" s="19">
        <f t="shared" si="15"/>
        <v>196</v>
      </c>
      <c r="K50" s="19">
        <f t="shared" si="15"/>
        <v>166</v>
      </c>
      <c r="L50" s="19">
        <f t="shared" si="15"/>
        <v>183</v>
      </c>
      <c r="M50" s="19">
        <f t="shared" si="15"/>
        <v>178</v>
      </c>
      <c r="N50" s="19">
        <f t="shared" si="15"/>
        <v>196</v>
      </c>
      <c r="O50" s="19">
        <f t="shared" si="15"/>
        <v>168</v>
      </c>
      <c r="P50" s="19">
        <f t="shared" si="15"/>
        <v>171</v>
      </c>
      <c r="Q50" s="19">
        <f t="shared" si="15"/>
        <v>168</v>
      </c>
      <c r="R50" s="19">
        <f t="shared" si="15"/>
        <v>179</v>
      </c>
      <c r="S50" s="19">
        <f t="shared" si="15"/>
        <v>176</v>
      </c>
      <c r="T50" s="19">
        <f t="shared" si="15"/>
        <v>175</v>
      </c>
      <c r="U50" s="13">
        <f t="shared" ref="U50:U52" si="16">SUM(E50:T50)</f>
        <v>2741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4.0</v>
      </c>
      <c r="G51" s="19">
        <v>4.0</v>
      </c>
      <c r="H51" s="19">
        <v>2.0</v>
      </c>
      <c r="I51" s="19">
        <v>3.0</v>
      </c>
      <c r="J51" s="19">
        <v>1.0</v>
      </c>
      <c r="K51" s="19">
        <v>8.0</v>
      </c>
      <c r="L51" s="19">
        <v>11.0</v>
      </c>
      <c r="M51" s="19">
        <v>8.0</v>
      </c>
      <c r="N51" s="19">
        <v>5.0</v>
      </c>
      <c r="O51" s="19">
        <v>4.0</v>
      </c>
      <c r="P51" s="19">
        <v>2.0</v>
      </c>
      <c r="Q51" s="19">
        <v>1.0</v>
      </c>
      <c r="R51" s="19">
        <v>5.0</v>
      </c>
      <c r="S51" s="19">
        <v>4.0</v>
      </c>
      <c r="T51" s="19">
        <v>4.0</v>
      </c>
      <c r="U51" s="13">
        <f t="shared" si="16"/>
        <v>68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T52" si="17">SUM(E50:E51)</f>
        <v>156</v>
      </c>
      <c r="F52" s="13">
        <f t="shared" si="17"/>
        <v>180</v>
      </c>
      <c r="G52" s="13">
        <f t="shared" si="17"/>
        <v>173</v>
      </c>
      <c r="H52" s="13">
        <f t="shared" si="17"/>
        <v>132</v>
      </c>
      <c r="I52" s="13">
        <f t="shared" si="17"/>
        <v>159</v>
      </c>
      <c r="J52" s="13">
        <f t="shared" si="17"/>
        <v>197</v>
      </c>
      <c r="K52" s="13">
        <f t="shared" si="17"/>
        <v>174</v>
      </c>
      <c r="L52" s="13">
        <f t="shared" si="17"/>
        <v>194</v>
      </c>
      <c r="M52" s="13">
        <f t="shared" si="17"/>
        <v>186</v>
      </c>
      <c r="N52" s="13">
        <f t="shared" si="17"/>
        <v>201</v>
      </c>
      <c r="O52" s="13">
        <f t="shared" si="17"/>
        <v>172</v>
      </c>
      <c r="P52" s="13">
        <f t="shared" si="17"/>
        <v>173</v>
      </c>
      <c r="Q52" s="13">
        <f t="shared" si="17"/>
        <v>169</v>
      </c>
      <c r="R52" s="13">
        <f t="shared" si="17"/>
        <v>184</v>
      </c>
      <c r="S52" s="13">
        <f t="shared" si="17"/>
        <v>180</v>
      </c>
      <c r="T52" s="13">
        <f t="shared" si="17"/>
        <v>179</v>
      </c>
      <c r="U52" s="13">
        <f t="shared" si="16"/>
        <v>2809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T15 E45:T47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E30&lt;&gt;E46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E34&lt;&gt;#REF!</formula>
    </cfRule>
  </conditionalFormatting>
  <conditionalFormatting sqref="E50:T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96.0</v>
      </c>
      <c r="G14" s="19">
        <v>127.0</v>
      </c>
      <c r="H14" s="19">
        <v>128.0</v>
      </c>
      <c r="I14" s="19">
        <v>121.0</v>
      </c>
      <c r="J14" s="19">
        <v>117.0</v>
      </c>
      <c r="K14" s="19">
        <v>127.0</v>
      </c>
      <c r="L14" s="19">
        <v>141.0</v>
      </c>
      <c r="M14" s="19">
        <v>108.0</v>
      </c>
      <c r="N14" s="19">
        <v>125.0</v>
      </c>
      <c r="O14" s="19">
        <v>84.0</v>
      </c>
      <c r="P14" s="19">
        <v>68.0</v>
      </c>
      <c r="Q14" s="13">
        <f t="shared" ref="Q14:Q16" si="1">SUM(E14:P14)</f>
        <v>1366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98.0</v>
      </c>
      <c r="G15" s="19">
        <v>137.0</v>
      </c>
      <c r="H15" s="19">
        <v>122.0</v>
      </c>
      <c r="I15" s="19">
        <v>141.0</v>
      </c>
      <c r="J15" s="19">
        <v>139.0</v>
      </c>
      <c r="K15" s="19">
        <v>142.0</v>
      </c>
      <c r="L15" s="19">
        <v>138.0</v>
      </c>
      <c r="M15" s="19">
        <v>119.0</v>
      </c>
      <c r="N15" s="19">
        <v>141.0</v>
      </c>
      <c r="O15" s="19">
        <v>99.0</v>
      </c>
      <c r="P15" s="19">
        <v>83.0</v>
      </c>
      <c r="Q15" s="13">
        <f t="shared" si="1"/>
        <v>1484</v>
      </c>
    </row>
    <row r="16" ht="12.75" customHeight="1">
      <c r="A16" s="25"/>
      <c r="B16" s="21"/>
      <c r="C16" s="28"/>
      <c r="D16" s="13" t="s">
        <v>14</v>
      </c>
      <c r="E16" s="13">
        <f t="shared" ref="E16:P16" si="2">SUM(E14:E15)</f>
        <v>249</v>
      </c>
      <c r="F16" s="13">
        <f t="shared" si="2"/>
        <v>194</v>
      </c>
      <c r="G16" s="13">
        <f t="shared" si="2"/>
        <v>264</v>
      </c>
      <c r="H16" s="13">
        <f t="shared" si="2"/>
        <v>250</v>
      </c>
      <c r="I16" s="13">
        <f t="shared" si="2"/>
        <v>262</v>
      </c>
      <c r="J16" s="13">
        <f t="shared" si="2"/>
        <v>256</v>
      </c>
      <c r="K16" s="13">
        <f t="shared" si="2"/>
        <v>269</v>
      </c>
      <c r="L16" s="13">
        <f t="shared" si="2"/>
        <v>279</v>
      </c>
      <c r="M16" s="13">
        <f t="shared" si="2"/>
        <v>227</v>
      </c>
      <c r="N16" s="13">
        <f t="shared" si="2"/>
        <v>266</v>
      </c>
      <c r="O16" s="13">
        <f t="shared" si="2"/>
        <v>183</v>
      </c>
      <c r="P16" s="13">
        <f t="shared" si="2"/>
        <v>151</v>
      </c>
      <c r="Q16" s="13">
        <f t="shared" si="1"/>
        <v>2850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79.0</v>
      </c>
      <c r="G19" s="19">
        <v>88.0</v>
      </c>
      <c r="H19" s="19">
        <v>86.0</v>
      </c>
      <c r="I19" s="19">
        <v>93.0</v>
      </c>
      <c r="J19" s="19">
        <v>76.0</v>
      </c>
      <c r="K19" s="19">
        <v>105.0</v>
      </c>
      <c r="L19" s="19">
        <v>108.0</v>
      </c>
      <c r="M19" s="19">
        <v>75.0</v>
      </c>
      <c r="N19" s="19">
        <v>94.0</v>
      </c>
      <c r="O19" s="19">
        <v>62.0</v>
      </c>
      <c r="P19" s="19">
        <v>54.0</v>
      </c>
      <c r="Q19" s="13">
        <f t="shared" ref="Q19:Q30" si="3">SUM(E19:P19)</f>
        <v>1005</v>
      </c>
    </row>
    <row r="20" ht="12.75" customHeight="1">
      <c r="A20" s="33"/>
      <c r="B20" s="27"/>
      <c r="C20" s="34"/>
      <c r="D20" s="19" t="s">
        <v>13</v>
      </c>
      <c r="E20" s="19">
        <v>101.0</v>
      </c>
      <c r="F20" s="19">
        <v>79.0</v>
      </c>
      <c r="G20" s="19">
        <v>101.0</v>
      </c>
      <c r="H20" s="19">
        <v>94.0</v>
      </c>
      <c r="I20" s="19">
        <v>110.0</v>
      </c>
      <c r="J20" s="19">
        <v>111.0</v>
      </c>
      <c r="K20" s="19">
        <v>124.0</v>
      </c>
      <c r="L20" s="19">
        <v>105.0</v>
      </c>
      <c r="M20" s="19">
        <v>98.0</v>
      </c>
      <c r="N20" s="19">
        <v>106.0</v>
      </c>
      <c r="O20" s="19">
        <v>80.0</v>
      </c>
      <c r="P20" s="19">
        <v>62.0</v>
      </c>
      <c r="Q20" s="13">
        <f t="shared" si="3"/>
        <v>1171</v>
      </c>
    </row>
    <row r="21" ht="12.75" customHeight="1">
      <c r="A21" s="35"/>
      <c r="B21" s="28"/>
      <c r="C21" s="36"/>
      <c r="D21" s="13" t="s">
        <v>14</v>
      </c>
      <c r="E21" s="13">
        <f t="shared" ref="E21:P21" si="4">SUM(E19:E20)</f>
        <v>186</v>
      </c>
      <c r="F21" s="13">
        <f t="shared" si="4"/>
        <v>158</v>
      </c>
      <c r="G21" s="13">
        <f t="shared" si="4"/>
        <v>189</v>
      </c>
      <c r="H21" s="13">
        <f t="shared" si="4"/>
        <v>180</v>
      </c>
      <c r="I21" s="13">
        <f t="shared" si="4"/>
        <v>203</v>
      </c>
      <c r="J21" s="13">
        <f t="shared" si="4"/>
        <v>187</v>
      </c>
      <c r="K21" s="13">
        <f t="shared" si="4"/>
        <v>229</v>
      </c>
      <c r="L21" s="13">
        <f t="shared" si="4"/>
        <v>213</v>
      </c>
      <c r="M21" s="13">
        <f t="shared" si="4"/>
        <v>173</v>
      </c>
      <c r="N21" s="13">
        <f t="shared" si="4"/>
        <v>200</v>
      </c>
      <c r="O21" s="13">
        <f t="shared" si="4"/>
        <v>142</v>
      </c>
      <c r="P21" s="13">
        <f t="shared" si="4"/>
        <v>116</v>
      </c>
      <c r="Q21" s="13">
        <f t="shared" si="3"/>
        <v>2176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1.0</v>
      </c>
      <c r="M22" s="19">
        <v>2.0</v>
      </c>
      <c r="N22" s="19">
        <v>4.0</v>
      </c>
      <c r="O22" s="19">
        <v>0.0</v>
      </c>
      <c r="P22" s="19">
        <v>1.0</v>
      </c>
      <c r="Q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1.0</v>
      </c>
      <c r="N23" s="19">
        <v>3.0</v>
      </c>
      <c r="O23" s="19">
        <v>0.0</v>
      </c>
      <c r="P23" s="19">
        <v>0.0</v>
      </c>
      <c r="Q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P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3</v>
      </c>
      <c r="N24" s="13">
        <f t="shared" si="5"/>
        <v>7</v>
      </c>
      <c r="O24" s="13">
        <f t="shared" si="5"/>
        <v>0</v>
      </c>
      <c r="P24" s="13">
        <f t="shared" si="5"/>
        <v>1</v>
      </c>
      <c r="Q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2.0</v>
      </c>
      <c r="H25" s="19">
        <v>1.0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0.0</v>
      </c>
      <c r="J26" s="19">
        <v>1.0</v>
      </c>
      <c r="K26" s="19">
        <v>1.0</v>
      </c>
      <c r="L26" s="19">
        <v>0.0</v>
      </c>
      <c r="M26" s="19">
        <v>1.0</v>
      </c>
      <c r="N26" s="19">
        <v>0.0</v>
      </c>
      <c r="O26" s="19">
        <v>2.0</v>
      </c>
      <c r="P26" s="19">
        <v>1.0</v>
      </c>
      <c r="Q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P27" si="6">SUM(E25:E26)</f>
        <v>0</v>
      </c>
      <c r="F27" s="13">
        <f t="shared" si="6"/>
        <v>2</v>
      </c>
      <c r="G27" s="13">
        <f t="shared" si="6"/>
        <v>4</v>
      </c>
      <c r="H27" s="13">
        <f t="shared" si="6"/>
        <v>1</v>
      </c>
      <c r="I27" s="13">
        <f t="shared" si="6"/>
        <v>0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2</v>
      </c>
      <c r="P27" s="13">
        <f t="shared" si="6"/>
        <v>2</v>
      </c>
      <c r="Q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P28" si="7">SUM(E19,E22,E25)</f>
        <v>85</v>
      </c>
      <c r="F28" s="13">
        <f t="shared" si="7"/>
        <v>81</v>
      </c>
      <c r="G28" s="13">
        <f t="shared" si="7"/>
        <v>90</v>
      </c>
      <c r="H28" s="13">
        <f t="shared" si="7"/>
        <v>87</v>
      </c>
      <c r="I28" s="13">
        <f t="shared" si="7"/>
        <v>93</v>
      </c>
      <c r="J28" s="13">
        <f t="shared" si="7"/>
        <v>78</v>
      </c>
      <c r="K28" s="13">
        <f t="shared" si="7"/>
        <v>105</v>
      </c>
      <c r="L28" s="13">
        <f t="shared" si="7"/>
        <v>109</v>
      </c>
      <c r="M28" s="13">
        <f t="shared" si="7"/>
        <v>77</v>
      </c>
      <c r="N28" s="13">
        <f t="shared" si="7"/>
        <v>98</v>
      </c>
      <c r="O28" s="13">
        <f t="shared" si="7"/>
        <v>62</v>
      </c>
      <c r="P28" s="13">
        <f t="shared" si="7"/>
        <v>56</v>
      </c>
      <c r="Q28" s="13">
        <f t="shared" si="3"/>
        <v>1021</v>
      </c>
    </row>
    <row r="29" ht="12.75" customHeight="1">
      <c r="A29" s="35"/>
      <c r="B29" s="27"/>
      <c r="C29" s="34"/>
      <c r="D29" s="13" t="s">
        <v>13</v>
      </c>
      <c r="E29" s="13">
        <f t="shared" ref="E29:P29" si="8">SUM(E20,E23,E26)</f>
        <v>101</v>
      </c>
      <c r="F29" s="13">
        <f t="shared" si="8"/>
        <v>80</v>
      </c>
      <c r="G29" s="13">
        <f t="shared" si="8"/>
        <v>103</v>
      </c>
      <c r="H29" s="13">
        <f t="shared" si="8"/>
        <v>94</v>
      </c>
      <c r="I29" s="13">
        <f t="shared" si="8"/>
        <v>110</v>
      </c>
      <c r="J29" s="13">
        <f t="shared" si="8"/>
        <v>113</v>
      </c>
      <c r="K29" s="13">
        <f t="shared" si="8"/>
        <v>125</v>
      </c>
      <c r="L29" s="13">
        <f t="shared" si="8"/>
        <v>105</v>
      </c>
      <c r="M29" s="13">
        <f t="shared" si="8"/>
        <v>100</v>
      </c>
      <c r="N29" s="13">
        <f t="shared" si="8"/>
        <v>109</v>
      </c>
      <c r="O29" s="13">
        <f t="shared" si="8"/>
        <v>82</v>
      </c>
      <c r="P29" s="13">
        <f t="shared" si="8"/>
        <v>63</v>
      </c>
      <c r="Q29" s="13">
        <f t="shared" si="3"/>
        <v>1185</v>
      </c>
    </row>
    <row r="30" ht="12.75" customHeight="1">
      <c r="A30" s="35"/>
      <c r="B30" s="28"/>
      <c r="C30" s="36"/>
      <c r="D30" s="13" t="s">
        <v>14</v>
      </c>
      <c r="E30" s="13">
        <f t="shared" ref="E30:P30" si="9">SUM(E28:E29)</f>
        <v>186</v>
      </c>
      <c r="F30" s="13">
        <f t="shared" si="9"/>
        <v>161</v>
      </c>
      <c r="G30" s="13">
        <f t="shared" si="9"/>
        <v>193</v>
      </c>
      <c r="H30" s="13">
        <f t="shared" si="9"/>
        <v>181</v>
      </c>
      <c r="I30" s="13">
        <f t="shared" si="9"/>
        <v>203</v>
      </c>
      <c r="J30" s="13">
        <f t="shared" si="9"/>
        <v>191</v>
      </c>
      <c r="K30" s="13">
        <f t="shared" si="9"/>
        <v>230</v>
      </c>
      <c r="L30" s="13">
        <f t="shared" si="9"/>
        <v>214</v>
      </c>
      <c r="M30" s="13">
        <f t="shared" si="9"/>
        <v>177</v>
      </c>
      <c r="N30" s="13">
        <f t="shared" si="9"/>
        <v>207</v>
      </c>
      <c r="O30" s="13">
        <f t="shared" si="9"/>
        <v>144</v>
      </c>
      <c r="P30" s="13">
        <f t="shared" si="9"/>
        <v>119</v>
      </c>
      <c r="Q30" s="13">
        <f t="shared" si="3"/>
        <v>2206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59"/>
    </row>
    <row r="33" ht="12.75" customHeight="1">
      <c r="A33" s="19">
        <v>1.0</v>
      </c>
      <c r="B33" s="20" t="s">
        <v>27</v>
      </c>
      <c r="C33" s="15"/>
      <c r="D33" s="16"/>
      <c r="E33" s="19">
        <v>252.0</v>
      </c>
      <c r="F33" s="19">
        <v>198.0</v>
      </c>
      <c r="G33" s="19">
        <v>266.0</v>
      </c>
      <c r="H33" s="19">
        <v>252.0</v>
      </c>
      <c r="I33" s="19">
        <v>266.0</v>
      </c>
      <c r="J33" s="19">
        <v>283.0</v>
      </c>
      <c r="K33" s="19">
        <v>269.0</v>
      </c>
      <c r="L33" s="19">
        <v>283.0</v>
      </c>
      <c r="M33" s="19">
        <v>220.0</v>
      </c>
      <c r="N33" s="19">
        <v>269.0</v>
      </c>
      <c r="O33" s="19">
        <v>184.0</v>
      </c>
      <c r="P33" s="19">
        <v>154.0</v>
      </c>
      <c r="Q33" s="13">
        <f t="shared" ref="Q33:Q36" si="10">SUM(E33:P33)</f>
        <v>2896</v>
      </c>
    </row>
    <row r="34" ht="12.75" customHeight="1">
      <c r="A34" s="19">
        <v>2.0</v>
      </c>
      <c r="B34" s="20" t="s">
        <v>28</v>
      </c>
      <c r="C34" s="15"/>
      <c r="D34" s="16"/>
      <c r="E34" s="13">
        <v>186.0</v>
      </c>
      <c r="F34" s="13">
        <v>161.0</v>
      </c>
      <c r="G34" s="13">
        <v>193.0</v>
      </c>
      <c r="H34" s="13">
        <v>181.0</v>
      </c>
      <c r="I34" s="13">
        <v>203.0</v>
      </c>
      <c r="J34" s="13">
        <v>191.0</v>
      </c>
      <c r="K34" s="13">
        <v>230.0</v>
      </c>
      <c r="L34" s="13">
        <v>214.0</v>
      </c>
      <c r="M34" s="13">
        <v>177.0</v>
      </c>
      <c r="N34" s="13">
        <v>207.0</v>
      </c>
      <c r="O34" s="13">
        <v>144.0</v>
      </c>
      <c r="P34" s="13">
        <v>119.0</v>
      </c>
      <c r="Q34" s="13">
        <f t="shared" si="10"/>
        <v>2206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3.0</v>
      </c>
      <c r="K35" s="19">
        <v>4.0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P36" si="11">E33-(E34+E35)</f>
        <v>66</v>
      </c>
      <c r="F36" s="13">
        <f t="shared" si="11"/>
        <v>37</v>
      </c>
      <c r="G36" s="13">
        <f t="shared" si="11"/>
        <v>73</v>
      </c>
      <c r="H36" s="13">
        <f t="shared" si="11"/>
        <v>71</v>
      </c>
      <c r="I36" s="13">
        <f t="shared" si="11"/>
        <v>63</v>
      </c>
      <c r="J36" s="13">
        <f t="shared" si="11"/>
        <v>89</v>
      </c>
      <c r="K36" s="13">
        <f t="shared" si="11"/>
        <v>35</v>
      </c>
      <c r="L36" s="13">
        <f t="shared" si="11"/>
        <v>69</v>
      </c>
      <c r="M36" s="13">
        <f t="shared" si="11"/>
        <v>43</v>
      </c>
      <c r="N36" s="13">
        <f t="shared" si="11"/>
        <v>62</v>
      </c>
      <c r="O36" s="13">
        <f t="shared" si="11"/>
        <v>40</v>
      </c>
      <c r="P36" s="13">
        <f t="shared" si="11"/>
        <v>35</v>
      </c>
      <c r="Q36" s="13">
        <f t="shared" si="10"/>
        <v>683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2.0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3">
        <f t="shared" ref="Q39:Q41" si="12">SUM(E39:P39)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4.0</v>
      </c>
      <c r="K40" s="19">
        <v>0.0</v>
      </c>
      <c r="L40" s="19">
        <v>0.0</v>
      </c>
      <c r="M40" s="19">
        <v>0.0</v>
      </c>
      <c r="N40" s="19">
        <v>4.0</v>
      </c>
      <c r="O40" s="19">
        <v>0.0</v>
      </c>
      <c r="P40" s="19">
        <v>0.0</v>
      </c>
      <c r="Q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P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4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5</v>
      </c>
      <c r="O41" s="13">
        <f t="shared" si="13"/>
        <v>0</v>
      </c>
      <c r="P41" s="13">
        <f t="shared" si="13"/>
        <v>0</v>
      </c>
      <c r="Q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3"/>
    </row>
    <row r="45" ht="12.75" customHeight="1">
      <c r="A45" s="30"/>
      <c r="B45" s="47">
        <v>1.0</v>
      </c>
      <c r="C45" s="48" t="s">
        <v>37</v>
      </c>
      <c r="D45" s="16"/>
      <c r="E45" s="19">
        <v>11.0</v>
      </c>
      <c r="F45" s="19">
        <v>14.0</v>
      </c>
      <c r="G45" s="19">
        <v>15.0</v>
      </c>
      <c r="H45" s="19">
        <v>19.0</v>
      </c>
      <c r="I45" s="19">
        <v>20.0</v>
      </c>
      <c r="J45" s="19">
        <v>14.0</v>
      </c>
      <c r="K45" s="19">
        <v>21.0</v>
      </c>
      <c r="L45" s="19">
        <v>13.0</v>
      </c>
      <c r="M45" s="19">
        <v>27.0</v>
      </c>
      <c r="N45" s="19">
        <v>19.0</v>
      </c>
      <c r="O45" s="19">
        <v>8.0</v>
      </c>
      <c r="P45" s="19">
        <v>15.0</v>
      </c>
      <c r="Q45" s="13">
        <f t="shared" ref="Q45:Q47" si="14">SUM(E45:P45)</f>
        <v>196</v>
      </c>
    </row>
    <row r="46" ht="12.75" customHeight="1">
      <c r="A46" s="18"/>
      <c r="B46" s="47">
        <v>2.0</v>
      </c>
      <c r="C46" s="48" t="s">
        <v>38</v>
      </c>
      <c r="D46" s="16"/>
      <c r="E46" s="19">
        <v>133.0</v>
      </c>
      <c r="F46" s="19">
        <v>110.0</v>
      </c>
      <c r="G46" s="19">
        <v>135.0</v>
      </c>
      <c r="H46" s="19">
        <v>113.0</v>
      </c>
      <c r="I46" s="19">
        <v>114.0</v>
      </c>
      <c r="J46" s="19">
        <v>135.0</v>
      </c>
      <c r="K46" s="19">
        <v>144.0</v>
      </c>
      <c r="L46" s="19">
        <v>113.0</v>
      </c>
      <c r="M46" s="19">
        <v>106.0</v>
      </c>
      <c r="N46" s="19">
        <v>134.0</v>
      </c>
      <c r="O46" s="19">
        <v>91.0</v>
      </c>
      <c r="P46" s="19">
        <v>72.0</v>
      </c>
      <c r="Q46" s="13">
        <f t="shared" si="14"/>
        <v>1400</v>
      </c>
    </row>
    <row r="47" ht="12.75" customHeight="1">
      <c r="A47" s="18"/>
      <c r="B47" s="47">
        <v>3.0</v>
      </c>
      <c r="C47" s="48" t="s">
        <v>39</v>
      </c>
      <c r="D47" s="16"/>
      <c r="E47" s="19">
        <v>31.0</v>
      </c>
      <c r="F47" s="19">
        <v>34.0</v>
      </c>
      <c r="G47" s="19">
        <v>35.0</v>
      </c>
      <c r="H47" s="19">
        <v>46.0</v>
      </c>
      <c r="I47" s="19">
        <v>33.0</v>
      </c>
      <c r="J47" s="19">
        <v>39.0</v>
      </c>
      <c r="K47" s="19">
        <v>60.0</v>
      </c>
      <c r="L47" s="19">
        <v>26.0</v>
      </c>
      <c r="M47" s="19">
        <v>39.0</v>
      </c>
      <c r="N47" s="19">
        <v>50.0</v>
      </c>
      <c r="O47" s="19">
        <v>42.0</v>
      </c>
      <c r="P47" s="19">
        <v>28.0</v>
      </c>
      <c r="Q47" s="13">
        <f t="shared" si="14"/>
        <v>463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P50" si="15">SUM(E45:E47)</f>
        <v>175</v>
      </c>
      <c r="F50" s="19">
        <f t="shared" si="15"/>
        <v>158</v>
      </c>
      <c r="G50" s="19">
        <f t="shared" si="15"/>
        <v>185</v>
      </c>
      <c r="H50" s="19">
        <f t="shared" si="15"/>
        <v>178</v>
      </c>
      <c r="I50" s="19">
        <f t="shared" si="15"/>
        <v>167</v>
      </c>
      <c r="J50" s="19">
        <f t="shared" si="15"/>
        <v>188</v>
      </c>
      <c r="K50" s="19">
        <f t="shared" si="15"/>
        <v>225</v>
      </c>
      <c r="L50" s="19">
        <f t="shared" si="15"/>
        <v>152</v>
      </c>
      <c r="M50" s="19">
        <f t="shared" si="15"/>
        <v>172</v>
      </c>
      <c r="N50" s="19">
        <f t="shared" si="15"/>
        <v>203</v>
      </c>
      <c r="O50" s="19">
        <f t="shared" si="15"/>
        <v>141</v>
      </c>
      <c r="P50" s="19">
        <f t="shared" si="15"/>
        <v>115</v>
      </c>
      <c r="Q50" s="13">
        <f t="shared" ref="Q50:Q52" si="16">SUM(E50:P50)</f>
        <v>2059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10.0</v>
      </c>
      <c r="F51" s="19">
        <v>3.0</v>
      </c>
      <c r="G51" s="19">
        <v>4.0</v>
      </c>
      <c r="H51" s="19">
        <v>3.0</v>
      </c>
      <c r="I51" s="19">
        <v>1.0</v>
      </c>
      <c r="J51" s="19">
        <v>3.0</v>
      </c>
      <c r="K51" s="19">
        <v>1.0</v>
      </c>
      <c r="L51" s="19">
        <v>2.0</v>
      </c>
      <c r="M51" s="19">
        <v>5.0</v>
      </c>
      <c r="N51" s="19">
        <v>4.0</v>
      </c>
      <c r="O51" s="19">
        <v>2.0</v>
      </c>
      <c r="P51" s="19">
        <v>4.0</v>
      </c>
      <c r="Q51" s="13">
        <f t="shared" si="16"/>
        <v>42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P52" si="17">SUM(E50:E51)</f>
        <v>185</v>
      </c>
      <c r="F52" s="13">
        <f t="shared" si="17"/>
        <v>161</v>
      </c>
      <c r="G52" s="13">
        <f t="shared" si="17"/>
        <v>189</v>
      </c>
      <c r="H52" s="13">
        <f t="shared" si="17"/>
        <v>181</v>
      </c>
      <c r="I52" s="13">
        <f t="shared" si="17"/>
        <v>168</v>
      </c>
      <c r="J52" s="13">
        <f t="shared" si="17"/>
        <v>191</v>
      </c>
      <c r="K52" s="13">
        <f t="shared" si="17"/>
        <v>226</v>
      </c>
      <c r="L52" s="13">
        <f t="shared" si="17"/>
        <v>154</v>
      </c>
      <c r="M52" s="13">
        <f t="shared" si="17"/>
        <v>177</v>
      </c>
      <c r="N52" s="13">
        <f t="shared" si="17"/>
        <v>207</v>
      </c>
      <c r="O52" s="13">
        <f t="shared" si="17"/>
        <v>143</v>
      </c>
      <c r="P52" s="13">
        <f t="shared" si="17"/>
        <v>119</v>
      </c>
      <c r="Q52" s="13">
        <f t="shared" si="16"/>
        <v>2101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P15 E45:P47">
    <cfRule type="containsBlanks" dxfId="1" priority="1">
      <formula>LEN(TRIM(E14))=0</formula>
    </cfRule>
  </conditionalFormatting>
  <conditionalFormatting sqref="E19:P20">
    <cfRule type="containsBlanks" dxfId="1" priority="2">
      <formula>LEN(TRIM(E19))=0</formula>
    </cfRule>
  </conditionalFormatting>
  <conditionalFormatting sqref="E22:P23 E25:P26 E33:P33 E35:P35 E39:P40">
    <cfRule type="containsBlanks" dxfId="1" priority="3">
      <formula>LEN(TRIM(E22))=0</formula>
    </cfRule>
  </conditionalFormatting>
  <conditionalFormatting sqref="E30:P30">
    <cfRule type="expression" dxfId="0" priority="4">
      <formula>E30&lt;&gt;E46</formula>
    </cfRule>
  </conditionalFormatting>
  <conditionalFormatting sqref="E30:P30">
    <cfRule type="expression" dxfId="0" priority="5">
      <formula>E30&lt;&gt;E34</formula>
    </cfRule>
  </conditionalFormatting>
  <conditionalFormatting sqref="E34:P34">
    <cfRule type="expression" dxfId="2" priority="6">
      <formula>E30&lt;&gt;E34</formula>
    </cfRule>
  </conditionalFormatting>
  <conditionalFormatting sqref="E34:P34">
    <cfRule type="expression" dxfId="3" priority="7">
      <formula>E30=E34</formula>
    </cfRule>
  </conditionalFormatting>
  <conditionalFormatting sqref="E34:P34">
    <cfRule type="expression" dxfId="0" priority="8">
      <formula>E34&lt;&gt;E30</formula>
    </cfRule>
  </conditionalFormatting>
  <conditionalFormatting sqref="E34:P34">
    <cfRule type="expression" dxfId="0" priority="9">
      <formula>E34&lt;&gt;#REF!</formula>
    </cfRule>
  </conditionalFormatting>
  <conditionalFormatting sqref="E50:P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134.0</v>
      </c>
      <c r="G14" s="19">
        <v>138.0</v>
      </c>
      <c r="H14" s="19">
        <v>136.0</v>
      </c>
      <c r="I14" s="19">
        <v>114.0</v>
      </c>
      <c r="J14" s="19">
        <v>123.0</v>
      </c>
      <c r="K14" s="19">
        <v>115.0</v>
      </c>
      <c r="L14" s="19">
        <v>133.0</v>
      </c>
      <c r="M14" s="19">
        <v>112.0</v>
      </c>
      <c r="N14" s="19">
        <v>135.0</v>
      </c>
      <c r="O14" s="19">
        <v>124.0</v>
      </c>
      <c r="P14" s="19">
        <v>119.0</v>
      </c>
      <c r="Q14" s="13">
        <f t="shared" ref="Q14:Q16" si="1">SUM(E14:P14)</f>
        <v>1522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129.0</v>
      </c>
      <c r="G15" s="19">
        <v>141.0</v>
      </c>
      <c r="H15" s="19">
        <v>137.0</v>
      </c>
      <c r="I15" s="19">
        <v>124.0</v>
      </c>
      <c r="J15" s="19">
        <v>133.0</v>
      </c>
      <c r="K15" s="19">
        <v>118.0</v>
      </c>
      <c r="L15" s="19">
        <v>138.0</v>
      </c>
      <c r="M15" s="19">
        <v>118.0</v>
      </c>
      <c r="N15" s="19">
        <v>146.0</v>
      </c>
      <c r="O15" s="19">
        <v>138.0</v>
      </c>
      <c r="P15" s="19">
        <v>120.0</v>
      </c>
      <c r="Q15" s="13">
        <f t="shared" si="1"/>
        <v>1582</v>
      </c>
    </row>
    <row r="16" ht="12.75" customHeight="1">
      <c r="A16" s="25"/>
      <c r="B16" s="21"/>
      <c r="C16" s="28"/>
      <c r="D16" s="13" t="s">
        <v>14</v>
      </c>
      <c r="E16" s="13">
        <f t="shared" ref="E16:P16" si="2">SUM(E14:E15)</f>
        <v>279</v>
      </c>
      <c r="F16" s="13">
        <f t="shared" si="2"/>
        <v>263</v>
      </c>
      <c r="G16" s="13">
        <f t="shared" si="2"/>
        <v>279</v>
      </c>
      <c r="H16" s="13">
        <f t="shared" si="2"/>
        <v>273</v>
      </c>
      <c r="I16" s="13">
        <f t="shared" si="2"/>
        <v>238</v>
      </c>
      <c r="J16" s="13">
        <f t="shared" si="2"/>
        <v>256</v>
      </c>
      <c r="K16" s="13">
        <f t="shared" si="2"/>
        <v>233</v>
      </c>
      <c r="L16" s="13">
        <f t="shared" si="2"/>
        <v>271</v>
      </c>
      <c r="M16" s="13">
        <f t="shared" si="2"/>
        <v>230</v>
      </c>
      <c r="N16" s="13">
        <f t="shared" si="2"/>
        <v>281</v>
      </c>
      <c r="O16" s="13">
        <f t="shared" si="2"/>
        <v>262</v>
      </c>
      <c r="P16" s="13">
        <f t="shared" si="2"/>
        <v>239</v>
      </c>
      <c r="Q16" s="13">
        <f t="shared" si="1"/>
        <v>3104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120.0</v>
      </c>
      <c r="F19" s="19">
        <v>107.0</v>
      </c>
      <c r="G19" s="19">
        <v>100.0</v>
      </c>
      <c r="H19" s="19">
        <v>100.0</v>
      </c>
      <c r="I19" s="19">
        <v>93.0</v>
      </c>
      <c r="J19" s="19">
        <v>107.0</v>
      </c>
      <c r="K19" s="19">
        <v>92.0</v>
      </c>
      <c r="L19" s="19">
        <v>110.0</v>
      </c>
      <c r="M19" s="19">
        <v>88.0</v>
      </c>
      <c r="N19" s="19">
        <v>100.0</v>
      </c>
      <c r="O19" s="19">
        <v>88.0</v>
      </c>
      <c r="P19" s="19">
        <v>90.0</v>
      </c>
      <c r="Q19" s="13">
        <f t="shared" ref="Q19:Q30" si="3">SUM(E19:P19)</f>
        <v>1195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115.0</v>
      </c>
      <c r="G20" s="19">
        <v>111.0</v>
      </c>
      <c r="H20" s="19">
        <v>109.0</v>
      </c>
      <c r="I20" s="19">
        <v>113.0</v>
      </c>
      <c r="J20" s="19">
        <v>120.0</v>
      </c>
      <c r="K20" s="19">
        <v>100.0</v>
      </c>
      <c r="L20" s="19">
        <v>119.0</v>
      </c>
      <c r="M20" s="19">
        <v>95.0</v>
      </c>
      <c r="N20" s="19">
        <v>107.0</v>
      </c>
      <c r="O20" s="19">
        <v>110.0</v>
      </c>
      <c r="P20" s="19">
        <v>97.0</v>
      </c>
      <c r="Q20" s="13">
        <f t="shared" si="3"/>
        <v>1312</v>
      </c>
    </row>
    <row r="21" ht="12.75" customHeight="1">
      <c r="A21" s="35"/>
      <c r="B21" s="28"/>
      <c r="C21" s="36"/>
      <c r="D21" s="13" t="s">
        <v>14</v>
      </c>
      <c r="E21" s="13">
        <f t="shared" ref="E21:P21" si="4">SUM(E19:E20)</f>
        <v>236</v>
      </c>
      <c r="F21" s="13">
        <f t="shared" si="4"/>
        <v>222</v>
      </c>
      <c r="G21" s="13">
        <f t="shared" si="4"/>
        <v>211</v>
      </c>
      <c r="H21" s="13">
        <f t="shared" si="4"/>
        <v>209</v>
      </c>
      <c r="I21" s="13">
        <f t="shared" si="4"/>
        <v>206</v>
      </c>
      <c r="J21" s="13">
        <f t="shared" si="4"/>
        <v>227</v>
      </c>
      <c r="K21" s="13">
        <f t="shared" si="4"/>
        <v>192</v>
      </c>
      <c r="L21" s="13">
        <f t="shared" si="4"/>
        <v>229</v>
      </c>
      <c r="M21" s="13">
        <f t="shared" si="4"/>
        <v>183</v>
      </c>
      <c r="N21" s="13">
        <f t="shared" si="4"/>
        <v>207</v>
      </c>
      <c r="O21" s="13">
        <f t="shared" si="4"/>
        <v>198</v>
      </c>
      <c r="P21" s="13">
        <f t="shared" si="4"/>
        <v>187</v>
      </c>
      <c r="Q21" s="13">
        <f t="shared" si="3"/>
        <v>2507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2.0</v>
      </c>
      <c r="Q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3.0</v>
      </c>
      <c r="F23" s="19">
        <v>2.0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1.0</v>
      </c>
      <c r="M23" s="19">
        <v>1.0</v>
      </c>
      <c r="N23" s="19">
        <v>1.0</v>
      </c>
      <c r="O23" s="19">
        <v>0.0</v>
      </c>
      <c r="P23" s="19">
        <v>0.0</v>
      </c>
      <c r="Q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P24" si="5">SUM(E22:E23)</f>
        <v>5</v>
      </c>
      <c r="F24" s="13">
        <f t="shared" si="5"/>
        <v>2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2</v>
      </c>
      <c r="Q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1.0</v>
      </c>
      <c r="I25" s="19">
        <v>2.0</v>
      </c>
      <c r="J25" s="19">
        <v>0.0</v>
      </c>
      <c r="K25" s="19">
        <v>1.0</v>
      </c>
      <c r="L25" s="19">
        <v>2.0</v>
      </c>
      <c r="M25" s="19">
        <v>0.0</v>
      </c>
      <c r="N25" s="19">
        <v>2.0</v>
      </c>
      <c r="O25" s="19">
        <v>1.0</v>
      </c>
      <c r="P25" s="19">
        <v>3.0</v>
      </c>
      <c r="Q25" s="13">
        <f t="shared" si="3"/>
        <v>13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2.0</v>
      </c>
      <c r="I26" s="19">
        <v>2.0</v>
      </c>
      <c r="J26" s="19">
        <v>1.0</v>
      </c>
      <c r="K26" s="19">
        <v>3.0</v>
      </c>
      <c r="L26" s="19">
        <v>2.0</v>
      </c>
      <c r="M26" s="19">
        <v>0.0</v>
      </c>
      <c r="N26" s="19">
        <v>1.0</v>
      </c>
      <c r="O26" s="19">
        <v>3.0</v>
      </c>
      <c r="P26" s="19">
        <v>0.0</v>
      </c>
      <c r="Q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P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1</v>
      </c>
      <c r="K27" s="13">
        <f t="shared" si="6"/>
        <v>4</v>
      </c>
      <c r="L27" s="13">
        <f t="shared" si="6"/>
        <v>4</v>
      </c>
      <c r="M27" s="13">
        <f t="shared" si="6"/>
        <v>0</v>
      </c>
      <c r="N27" s="13">
        <f t="shared" si="6"/>
        <v>3</v>
      </c>
      <c r="O27" s="13">
        <f t="shared" si="6"/>
        <v>4</v>
      </c>
      <c r="P27" s="13">
        <f t="shared" si="6"/>
        <v>3</v>
      </c>
      <c r="Q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P28" si="7">SUM(E19,E22,E25)</f>
        <v>122</v>
      </c>
      <c r="F28" s="13">
        <f t="shared" si="7"/>
        <v>108</v>
      </c>
      <c r="G28" s="13">
        <f t="shared" si="7"/>
        <v>101</v>
      </c>
      <c r="H28" s="13">
        <f t="shared" si="7"/>
        <v>101</v>
      </c>
      <c r="I28" s="13">
        <f t="shared" si="7"/>
        <v>95</v>
      </c>
      <c r="J28" s="13">
        <f t="shared" si="7"/>
        <v>108</v>
      </c>
      <c r="K28" s="13">
        <f t="shared" si="7"/>
        <v>94</v>
      </c>
      <c r="L28" s="13">
        <f t="shared" si="7"/>
        <v>112</v>
      </c>
      <c r="M28" s="13">
        <f t="shared" si="7"/>
        <v>88</v>
      </c>
      <c r="N28" s="13">
        <f t="shared" si="7"/>
        <v>102</v>
      </c>
      <c r="O28" s="13">
        <f t="shared" si="7"/>
        <v>89</v>
      </c>
      <c r="P28" s="13">
        <f t="shared" si="7"/>
        <v>95</v>
      </c>
      <c r="Q28" s="13">
        <f t="shared" si="3"/>
        <v>1215</v>
      </c>
    </row>
    <row r="29" ht="12.75" customHeight="1">
      <c r="A29" s="35"/>
      <c r="B29" s="27"/>
      <c r="C29" s="34"/>
      <c r="D29" s="13" t="s">
        <v>13</v>
      </c>
      <c r="E29" s="13">
        <f t="shared" ref="E29:P29" si="8">SUM(E20,E23,E26)</f>
        <v>119</v>
      </c>
      <c r="F29" s="13">
        <f t="shared" si="8"/>
        <v>117</v>
      </c>
      <c r="G29" s="13">
        <f t="shared" si="8"/>
        <v>111</v>
      </c>
      <c r="H29" s="13">
        <f t="shared" si="8"/>
        <v>112</v>
      </c>
      <c r="I29" s="13">
        <f t="shared" si="8"/>
        <v>115</v>
      </c>
      <c r="J29" s="13">
        <f t="shared" si="8"/>
        <v>121</v>
      </c>
      <c r="K29" s="13">
        <f t="shared" si="8"/>
        <v>103</v>
      </c>
      <c r="L29" s="13">
        <f t="shared" si="8"/>
        <v>122</v>
      </c>
      <c r="M29" s="13">
        <f t="shared" si="8"/>
        <v>96</v>
      </c>
      <c r="N29" s="13">
        <f t="shared" si="8"/>
        <v>109</v>
      </c>
      <c r="O29" s="13">
        <f t="shared" si="8"/>
        <v>113</v>
      </c>
      <c r="P29" s="13">
        <f t="shared" si="8"/>
        <v>97</v>
      </c>
      <c r="Q29" s="13">
        <f t="shared" si="3"/>
        <v>1335</v>
      </c>
    </row>
    <row r="30" ht="12.75" customHeight="1">
      <c r="A30" s="35"/>
      <c r="B30" s="28"/>
      <c r="C30" s="36"/>
      <c r="D30" s="13" t="s">
        <v>14</v>
      </c>
      <c r="E30" s="13">
        <f t="shared" ref="E30:P30" si="9">SUM(E28:E29)</f>
        <v>241</v>
      </c>
      <c r="F30" s="13">
        <f t="shared" si="9"/>
        <v>225</v>
      </c>
      <c r="G30" s="13">
        <f t="shared" si="9"/>
        <v>212</v>
      </c>
      <c r="H30" s="13">
        <f t="shared" si="9"/>
        <v>213</v>
      </c>
      <c r="I30" s="13">
        <f t="shared" si="9"/>
        <v>210</v>
      </c>
      <c r="J30" s="13">
        <f t="shared" si="9"/>
        <v>229</v>
      </c>
      <c r="K30" s="13">
        <f t="shared" si="9"/>
        <v>197</v>
      </c>
      <c r="L30" s="13">
        <f t="shared" si="9"/>
        <v>234</v>
      </c>
      <c r="M30" s="13">
        <f t="shared" si="9"/>
        <v>184</v>
      </c>
      <c r="N30" s="13">
        <f t="shared" si="9"/>
        <v>211</v>
      </c>
      <c r="O30" s="13">
        <f t="shared" si="9"/>
        <v>202</v>
      </c>
      <c r="P30" s="13">
        <f t="shared" si="9"/>
        <v>192</v>
      </c>
      <c r="Q30" s="13">
        <f t="shared" si="3"/>
        <v>2550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59"/>
    </row>
    <row r="33" ht="12.75" customHeight="1">
      <c r="A33" s="19">
        <v>1.0</v>
      </c>
      <c r="B33" s="20" t="s">
        <v>27</v>
      </c>
      <c r="C33" s="15"/>
      <c r="D33" s="16"/>
      <c r="E33" s="19">
        <v>283.0</v>
      </c>
      <c r="F33" s="19">
        <v>263.0</v>
      </c>
      <c r="G33" s="19">
        <v>276.0</v>
      </c>
      <c r="H33" s="19">
        <v>275.0</v>
      </c>
      <c r="I33" s="19">
        <v>237.0</v>
      </c>
      <c r="J33" s="19">
        <v>263.0</v>
      </c>
      <c r="K33" s="19">
        <v>241.0</v>
      </c>
      <c r="L33" s="19">
        <v>265.0</v>
      </c>
      <c r="M33" s="19">
        <v>218.0</v>
      </c>
      <c r="N33" s="19">
        <v>277.0</v>
      </c>
      <c r="O33" s="19">
        <v>269.0</v>
      </c>
      <c r="P33" s="19">
        <v>239.0</v>
      </c>
      <c r="Q33" s="13">
        <f t="shared" ref="Q33:Q36" si="10">SUM(E33:P33)</f>
        <v>3106</v>
      </c>
    </row>
    <row r="34" ht="12.75" customHeight="1">
      <c r="A34" s="19">
        <v>2.0</v>
      </c>
      <c r="B34" s="20" t="s">
        <v>28</v>
      </c>
      <c r="C34" s="15"/>
      <c r="D34" s="16"/>
      <c r="E34" s="13">
        <v>241.0</v>
      </c>
      <c r="F34" s="13">
        <v>225.0</v>
      </c>
      <c r="G34" s="13">
        <v>212.0</v>
      </c>
      <c r="H34" s="13">
        <v>213.0</v>
      </c>
      <c r="I34" s="13">
        <v>210.0</v>
      </c>
      <c r="J34" s="13">
        <v>229.0</v>
      </c>
      <c r="K34" s="13">
        <v>197.0</v>
      </c>
      <c r="L34" s="13">
        <v>234.0</v>
      </c>
      <c r="M34" s="13">
        <v>184.0</v>
      </c>
      <c r="N34" s="13">
        <v>211.0</v>
      </c>
      <c r="O34" s="13">
        <v>203.0</v>
      </c>
      <c r="P34" s="13">
        <v>191.0</v>
      </c>
      <c r="Q34" s="13">
        <f t="shared" si="10"/>
        <v>2550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2.0</v>
      </c>
      <c r="O35" s="19">
        <v>0.0</v>
      </c>
      <c r="P35" s="19">
        <v>0.0</v>
      </c>
      <c r="Q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P36" si="11">E33-(E34+E35)</f>
        <v>42</v>
      </c>
      <c r="F36" s="13">
        <f t="shared" si="11"/>
        <v>38</v>
      </c>
      <c r="G36" s="13">
        <f t="shared" si="11"/>
        <v>64</v>
      </c>
      <c r="H36" s="13">
        <f t="shared" si="11"/>
        <v>61</v>
      </c>
      <c r="I36" s="13">
        <f t="shared" si="11"/>
        <v>27</v>
      </c>
      <c r="J36" s="13">
        <f t="shared" si="11"/>
        <v>34</v>
      </c>
      <c r="K36" s="13">
        <f t="shared" si="11"/>
        <v>44</v>
      </c>
      <c r="L36" s="13">
        <f t="shared" si="11"/>
        <v>31</v>
      </c>
      <c r="M36" s="13">
        <f t="shared" si="11"/>
        <v>34</v>
      </c>
      <c r="N36" s="13">
        <f t="shared" si="11"/>
        <v>64</v>
      </c>
      <c r="O36" s="13">
        <f t="shared" si="11"/>
        <v>66</v>
      </c>
      <c r="P36" s="13">
        <f t="shared" si="11"/>
        <v>48</v>
      </c>
      <c r="Q36" s="13">
        <f t="shared" si="10"/>
        <v>553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58"/>
      <c r="P37" s="61"/>
      <c r="Q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3">
        <f t="shared" ref="Q39:Q41" si="12">SUM(E39:P39)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P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58"/>
      <c r="P42" s="19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60"/>
      <c r="P43" s="13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58"/>
      <c r="P44" s="19"/>
      <c r="Q44" s="13"/>
    </row>
    <row r="45" ht="12.75" customHeight="1">
      <c r="A45" s="30"/>
      <c r="B45" s="47">
        <v>1.0</v>
      </c>
      <c r="C45" s="48" t="s">
        <v>37</v>
      </c>
      <c r="D45" s="16"/>
      <c r="E45" s="19">
        <v>22.0</v>
      </c>
      <c r="F45" s="19">
        <v>16.0</v>
      </c>
      <c r="G45" s="19">
        <v>30.0</v>
      </c>
      <c r="H45" s="19">
        <v>53.0</v>
      </c>
      <c r="I45" s="19">
        <v>28.0</v>
      </c>
      <c r="J45" s="19">
        <v>30.0</v>
      </c>
      <c r="K45" s="19">
        <v>22.0</v>
      </c>
      <c r="L45" s="19">
        <v>27.0</v>
      </c>
      <c r="M45" s="19">
        <v>7.0</v>
      </c>
      <c r="N45" s="19">
        <v>21.0</v>
      </c>
      <c r="O45" s="19">
        <v>13.0</v>
      </c>
      <c r="P45" s="19">
        <v>16.0</v>
      </c>
      <c r="Q45" s="13">
        <f t="shared" ref="Q45:Q47" si="14">SUM(E45:P45)</f>
        <v>285</v>
      </c>
    </row>
    <row r="46" ht="12.75" customHeight="1">
      <c r="A46" s="18"/>
      <c r="B46" s="47">
        <v>2.0</v>
      </c>
      <c r="C46" s="48" t="s">
        <v>38</v>
      </c>
      <c r="D46" s="16"/>
      <c r="E46" s="19">
        <v>186.0</v>
      </c>
      <c r="F46" s="19">
        <v>186.0</v>
      </c>
      <c r="G46" s="19">
        <v>157.0</v>
      </c>
      <c r="H46" s="19">
        <v>128.0</v>
      </c>
      <c r="I46" s="19">
        <v>158.0</v>
      </c>
      <c r="J46" s="19">
        <v>154.0</v>
      </c>
      <c r="K46" s="19">
        <v>160.0</v>
      </c>
      <c r="L46" s="19">
        <v>189.0</v>
      </c>
      <c r="M46" s="19">
        <v>152.0</v>
      </c>
      <c r="N46" s="19">
        <v>172.0</v>
      </c>
      <c r="O46" s="19">
        <v>159.0</v>
      </c>
      <c r="P46" s="19">
        <v>152.0</v>
      </c>
      <c r="Q46" s="13">
        <f t="shared" si="14"/>
        <v>1953</v>
      </c>
    </row>
    <row r="47" ht="12.75" customHeight="1">
      <c r="A47" s="18"/>
      <c r="B47" s="47">
        <v>3.0</v>
      </c>
      <c r="C47" s="48" t="s">
        <v>39</v>
      </c>
      <c r="D47" s="16"/>
      <c r="E47" s="19">
        <v>25.0</v>
      </c>
      <c r="F47" s="19">
        <v>21.0</v>
      </c>
      <c r="G47" s="19">
        <v>18.0</v>
      </c>
      <c r="H47" s="19">
        <v>24.0</v>
      </c>
      <c r="I47" s="19">
        <v>27.0</v>
      </c>
      <c r="J47" s="19">
        <v>24.0</v>
      </c>
      <c r="K47" s="19">
        <v>11.0</v>
      </c>
      <c r="L47" s="19">
        <v>16.0</v>
      </c>
      <c r="M47" s="19">
        <v>17.0</v>
      </c>
      <c r="N47" s="19">
        <v>16.0</v>
      </c>
      <c r="O47" s="19">
        <v>19.0</v>
      </c>
      <c r="P47" s="19">
        <v>21.0</v>
      </c>
      <c r="Q47" s="13">
        <f t="shared" si="14"/>
        <v>239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P50" si="15">SUM(E45:E47)</f>
        <v>233</v>
      </c>
      <c r="F50" s="19">
        <f t="shared" si="15"/>
        <v>223</v>
      </c>
      <c r="G50" s="19">
        <f t="shared" si="15"/>
        <v>205</v>
      </c>
      <c r="H50" s="19">
        <f t="shared" si="15"/>
        <v>205</v>
      </c>
      <c r="I50" s="19">
        <f t="shared" si="15"/>
        <v>213</v>
      </c>
      <c r="J50" s="19">
        <f t="shared" si="15"/>
        <v>208</v>
      </c>
      <c r="K50" s="19">
        <f t="shared" si="15"/>
        <v>193</v>
      </c>
      <c r="L50" s="19">
        <f t="shared" si="15"/>
        <v>232</v>
      </c>
      <c r="M50" s="19">
        <f t="shared" si="15"/>
        <v>176</v>
      </c>
      <c r="N50" s="19">
        <f t="shared" si="15"/>
        <v>209</v>
      </c>
      <c r="O50" s="19">
        <f t="shared" si="15"/>
        <v>191</v>
      </c>
      <c r="P50" s="19">
        <f t="shared" si="15"/>
        <v>189</v>
      </c>
      <c r="Q50" s="13">
        <f t="shared" ref="Q50:Q52" si="16">SUM(E50:P50)</f>
        <v>2477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8.0</v>
      </c>
      <c r="F51" s="19">
        <v>3.0</v>
      </c>
      <c r="G51" s="19">
        <v>7.0</v>
      </c>
      <c r="H51" s="19">
        <v>6.0</v>
      </c>
      <c r="I51" s="19">
        <v>5.0</v>
      </c>
      <c r="J51" s="19">
        <v>11.0</v>
      </c>
      <c r="K51" s="19">
        <v>4.0</v>
      </c>
      <c r="L51" s="19">
        <v>7.0</v>
      </c>
      <c r="M51" s="19">
        <v>8.0</v>
      </c>
      <c r="N51" s="19">
        <v>2.0</v>
      </c>
      <c r="O51" s="19">
        <v>11.0</v>
      </c>
      <c r="P51" s="19">
        <v>2.0</v>
      </c>
      <c r="Q51" s="13">
        <f t="shared" si="16"/>
        <v>74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P52" si="17">SUM(E50:E51)</f>
        <v>241</v>
      </c>
      <c r="F52" s="13">
        <f t="shared" si="17"/>
        <v>226</v>
      </c>
      <c r="G52" s="13">
        <f t="shared" si="17"/>
        <v>212</v>
      </c>
      <c r="H52" s="13">
        <f t="shared" si="17"/>
        <v>211</v>
      </c>
      <c r="I52" s="13">
        <f t="shared" si="17"/>
        <v>218</v>
      </c>
      <c r="J52" s="13">
        <f t="shared" si="17"/>
        <v>219</v>
      </c>
      <c r="K52" s="13">
        <f t="shared" si="17"/>
        <v>197</v>
      </c>
      <c r="L52" s="13">
        <f t="shared" si="17"/>
        <v>239</v>
      </c>
      <c r="M52" s="13">
        <f t="shared" si="17"/>
        <v>184</v>
      </c>
      <c r="N52" s="13">
        <f t="shared" si="17"/>
        <v>211</v>
      </c>
      <c r="O52" s="13">
        <f t="shared" si="17"/>
        <v>202</v>
      </c>
      <c r="P52" s="13">
        <f t="shared" si="17"/>
        <v>191</v>
      </c>
      <c r="Q52" s="13">
        <f t="shared" si="16"/>
        <v>2551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P15 E45:P47">
    <cfRule type="containsBlanks" dxfId="1" priority="1">
      <formula>LEN(TRIM(E14))=0</formula>
    </cfRule>
  </conditionalFormatting>
  <conditionalFormatting sqref="E19:P20">
    <cfRule type="containsBlanks" dxfId="1" priority="2">
      <formula>LEN(TRIM(E19))=0</formula>
    </cfRule>
  </conditionalFormatting>
  <conditionalFormatting sqref="E22:P23 E25:P26 E33:P33 E35:P35 E39:P40">
    <cfRule type="containsBlanks" dxfId="1" priority="3">
      <formula>LEN(TRIM(E22))=0</formula>
    </cfRule>
  </conditionalFormatting>
  <conditionalFormatting sqref="E30:P30">
    <cfRule type="expression" dxfId="0" priority="4">
      <formula>E30&lt;&gt;E46</formula>
    </cfRule>
  </conditionalFormatting>
  <conditionalFormatting sqref="E30:P30">
    <cfRule type="expression" dxfId="0" priority="5">
      <formula>E30&lt;&gt;E34</formula>
    </cfRule>
  </conditionalFormatting>
  <conditionalFormatting sqref="E34:P34">
    <cfRule type="expression" dxfId="2" priority="6">
      <formula>E30&lt;&gt;E34</formula>
    </cfRule>
  </conditionalFormatting>
  <conditionalFormatting sqref="E34:P34">
    <cfRule type="expression" dxfId="3" priority="7">
      <formula>E30=E34</formula>
    </cfRule>
  </conditionalFormatting>
  <conditionalFormatting sqref="E34:P34">
    <cfRule type="expression" dxfId="0" priority="8">
      <formula>E34&lt;&gt;E30</formula>
    </cfRule>
  </conditionalFormatting>
  <conditionalFormatting sqref="E34:P34">
    <cfRule type="expression" dxfId="0" priority="9">
      <formula>E34&lt;&gt;#REF!</formula>
    </cfRule>
  </conditionalFormatting>
  <conditionalFormatting sqref="E50:P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75</v>
      </c>
      <c r="W13" s="13" t="s">
        <v>76</v>
      </c>
      <c r="X13" s="13" t="s">
        <v>77</v>
      </c>
      <c r="Y13" s="13" t="s">
        <v>78</v>
      </c>
      <c r="Z13" s="13" t="s">
        <v>79</v>
      </c>
      <c r="AA13" s="13" t="s">
        <v>80</v>
      </c>
      <c r="AB13" s="13" t="s">
        <v>81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121.0</v>
      </c>
      <c r="G14" s="19">
        <v>91.0</v>
      </c>
      <c r="H14" s="19">
        <v>122.0</v>
      </c>
      <c r="I14" s="19">
        <v>102.0</v>
      </c>
      <c r="J14" s="19">
        <v>114.0</v>
      </c>
      <c r="K14" s="19">
        <v>129.0</v>
      </c>
      <c r="L14" s="19">
        <v>144.0</v>
      </c>
      <c r="M14" s="19">
        <v>144.0</v>
      </c>
      <c r="N14" s="19">
        <v>115.0</v>
      </c>
      <c r="O14" s="19">
        <v>145.0</v>
      </c>
      <c r="P14" s="19">
        <v>132.0</v>
      </c>
      <c r="Q14" s="19">
        <v>129.0</v>
      </c>
      <c r="R14" s="19">
        <v>131.0</v>
      </c>
      <c r="S14" s="19">
        <v>129.0</v>
      </c>
      <c r="T14" s="19">
        <v>129.0</v>
      </c>
      <c r="U14" s="19">
        <v>131.0</v>
      </c>
      <c r="V14" s="19">
        <v>135.0</v>
      </c>
      <c r="W14" s="19">
        <v>133.0</v>
      </c>
      <c r="X14" s="19">
        <v>132.0</v>
      </c>
      <c r="Y14" s="19">
        <v>138.0</v>
      </c>
      <c r="Z14" s="19">
        <v>131.0</v>
      </c>
      <c r="AA14" s="19">
        <v>137.0</v>
      </c>
      <c r="AB14" s="19">
        <v>114.0</v>
      </c>
      <c r="AC14" s="13">
        <f t="shared" ref="AC14:AC16" si="1">SUM(E14:AB14)</f>
        <v>3041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138.0</v>
      </c>
      <c r="G15" s="19">
        <v>107.0</v>
      </c>
      <c r="H15" s="19">
        <v>117.0</v>
      </c>
      <c r="I15" s="19">
        <v>125.0</v>
      </c>
      <c r="J15" s="19">
        <v>119.0</v>
      </c>
      <c r="K15" s="19">
        <v>144.0</v>
      </c>
      <c r="L15" s="19">
        <v>142.0</v>
      </c>
      <c r="M15" s="19">
        <v>147.0</v>
      </c>
      <c r="N15" s="19">
        <v>126.0</v>
      </c>
      <c r="O15" s="19">
        <v>143.0</v>
      </c>
      <c r="P15" s="19">
        <v>148.0</v>
      </c>
      <c r="Q15" s="19">
        <v>139.0</v>
      </c>
      <c r="R15" s="19">
        <v>144.0</v>
      </c>
      <c r="S15" s="19">
        <v>138.0</v>
      </c>
      <c r="T15" s="19">
        <v>125.0</v>
      </c>
      <c r="U15" s="19">
        <v>131.0</v>
      </c>
      <c r="V15" s="19">
        <v>145.0</v>
      </c>
      <c r="W15" s="19">
        <v>138.0</v>
      </c>
      <c r="X15" s="19">
        <v>127.0</v>
      </c>
      <c r="Y15" s="19">
        <v>126.0</v>
      </c>
      <c r="Z15" s="19">
        <v>136.0</v>
      </c>
      <c r="AA15" s="19">
        <v>126.0</v>
      </c>
      <c r="AB15" s="19">
        <v>112.0</v>
      </c>
      <c r="AC15" s="13">
        <f t="shared" si="1"/>
        <v>3169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239</v>
      </c>
      <c r="F16" s="13">
        <f t="shared" si="2"/>
        <v>259</v>
      </c>
      <c r="G16" s="13">
        <f t="shared" si="2"/>
        <v>198</v>
      </c>
      <c r="H16" s="13">
        <f t="shared" si="2"/>
        <v>239</v>
      </c>
      <c r="I16" s="13">
        <f t="shared" si="2"/>
        <v>227</v>
      </c>
      <c r="J16" s="13">
        <f t="shared" si="2"/>
        <v>233</v>
      </c>
      <c r="K16" s="13">
        <f t="shared" si="2"/>
        <v>273</v>
      </c>
      <c r="L16" s="13">
        <f t="shared" si="2"/>
        <v>286</v>
      </c>
      <c r="M16" s="13">
        <f t="shared" si="2"/>
        <v>291</v>
      </c>
      <c r="N16" s="13">
        <f t="shared" si="2"/>
        <v>241</v>
      </c>
      <c r="O16" s="13">
        <f t="shared" si="2"/>
        <v>288</v>
      </c>
      <c r="P16" s="13">
        <f t="shared" si="2"/>
        <v>280</v>
      </c>
      <c r="Q16" s="13">
        <f t="shared" si="2"/>
        <v>268</v>
      </c>
      <c r="R16" s="13">
        <f t="shared" si="2"/>
        <v>275</v>
      </c>
      <c r="S16" s="13">
        <f t="shared" si="2"/>
        <v>267</v>
      </c>
      <c r="T16" s="13">
        <f t="shared" si="2"/>
        <v>254</v>
      </c>
      <c r="U16" s="13">
        <f t="shared" si="2"/>
        <v>262</v>
      </c>
      <c r="V16" s="13">
        <f t="shared" si="2"/>
        <v>280</v>
      </c>
      <c r="W16" s="13">
        <f t="shared" si="2"/>
        <v>271</v>
      </c>
      <c r="X16" s="13">
        <f t="shared" si="2"/>
        <v>259</v>
      </c>
      <c r="Y16" s="13">
        <f t="shared" si="2"/>
        <v>264</v>
      </c>
      <c r="Z16" s="13">
        <f t="shared" si="2"/>
        <v>267</v>
      </c>
      <c r="AA16" s="13">
        <f t="shared" si="2"/>
        <v>263</v>
      </c>
      <c r="AB16" s="13">
        <f t="shared" si="2"/>
        <v>226</v>
      </c>
      <c r="AC16" s="13">
        <f t="shared" si="1"/>
        <v>6210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76.0</v>
      </c>
      <c r="F19" s="19">
        <v>93.0</v>
      </c>
      <c r="G19" s="19">
        <v>61.0</v>
      </c>
      <c r="H19" s="19">
        <v>98.0</v>
      </c>
      <c r="I19" s="19">
        <v>76.0</v>
      </c>
      <c r="J19" s="19">
        <v>84.0</v>
      </c>
      <c r="K19" s="19">
        <v>88.0</v>
      </c>
      <c r="L19" s="19">
        <v>138.0</v>
      </c>
      <c r="M19" s="19">
        <v>123.0</v>
      </c>
      <c r="N19" s="19">
        <v>95.0</v>
      </c>
      <c r="O19" s="19">
        <v>113.0</v>
      </c>
      <c r="P19" s="19">
        <v>95.0</v>
      </c>
      <c r="Q19" s="19">
        <v>90.0</v>
      </c>
      <c r="R19" s="19">
        <v>103.0</v>
      </c>
      <c r="S19" s="19">
        <v>96.0</v>
      </c>
      <c r="T19" s="19">
        <v>94.0</v>
      </c>
      <c r="U19" s="19">
        <v>96.0</v>
      </c>
      <c r="V19" s="19">
        <v>104.0</v>
      </c>
      <c r="W19" s="19">
        <v>99.0</v>
      </c>
      <c r="X19" s="19">
        <v>93.0</v>
      </c>
      <c r="Y19" s="19">
        <v>93.0</v>
      </c>
      <c r="Z19" s="19">
        <v>86.0</v>
      </c>
      <c r="AA19" s="19">
        <v>91.0</v>
      </c>
      <c r="AB19" s="19">
        <v>95.0</v>
      </c>
      <c r="AC19" s="13">
        <f t="shared" ref="AC19:AC30" si="3">SUM(E19:AB19)</f>
        <v>2280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115.0</v>
      </c>
      <c r="G20" s="19">
        <v>83.0</v>
      </c>
      <c r="H20" s="19">
        <v>106.0</v>
      </c>
      <c r="I20" s="19">
        <v>104.0</v>
      </c>
      <c r="J20" s="19">
        <v>92.0</v>
      </c>
      <c r="K20" s="19">
        <v>104.0</v>
      </c>
      <c r="L20" s="19">
        <v>96.0</v>
      </c>
      <c r="M20" s="19">
        <v>129.0</v>
      </c>
      <c r="N20" s="19">
        <v>107.0</v>
      </c>
      <c r="O20" s="19">
        <v>124.0</v>
      </c>
      <c r="P20" s="19">
        <v>118.0</v>
      </c>
      <c r="Q20" s="19">
        <v>106.0</v>
      </c>
      <c r="R20" s="19">
        <v>117.0</v>
      </c>
      <c r="S20" s="19">
        <v>100.0</v>
      </c>
      <c r="T20" s="19">
        <v>106.0</v>
      </c>
      <c r="U20" s="19">
        <v>102.0</v>
      </c>
      <c r="V20" s="19">
        <v>108.0</v>
      </c>
      <c r="W20" s="19">
        <v>94.0</v>
      </c>
      <c r="X20" s="19">
        <v>106.0</v>
      </c>
      <c r="Y20" s="19">
        <v>100.0</v>
      </c>
      <c r="Z20" s="19">
        <v>109.0</v>
      </c>
      <c r="AA20" s="19">
        <v>101.0</v>
      </c>
      <c r="AB20" s="19">
        <v>94.0</v>
      </c>
      <c r="AC20" s="13">
        <f t="shared" si="3"/>
        <v>2521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176</v>
      </c>
      <c r="F21" s="13">
        <f t="shared" si="4"/>
        <v>208</v>
      </c>
      <c r="G21" s="13">
        <f t="shared" si="4"/>
        <v>144</v>
      </c>
      <c r="H21" s="13">
        <f t="shared" si="4"/>
        <v>204</v>
      </c>
      <c r="I21" s="13">
        <f t="shared" si="4"/>
        <v>180</v>
      </c>
      <c r="J21" s="13">
        <f t="shared" si="4"/>
        <v>176</v>
      </c>
      <c r="K21" s="13">
        <f t="shared" si="4"/>
        <v>192</v>
      </c>
      <c r="L21" s="13">
        <f t="shared" si="4"/>
        <v>234</v>
      </c>
      <c r="M21" s="13">
        <f t="shared" si="4"/>
        <v>252</v>
      </c>
      <c r="N21" s="13">
        <f t="shared" si="4"/>
        <v>202</v>
      </c>
      <c r="O21" s="13">
        <f t="shared" si="4"/>
        <v>237</v>
      </c>
      <c r="P21" s="13">
        <f t="shared" si="4"/>
        <v>213</v>
      </c>
      <c r="Q21" s="13">
        <f t="shared" si="4"/>
        <v>196</v>
      </c>
      <c r="R21" s="13">
        <f t="shared" si="4"/>
        <v>220</v>
      </c>
      <c r="S21" s="13">
        <f t="shared" si="4"/>
        <v>196</v>
      </c>
      <c r="T21" s="13">
        <f t="shared" si="4"/>
        <v>200</v>
      </c>
      <c r="U21" s="13">
        <f t="shared" si="4"/>
        <v>198</v>
      </c>
      <c r="V21" s="13">
        <f t="shared" si="4"/>
        <v>212</v>
      </c>
      <c r="W21" s="13">
        <f t="shared" si="4"/>
        <v>193</v>
      </c>
      <c r="X21" s="13">
        <f t="shared" si="4"/>
        <v>199</v>
      </c>
      <c r="Y21" s="13">
        <f t="shared" si="4"/>
        <v>193</v>
      </c>
      <c r="Z21" s="13">
        <f t="shared" si="4"/>
        <v>195</v>
      </c>
      <c r="AA21" s="13">
        <f t="shared" si="4"/>
        <v>192</v>
      </c>
      <c r="AB21" s="13">
        <f t="shared" si="4"/>
        <v>189</v>
      </c>
      <c r="AC21" s="13">
        <f t="shared" si="3"/>
        <v>4801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1.0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2.0</v>
      </c>
      <c r="M25" s="19">
        <v>1.0</v>
      </c>
      <c r="N25" s="19">
        <v>0.0</v>
      </c>
      <c r="O25" s="19">
        <v>2.0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2.0</v>
      </c>
      <c r="W25" s="19">
        <v>1.0</v>
      </c>
      <c r="X25" s="19">
        <v>2.0</v>
      </c>
      <c r="Y25" s="19">
        <v>1.0</v>
      </c>
      <c r="Z25" s="19">
        <v>0.0</v>
      </c>
      <c r="AA25" s="19">
        <v>1.0</v>
      </c>
      <c r="AB25" s="19">
        <v>0.0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1.0</v>
      </c>
      <c r="L26" s="19">
        <v>3.0</v>
      </c>
      <c r="M26" s="19">
        <v>0.0</v>
      </c>
      <c r="N26" s="19">
        <v>0.0</v>
      </c>
      <c r="O26" s="19">
        <v>1.0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  <c r="U26" s="19">
        <v>0.0</v>
      </c>
      <c r="V26" s="19">
        <v>1.0</v>
      </c>
      <c r="W26" s="19">
        <v>1.0</v>
      </c>
      <c r="X26" s="19">
        <v>1.0</v>
      </c>
      <c r="Y26" s="19">
        <v>0.0</v>
      </c>
      <c r="Z26" s="19">
        <v>1.0</v>
      </c>
      <c r="AA26" s="19">
        <v>3.0</v>
      </c>
      <c r="AB26" s="19">
        <v>0.0</v>
      </c>
      <c r="AC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3</v>
      </c>
      <c r="L27" s="13">
        <f t="shared" si="6"/>
        <v>5</v>
      </c>
      <c r="M27" s="13">
        <f t="shared" si="6"/>
        <v>1</v>
      </c>
      <c r="N27" s="13">
        <f t="shared" si="6"/>
        <v>0</v>
      </c>
      <c r="O27" s="13">
        <f t="shared" si="6"/>
        <v>3</v>
      </c>
      <c r="P27" s="13">
        <f t="shared" si="6"/>
        <v>1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3</v>
      </c>
      <c r="W27" s="13">
        <f t="shared" si="6"/>
        <v>2</v>
      </c>
      <c r="X27" s="13">
        <f t="shared" si="6"/>
        <v>3</v>
      </c>
      <c r="Y27" s="13">
        <f t="shared" si="6"/>
        <v>1</v>
      </c>
      <c r="Z27" s="13">
        <f t="shared" si="6"/>
        <v>1</v>
      </c>
      <c r="AA27" s="13">
        <f t="shared" si="6"/>
        <v>4</v>
      </c>
      <c r="AB27" s="13">
        <f t="shared" si="6"/>
        <v>0</v>
      </c>
      <c r="AC27" s="13">
        <f t="shared" si="3"/>
        <v>29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76</v>
      </c>
      <c r="F28" s="13">
        <f t="shared" si="7"/>
        <v>93</v>
      </c>
      <c r="G28" s="13">
        <f t="shared" si="7"/>
        <v>61</v>
      </c>
      <c r="H28" s="13">
        <f t="shared" si="7"/>
        <v>98</v>
      </c>
      <c r="I28" s="13">
        <f t="shared" si="7"/>
        <v>77</v>
      </c>
      <c r="J28" s="13">
        <f t="shared" si="7"/>
        <v>85</v>
      </c>
      <c r="K28" s="13">
        <f t="shared" si="7"/>
        <v>90</v>
      </c>
      <c r="L28" s="13">
        <f t="shared" si="7"/>
        <v>140</v>
      </c>
      <c r="M28" s="13">
        <f t="shared" si="7"/>
        <v>125</v>
      </c>
      <c r="N28" s="13">
        <f t="shared" si="7"/>
        <v>95</v>
      </c>
      <c r="O28" s="13">
        <f t="shared" si="7"/>
        <v>115</v>
      </c>
      <c r="P28" s="13">
        <f t="shared" si="7"/>
        <v>96</v>
      </c>
      <c r="Q28" s="13">
        <f t="shared" si="7"/>
        <v>90</v>
      </c>
      <c r="R28" s="13">
        <f t="shared" si="7"/>
        <v>103</v>
      </c>
      <c r="S28" s="13">
        <f t="shared" si="7"/>
        <v>96</v>
      </c>
      <c r="T28" s="13">
        <f t="shared" si="7"/>
        <v>94</v>
      </c>
      <c r="U28" s="13">
        <f t="shared" si="7"/>
        <v>96</v>
      </c>
      <c r="V28" s="13">
        <f t="shared" si="7"/>
        <v>106</v>
      </c>
      <c r="W28" s="13">
        <f t="shared" si="7"/>
        <v>101</v>
      </c>
      <c r="X28" s="13">
        <f t="shared" si="7"/>
        <v>96</v>
      </c>
      <c r="Y28" s="13">
        <f t="shared" si="7"/>
        <v>94</v>
      </c>
      <c r="Z28" s="13">
        <f t="shared" si="7"/>
        <v>86</v>
      </c>
      <c r="AA28" s="13">
        <f t="shared" si="7"/>
        <v>92</v>
      </c>
      <c r="AB28" s="13">
        <f t="shared" si="7"/>
        <v>95</v>
      </c>
      <c r="AC28" s="13">
        <f t="shared" si="3"/>
        <v>2300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100</v>
      </c>
      <c r="F29" s="13">
        <f t="shared" si="8"/>
        <v>115</v>
      </c>
      <c r="G29" s="13">
        <f t="shared" si="8"/>
        <v>83</v>
      </c>
      <c r="H29" s="13">
        <f t="shared" si="8"/>
        <v>106</v>
      </c>
      <c r="I29" s="13">
        <f t="shared" si="8"/>
        <v>105</v>
      </c>
      <c r="J29" s="13">
        <f t="shared" si="8"/>
        <v>93</v>
      </c>
      <c r="K29" s="13">
        <f t="shared" si="8"/>
        <v>105</v>
      </c>
      <c r="L29" s="13">
        <f t="shared" si="8"/>
        <v>99</v>
      </c>
      <c r="M29" s="13">
        <f t="shared" si="8"/>
        <v>130</v>
      </c>
      <c r="N29" s="13">
        <f t="shared" si="8"/>
        <v>107</v>
      </c>
      <c r="O29" s="13">
        <f t="shared" si="8"/>
        <v>125</v>
      </c>
      <c r="P29" s="13">
        <f t="shared" si="8"/>
        <v>118</v>
      </c>
      <c r="Q29" s="13">
        <f t="shared" si="8"/>
        <v>107</v>
      </c>
      <c r="R29" s="13">
        <f t="shared" si="8"/>
        <v>117</v>
      </c>
      <c r="S29" s="13">
        <f t="shared" si="8"/>
        <v>100</v>
      </c>
      <c r="T29" s="13">
        <f t="shared" si="8"/>
        <v>106</v>
      </c>
      <c r="U29" s="13">
        <f t="shared" si="8"/>
        <v>102</v>
      </c>
      <c r="V29" s="13">
        <f t="shared" si="8"/>
        <v>109</v>
      </c>
      <c r="W29" s="13">
        <f t="shared" si="8"/>
        <v>96</v>
      </c>
      <c r="X29" s="13">
        <f t="shared" si="8"/>
        <v>107</v>
      </c>
      <c r="Y29" s="13">
        <f t="shared" si="8"/>
        <v>100</v>
      </c>
      <c r="Z29" s="13">
        <f t="shared" si="8"/>
        <v>110</v>
      </c>
      <c r="AA29" s="13">
        <f t="shared" si="8"/>
        <v>105</v>
      </c>
      <c r="AB29" s="13">
        <f t="shared" si="8"/>
        <v>94</v>
      </c>
      <c r="AC29" s="13">
        <f t="shared" si="3"/>
        <v>2539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176</v>
      </c>
      <c r="F30" s="13">
        <f t="shared" si="9"/>
        <v>208</v>
      </c>
      <c r="G30" s="13">
        <f t="shared" si="9"/>
        <v>144</v>
      </c>
      <c r="H30" s="13">
        <f t="shared" si="9"/>
        <v>204</v>
      </c>
      <c r="I30" s="13">
        <f t="shared" si="9"/>
        <v>182</v>
      </c>
      <c r="J30" s="13">
        <f t="shared" si="9"/>
        <v>178</v>
      </c>
      <c r="K30" s="13">
        <f t="shared" si="9"/>
        <v>195</v>
      </c>
      <c r="L30" s="13">
        <f t="shared" si="9"/>
        <v>239</v>
      </c>
      <c r="M30" s="13">
        <f t="shared" si="9"/>
        <v>255</v>
      </c>
      <c r="N30" s="13">
        <f t="shared" si="9"/>
        <v>202</v>
      </c>
      <c r="O30" s="13">
        <f t="shared" si="9"/>
        <v>240</v>
      </c>
      <c r="P30" s="13">
        <f t="shared" si="9"/>
        <v>214</v>
      </c>
      <c r="Q30" s="13">
        <f t="shared" si="9"/>
        <v>197</v>
      </c>
      <c r="R30" s="13">
        <f t="shared" si="9"/>
        <v>220</v>
      </c>
      <c r="S30" s="13">
        <f t="shared" si="9"/>
        <v>196</v>
      </c>
      <c r="T30" s="13">
        <f t="shared" si="9"/>
        <v>200</v>
      </c>
      <c r="U30" s="13">
        <f t="shared" si="9"/>
        <v>198</v>
      </c>
      <c r="V30" s="13">
        <f t="shared" si="9"/>
        <v>215</v>
      </c>
      <c r="W30" s="13">
        <f t="shared" si="9"/>
        <v>197</v>
      </c>
      <c r="X30" s="13">
        <f t="shared" si="9"/>
        <v>203</v>
      </c>
      <c r="Y30" s="13">
        <f t="shared" si="9"/>
        <v>194</v>
      </c>
      <c r="Z30" s="13">
        <f t="shared" si="9"/>
        <v>196</v>
      </c>
      <c r="AA30" s="13">
        <f t="shared" si="9"/>
        <v>197</v>
      </c>
      <c r="AB30" s="13">
        <f t="shared" si="9"/>
        <v>189</v>
      </c>
      <c r="AC30" s="13">
        <f t="shared" si="3"/>
        <v>4839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59"/>
    </row>
    <row r="33" ht="12.75" customHeight="1">
      <c r="A33" s="19">
        <v>1.0</v>
      </c>
      <c r="B33" s="20" t="s">
        <v>27</v>
      </c>
      <c r="C33" s="15"/>
      <c r="D33" s="16"/>
      <c r="E33" s="19">
        <v>242.0</v>
      </c>
      <c r="F33" s="19">
        <v>255.0</v>
      </c>
      <c r="G33" s="19">
        <v>192.0</v>
      </c>
      <c r="H33" s="19">
        <v>235.0</v>
      </c>
      <c r="I33" s="19">
        <v>223.0</v>
      </c>
      <c r="J33" s="19">
        <v>238.0</v>
      </c>
      <c r="K33" s="19">
        <v>269.0</v>
      </c>
      <c r="L33" s="19">
        <v>263.0</v>
      </c>
      <c r="M33" s="19">
        <v>284.0</v>
      </c>
      <c r="N33" s="19">
        <v>236.0</v>
      </c>
      <c r="O33" s="19">
        <v>288.0</v>
      </c>
      <c r="P33" s="19">
        <v>248.0</v>
      </c>
      <c r="Q33" s="19">
        <v>265.0</v>
      </c>
      <c r="R33" s="19">
        <v>271.0</v>
      </c>
      <c r="S33" s="19">
        <v>263.0</v>
      </c>
      <c r="T33" s="19">
        <v>250.0</v>
      </c>
      <c r="U33" s="19">
        <v>268.0</v>
      </c>
      <c r="V33" s="19">
        <v>276.0</v>
      </c>
      <c r="W33" s="19">
        <v>274.0</v>
      </c>
      <c r="X33" s="19">
        <v>254.0</v>
      </c>
      <c r="Y33" s="19">
        <v>263.0</v>
      </c>
      <c r="Z33" s="19">
        <v>262.0</v>
      </c>
      <c r="AA33" s="19">
        <v>255.0</v>
      </c>
      <c r="AB33" s="19">
        <v>234.0</v>
      </c>
      <c r="AC33" s="13">
        <f t="shared" ref="AC33:AC36" si="10">SUM(E33:AB33)</f>
        <v>6108</v>
      </c>
    </row>
    <row r="34" ht="12.75" customHeight="1">
      <c r="A34" s="19">
        <v>2.0</v>
      </c>
      <c r="B34" s="20" t="s">
        <v>28</v>
      </c>
      <c r="C34" s="15"/>
      <c r="D34" s="16"/>
      <c r="E34" s="13">
        <v>176.0</v>
      </c>
      <c r="F34" s="13">
        <v>208.0</v>
      </c>
      <c r="G34" s="13">
        <v>144.0</v>
      </c>
      <c r="H34" s="13">
        <v>204.0</v>
      </c>
      <c r="I34" s="13">
        <v>182.0</v>
      </c>
      <c r="J34" s="13">
        <v>178.0</v>
      </c>
      <c r="K34" s="13">
        <v>195.0</v>
      </c>
      <c r="L34" s="13">
        <v>239.0</v>
      </c>
      <c r="M34" s="13">
        <v>255.0</v>
      </c>
      <c r="N34" s="13">
        <v>202.0</v>
      </c>
      <c r="O34" s="13">
        <v>240.0</v>
      </c>
      <c r="P34" s="13">
        <v>214.0</v>
      </c>
      <c r="Q34" s="13">
        <v>197.0</v>
      </c>
      <c r="R34" s="13">
        <v>220.0</v>
      </c>
      <c r="S34" s="13">
        <v>196.0</v>
      </c>
      <c r="T34" s="13">
        <v>200.0</v>
      </c>
      <c r="U34" s="13">
        <v>198.0</v>
      </c>
      <c r="V34" s="13">
        <v>215.0</v>
      </c>
      <c r="W34" s="13">
        <v>197.0</v>
      </c>
      <c r="X34" s="13">
        <v>203.0</v>
      </c>
      <c r="Y34" s="13">
        <v>194.0</v>
      </c>
      <c r="Z34" s="13">
        <v>196.0</v>
      </c>
      <c r="AA34" s="13">
        <v>197.0</v>
      </c>
      <c r="AB34" s="13">
        <v>189.0</v>
      </c>
      <c r="AC34" s="13">
        <f t="shared" si="10"/>
        <v>4839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1.0</v>
      </c>
      <c r="H35" s="19">
        <v>0.0</v>
      </c>
      <c r="I35" s="19">
        <v>2.0</v>
      </c>
      <c r="J35" s="19">
        <v>1.0</v>
      </c>
      <c r="K35" s="19">
        <v>2.0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10.0</v>
      </c>
      <c r="V35" s="19">
        <v>0.0</v>
      </c>
      <c r="W35" s="19">
        <v>7.0</v>
      </c>
      <c r="X35" s="19">
        <v>0.0</v>
      </c>
      <c r="Y35" s="19">
        <v>0.0</v>
      </c>
      <c r="Z35" s="19">
        <v>12.0</v>
      </c>
      <c r="AA35" s="19">
        <v>8.0</v>
      </c>
      <c r="AB35" s="19">
        <v>0.0</v>
      </c>
      <c r="AC35" s="13">
        <f t="shared" si="10"/>
        <v>44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66</v>
      </c>
      <c r="F36" s="13">
        <f t="shared" si="11"/>
        <v>46</v>
      </c>
      <c r="G36" s="13">
        <f t="shared" si="11"/>
        <v>47</v>
      </c>
      <c r="H36" s="13">
        <f t="shared" si="11"/>
        <v>31</v>
      </c>
      <c r="I36" s="13">
        <f t="shared" si="11"/>
        <v>39</v>
      </c>
      <c r="J36" s="13">
        <f t="shared" si="11"/>
        <v>59</v>
      </c>
      <c r="K36" s="13">
        <f t="shared" si="11"/>
        <v>72</v>
      </c>
      <c r="L36" s="13">
        <f t="shared" si="11"/>
        <v>24</v>
      </c>
      <c r="M36" s="13">
        <f t="shared" si="11"/>
        <v>29</v>
      </c>
      <c r="N36" s="13">
        <f t="shared" si="11"/>
        <v>34</v>
      </c>
      <c r="O36" s="13">
        <f t="shared" si="11"/>
        <v>48</v>
      </c>
      <c r="P36" s="13">
        <f t="shared" si="11"/>
        <v>34</v>
      </c>
      <c r="Q36" s="13">
        <f t="shared" si="11"/>
        <v>68</v>
      </c>
      <c r="R36" s="13">
        <f t="shared" si="11"/>
        <v>51</v>
      </c>
      <c r="S36" s="13">
        <f t="shared" si="11"/>
        <v>67</v>
      </c>
      <c r="T36" s="13">
        <f t="shared" si="11"/>
        <v>50</v>
      </c>
      <c r="U36" s="13">
        <f t="shared" si="11"/>
        <v>60</v>
      </c>
      <c r="V36" s="13">
        <f t="shared" si="11"/>
        <v>61</v>
      </c>
      <c r="W36" s="13">
        <f t="shared" si="11"/>
        <v>70</v>
      </c>
      <c r="X36" s="13">
        <f t="shared" si="11"/>
        <v>51</v>
      </c>
      <c r="Y36" s="13">
        <f t="shared" si="11"/>
        <v>69</v>
      </c>
      <c r="Z36" s="13">
        <f t="shared" si="11"/>
        <v>54</v>
      </c>
      <c r="AA36" s="13">
        <f t="shared" si="11"/>
        <v>50</v>
      </c>
      <c r="AB36" s="13">
        <f t="shared" si="11"/>
        <v>45</v>
      </c>
      <c r="AC36" s="13">
        <f t="shared" si="10"/>
        <v>1225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19"/>
      <c r="AC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4.0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3">
        <f t="shared" ref="AC39:AC41" si="12">SUM(E39:AB39)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7.0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3.0</v>
      </c>
      <c r="V40" s="19">
        <v>0.0</v>
      </c>
      <c r="W40" s="19">
        <v>0.0</v>
      </c>
      <c r="X40" s="19">
        <v>1.0</v>
      </c>
      <c r="Y40" s="19">
        <v>0.0</v>
      </c>
      <c r="Z40" s="19">
        <v>0.0</v>
      </c>
      <c r="AA40" s="19">
        <v>0.0</v>
      </c>
      <c r="AB40" s="19">
        <v>0.0</v>
      </c>
      <c r="AC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11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19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0"/>
      <c r="B45" s="47">
        <v>1.0</v>
      </c>
      <c r="C45" s="48" t="s">
        <v>37</v>
      </c>
      <c r="D45" s="16"/>
      <c r="E45" s="19">
        <v>5.0</v>
      </c>
      <c r="F45" s="19">
        <v>11.0</v>
      </c>
      <c r="G45" s="19">
        <v>5.0</v>
      </c>
      <c r="H45" s="19">
        <v>11.0</v>
      </c>
      <c r="I45" s="19">
        <v>11.0</v>
      </c>
      <c r="J45" s="19">
        <v>11.0</v>
      </c>
      <c r="K45" s="19">
        <v>11.0</v>
      </c>
      <c r="L45" s="19">
        <v>19.0</v>
      </c>
      <c r="M45" s="19">
        <v>17.0</v>
      </c>
      <c r="N45" s="19">
        <v>10.0</v>
      </c>
      <c r="O45" s="19">
        <v>4.0</v>
      </c>
      <c r="P45" s="19">
        <v>14.0</v>
      </c>
      <c r="Q45" s="19">
        <v>13.0</v>
      </c>
      <c r="R45" s="19">
        <v>24.0</v>
      </c>
      <c r="S45" s="19">
        <v>8.0</v>
      </c>
      <c r="T45" s="19">
        <v>7.0</v>
      </c>
      <c r="U45" s="19">
        <v>12.0</v>
      </c>
      <c r="V45" s="19">
        <v>15.0</v>
      </c>
      <c r="W45" s="19">
        <v>13.0</v>
      </c>
      <c r="X45" s="19">
        <v>40.0</v>
      </c>
      <c r="Y45" s="19">
        <v>33.0</v>
      </c>
      <c r="Z45" s="19">
        <v>34.0</v>
      </c>
      <c r="AA45" s="19">
        <v>24.0</v>
      </c>
      <c r="AB45" s="19">
        <v>11.0</v>
      </c>
      <c r="AC45" s="13">
        <f t="shared" ref="AC45:AC47" si="14">SUM(E45:AB45)</f>
        <v>363</v>
      </c>
    </row>
    <row r="46" ht="12.75" customHeight="1">
      <c r="A46" s="18"/>
      <c r="B46" s="47">
        <v>2.0</v>
      </c>
      <c r="C46" s="48" t="s">
        <v>38</v>
      </c>
      <c r="D46" s="16"/>
      <c r="E46" s="19">
        <v>144.0</v>
      </c>
      <c r="F46" s="19">
        <v>147.0</v>
      </c>
      <c r="G46" s="19">
        <v>121.0</v>
      </c>
      <c r="H46" s="19">
        <v>168.0</v>
      </c>
      <c r="I46" s="19">
        <v>139.0</v>
      </c>
      <c r="J46" s="19">
        <v>120.0</v>
      </c>
      <c r="K46" s="19">
        <v>155.0</v>
      </c>
      <c r="L46" s="19">
        <v>187.0</v>
      </c>
      <c r="M46" s="19">
        <v>167.0</v>
      </c>
      <c r="N46" s="19">
        <v>170.0</v>
      </c>
      <c r="O46" s="19">
        <v>158.0</v>
      </c>
      <c r="P46" s="19">
        <v>110.0</v>
      </c>
      <c r="Q46" s="19">
        <v>130.0</v>
      </c>
      <c r="R46" s="19">
        <v>133.0</v>
      </c>
      <c r="S46" s="19">
        <v>138.0</v>
      </c>
      <c r="T46" s="19">
        <v>150.0</v>
      </c>
      <c r="U46" s="19">
        <v>142.0</v>
      </c>
      <c r="V46" s="19">
        <v>162.0</v>
      </c>
      <c r="W46" s="19">
        <v>164.0</v>
      </c>
      <c r="X46" s="19">
        <v>143.0</v>
      </c>
      <c r="Y46" s="19">
        <v>136.0</v>
      </c>
      <c r="Z46" s="19">
        <v>125.0</v>
      </c>
      <c r="AA46" s="19">
        <v>130.0</v>
      </c>
      <c r="AB46" s="19">
        <v>145.0</v>
      </c>
      <c r="AC46" s="13">
        <f t="shared" si="14"/>
        <v>3484</v>
      </c>
    </row>
    <row r="47" ht="12.75" customHeight="1">
      <c r="A47" s="18"/>
      <c r="B47" s="47">
        <v>3.0</v>
      </c>
      <c r="C47" s="48" t="s">
        <v>39</v>
      </c>
      <c r="D47" s="16"/>
      <c r="E47" s="19">
        <v>23.0</v>
      </c>
      <c r="F47" s="19">
        <v>47.0</v>
      </c>
      <c r="G47" s="19">
        <v>38.0</v>
      </c>
      <c r="H47" s="19">
        <v>34.0</v>
      </c>
      <c r="I47" s="19">
        <v>31.0</v>
      </c>
      <c r="J47" s="19">
        <v>15.0</v>
      </c>
      <c r="K47" s="19">
        <v>26.0</v>
      </c>
      <c r="L47" s="19">
        <v>35.0</v>
      </c>
      <c r="M47" s="19">
        <v>67.0</v>
      </c>
      <c r="N47" s="19">
        <v>19.0</v>
      </c>
      <c r="O47" s="19">
        <v>65.0</v>
      </c>
      <c r="P47" s="19">
        <v>51.0</v>
      </c>
      <c r="Q47" s="19">
        <v>51.0</v>
      </c>
      <c r="R47" s="19">
        <v>60.0</v>
      </c>
      <c r="S47" s="19">
        <v>48.0</v>
      </c>
      <c r="T47" s="19">
        <v>39.0</v>
      </c>
      <c r="U47" s="19">
        <v>35.0</v>
      </c>
      <c r="V47" s="19">
        <v>31.0</v>
      </c>
      <c r="W47" s="19">
        <v>23.0</v>
      </c>
      <c r="X47" s="19">
        <v>16.0</v>
      </c>
      <c r="Y47" s="19">
        <v>13.0</v>
      </c>
      <c r="Z47" s="19">
        <v>28.0</v>
      </c>
      <c r="AA47" s="19">
        <v>37.0</v>
      </c>
      <c r="AB47" s="19">
        <v>29.0</v>
      </c>
      <c r="AC47" s="13">
        <f t="shared" si="14"/>
        <v>861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B50" si="15">SUM(E45:E47)</f>
        <v>172</v>
      </c>
      <c r="F50" s="19">
        <f t="shared" si="15"/>
        <v>205</v>
      </c>
      <c r="G50" s="19">
        <f t="shared" si="15"/>
        <v>164</v>
      </c>
      <c r="H50" s="19">
        <f t="shared" si="15"/>
        <v>213</v>
      </c>
      <c r="I50" s="19">
        <f t="shared" si="15"/>
        <v>181</v>
      </c>
      <c r="J50" s="19">
        <f t="shared" si="15"/>
        <v>146</v>
      </c>
      <c r="K50" s="19">
        <f t="shared" si="15"/>
        <v>192</v>
      </c>
      <c r="L50" s="19">
        <f t="shared" si="15"/>
        <v>241</v>
      </c>
      <c r="M50" s="19">
        <f t="shared" si="15"/>
        <v>251</v>
      </c>
      <c r="N50" s="19">
        <f t="shared" si="15"/>
        <v>199</v>
      </c>
      <c r="O50" s="19">
        <f t="shared" si="15"/>
        <v>227</v>
      </c>
      <c r="P50" s="19">
        <f t="shared" si="15"/>
        <v>175</v>
      </c>
      <c r="Q50" s="19">
        <f t="shared" si="15"/>
        <v>194</v>
      </c>
      <c r="R50" s="19">
        <f t="shared" si="15"/>
        <v>217</v>
      </c>
      <c r="S50" s="19">
        <f t="shared" si="15"/>
        <v>194</v>
      </c>
      <c r="T50" s="19">
        <f t="shared" si="15"/>
        <v>196</v>
      </c>
      <c r="U50" s="19">
        <f t="shared" si="15"/>
        <v>189</v>
      </c>
      <c r="V50" s="19">
        <f t="shared" si="15"/>
        <v>208</v>
      </c>
      <c r="W50" s="19">
        <f t="shared" si="15"/>
        <v>200</v>
      </c>
      <c r="X50" s="19">
        <f t="shared" si="15"/>
        <v>199</v>
      </c>
      <c r="Y50" s="19">
        <f t="shared" si="15"/>
        <v>182</v>
      </c>
      <c r="Z50" s="19">
        <f t="shared" si="15"/>
        <v>187</v>
      </c>
      <c r="AA50" s="19">
        <f t="shared" si="15"/>
        <v>191</v>
      </c>
      <c r="AB50" s="19">
        <f t="shared" si="15"/>
        <v>185</v>
      </c>
      <c r="AC50" s="13">
        <f t="shared" ref="AC50:AC52" si="16">SUM(E50:AB50)</f>
        <v>4708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3.0</v>
      </c>
      <c r="G51" s="19">
        <v>0.0</v>
      </c>
      <c r="H51" s="19">
        <v>1.0</v>
      </c>
      <c r="I51" s="19">
        <v>1.0</v>
      </c>
      <c r="J51" s="19">
        <v>1.0</v>
      </c>
      <c r="K51" s="19">
        <v>2.0</v>
      </c>
      <c r="L51" s="19">
        <v>8.0</v>
      </c>
      <c r="M51" s="19">
        <v>4.0</v>
      </c>
      <c r="N51" s="19">
        <v>3.0</v>
      </c>
      <c r="O51" s="19">
        <v>10.0</v>
      </c>
      <c r="P51" s="19">
        <v>0.0</v>
      </c>
      <c r="Q51" s="19">
        <v>2.0</v>
      </c>
      <c r="R51" s="19">
        <v>4.0</v>
      </c>
      <c r="S51" s="19">
        <v>4.0</v>
      </c>
      <c r="T51" s="19">
        <v>4.0</v>
      </c>
      <c r="U51" s="19">
        <v>9.0</v>
      </c>
      <c r="V51" s="19">
        <v>7.0</v>
      </c>
      <c r="W51" s="19">
        <v>1.0</v>
      </c>
      <c r="X51" s="19">
        <v>4.0</v>
      </c>
      <c r="Y51" s="19">
        <v>13.0</v>
      </c>
      <c r="Z51" s="19">
        <v>9.0</v>
      </c>
      <c r="AA51" s="19">
        <v>8.0</v>
      </c>
      <c r="AB51" s="19">
        <v>4.0</v>
      </c>
      <c r="AC51" s="13">
        <f t="shared" si="16"/>
        <v>107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B52" si="17">SUM(E50:E51)</f>
        <v>177</v>
      </c>
      <c r="F52" s="13">
        <f t="shared" si="17"/>
        <v>208</v>
      </c>
      <c r="G52" s="13">
        <f t="shared" si="17"/>
        <v>164</v>
      </c>
      <c r="H52" s="13">
        <f t="shared" si="17"/>
        <v>214</v>
      </c>
      <c r="I52" s="13">
        <f t="shared" si="17"/>
        <v>182</v>
      </c>
      <c r="J52" s="13">
        <f t="shared" si="17"/>
        <v>147</v>
      </c>
      <c r="K52" s="13">
        <f t="shared" si="17"/>
        <v>194</v>
      </c>
      <c r="L52" s="13">
        <f t="shared" si="17"/>
        <v>249</v>
      </c>
      <c r="M52" s="13">
        <f t="shared" si="17"/>
        <v>255</v>
      </c>
      <c r="N52" s="13">
        <f t="shared" si="17"/>
        <v>202</v>
      </c>
      <c r="O52" s="13">
        <f t="shared" si="17"/>
        <v>237</v>
      </c>
      <c r="P52" s="13">
        <f t="shared" si="17"/>
        <v>175</v>
      </c>
      <c r="Q52" s="13">
        <f t="shared" si="17"/>
        <v>196</v>
      </c>
      <c r="R52" s="13">
        <f t="shared" si="17"/>
        <v>221</v>
      </c>
      <c r="S52" s="13">
        <f t="shared" si="17"/>
        <v>198</v>
      </c>
      <c r="T52" s="13">
        <f t="shared" si="17"/>
        <v>200</v>
      </c>
      <c r="U52" s="13">
        <f t="shared" si="17"/>
        <v>198</v>
      </c>
      <c r="V52" s="13">
        <f t="shared" si="17"/>
        <v>215</v>
      </c>
      <c r="W52" s="13">
        <f t="shared" si="17"/>
        <v>201</v>
      </c>
      <c r="X52" s="13">
        <f t="shared" si="17"/>
        <v>203</v>
      </c>
      <c r="Y52" s="13">
        <f t="shared" si="17"/>
        <v>195</v>
      </c>
      <c r="Z52" s="13">
        <f t="shared" si="17"/>
        <v>196</v>
      </c>
      <c r="AA52" s="13">
        <f t="shared" si="17"/>
        <v>199</v>
      </c>
      <c r="AB52" s="13">
        <f t="shared" si="17"/>
        <v>189</v>
      </c>
      <c r="AC52" s="13">
        <f t="shared" si="16"/>
        <v>4815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W42"/>
    <mergeCell ref="B43:D43"/>
    <mergeCell ref="A44:D44"/>
    <mergeCell ref="C45:D45"/>
  </mergeCells>
  <conditionalFormatting sqref="E14:AB15 E45:AB47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E30&lt;&gt;E46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E34&lt;&gt;#REF!</formula>
    </cfRule>
  </conditionalFormatting>
  <conditionalFormatting sqref="E50:AB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122.0</v>
      </c>
      <c r="G14" s="19">
        <v>130.0</v>
      </c>
      <c r="H14" s="19">
        <v>127.0</v>
      </c>
      <c r="I14" s="19">
        <v>133.0</v>
      </c>
      <c r="J14" s="19">
        <v>115.0</v>
      </c>
      <c r="K14" s="19">
        <v>140.0</v>
      </c>
      <c r="L14" s="19">
        <v>127.0</v>
      </c>
      <c r="M14" s="19">
        <v>130.0</v>
      </c>
      <c r="N14" s="19">
        <v>111.0</v>
      </c>
      <c r="O14" s="19">
        <v>118.0</v>
      </c>
      <c r="P14" s="19">
        <v>108.0</v>
      </c>
      <c r="Q14" s="19">
        <v>114.0</v>
      </c>
      <c r="R14" s="19">
        <v>130.0</v>
      </c>
      <c r="S14" s="19">
        <v>81.0</v>
      </c>
      <c r="T14" s="13">
        <f t="shared" ref="T14:T16" si="1">SUM(E14:S14)</f>
        <v>1810</v>
      </c>
    </row>
    <row r="15" ht="12.75" customHeight="1">
      <c r="A15" s="18"/>
      <c r="B15" s="26"/>
      <c r="C15" s="27"/>
      <c r="D15" s="19" t="s">
        <v>13</v>
      </c>
      <c r="E15" s="19">
        <v>119.0</v>
      </c>
      <c r="F15" s="19">
        <v>133.0</v>
      </c>
      <c r="G15" s="19">
        <v>121.0</v>
      </c>
      <c r="H15" s="19">
        <v>125.0</v>
      </c>
      <c r="I15" s="19">
        <v>128.0</v>
      </c>
      <c r="J15" s="19">
        <v>126.0</v>
      </c>
      <c r="K15" s="19">
        <v>135.0</v>
      </c>
      <c r="L15" s="19">
        <v>133.0</v>
      </c>
      <c r="M15" s="19">
        <v>134.0</v>
      </c>
      <c r="N15" s="19">
        <v>121.0</v>
      </c>
      <c r="O15" s="19">
        <v>124.0</v>
      </c>
      <c r="P15" s="19">
        <v>118.0</v>
      </c>
      <c r="Q15" s="19">
        <v>121.0</v>
      </c>
      <c r="R15" s="19">
        <v>129.0</v>
      </c>
      <c r="S15" s="19">
        <v>80.0</v>
      </c>
      <c r="T15" s="13">
        <f t="shared" si="1"/>
        <v>1847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243</v>
      </c>
      <c r="F16" s="13">
        <f t="shared" si="2"/>
        <v>255</v>
      </c>
      <c r="G16" s="13">
        <f t="shared" si="2"/>
        <v>251</v>
      </c>
      <c r="H16" s="13">
        <f t="shared" si="2"/>
        <v>252</v>
      </c>
      <c r="I16" s="13">
        <f t="shared" si="2"/>
        <v>261</v>
      </c>
      <c r="J16" s="13">
        <f t="shared" si="2"/>
        <v>241</v>
      </c>
      <c r="K16" s="13">
        <f t="shared" si="2"/>
        <v>275</v>
      </c>
      <c r="L16" s="13">
        <f t="shared" si="2"/>
        <v>260</v>
      </c>
      <c r="M16" s="13">
        <f t="shared" si="2"/>
        <v>264</v>
      </c>
      <c r="N16" s="13">
        <f t="shared" si="2"/>
        <v>232</v>
      </c>
      <c r="O16" s="13">
        <f t="shared" si="2"/>
        <v>242</v>
      </c>
      <c r="P16" s="13">
        <f t="shared" si="2"/>
        <v>226</v>
      </c>
      <c r="Q16" s="13">
        <f t="shared" si="2"/>
        <v>235</v>
      </c>
      <c r="R16" s="13">
        <f t="shared" si="2"/>
        <v>259</v>
      </c>
      <c r="S16" s="13">
        <f t="shared" si="2"/>
        <v>161</v>
      </c>
      <c r="T16" s="13">
        <f t="shared" si="1"/>
        <v>3657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88.0</v>
      </c>
      <c r="G19" s="19">
        <v>110.0</v>
      </c>
      <c r="H19" s="19">
        <v>104.0</v>
      </c>
      <c r="I19" s="19">
        <v>111.0</v>
      </c>
      <c r="J19" s="19">
        <v>94.0</v>
      </c>
      <c r="K19" s="19">
        <v>112.0</v>
      </c>
      <c r="L19" s="19">
        <v>92.0</v>
      </c>
      <c r="M19" s="19">
        <v>95.0</v>
      </c>
      <c r="N19" s="19">
        <v>93.0</v>
      </c>
      <c r="O19" s="19">
        <v>87.0</v>
      </c>
      <c r="P19" s="19">
        <v>87.0</v>
      </c>
      <c r="Q19" s="19">
        <v>96.0</v>
      </c>
      <c r="R19" s="19">
        <v>89.0</v>
      </c>
      <c r="S19" s="19">
        <v>53.0</v>
      </c>
      <c r="T19" s="13">
        <f t="shared" ref="T19:T30" si="3">SUM(E19:S19)</f>
        <v>1408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89.0</v>
      </c>
      <c r="G20" s="19">
        <v>99.0</v>
      </c>
      <c r="H20" s="19">
        <v>115.0</v>
      </c>
      <c r="I20" s="19">
        <v>109.0</v>
      </c>
      <c r="J20" s="19">
        <v>105.0</v>
      </c>
      <c r="K20" s="19">
        <v>114.0</v>
      </c>
      <c r="L20" s="19">
        <v>110.0</v>
      </c>
      <c r="M20" s="19">
        <v>103.0</v>
      </c>
      <c r="N20" s="19">
        <v>100.0</v>
      </c>
      <c r="O20" s="19">
        <v>106.0</v>
      </c>
      <c r="P20" s="19">
        <v>107.0</v>
      </c>
      <c r="Q20" s="19">
        <v>111.0</v>
      </c>
      <c r="R20" s="19">
        <v>105.0</v>
      </c>
      <c r="S20" s="19">
        <v>58.0</v>
      </c>
      <c r="T20" s="13">
        <f t="shared" si="3"/>
        <v>1531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197</v>
      </c>
      <c r="F21" s="13">
        <f t="shared" si="4"/>
        <v>177</v>
      </c>
      <c r="G21" s="13">
        <f t="shared" si="4"/>
        <v>209</v>
      </c>
      <c r="H21" s="13">
        <f t="shared" si="4"/>
        <v>219</v>
      </c>
      <c r="I21" s="13">
        <f t="shared" si="4"/>
        <v>220</v>
      </c>
      <c r="J21" s="13">
        <f t="shared" si="4"/>
        <v>199</v>
      </c>
      <c r="K21" s="13">
        <f t="shared" si="4"/>
        <v>226</v>
      </c>
      <c r="L21" s="13">
        <f t="shared" si="4"/>
        <v>202</v>
      </c>
      <c r="M21" s="13">
        <f t="shared" si="4"/>
        <v>198</v>
      </c>
      <c r="N21" s="13">
        <f t="shared" si="4"/>
        <v>193</v>
      </c>
      <c r="O21" s="13">
        <f t="shared" si="4"/>
        <v>193</v>
      </c>
      <c r="P21" s="13">
        <f t="shared" si="4"/>
        <v>194</v>
      </c>
      <c r="Q21" s="13">
        <f t="shared" si="4"/>
        <v>207</v>
      </c>
      <c r="R21" s="13">
        <f t="shared" si="4"/>
        <v>194</v>
      </c>
      <c r="S21" s="13">
        <f t="shared" si="4"/>
        <v>111</v>
      </c>
      <c r="T21" s="13">
        <f t="shared" si="3"/>
        <v>2939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5.0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2.0</v>
      </c>
      <c r="M25" s="19">
        <v>0.0</v>
      </c>
      <c r="N25" s="19">
        <v>0.0</v>
      </c>
      <c r="O25" s="19">
        <v>4.0</v>
      </c>
      <c r="P25" s="19">
        <v>0.0</v>
      </c>
      <c r="Q25" s="19">
        <v>0.0</v>
      </c>
      <c r="R25" s="19">
        <v>0.0</v>
      </c>
      <c r="S25" s="19">
        <v>1.0</v>
      </c>
      <c r="T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5.0</v>
      </c>
      <c r="G26" s="19">
        <v>2.0</v>
      </c>
      <c r="H26" s="19">
        <v>0.0</v>
      </c>
      <c r="I26" s="19">
        <v>0.0</v>
      </c>
      <c r="J26" s="19">
        <v>1.0</v>
      </c>
      <c r="K26" s="19">
        <v>2.0</v>
      </c>
      <c r="L26" s="19">
        <v>2.0</v>
      </c>
      <c r="M26" s="19">
        <v>0.0</v>
      </c>
      <c r="N26" s="19">
        <v>1.0</v>
      </c>
      <c r="O26" s="19">
        <v>5.0</v>
      </c>
      <c r="P26" s="19">
        <v>0.0</v>
      </c>
      <c r="Q26" s="19">
        <v>0.0</v>
      </c>
      <c r="R26" s="19">
        <v>1.0</v>
      </c>
      <c r="S26" s="19">
        <v>0.0</v>
      </c>
      <c r="T26" s="13">
        <f t="shared" si="3"/>
        <v>21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3</v>
      </c>
      <c r="F27" s="13">
        <f t="shared" si="6"/>
        <v>10</v>
      </c>
      <c r="G27" s="13">
        <f t="shared" si="6"/>
        <v>2</v>
      </c>
      <c r="H27" s="13">
        <f t="shared" si="6"/>
        <v>0</v>
      </c>
      <c r="I27" s="13">
        <f t="shared" si="6"/>
        <v>1</v>
      </c>
      <c r="J27" s="13">
        <f t="shared" si="6"/>
        <v>1</v>
      </c>
      <c r="K27" s="13">
        <f t="shared" si="6"/>
        <v>2</v>
      </c>
      <c r="L27" s="13">
        <f t="shared" si="6"/>
        <v>4</v>
      </c>
      <c r="M27" s="13">
        <f t="shared" si="6"/>
        <v>0</v>
      </c>
      <c r="N27" s="13">
        <f t="shared" si="6"/>
        <v>1</v>
      </c>
      <c r="O27" s="13">
        <f t="shared" si="6"/>
        <v>9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98</v>
      </c>
      <c r="F28" s="13">
        <f t="shared" si="7"/>
        <v>93</v>
      </c>
      <c r="G28" s="13">
        <f t="shared" si="7"/>
        <v>110</v>
      </c>
      <c r="H28" s="13">
        <f t="shared" si="7"/>
        <v>104</v>
      </c>
      <c r="I28" s="13">
        <f t="shared" si="7"/>
        <v>112</v>
      </c>
      <c r="J28" s="13">
        <f t="shared" si="7"/>
        <v>94</v>
      </c>
      <c r="K28" s="13">
        <f t="shared" si="7"/>
        <v>112</v>
      </c>
      <c r="L28" s="13">
        <f t="shared" si="7"/>
        <v>95</v>
      </c>
      <c r="M28" s="13">
        <f t="shared" si="7"/>
        <v>95</v>
      </c>
      <c r="N28" s="13">
        <f t="shared" si="7"/>
        <v>94</v>
      </c>
      <c r="O28" s="13">
        <f t="shared" si="7"/>
        <v>91</v>
      </c>
      <c r="P28" s="13">
        <f t="shared" si="7"/>
        <v>87</v>
      </c>
      <c r="Q28" s="13">
        <f t="shared" si="7"/>
        <v>96</v>
      </c>
      <c r="R28" s="13">
        <f t="shared" si="7"/>
        <v>89</v>
      </c>
      <c r="S28" s="13">
        <f t="shared" si="7"/>
        <v>54</v>
      </c>
      <c r="T28" s="13">
        <f t="shared" si="3"/>
        <v>1424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102</v>
      </c>
      <c r="F29" s="13">
        <f t="shared" si="8"/>
        <v>94</v>
      </c>
      <c r="G29" s="13">
        <f t="shared" si="8"/>
        <v>101</v>
      </c>
      <c r="H29" s="13">
        <f t="shared" si="8"/>
        <v>115</v>
      </c>
      <c r="I29" s="13">
        <f t="shared" si="8"/>
        <v>109</v>
      </c>
      <c r="J29" s="13">
        <f t="shared" si="8"/>
        <v>106</v>
      </c>
      <c r="K29" s="13">
        <f t="shared" si="8"/>
        <v>116</v>
      </c>
      <c r="L29" s="13">
        <f t="shared" si="8"/>
        <v>113</v>
      </c>
      <c r="M29" s="13">
        <f t="shared" si="8"/>
        <v>103</v>
      </c>
      <c r="N29" s="13">
        <f t="shared" si="8"/>
        <v>102</v>
      </c>
      <c r="O29" s="13">
        <f t="shared" si="8"/>
        <v>111</v>
      </c>
      <c r="P29" s="13">
        <f t="shared" si="8"/>
        <v>107</v>
      </c>
      <c r="Q29" s="13">
        <f t="shared" si="8"/>
        <v>111</v>
      </c>
      <c r="R29" s="13">
        <f t="shared" si="8"/>
        <v>106</v>
      </c>
      <c r="S29" s="13">
        <f t="shared" si="8"/>
        <v>58</v>
      </c>
      <c r="T29" s="13">
        <f t="shared" si="3"/>
        <v>1554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200</v>
      </c>
      <c r="F30" s="13">
        <f t="shared" si="9"/>
        <v>187</v>
      </c>
      <c r="G30" s="13">
        <f t="shared" si="9"/>
        <v>211</v>
      </c>
      <c r="H30" s="13">
        <f t="shared" si="9"/>
        <v>219</v>
      </c>
      <c r="I30" s="13">
        <f t="shared" si="9"/>
        <v>221</v>
      </c>
      <c r="J30" s="13">
        <f t="shared" si="9"/>
        <v>200</v>
      </c>
      <c r="K30" s="13">
        <f t="shared" si="9"/>
        <v>228</v>
      </c>
      <c r="L30" s="13">
        <f t="shared" si="9"/>
        <v>208</v>
      </c>
      <c r="M30" s="13">
        <f t="shared" si="9"/>
        <v>198</v>
      </c>
      <c r="N30" s="13">
        <f t="shared" si="9"/>
        <v>196</v>
      </c>
      <c r="O30" s="13">
        <f t="shared" si="9"/>
        <v>202</v>
      </c>
      <c r="P30" s="13">
        <f t="shared" si="9"/>
        <v>194</v>
      </c>
      <c r="Q30" s="13">
        <f t="shared" si="9"/>
        <v>207</v>
      </c>
      <c r="R30" s="13">
        <f t="shared" si="9"/>
        <v>195</v>
      </c>
      <c r="S30" s="13">
        <f t="shared" si="9"/>
        <v>112</v>
      </c>
      <c r="T30" s="13">
        <f t="shared" si="3"/>
        <v>2978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241.0</v>
      </c>
      <c r="F33" s="19">
        <v>249.0</v>
      </c>
      <c r="G33" s="19">
        <v>248.0</v>
      </c>
      <c r="H33" s="19">
        <v>246.0</v>
      </c>
      <c r="I33" s="19">
        <v>257.0</v>
      </c>
      <c r="J33" s="19">
        <v>247.0</v>
      </c>
      <c r="K33" s="19">
        <v>282.0</v>
      </c>
      <c r="L33" s="19">
        <v>268.0</v>
      </c>
      <c r="M33" s="19">
        <v>261.0</v>
      </c>
      <c r="N33" s="19">
        <v>226.0</v>
      </c>
      <c r="O33" s="19">
        <v>237.0</v>
      </c>
      <c r="P33" s="19">
        <v>221.0</v>
      </c>
      <c r="Q33" s="19">
        <v>238.0</v>
      </c>
      <c r="R33" s="19">
        <v>255.0</v>
      </c>
      <c r="S33" s="19">
        <v>186.0</v>
      </c>
      <c r="T33" s="13">
        <f t="shared" ref="T33:T36" si="10">SUM(E33:S33)</f>
        <v>3662</v>
      </c>
    </row>
    <row r="34" ht="12.75" customHeight="1">
      <c r="A34" s="19">
        <v>2.0</v>
      </c>
      <c r="B34" s="20" t="s">
        <v>28</v>
      </c>
      <c r="C34" s="15"/>
      <c r="D34" s="16"/>
      <c r="E34" s="13">
        <v>205.0</v>
      </c>
      <c r="F34" s="13">
        <v>197.0</v>
      </c>
      <c r="G34" s="13">
        <v>211.0</v>
      </c>
      <c r="H34" s="13">
        <v>219.0</v>
      </c>
      <c r="I34" s="13">
        <v>221.0</v>
      </c>
      <c r="J34" s="13">
        <v>200.0</v>
      </c>
      <c r="K34" s="13">
        <v>228.0</v>
      </c>
      <c r="L34" s="13">
        <v>208.0</v>
      </c>
      <c r="M34" s="13">
        <v>198.0</v>
      </c>
      <c r="N34" s="13">
        <v>190.0</v>
      </c>
      <c r="O34" s="13">
        <v>202.0</v>
      </c>
      <c r="P34" s="13">
        <v>194.0</v>
      </c>
      <c r="Q34" s="13">
        <v>207.0</v>
      </c>
      <c r="R34" s="13">
        <v>195.0</v>
      </c>
      <c r="S34" s="13">
        <v>113.0</v>
      </c>
      <c r="T34" s="13">
        <f t="shared" si="10"/>
        <v>2988</v>
      </c>
    </row>
    <row r="35" ht="12.75" customHeight="1">
      <c r="A35" s="19">
        <v>3.0</v>
      </c>
      <c r="B35" s="20" t="s">
        <v>29</v>
      </c>
      <c r="C35" s="15"/>
      <c r="D35" s="16"/>
      <c r="E35" s="19">
        <v>6.0</v>
      </c>
      <c r="F35" s="19">
        <v>2.0</v>
      </c>
      <c r="G35" s="19">
        <v>0.0</v>
      </c>
      <c r="H35" s="19">
        <v>2.0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30</v>
      </c>
      <c r="F36" s="13">
        <f t="shared" si="11"/>
        <v>50</v>
      </c>
      <c r="G36" s="13">
        <f t="shared" si="11"/>
        <v>37</v>
      </c>
      <c r="H36" s="13">
        <f t="shared" si="11"/>
        <v>25</v>
      </c>
      <c r="I36" s="13">
        <f t="shared" si="11"/>
        <v>36</v>
      </c>
      <c r="J36" s="13">
        <f t="shared" si="11"/>
        <v>47</v>
      </c>
      <c r="K36" s="13">
        <f t="shared" si="11"/>
        <v>53</v>
      </c>
      <c r="L36" s="13">
        <f t="shared" si="11"/>
        <v>60</v>
      </c>
      <c r="M36" s="13">
        <f t="shared" si="11"/>
        <v>63</v>
      </c>
      <c r="N36" s="13">
        <f t="shared" si="11"/>
        <v>36</v>
      </c>
      <c r="O36" s="13">
        <f t="shared" si="11"/>
        <v>35</v>
      </c>
      <c r="P36" s="13">
        <f t="shared" si="11"/>
        <v>26</v>
      </c>
      <c r="Q36" s="13">
        <f t="shared" si="11"/>
        <v>31</v>
      </c>
      <c r="R36" s="13">
        <f t="shared" si="11"/>
        <v>60</v>
      </c>
      <c r="S36" s="13">
        <f t="shared" si="11"/>
        <v>73</v>
      </c>
      <c r="T36" s="13">
        <f t="shared" si="10"/>
        <v>662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4</v>
      </c>
    </row>
    <row r="40" ht="12.75" customHeight="1">
      <c r="A40" s="33"/>
      <c r="C40" s="27"/>
      <c r="D40" s="19" t="s">
        <v>13</v>
      </c>
      <c r="E40" s="19">
        <v>5.0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4.0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7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5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3"/>
    </row>
    <row r="45" ht="12.75" customHeight="1">
      <c r="A45" s="30"/>
      <c r="B45" s="47">
        <v>1.0</v>
      </c>
      <c r="C45" s="48" t="s">
        <v>37</v>
      </c>
      <c r="D45" s="16"/>
      <c r="E45" s="19">
        <v>6.0</v>
      </c>
      <c r="F45" s="19">
        <v>16.0</v>
      </c>
      <c r="G45" s="19">
        <v>7.0</v>
      </c>
      <c r="H45" s="19">
        <v>12.0</v>
      </c>
      <c r="I45" s="19">
        <v>21.0</v>
      </c>
      <c r="J45" s="19">
        <v>20.0</v>
      </c>
      <c r="K45" s="19">
        <v>13.0</v>
      </c>
      <c r="L45" s="19">
        <v>14.0</v>
      </c>
      <c r="M45" s="19">
        <v>13.0</v>
      </c>
      <c r="N45" s="19">
        <v>22.0</v>
      </c>
      <c r="O45" s="19">
        <v>20.0</v>
      </c>
      <c r="P45" s="19">
        <v>12.0</v>
      </c>
      <c r="Q45" s="19">
        <v>8.0</v>
      </c>
      <c r="R45" s="19">
        <v>27.0</v>
      </c>
      <c r="S45" s="19">
        <v>10.0</v>
      </c>
      <c r="T45" s="13">
        <f t="shared" ref="T45:T47" si="14">SUM(E45:S45)</f>
        <v>221</v>
      </c>
    </row>
    <row r="46" ht="12.75" customHeight="1">
      <c r="A46" s="18"/>
      <c r="B46" s="47">
        <v>2.0</v>
      </c>
      <c r="C46" s="48" t="s">
        <v>38</v>
      </c>
      <c r="D46" s="16"/>
      <c r="E46" s="19">
        <v>115.0</v>
      </c>
      <c r="F46" s="19">
        <v>122.0</v>
      </c>
      <c r="G46" s="19">
        <v>162.0</v>
      </c>
      <c r="H46" s="19">
        <v>141.0</v>
      </c>
      <c r="I46" s="19">
        <v>157.0</v>
      </c>
      <c r="J46" s="19">
        <v>153.0</v>
      </c>
      <c r="K46" s="19">
        <v>199.0</v>
      </c>
      <c r="L46" s="19">
        <v>171.0</v>
      </c>
      <c r="M46" s="19">
        <v>139.0</v>
      </c>
      <c r="N46" s="19">
        <v>137.0</v>
      </c>
      <c r="O46" s="19">
        <v>149.0</v>
      </c>
      <c r="P46" s="19">
        <v>144.0</v>
      </c>
      <c r="Q46" s="19">
        <v>156.0</v>
      </c>
      <c r="R46" s="19">
        <v>135.0</v>
      </c>
      <c r="S46" s="19">
        <v>73.0</v>
      </c>
      <c r="T46" s="13">
        <f t="shared" si="14"/>
        <v>2153</v>
      </c>
    </row>
    <row r="47" ht="12.75" customHeight="1">
      <c r="A47" s="18"/>
      <c r="B47" s="47">
        <v>3.0</v>
      </c>
      <c r="C47" s="48" t="s">
        <v>39</v>
      </c>
      <c r="D47" s="16"/>
      <c r="E47" s="19">
        <v>78.0</v>
      </c>
      <c r="F47" s="19">
        <v>44.0</v>
      </c>
      <c r="G47" s="19">
        <v>41.0</v>
      </c>
      <c r="H47" s="19">
        <v>55.0</v>
      </c>
      <c r="I47" s="19">
        <v>43.0</v>
      </c>
      <c r="J47" s="19">
        <v>29.0</v>
      </c>
      <c r="K47" s="19">
        <v>14.0</v>
      </c>
      <c r="L47" s="19">
        <v>21.0</v>
      </c>
      <c r="M47" s="19">
        <v>33.0</v>
      </c>
      <c r="N47" s="19">
        <v>31.0</v>
      </c>
      <c r="O47" s="19">
        <v>35.0</v>
      </c>
      <c r="P47" s="19">
        <v>37.0</v>
      </c>
      <c r="Q47" s="19">
        <v>39.0</v>
      </c>
      <c r="R47" s="19">
        <v>39.0</v>
      </c>
      <c r="S47" s="19">
        <v>29.0</v>
      </c>
      <c r="T47" s="13">
        <f t="shared" si="14"/>
        <v>568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60"/>
      <c r="T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S50" si="15">SUM(E45:E47)</f>
        <v>199</v>
      </c>
      <c r="F50" s="19">
        <f t="shared" si="15"/>
        <v>182</v>
      </c>
      <c r="G50" s="19">
        <f t="shared" si="15"/>
        <v>210</v>
      </c>
      <c r="H50" s="19">
        <f t="shared" si="15"/>
        <v>208</v>
      </c>
      <c r="I50" s="19">
        <f t="shared" si="15"/>
        <v>221</v>
      </c>
      <c r="J50" s="19">
        <f t="shared" si="15"/>
        <v>202</v>
      </c>
      <c r="K50" s="19">
        <f t="shared" si="15"/>
        <v>226</v>
      </c>
      <c r="L50" s="19">
        <f t="shared" si="15"/>
        <v>206</v>
      </c>
      <c r="M50" s="19">
        <f t="shared" si="15"/>
        <v>185</v>
      </c>
      <c r="N50" s="19">
        <f t="shared" si="15"/>
        <v>190</v>
      </c>
      <c r="O50" s="19">
        <f t="shared" si="15"/>
        <v>204</v>
      </c>
      <c r="P50" s="19">
        <f t="shared" si="15"/>
        <v>193</v>
      </c>
      <c r="Q50" s="19">
        <f t="shared" si="15"/>
        <v>203</v>
      </c>
      <c r="R50" s="19">
        <f t="shared" si="15"/>
        <v>201</v>
      </c>
      <c r="S50" s="19">
        <f t="shared" si="15"/>
        <v>112</v>
      </c>
      <c r="T50" s="13">
        <f t="shared" ref="T50:T52" si="16">SUM(E50:S50)</f>
        <v>2942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6.0</v>
      </c>
      <c r="F51" s="19">
        <v>5.0</v>
      </c>
      <c r="G51" s="19">
        <v>1.0</v>
      </c>
      <c r="H51" s="19">
        <v>6.0</v>
      </c>
      <c r="I51" s="19">
        <v>0.0</v>
      </c>
      <c r="J51" s="19">
        <v>7.0</v>
      </c>
      <c r="K51" s="19">
        <v>2.0</v>
      </c>
      <c r="L51" s="19">
        <v>3.0</v>
      </c>
      <c r="M51" s="19">
        <v>1.0</v>
      </c>
      <c r="N51" s="19">
        <v>4.0</v>
      </c>
      <c r="O51" s="19">
        <v>5.0</v>
      </c>
      <c r="P51" s="19">
        <v>1.0</v>
      </c>
      <c r="Q51" s="19">
        <v>2.0</v>
      </c>
      <c r="R51" s="19">
        <v>4.0</v>
      </c>
      <c r="S51" s="19">
        <v>0.0</v>
      </c>
      <c r="T51" s="13">
        <f t="shared" si="16"/>
        <v>47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S52" si="17">SUM(E50:E51)</f>
        <v>205</v>
      </c>
      <c r="F52" s="13">
        <f t="shared" si="17"/>
        <v>187</v>
      </c>
      <c r="G52" s="13">
        <f t="shared" si="17"/>
        <v>211</v>
      </c>
      <c r="H52" s="13">
        <f t="shared" si="17"/>
        <v>214</v>
      </c>
      <c r="I52" s="13">
        <f t="shared" si="17"/>
        <v>221</v>
      </c>
      <c r="J52" s="13">
        <f t="shared" si="17"/>
        <v>209</v>
      </c>
      <c r="K52" s="13">
        <f t="shared" si="17"/>
        <v>228</v>
      </c>
      <c r="L52" s="13">
        <f t="shared" si="17"/>
        <v>209</v>
      </c>
      <c r="M52" s="13">
        <f t="shared" si="17"/>
        <v>186</v>
      </c>
      <c r="N52" s="13">
        <f t="shared" si="17"/>
        <v>194</v>
      </c>
      <c r="O52" s="13">
        <f t="shared" si="17"/>
        <v>209</v>
      </c>
      <c r="P52" s="13">
        <f t="shared" si="17"/>
        <v>194</v>
      </c>
      <c r="Q52" s="13">
        <f t="shared" si="17"/>
        <v>205</v>
      </c>
      <c r="R52" s="13">
        <f t="shared" si="17"/>
        <v>205</v>
      </c>
      <c r="S52" s="13">
        <f t="shared" si="17"/>
        <v>112</v>
      </c>
      <c r="T52" s="13">
        <f t="shared" si="16"/>
        <v>2989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S15 E45:S4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50:S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83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103.0</v>
      </c>
      <c r="F14" s="19">
        <v>111.0</v>
      </c>
      <c r="G14" s="19">
        <v>96.0</v>
      </c>
      <c r="H14" s="19">
        <v>144.0</v>
      </c>
      <c r="I14" s="19">
        <v>133.0</v>
      </c>
      <c r="J14" s="19">
        <v>119.0</v>
      </c>
      <c r="K14" s="19">
        <v>134.0</v>
      </c>
      <c r="L14" s="19">
        <v>141.0</v>
      </c>
      <c r="M14" s="19">
        <v>133.0</v>
      </c>
      <c r="N14" s="19">
        <v>138.0</v>
      </c>
      <c r="O14" s="19">
        <v>130.0</v>
      </c>
      <c r="P14" s="19">
        <v>141.0</v>
      </c>
      <c r="Q14" s="19">
        <v>119.0</v>
      </c>
      <c r="R14" s="19">
        <v>110.0</v>
      </c>
      <c r="S14" s="13">
        <f t="shared" ref="S14:S16" si="1">SUM(E14:R14)</f>
        <v>1752</v>
      </c>
    </row>
    <row r="15" ht="12.75" customHeight="1">
      <c r="A15" s="18"/>
      <c r="B15" s="26"/>
      <c r="C15" s="27"/>
      <c r="D15" s="19" t="s">
        <v>13</v>
      </c>
      <c r="E15" s="19">
        <v>91.0</v>
      </c>
      <c r="F15" s="19">
        <v>95.0</v>
      </c>
      <c r="G15" s="19">
        <v>103.0</v>
      </c>
      <c r="H15" s="19">
        <v>139.0</v>
      </c>
      <c r="I15" s="19">
        <v>142.0</v>
      </c>
      <c r="J15" s="19">
        <v>110.0</v>
      </c>
      <c r="K15" s="19">
        <v>139.0</v>
      </c>
      <c r="L15" s="19">
        <v>136.0</v>
      </c>
      <c r="M15" s="19">
        <v>135.0</v>
      </c>
      <c r="N15" s="19">
        <v>124.0</v>
      </c>
      <c r="O15" s="19">
        <v>125.0</v>
      </c>
      <c r="P15" s="19">
        <v>129.0</v>
      </c>
      <c r="Q15" s="19">
        <v>135.0</v>
      </c>
      <c r="R15" s="19">
        <v>95.0</v>
      </c>
      <c r="S15" s="13">
        <f t="shared" si="1"/>
        <v>1698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194</v>
      </c>
      <c r="F16" s="13">
        <f t="shared" si="2"/>
        <v>206</v>
      </c>
      <c r="G16" s="13">
        <f t="shared" si="2"/>
        <v>199</v>
      </c>
      <c r="H16" s="13">
        <f t="shared" si="2"/>
        <v>283</v>
      </c>
      <c r="I16" s="13">
        <f t="shared" si="2"/>
        <v>275</v>
      </c>
      <c r="J16" s="13">
        <f t="shared" si="2"/>
        <v>229</v>
      </c>
      <c r="K16" s="13">
        <f t="shared" si="2"/>
        <v>273</v>
      </c>
      <c r="L16" s="13">
        <f t="shared" si="2"/>
        <v>277</v>
      </c>
      <c r="M16" s="13">
        <f t="shared" si="2"/>
        <v>268</v>
      </c>
      <c r="N16" s="13">
        <f t="shared" si="2"/>
        <v>262</v>
      </c>
      <c r="O16" s="13">
        <f t="shared" si="2"/>
        <v>255</v>
      </c>
      <c r="P16" s="13">
        <f t="shared" si="2"/>
        <v>270</v>
      </c>
      <c r="Q16" s="13">
        <f t="shared" si="2"/>
        <v>254</v>
      </c>
      <c r="R16" s="13">
        <f t="shared" si="2"/>
        <v>205</v>
      </c>
      <c r="S16" s="13">
        <f t="shared" si="1"/>
        <v>3450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71.0</v>
      </c>
      <c r="F19" s="19">
        <v>78.0</v>
      </c>
      <c r="G19" s="19">
        <v>73.0</v>
      </c>
      <c r="H19" s="19">
        <v>107.0</v>
      </c>
      <c r="I19" s="19">
        <v>103.0</v>
      </c>
      <c r="J19" s="19">
        <v>91.0</v>
      </c>
      <c r="K19" s="19">
        <v>109.0</v>
      </c>
      <c r="L19" s="19">
        <v>103.0</v>
      </c>
      <c r="M19" s="19">
        <v>83.0</v>
      </c>
      <c r="N19" s="19">
        <v>102.0</v>
      </c>
      <c r="O19" s="19">
        <v>100.0</v>
      </c>
      <c r="P19" s="19">
        <v>94.0</v>
      </c>
      <c r="Q19" s="19">
        <v>84.0</v>
      </c>
      <c r="R19" s="19">
        <v>76.0</v>
      </c>
      <c r="S19" s="13">
        <f t="shared" ref="S19:S30" si="3">SUM(E19:R19)</f>
        <v>1274</v>
      </c>
    </row>
    <row r="20" ht="12.75" customHeight="1">
      <c r="A20" s="33"/>
      <c r="B20" s="27"/>
      <c r="C20" s="34"/>
      <c r="D20" s="19" t="s">
        <v>13</v>
      </c>
      <c r="E20" s="19">
        <v>69.0</v>
      </c>
      <c r="F20" s="19">
        <v>75.0</v>
      </c>
      <c r="G20" s="19">
        <v>80.0</v>
      </c>
      <c r="H20" s="19">
        <v>105.0</v>
      </c>
      <c r="I20" s="19">
        <v>119.0</v>
      </c>
      <c r="J20" s="19">
        <v>101.0</v>
      </c>
      <c r="K20" s="19">
        <v>113.0</v>
      </c>
      <c r="L20" s="19">
        <v>115.0</v>
      </c>
      <c r="M20" s="19">
        <v>106.0</v>
      </c>
      <c r="N20" s="19">
        <v>99.0</v>
      </c>
      <c r="O20" s="19">
        <v>102.0</v>
      </c>
      <c r="P20" s="19">
        <v>88.0</v>
      </c>
      <c r="Q20" s="19">
        <v>102.0</v>
      </c>
      <c r="R20" s="19">
        <v>76.0</v>
      </c>
      <c r="S20" s="13">
        <f t="shared" si="3"/>
        <v>1350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140</v>
      </c>
      <c r="F21" s="13">
        <f t="shared" si="4"/>
        <v>153</v>
      </c>
      <c r="G21" s="13">
        <f t="shared" si="4"/>
        <v>153</v>
      </c>
      <c r="H21" s="13">
        <f t="shared" si="4"/>
        <v>212</v>
      </c>
      <c r="I21" s="13">
        <f t="shared" si="4"/>
        <v>222</v>
      </c>
      <c r="J21" s="13">
        <f t="shared" si="4"/>
        <v>192</v>
      </c>
      <c r="K21" s="13">
        <f t="shared" si="4"/>
        <v>222</v>
      </c>
      <c r="L21" s="13">
        <f t="shared" si="4"/>
        <v>218</v>
      </c>
      <c r="M21" s="13">
        <f t="shared" si="4"/>
        <v>189</v>
      </c>
      <c r="N21" s="13">
        <f t="shared" si="4"/>
        <v>201</v>
      </c>
      <c r="O21" s="13">
        <f t="shared" si="4"/>
        <v>202</v>
      </c>
      <c r="P21" s="13">
        <f t="shared" si="4"/>
        <v>182</v>
      </c>
      <c r="Q21" s="13">
        <f t="shared" si="4"/>
        <v>186</v>
      </c>
      <c r="R21" s="13">
        <f t="shared" si="4"/>
        <v>152</v>
      </c>
      <c r="S21" s="13">
        <f t="shared" si="3"/>
        <v>2624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2.0</v>
      </c>
      <c r="H22" s="19">
        <v>1.0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1</v>
      </c>
      <c r="G24" s="13">
        <f t="shared" si="5"/>
        <v>2</v>
      </c>
      <c r="H24" s="13">
        <f t="shared" si="5"/>
        <v>2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2.0</v>
      </c>
      <c r="H25" s="19">
        <v>0.0</v>
      </c>
      <c r="I25" s="19">
        <v>0.0</v>
      </c>
      <c r="J25" s="19">
        <v>1.0</v>
      </c>
      <c r="K25" s="19">
        <v>2.0</v>
      </c>
      <c r="L25" s="19">
        <v>0.0</v>
      </c>
      <c r="M25" s="19">
        <v>1.0</v>
      </c>
      <c r="N25" s="19">
        <v>0.0</v>
      </c>
      <c r="O25" s="19">
        <v>1.0</v>
      </c>
      <c r="P25" s="19">
        <v>5.0</v>
      </c>
      <c r="Q25" s="19">
        <v>0.0</v>
      </c>
      <c r="R25" s="19">
        <v>1.0</v>
      </c>
      <c r="S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3.0</v>
      </c>
      <c r="H26" s="19">
        <v>0.0</v>
      </c>
      <c r="I26" s="19">
        <v>1.0</v>
      </c>
      <c r="J26" s="19">
        <v>3.0</v>
      </c>
      <c r="K26" s="19">
        <v>1.0</v>
      </c>
      <c r="L26" s="19">
        <v>3.0</v>
      </c>
      <c r="M26" s="19">
        <v>2.0</v>
      </c>
      <c r="N26" s="19">
        <v>1.0</v>
      </c>
      <c r="O26" s="19">
        <v>3.0</v>
      </c>
      <c r="P26" s="19">
        <v>1.0</v>
      </c>
      <c r="Q26" s="19">
        <v>0.0</v>
      </c>
      <c r="R26" s="19">
        <v>1.0</v>
      </c>
      <c r="S26" s="13">
        <f t="shared" si="3"/>
        <v>21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4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1</v>
      </c>
      <c r="J27" s="13">
        <f t="shared" si="6"/>
        <v>4</v>
      </c>
      <c r="K27" s="13">
        <f t="shared" si="6"/>
        <v>3</v>
      </c>
      <c r="L27" s="13">
        <f t="shared" si="6"/>
        <v>3</v>
      </c>
      <c r="M27" s="13">
        <f t="shared" si="6"/>
        <v>3</v>
      </c>
      <c r="N27" s="13">
        <f t="shared" si="6"/>
        <v>1</v>
      </c>
      <c r="O27" s="13">
        <f t="shared" si="6"/>
        <v>4</v>
      </c>
      <c r="P27" s="13">
        <f t="shared" si="6"/>
        <v>6</v>
      </c>
      <c r="Q27" s="13">
        <f t="shared" si="6"/>
        <v>0</v>
      </c>
      <c r="R27" s="13">
        <f t="shared" si="6"/>
        <v>2</v>
      </c>
      <c r="S27" s="13">
        <f t="shared" si="3"/>
        <v>36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73</v>
      </c>
      <c r="F28" s="13">
        <f t="shared" si="7"/>
        <v>78</v>
      </c>
      <c r="G28" s="13">
        <f t="shared" si="7"/>
        <v>77</v>
      </c>
      <c r="H28" s="13">
        <f t="shared" si="7"/>
        <v>108</v>
      </c>
      <c r="I28" s="13">
        <f t="shared" si="7"/>
        <v>104</v>
      </c>
      <c r="J28" s="13">
        <f t="shared" si="7"/>
        <v>92</v>
      </c>
      <c r="K28" s="13">
        <f t="shared" si="7"/>
        <v>111</v>
      </c>
      <c r="L28" s="13">
        <f t="shared" si="7"/>
        <v>103</v>
      </c>
      <c r="M28" s="13">
        <f t="shared" si="7"/>
        <v>84</v>
      </c>
      <c r="N28" s="13">
        <f t="shared" si="7"/>
        <v>102</v>
      </c>
      <c r="O28" s="13">
        <f t="shared" si="7"/>
        <v>101</v>
      </c>
      <c r="P28" s="13">
        <f t="shared" si="7"/>
        <v>99</v>
      </c>
      <c r="Q28" s="13">
        <f t="shared" si="7"/>
        <v>84</v>
      </c>
      <c r="R28" s="13">
        <f t="shared" si="7"/>
        <v>77</v>
      </c>
      <c r="S28" s="13">
        <f t="shared" si="3"/>
        <v>1293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71</v>
      </c>
      <c r="F29" s="13">
        <f t="shared" si="8"/>
        <v>76</v>
      </c>
      <c r="G29" s="13">
        <f t="shared" si="8"/>
        <v>83</v>
      </c>
      <c r="H29" s="13">
        <f t="shared" si="8"/>
        <v>106</v>
      </c>
      <c r="I29" s="13">
        <f t="shared" si="8"/>
        <v>120</v>
      </c>
      <c r="J29" s="13">
        <f t="shared" si="8"/>
        <v>104</v>
      </c>
      <c r="K29" s="13">
        <f t="shared" si="8"/>
        <v>114</v>
      </c>
      <c r="L29" s="13">
        <f t="shared" si="8"/>
        <v>118</v>
      </c>
      <c r="M29" s="13">
        <f t="shared" si="8"/>
        <v>108</v>
      </c>
      <c r="N29" s="13">
        <f t="shared" si="8"/>
        <v>100</v>
      </c>
      <c r="O29" s="13">
        <f t="shared" si="8"/>
        <v>105</v>
      </c>
      <c r="P29" s="13">
        <f t="shared" si="8"/>
        <v>89</v>
      </c>
      <c r="Q29" s="13">
        <f t="shared" si="8"/>
        <v>102</v>
      </c>
      <c r="R29" s="13">
        <f t="shared" si="8"/>
        <v>77</v>
      </c>
      <c r="S29" s="13">
        <f t="shared" si="3"/>
        <v>1373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144</v>
      </c>
      <c r="F30" s="13">
        <f t="shared" si="9"/>
        <v>154</v>
      </c>
      <c r="G30" s="13">
        <f t="shared" si="9"/>
        <v>160</v>
      </c>
      <c r="H30" s="13">
        <f t="shared" si="9"/>
        <v>214</v>
      </c>
      <c r="I30" s="13">
        <f t="shared" si="9"/>
        <v>224</v>
      </c>
      <c r="J30" s="13">
        <f t="shared" si="9"/>
        <v>196</v>
      </c>
      <c r="K30" s="13">
        <f t="shared" si="9"/>
        <v>225</v>
      </c>
      <c r="L30" s="13">
        <f t="shared" si="9"/>
        <v>221</v>
      </c>
      <c r="M30" s="13">
        <f t="shared" si="9"/>
        <v>192</v>
      </c>
      <c r="N30" s="13">
        <f t="shared" si="9"/>
        <v>202</v>
      </c>
      <c r="O30" s="13">
        <f t="shared" si="9"/>
        <v>206</v>
      </c>
      <c r="P30" s="13">
        <f t="shared" si="9"/>
        <v>188</v>
      </c>
      <c r="Q30" s="13">
        <f t="shared" si="9"/>
        <v>186</v>
      </c>
      <c r="R30" s="13">
        <f t="shared" si="9"/>
        <v>154</v>
      </c>
      <c r="S30" s="13">
        <f t="shared" si="3"/>
        <v>2666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188.0</v>
      </c>
      <c r="F33" s="19">
        <v>205.0</v>
      </c>
      <c r="G33" s="19">
        <v>193.0</v>
      </c>
      <c r="H33" s="19">
        <v>283.0</v>
      </c>
      <c r="I33" s="19">
        <v>270.0</v>
      </c>
      <c r="J33" s="19">
        <v>224.0</v>
      </c>
      <c r="K33" s="19">
        <v>269.0</v>
      </c>
      <c r="L33" s="19">
        <v>267.0</v>
      </c>
      <c r="M33" s="19">
        <v>263.0</v>
      </c>
      <c r="N33" s="19">
        <v>258.0</v>
      </c>
      <c r="O33" s="19">
        <v>249.0</v>
      </c>
      <c r="P33" s="19">
        <v>263.0</v>
      </c>
      <c r="Q33" s="19">
        <v>253.0</v>
      </c>
      <c r="R33" s="19">
        <v>197.0</v>
      </c>
      <c r="S33" s="13">
        <f t="shared" ref="S33:S36" si="10">SUM(E33:R33)</f>
        <v>3382</v>
      </c>
    </row>
    <row r="34" ht="12.75" customHeight="1">
      <c r="A34" s="19">
        <v>2.0</v>
      </c>
      <c r="B34" s="20" t="s">
        <v>28</v>
      </c>
      <c r="C34" s="15"/>
      <c r="D34" s="16"/>
      <c r="E34" s="13">
        <v>144.0</v>
      </c>
      <c r="F34" s="13">
        <v>154.0</v>
      </c>
      <c r="G34" s="13">
        <v>160.0</v>
      </c>
      <c r="H34" s="13">
        <v>214.0</v>
      </c>
      <c r="I34" s="13">
        <v>224.0</v>
      </c>
      <c r="J34" s="13">
        <v>195.0</v>
      </c>
      <c r="K34" s="13">
        <v>225.0</v>
      </c>
      <c r="L34" s="13">
        <v>220.0</v>
      </c>
      <c r="M34" s="13">
        <v>192.0</v>
      </c>
      <c r="N34" s="13">
        <v>202.0</v>
      </c>
      <c r="O34" s="13">
        <v>205.0</v>
      </c>
      <c r="P34" s="13">
        <v>188.0</v>
      </c>
      <c r="Q34" s="13">
        <v>196.0</v>
      </c>
      <c r="R34" s="13">
        <v>154.0</v>
      </c>
      <c r="S34" s="13">
        <f t="shared" si="10"/>
        <v>2673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2.0</v>
      </c>
      <c r="Q35" s="19">
        <v>0.0</v>
      </c>
      <c r="R35" s="19">
        <v>0.0</v>
      </c>
      <c r="S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44</v>
      </c>
      <c r="F36" s="13">
        <f t="shared" si="11"/>
        <v>50</v>
      </c>
      <c r="G36" s="13">
        <f t="shared" si="11"/>
        <v>33</v>
      </c>
      <c r="H36" s="13">
        <f t="shared" si="11"/>
        <v>69</v>
      </c>
      <c r="I36" s="13">
        <f t="shared" si="11"/>
        <v>46</v>
      </c>
      <c r="J36" s="13">
        <f t="shared" si="11"/>
        <v>29</v>
      </c>
      <c r="K36" s="13">
        <f t="shared" si="11"/>
        <v>44</v>
      </c>
      <c r="L36" s="13">
        <f t="shared" si="11"/>
        <v>47</v>
      </c>
      <c r="M36" s="13">
        <f t="shared" si="11"/>
        <v>71</v>
      </c>
      <c r="N36" s="13">
        <f t="shared" si="11"/>
        <v>56</v>
      </c>
      <c r="O36" s="13">
        <f t="shared" si="11"/>
        <v>44</v>
      </c>
      <c r="P36" s="13">
        <f t="shared" si="11"/>
        <v>73</v>
      </c>
      <c r="Q36" s="13">
        <f t="shared" si="11"/>
        <v>57</v>
      </c>
      <c r="R36" s="13">
        <f t="shared" si="11"/>
        <v>43</v>
      </c>
      <c r="S36" s="13">
        <f t="shared" si="10"/>
        <v>706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>
        <v>1.0</v>
      </c>
      <c r="N39" s="19"/>
      <c r="O39" s="19"/>
      <c r="P39" s="19"/>
      <c r="Q39" s="19"/>
      <c r="R39" s="19"/>
      <c r="S39" s="13">
        <f t="shared" ref="S39:S41" si="12">SUM(E39:R39)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3"/>
    </row>
    <row r="45" ht="12.75" customHeight="1">
      <c r="A45" s="30"/>
      <c r="B45" s="47">
        <v>1.0</v>
      </c>
      <c r="C45" s="48" t="s">
        <v>37</v>
      </c>
      <c r="D45" s="16"/>
      <c r="E45" s="19">
        <v>11.0</v>
      </c>
      <c r="F45" s="19">
        <v>13.0</v>
      </c>
      <c r="G45" s="19">
        <v>16.0</v>
      </c>
      <c r="H45" s="19">
        <v>28.0</v>
      </c>
      <c r="I45" s="19">
        <v>14.0</v>
      </c>
      <c r="J45" s="19">
        <v>15.0</v>
      </c>
      <c r="K45" s="19">
        <v>21.0</v>
      </c>
      <c r="L45" s="19">
        <v>12.0</v>
      </c>
      <c r="M45" s="19">
        <v>14.0</v>
      </c>
      <c r="N45" s="19">
        <v>22.0</v>
      </c>
      <c r="O45" s="19">
        <v>29.0</v>
      </c>
      <c r="P45" s="19">
        <v>8.0</v>
      </c>
      <c r="Q45" s="19">
        <v>18.0</v>
      </c>
      <c r="R45" s="19">
        <v>16.0</v>
      </c>
      <c r="S45" s="13">
        <f t="shared" ref="S45:S47" si="14">SUM(E45:R45)</f>
        <v>237</v>
      </c>
    </row>
    <row r="46" ht="12.75" customHeight="1">
      <c r="A46" s="18"/>
      <c r="B46" s="47">
        <v>2.0</v>
      </c>
      <c r="C46" s="48" t="s">
        <v>38</v>
      </c>
      <c r="D46" s="16"/>
      <c r="E46" s="19">
        <v>107.0</v>
      </c>
      <c r="F46" s="19">
        <v>108.0</v>
      </c>
      <c r="G46" s="19">
        <v>117.0</v>
      </c>
      <c r="H46" s="19">
        <v>154.0</v>
      </c>
      <c r="I46" s="19">
        <v>150.0</v>
      </c>
      <c r="J46" s="19">
        <v>157.0</v>
      </c>
      <c r="K46" s="19">
        <v>158.0</v>
      </c>
      <c r="L46" s="19">
        <v>163.0</v>
      </c>
      <c r="M46" s="19">
        <v>166.0</v>
      </c>
      <c r="N46" s="19">
        <v>151.0</v>
      </c>
      <c r="O46" s="19">
        <v>147.0</v>
      </c>
      <c r="P46" s="19">
        <v>141.0</v>
      </c>
      <c r="Q46" s="19">
        <v>142.0</v>
      </c>
      <c r="R46" s="19">
        <v>109.0</v>
      </c>
      <c r="S46" s="13">
        <f t="shared" si="14"/>
        <v>1970</v>
      </c>
    </row>
    <row r="47" ht="12.75" customHeight="1">
      <c r="A47" s="18"/>
      <c r="B47" s="47">
        <v>3.0</v>
      </c>
      <c r="C47" s="48" t="s">
        <v>39</v>
      </c>
      <c r="D47" s="16"/>
      <c r="E47" s="19">
        <v>22.0</v>
      </c>
      <c r="F47" s="19">
        <v>20.0</v>
      </c>
      <c r="G47" s="19">
        <v>23.0</v>
      </c>
      <c r="H47" s="19">
        <v>24.0</v>
      </c>
      <c r="I47" s="19">
        <v>32.0</v>
      </c>
      <c r="J47" s="19">
        <v>30.0</v>
      </c>
      <c r="K47" s="19">
        <v>37.0</v>
      </c>
      <c r="L47" s="19">
        <v>17.0</v>
      </c>
      <c r="M47" s="19">
        <v>6.0</v>
      </c>
      <c r="N47" s="19">
        <v>23.0</v>
      </c>
      <c r="O47" s="19">
        <v>30.0</v>
      </c>
      <c r="P47" s="19">
        <v>36.0</v>
      </c>
      <c r="Q47" s="19">
        <v>24.0</v>
      </c>
      <c r="R47" s="19">
        <v>27.0</v>
      </c>
      <c r="S47" s="13">
        <f t="shared" si="14"/>
        <v>351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R50" si="15">SUM(E45:E47)</f>
        <v>140</v>
      </c>
      <c r="F50" s="19">
        <f t="shared" si="15"/>
        <v>141</v>
      </c>
      <c r="G50" s="19">
        <f t="shared" si="15"/>
        <v>156</v>
      </c>
      <c r="H50" s="19">
        <f t="shared" si="15"/>
        <v>206</v>
      </c>
      <c r="I50" s="19">
        <f t="shared" si="15"/>
        <v>196</v>
      </c>
      <c r="J50" s="19">
        <f t="shared" si="15"/>
        <v>202</v>
      </c>
      <c r="K50" s="19">
        <f t="shared" si="15"/>
        <v>216</v>
      </c>
      <c r="L50" s="19">
        <f t="shared" si="15"/>
        <v>192</v>
      </c>
      <c r="M50" s="19">
        <f t="shared" si="15"/>
        <v>186</v>
      </c>
      <c r="N50" s="19">
        <f t="shared" si="15"/>
        <v>196</v>
      </c>
      <c r="O50" s="19">
        <f t="shared" si="15"/>
        <v>206</v>
      </c>
      <c r="P50" s="19">
        <f t="shared" si="15"/>
        <v>185</v>
      </c>
      <c r="Q50" s="19">
        <f t="shared" si="15"/>
        <v>184</v>
      </c>
      <c r="R50" s="19">
        <f t="shared" si="15"/>
        <v>152</v>
      </c>
      <c r="S50" s="13">
        <f t="shared" ref="S50:S52" si="16">SUM(E50:R50)</f>
        <v>2558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1.0</v>
      </c>
      <c r="G51" s="19">
        <v>4.0</v>
      </c>
      <c r="H51" s="19">
        <v>0.0</v>
      </c>
      <c r="I51" s="19">
        <v>0.0</v>
      </c>
      <c r="J51" s="19">
        <v>4.0</v>
      </c>
      <c r="K51" s="19">
        <v>0.0</v>
      </c>
      <c r="L51" s="19">
        <v>0.0</v>
      </c>
      <c r="M51" s="19">
        <v>4.0</v>
      </c>
      <c r="N51" s="19">
        <v>0.0</v>
      </c>
      <c r="O51" s="19">
        <v>1.0</v>
      </c>
      <c r="P51" s="19">
        <v>3.0</v>
      </c>
      <c r="Q51" s="19">
        <v>2.0</v>
      </c>
      <c r="R51" s="19">
        <v>2.0</v>
      </c>
      <c r="S51" s="13">
        <f t="shared" si="16"/>
        <v>26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R52" si="17">SUM(E50:E51)</f>
        <v>145</v>
      </c>
      <c r="F52" s="13">
        <f t="shared" si="17"/>
        <v>142</v>
      </c>
      <c r="G52" s="13">
        <f t="shared" si="17"/>
        <v>160</v>
      </c>
      <c r="H52" s="13">
        <f t="shared" si="17"/>
        <v>206</v>
      </c>
      <c r="I52" s="13">
        <f t="shared" si="17"/>
        <v>196</v>
      </c>
      <c r="J52" s="13">
        <f t="shared" si="17"/>
        <v>206</v>
      </c>
      <c r="K52" s="13">
        <f t="shared" si="17"/>
        <v>216</v>
      </c>
      <c r="L52" s="13">
        <f t="shared" si="17"/>
        <v>192</v>
      </c>
      <c r="M52" s="13">
        <f t="shared" si="17"/>
        <v>190</v>
      </c>
      <c r="N52" s="13">
        <f t="shared" si="17"/>
        <v>196</v>
      </c>
      <c r="O52" s="13">
        <f t="shared" si="17"/>
        <v>207</v>
      </c>
      <c r="P52" s="13">
        <f t="shared" si="17"/>
        <v>188</v>
      </c>
      <c r="Q52" s="13">
        <f t="shared" si="17"/>
        <v>186</v>
      </c>
      <c r="R52" s="13">
        <f t="shared" si="17"/>
        <v>154</v>
      </c>
      <c r="S52" s="13">
        <f t="shared" si="16"/>
        <v>2584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R15 E45:R4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50:R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