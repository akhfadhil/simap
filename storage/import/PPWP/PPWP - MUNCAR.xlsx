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LAMBANGAN" sheetId="2" r:id="rId5"/>
    <sheet state="visible" name="KEDUNGREJO" sheetId="3" r:id="rId6"/>
    <sheet state="visible" name="KEDUNGRINGIN" sheetId="4" r:id="rId7"/>
    <sheet state="visible" name="KUMENDUNG" sheetId="5" r:id="rId8"/>
    <sheet state="visible" name="SUMBERBERAS" sheetId="6" r:id="rId9"/>
    <sheet state="visible" name="SUMBERSEWU" sheetId="7" r:id="rId10"/>
    <sheet state="visible" name="TAMBAKREJO" sheetId="8" r:id="rId11"/>
    <sheet state="visible" name="TAPANREJO" sheetId="9" r:id="rId12"/>
    <sheet state="visible" name="TEMBOKREJO" sheetId="10" r:id="rId13"/>
    <sheet state="visible" name="WRINGINPUTIH" sheetId="11" r:id="rId14"/>
  </sheets>
  <definedNames/>
  <calcPr/>
  <extLst>
    <ext uri="GoogleSheetsCustomDataVersion2">
      <go:sheetsCustomData xmlns:go="http://customooxmlschemas.google.com/" r:id="rId15" roundtripDataChecksum="OI2mE57wRiNaAuKt/Rw3UISPZH5FOf7FdV+17DSTHiU="/>
    </ext>
  </extLst>
</workbook>
</file>

<file path=xl/sharedStrings.xml><?xml version="1.0" encoding="utf-8"?>
<sst xmlns="http://schemas.openxmlformats.org/spreadsheetml/2006/main" count="2883" uniqueCount="146">
  <si>
    <t>Kecamatan</t>
  </si>
  <si>
    <t>MUNCAR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</si>
  <si>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</si>
  <si>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</si>
  <si>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</si>
  <si>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</si>
  <si>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</si>
  <si>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</si>
  <si>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</si>
  <si>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</si>
  <si>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</si>
  <si>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</si>
  <si>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</si>
  <si>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</si>
  <si>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</si>
  <si>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</si>
  <si>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</si>
  <si>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</si>
  <si>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</si>
  <si>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</si>
  <si>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</si>
  <si>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</si>
  <si>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</si>
  <si>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</si>
  <si>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</si>
  <si>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</si>
  <si>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</si>
  <si>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</si>
  <si>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</si>
  <si>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</si>
  <si>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</si>
  <si>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</si>
  <si>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</si>
  <si>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</si>
  <si>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</si>
  <si>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</si>
  <si>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</si>
  <si>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</si>
  <si>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</si>
  <si>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</si>
  <si>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</si>
  <si>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</si>
  <si>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</si>
  <si>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</si>
  <si>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</si>
  <si>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</si>
  <si>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</si>
  <si>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</si>
  <si>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</si>
  <si>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BLAMBANGAN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</si>
  <si>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</si>
  <si>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</si>
  <si>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</si>
  <si>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</si>
  <si>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</si>
  <si>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</si>
  <si>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</si>
  <si>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</si>
  <si>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</si>
  <si>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</si>
  <si>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</si>
  <si>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</si>
  <si>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</si>
  <si>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</si>
  <si>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</si>
  <si>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</si>
  <si>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</si>
  <si>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</si>
  <si>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</si>
  <si>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</si>
  <si>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</si>
  <si>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</si>
  <si>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</si>
  <si>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</si>
  <si>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KEDUNGREJO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</si>
  <si>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</si>
  <si>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</si>
  <si>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</si>
  <si>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</si>
  <si>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</si>
  <si>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</si>
  <si>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</si>
  <si>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</si>
  <si>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</si>
  <si>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</si>
  <si>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</si>
  <si>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</si>
  <si>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</si>
  <si>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</si>
  <si>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</si>
  <si>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</si>
  <si>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</si>
  <si>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</si>
  <si>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</si>
  <si>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</si>
  <si>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</si>
  <si>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</si>
  <si>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</si>
  <si>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</si>
  <si>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</si>
  <si>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</si>
  <si>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</si>
  <si>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</si>
  <si>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</si>
  <si>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</si>
  <si>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</si>
  <si>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</si>
  <si>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</si>
  <si>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</si>
  <si>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</si>
  <si>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</si>
  <si>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</si>
  <si>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</si>
  <si>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</si>
  <si>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</si>
  <si>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</si>
  <si>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TPS 066</t>
  </si>
  <si>
    <t>TPS 067</t>
  </si>
  <si>
    <t>TPS 068</t>
  </si>
  <si>
    <t>TPS 069</t>
  </si>
  <si>
    <t>TPS 070</t>
  </si>
  <si>
    <t>TPS 071</t>
  </si>
  <si>
    <t>TPS 072</t>
  </si>
  <si>
    <t>TPS 073</t>
  </si>
  <si>
    <t>TPS 074</t>
  </si>
  <si>
    <t>TPS 075</t>
  </si>
  <si>
    <t>TPS 076</t>
  </si>
  <si>
    <t>TPS 077</t>
  </si>
  <si>
    <t>KEDUNGRINGIN</t>
  </si>
  <si>
    <t xml:space="preserve">TPS 001 </t>
  </si>
  <si>
    <t>KUMENDUNG</t>
  </si>
  <si>
    <t>SUMBERBERAS</t>
  </si>
  <si>
    <t>SUMBERSEWU</t>
  </si>
  <si>
    <t>TAMBAKREJO</t>
  </si>
  <si>
    <t>TAPANREJO</t>
  </si>
  <si>
    <t>TEMBOKREJO</t>
  </si>
  <si>
    <t>TPS 078</t>
  </si>
  <si>
    <t>TPS 079</t>
  </si>
  <si>
    <t>TPS 080</t>
  </si>
  <si>
    <t>TPS 081</t>
  </si>
  <si>
    <t>TPS 082</t>
  </si>
  <si>
    <t>TPS 083</t>
  </si>
  <si>
    <t>TPS 084</t>
  </si>
  <si>
    <t>TPS 085</t>
  </si>
  <si>
    <t>TPS 086</t>
  </si>
  <si>
    <t>WRINGINPUTIH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</si>
</sst>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color theme="1"/>
      <name val="Bookman Old Style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Arial"/>
    </font>
    <font>
      <b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1" fillId="0" fontId="6" numFmtId="3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1" fillId="0" fontId="6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2" fillId="0" fontId="3" numFmtId="3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6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1" fillId="0" fontId="10" numFmtId="0" xfId="0" applyAlignment="1" applyBorder="1" applyFont="1">
      <alignment horizont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53420.0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52650.0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106070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24">
        <v>38753.0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24">
        <v>40846.0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29">
        <f>SUM(E19:E20)</f>
        <v>79599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8">
        <v>80.0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8">
        <v>61.0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9">
        <f>SUM(E22:E23)</f>
        <v>141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8">
        <v>515.0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8">
        <v>608.0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9">
        <f>SUM(E25:E26)</f>
        <v>1123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40" t="s">
        <v>23</v>
      </c>
      <c r="C28" s="41" t="s">
        <v>24</v>
      </c>
      <c r="D28" s="13" t="s">
        <v>12</v>
      </c>
      <c r="E28" s="29">
        <f t="shared" ref="E28:E29" si="1">E19+E22+E25</f>
        <v>39348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29">
        <f t="shared" si="1"/>
        <v>41515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29">
        <f>SUM(E28:E29)</f>
        <v>80863</v>
      </c>
      <c r="F30" s="4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3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4" t="s">
        <v>25</v>
      </c>
      <c r="B32" s="14" t="s">
        <v>26</v>
      </c>
      <c r="C32" s="15"/>
      <c r="D32" s="16"/>
      <c r="E32" s="3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45">
        <v>108426.0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45">
        <v>80863.0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0">
        <v>114.0</v>
      </c>
      <c r="F35" s="4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27449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6" t="s">
        <v>31</v>
      </c>
      <c r="B38" s="14" t="s">
        <v>32</v>
      </c>
      <c r="C38" s="15"/>
      <c r="D38" s="16"/>
      <c r="E38" s="3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7" t="s">
        <v>33</v>
      </c>
      <c r="C39" s="23"/>
      <c r="D39" s="19" t="s">
        <v>12</v>
      </c>
      <c r="E39" s="30">
        <v>37.0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0">
        <v>39.0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4"/>
      <c r="B41" s="48"/>
      <c r="C41" s="28"/>
      <c r="D41" s="13" t="s">
        <v>14</v>
      </c>
      <c r="E41" s="39">
        <f>SUM(E39:E40)</f>
        <v>76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9"/>
      <c r="B42" s="48"/>
      <c r="C42" s="48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6" t="s">
        <v>34</v>
      </c>
      <c r="B43" s="14" t="s">
        <v>35</v>
      </c>
      <c r="C43" s="15"/>
      <c r="D43" s="16"/>
      <c r="E43" s="3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7" t="s">
        <v>36</v>
      </c>
      <c r="B44" s="50"/>
      <c r="C44" s="50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/>
      <c r="B45" s="51">
        <v>1.0</v>
      </c>
      <c r="C45" s="52" t="s">
        <v>37</v>
      </c>
      <c r="D45" s="16"/>
      <c r="E45" s="45">
        <v>6920.0</v>
      </c>
      <c r="F45" s="53"/>
      <c r="G45" s="54"/>
      <c r="H45" s="54"/>
      <c r="I45" s="54"/>
      <c r="J45" s="54"/>
      <c r="K45" s="54"/>
      <c r="L45" s="54"/>
      <c r="M45" s="54"/>
      <c r="N45" s="54"/>
      <c r="O45" s="54"/>
      <c r="P45" s="55"/>
      <c r="Q45" s="3"/>
      <c r="R45" s="3"/>
      <c r="S45" s="3"/>
      <c r="T45" s="3"/>
      <c r="U45" s="3"/>
      <c r="V45" s="3"/>
      <c r="W45" s="56"/>
      <c r="X45" s="3"/>
      <c r="Y45" s="3"/>
      <c r="Z45" s="3"/>
    </row>
    <row r="46" ht="15.75" customHeight="1">
      <c r="A46" s="34"/>
      <c r="B46" s="51">
        <v>2.0</v>
      </c>
      <c r="C46" s="52" t="s">
        <v>38</v>
      </c>
      <c r="D46" s="16"/>
      <c r="E46" s="45">
        <v>57176.0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7"/>
      <c r="B47" s="51">
        <v>3.0</v>
      </c>
      <c r="C47" s="52" t="s">
        <v>39</v>
      </c>
      <c r="D47" s="16"/>
      <c r="E47" s="45">
        <v>15376.0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6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6"/>
      <c r="B50" s="58" t="s">
        <v>42</v>
      </c>
      <c r="C50" s="59" t="s">
        <v>43</v>
      </c>
      <c r="D50" s="16"/>
      <c r="E50" s="45">
        <v>79472.0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6"/>
      <c r="B51" s="58" t="s">
        <v>44</v>
      </c>
      <c r="C51" s="59" t="s">
        <v>45</v>
      </c>
      <c r="D51" s="16"/>
      <c r="E51" s="45">
        <v>1391.0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4"/>
      <c r="B52" s="58" t="s">
        <v>46</v>
      </c>
      <c r="C52" s="59" t="s">
        <v>47</v>
      </c>
      <c r="D52" s="16"/>
      <c r="E52" s="60">
        <f>SUM(E50:E51)</f>
        <v>80863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61"/>
      <c r="C53" s="62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61"/>
      <c r="C54" s="6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61"/>
      <c r="C55" s="62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61"/>
      <c r="C56" s="62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61"/>
      <c r="C57" s="62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61"/>
      <c r="C58" s="6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61"/>
      <c r="C59" s="62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61"/>
      <c r="C60" s="62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61"/>
      <c r="C61" s="62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61"/>
      <c r="C62" s="6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61"/>
      <c r="C63" s="62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61"/>
      <c r="C64" s="62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61"/>
      <c r="C65" s="62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61"/>
      <c r="C66" s="62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61"/>
      <c r="C67" s="62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61"/>
      <c r="C68" s="6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61"/>
      <c r="C69" s="62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61"/>
      <c r="C70" s="6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61"/>
      <c r="C71" s="6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61"/>
      <c r="C72" s="6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61"/>
      <c r="C73" s="6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61"/>
      <c r="C74" s="6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61"/>
      <c r="C75" s="6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61"/>
      <c r="C76" s="6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61"/>
      <c r="C77" s="6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61"/>
      <c r="C78" s="6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61"/>
      <c r="C79" s="62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61"/>
      <c r="C80" s="6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61"/>
      <c r="C81" s="6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61"/>
      <c r="C82" s="6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61"/>
      <c r="C83" s="6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61"/>
      <c r="C84" s="6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61"/>
      <c r="C85" s="6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61"/>
      <c r="C86" s="6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61"/>
      <c r="C87" s="6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61"/>
      <c r="C88" s="6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61"/>
      <c r="C89" s="6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61"/>
      <c r="C90" s="6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61"/>
      <c r="C91" s="6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61"/>
      <c r="C92" s="6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61"/>
      <c r="C93" s="6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61"/>
      <c r="C94" s="6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61"/>
      <c r="C95" s="6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61"/>
      <c r="C96" s="6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61"/>
      <c r="C97" s="6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61"/>
      <c r="C98" s="6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61"/>
      <c r="C99" s="6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61"/>
      <c r="C100" s="6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61"/>
      <c r="C101" s="6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61"/>
      <c r="C102" s="6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61"/>
      <c r="C103" s="6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61"/>
      <c r="C104" s="6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61"/>
      <c r="C105" s="6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61"/>
      <c r="C106" s="6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61"/>
      <c r="C107" s="6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61"/>
      <c r="C108" s="6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61"/>
      <c r="C109" s="6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61"/>
      <c r="C110" s="6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61"/>
      <c r="C111" s="6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61"/>
      <c r="C112" s="6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61"/>
      <c r="C113" s="6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61"/>
      <c r="C114" s="6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61"/>
      <c r="C115" s="6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61"/>
      <c r="C116" s="6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61"/>
      <c r="C117" s="6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61"/>
      <c r="C118" s="6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61"/>
      <c r="C119" s="6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61"/>
      <c r="C120" s="6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61"/>
      <c r="C121" s="6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61"/>
      <c r="C122" s="6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61"/>
      <c r="C123" s="6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61"/>
      <c r="C124" s="6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61"/>
      <c r="C125" s="6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61"/>
      <c r="C126" s="6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61"/>
      <c r="C127" s="6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61"/>
      <c r="C128" s="6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61"/>
      <c r="C129" s="6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61"/>
      <c r="C130" s="6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61"/>
      <c r="C131" s="6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61"/>
      <c r="C132" s="6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61"/>
      <c r="C133" s="6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61"/>
      <c r="C134" s="6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61"/>
      <c r="C135" s="6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61"/>
      <c r="C136" s="6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61"/>
      <c r="C137" s="6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61"/>
      <c r="C138" s="6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61"/>
      <c r="C139" s="6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61"/>
      <c r="C140" s="6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61"/>
      <c r="C141" s="6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61"/>
      <c r="C142" s="6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61"/>
      <c r="C143" s="6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61"/>
      <c r="C144" s="6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61"/>
      <c r="C145" s="6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61"/>
      <c r="C146" s="6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61"/>
      <c r="C147" s="6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61"/>
      <c r="C148" s="6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61"/>
      <c r="C149" s="6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61"/>
      <c r="C150" s="6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61"/>
      <c r="C151" s="6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61"/>
      <c r="C152" s="6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61"/>
      <c r="C153" s="6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61"/>
      <c r="C154" s="6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61"/>
      <c r="C155" s="6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61"/>
      <c r="C156" s="6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61"/>
      <c r="C157" s="6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61"/>
      <c r="C158" s="6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61"/>
      <c r="C159" s="6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61"/>
      <c r="C160" s="6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61"/>
      <c r="C161" s="6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61"/>
      <c r="C162" s="6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61"/>
      <c r="C163" s="6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61"/>
      <c r="C164" s="6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61"/>
      <c r="C165" s="6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61"/>
      <c r="C166" s="6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61"/>
      <c r="C167" s="6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61"/>
      <c r="C168" s="6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61"/>
      <c r="C169" s="6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61"/>
      <c r="C170" s="6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61"/>
      <c r="C171" s="6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61"/>
      <c r="C172" s="6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61"/>
      <c r="C173" s="6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61"/>
      <c r="C174" s="6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61"/>
      <c r="C175" s="6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61"/>
      <c r="C176" s="6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61"/>
      <c r="C177" s="6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61"/>
      <c r="C178" s="6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61"/>
      <c r="C179" s="6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61"/>
      <c r="C180" s="6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61"/>
      <c r="C181" s="6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61"/>
      <c r="C182" s="6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61"/>
      <c r="C183" s="6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61"/>
      <c r="C184" s="6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61"/>
      <c r="C185" s="6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61"/>
      <c r="C186" s="6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61"/>
      <c r="C187" s="6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61"/>
      <c r="C188" s="6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61"/>
      <c r="C189" s="6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61"/>
      <c r="C190" s="6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61"/>
      <c r="C191" s="6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61"/>
      <c r="C192" s="6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61"/>
      <c r="C193" s="6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61"/>
      <c r="C194" s="6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61"/>
      <c r="C195" s="6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61"/>
      <c r="C196" s="6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61"/>
      <c r="C197" s="6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61"/>
      <c r="C198" s="6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61"/>
      <c r="C199" s="6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61"/>
      <c r="C200" s="6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61"/>
      <c r="C201" s="6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61"/>
      <c r="C202" s="6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61"/>
      <c r="C203" s="6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61"/>
      <c r="C204" s="6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61"/>
      <c r="C205" s="6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61"/>
      <c r="C206" s="6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61"/>
      <c r="C207" s="6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61"/>
      <c r="C208" s="6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61"/>
      <c r="C209" s="6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61"/>
      <c r="C210" s="6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61"/>
      <c r="C211" s="6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61"/>
      <c r="C212" s="6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61"/>
      <c r="C213" s="6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61"/>
      <c r="C214" s="6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61"/>
      <c r="C215" s="6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61"/>
      <c r="C216" s="6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61"/>
      <c r="C217" s="6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61"/>
      <c r="C218" s="6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61"/>
      <c r="C219" s="6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61"/>
      <c r="C220" s="6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61"/>
      <c r="C221" s="6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61"/>
      <c r="C222" s="6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61"/>
      <c r="C223" s="6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61"/>
      <c r="C224" s="6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61"/>
      <c r="C225" s="6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61"/>
      <c r="C226" s="6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61"/>
      <c r="C227" s="6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61"/>
      <c r="C228" s="6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61"/>
      <c r="C229" s="6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61"/>
      <c r="C230" s="6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61"/>
      <c r="C231" s="6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61"/>
      <c r="C232" s="6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61"/>
      <c r="C233" s="6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61"/>
      <c r="C234" s="6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61"/>
      <c r="C235" s="6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61"/>
      <c r="C236" s="6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61"/>
      <c r="C237" s="6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61"/>
      <c r="C238" s="6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61"/>
      <c r="C239" s="6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61"/>
      <c r="C240" s="6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61"/>
      <c r="C241" s="6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61"/>
      <c r="C242" s="6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61"/>
      <c r="C243" s="6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61"/>
      <c r="C244" s="6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61"/>
      <c r="C245" s="6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61"/>
      <c r="C246" s="6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61"/>
      <c r="C247" s="6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61"/>
      <c r="C248" s="6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61"/>
      <c r="C249" s="6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61"/>
      <c r="C250" s="62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61"/>
      <c r="C251" s="62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61"/>
      <c r="C252" s="62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  <col customWidth="1" min="30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37"/>
    </row>
    <row r="14" ht="12.75" customHeight="1">
      <c r="A14" s="18"/>
      <c r="B14" s="22" t="s">
        <v>11</v>
      </c>
      <c r="C14" s="23"/>
      <c r="D14" s="19" t="s">
        <v>12</v>
      </c>
      <c r="E14" s="38">
        <v>134.0</v>
      </c>
      <c r="F14" s="38">
        <v>150.0</v>
      </c>
      <c r="G14" s="38">
        <v>127.0</v>
      </c>
      <c r="H14" s="38">
        <v>126.0</v>
      </c>
      <c r="I14" s="38">
        <v>135.0</v>
      </c>
      <c r="J14" s="38">
        <v>128.0</v>
      </c>
      <c r="K14" s="38">
        <v>138.0</v>
      </c>
      <c r="L14" s="38">
        <v>121.0</v>
      </c>
      <c r="M14" s="38">
        <v>128.0</v>
      </c>
      <c r="N14" s="38">
        <v>139.0</v>
      </c>
      <c r="O14" s="38">
        <v>140.0</v>
      </c>
      <c r="P14" s="38">
        <v>134.0</v>
      </c>
      <c r="Q14" s="38">
        <v>146.0</v>
      </c>
      <c r="R14" s="38">
        <v>133.0</v>
      </c>
      <c r="S14" s="38">
        <v>136.0</v>
      </c>
      <c r="T14" s="19">
        <v>134.0</v>
      </c>
      <c r="U14" s="19">
        <v>134.0</v>
      </c>
      <c r="V14" s="19">
        <v>142.0</v>
      </c>
      <c r="W14" s="19">
        <v>128.0</v>
      </c>
      <c r="X14" s="19">
        <v>141.0</v>
      </c>
      <c r="Y14" s="19">
        <v>125.0</v>
      </c>
      <c r="Z14" s="19">
        <v>110.0</v>
      </c>
      <c r="AA14" s="19">
        <v>122.0</v>
      </c>
      <c r="AB14" s="19">
        <v>141.0</v>
      </c>
      <c r="AC14" s="13">
        <f t="shared" ref="AC14:AC16" si="1">SUM(E14:AB14)</f>
        <v>3192</v>
      </c>
    </row>
    <row r="15" ht="12.75" customHeight="1">
      <c r="A15" s="18"/>
      <c r="B15" s="26"/>
      <c r="C15" s="27"/>
      <c r="D15" s="19" t="s">
        <v>13</v>
      </c>
      <c r="E15" s="38">
        <v>121.0</v>
      </c>
      <c r="F15" s="38">
        <v>127.0</v>
      </c>
      <c r="G15" s="38">
        <v>148.0</v>
      </c>
      <c r="H15" s="38">
        <v>147.0</v>
      </c>
      <c r="I15" s="38">
        <v>143.0</v>
      </c>
      <c r="J15" s="38">
        <v>133.0</v>
      </c>
      <c r="K15" s="38">
        <v>136.0</v>
      </c>
      <c r="L15" s="38">
        <v>131.0</v>
      </c>
      <c r="M15" s="38">
        <v>137.0</v>
      </c>
      <c r="N15" s="38">
        <v>143.0</v>
      </c>
      <c r="O15" s="38">
        <v>139.0</v>
      </c>
      <c r="P15" s="38">
        <v>136.0</v>
      </c>
      <c r="Q15" s="38">
        <v>137.0</v>
      </c>
      <c r="R15" s="38">
        <v>141.0</v>
      </c>
      <c r="S15" s="38">
        <v>136.0</v>
      </c>
      <c r="T15" s="19">
        <v>129.0</v>
      </c>
      <c r="U15" s="19">
        <v>127.0</v>
      </c>
      <c r="V15" s="19">
        <v>125.0</v>
      </c>
      <c r="W15" s="19">
        <v>118.0</v>
      </c>
      <c r="X15" s="19">
        <v>132.0</v>
      </c>
      <c r="Y15" s="19">
        <v>119.0</v>
      </c>
      <c r="Z15" s="19">
        <v>115.0</v>
      </c>
      <c r="AA15" s="19">
        <v>136.0</v>
      </c>
      <c r="AB15" s="19">
        <v>147.0</v>
      </c>
      <c r="AC15" s="13">
        <f t="shared" si="1"/>
        <v>3203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255</v>
      </c>
      <c r="F16" s="13">
        <f t="shared" si="2"/>
        <v>277</v>
      </c>
      <c r="G16" s="13">
        <f t="shared" si="2"/>
        <v>275</v>
      </c>
      <c r="H16" s="13">
        <f t="shared" si="2"/>
        <v>273</v>
      </c>
      <c r="I16" s="13">
        <f t="shared" si="2"/>
        <v>278</v>
      </c>
      <c r="J16" s="13">
        <f t="shared" si="2"/>
        <v>261</v>
      </c>
      <c r="K16" s="13">
        <f t="shared" si="2"/>
        <v>274</v>
      </c>
      <c r="L16" s="13">
        <f t="shared" si="2"/>
        <v>252</v>
      </c>
      <c r="M16" s="13">
        <f t="shared" si="2"/>
        <v>265</v>
      </c>
      <c r="N16" s="13">
        <f t="shared" si="2"/>
        <v>282</v>
      </c>
      <c r="O16" s="13">
        <f t="shared" si="2"/>
        <v>279</v>
      </c>
      <c r="P16" s="13">
        <f t="shared" si="2"/>
        <v>270</v>
      </c>
      <c r="Q16" s="13">
        <f t="shared" si="2"/>
        <v>283</v>
      </c>
      <c r="R16" s="13">
        <f t="shared" si="2"/>
        <v>274</v>
      </c>
      <c r="S16" s="13">
        <f t="shared" si="2"/>
        <v>272</v>
      </c>
      <c r="T16" s="13">
        <f t="shared" si="2"/>
        <v>263</v>
      </c>
      <c r="U16" s="13">
        <f t="shared" si="2"/>
        <v>261</v>
      </c>
      <c r="V16" s="13">
        <f t="shared" si="2"/>
        <v>267</v>
      </c>
      <c r="W16" s="13">
        <f t="shared" si="2"/>
        <v>246</v>
      </c>
      <c r="X16" s="13">
        <f t="shared" si="2"/>
        <v>273</v>
      </c>
      <c r="Y16" s="13">
        <f t="shared" si="2"/>
        <v>244</v>
      </c>
      <c r="Z16" s="13">
        <f t="shared" si="2"/>
        <v>225</v>
      </c>
      <c r="AA16" s="13">
        <f t="shared" si="2"/>
        <v>258</v>
      </c>
      <c r="AB16" s="13">
        <f t="shared" si="2"/>
        <v>288</v>
      </c>
      <c r="AC16" s="13">
        <f t="shared" si="1"/>
        <v>6395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19"/>
      <c r="Y17" s="19"/>
      <c r="Z17" s="19"/>
      <c r="AA17" s="19"/>
      <c r="AB17" s="19"/>
      <c r="AC17" s="65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56</v>
      </c>
      <c r="L18" s="13" t="s">
        <v>57</v>
      </c>
      <c r="M18" s="13" t="s">
        <v>58</v>
      </c>
      <c r="N18" s="13" t="s">
        <v>59</v>
      </c>
      <c r="O18" s="13" t="s">
        <v>60</v>
      </c>
      <c r="P18" s="13" t="s">
        <v>61</v>
      </c>
      <c r="Q18" s="13" t="s">
        <v>62</v>
      </c>
      <c r="R18" s="13" t="s">
        <v>63</v>
      </c>
      <c r="S18" s="13" t="s">
        <v>64</v>
      </c>
      <c r="T18" s="13" t="s">
        <v>65</v>
      </c>
      <c r="U18" s="13" t="s">
        <v>66</v>
      </c>
      <c r="V18" s="13" t="s">
        <v>67</v>
      </c>
      <c r="W18" s="13" t="s">
        <v>68</v>
      </c>
      <c r="X18" s="13" t="s">
        <v>69</v>
      </c>
      <c r="Y18" s="13" t="s">
        <v>70</v>
      </c>
      <c r="Z18" s="13" t="s">
        <v>71</v>
      </c>
      <c r="AA18" s="13" t="s">
        <v>72</v>
      </c>
      <c r="AB18" s="13" t="s">
        <v>73</v>
      </c>
      <c r="AC18" s="65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38">
        <v>97.0</v>
      </c>
      <c r="F19" s="38">
        <v>98.0</v>
      </c>
      <c r="G19" s="38">
        <v>94.0</v>
      </c>
      <c r="H19" s="38">
        <v>99.0</v>
      </c>
      <c r="I19" s="38">
        <v>99.0</v>
      </c>
      <c r="J19" s="38">
        <v>96.0</v>
      </c>
      <c r="K19" s="38">
        <v>111.0</v>
      </c>
      <c r="L19" s="38">
        <v>86.0</v>
      </c>
      <c r="M19" s="38">
        <v>92.0</v>
      </c>
      <c r="N19" s="38">
        <v>107.0</v>
      </c>
      <c r="O19" s="38">
        <v>94.0</v>
      </c>
      <c r="P19" s="38">
        <v>90.0</v>
      </c>
      <c r="Q19" s="38">
        <v>104.0</v>
      </c>
      <c r="R19" s="38">
        <v>109.0</v>
      </c>
      <c r="S19" s="38">
        <v>96.0</v>
      </c>
      <c r="T19" s="19">
        <v>79.0</v>
      </c>
      <c r="U19" s="19">
        <v>108.0</v>
      </c>
      <c r="V19" s="19">
        <v>121.0</v>
      </c>
      <c r="W19" s="19">
        <v>95.0</v>
      </c>
      <c r="X19" s="19">
        <v>112.0</v>
      </c>
      <c r="Y19" s="19">
        <v>99.0</v>
      </c>
      <c r="Z19" s="19">
        <v>88.0</v>
      </c>
      <c r="AA19" s="19">
        <v>92.0</v>
      </c>
      <c r="AB19" s="19">
        <v>107.0</v>
      </c>
      <c r="AC19" s="13">
        <f t="shared" ref="AC19:AC30" si="3">SUM(E19:AB19)</f>
        <v>2373</v>
      </c>
    </row>
    <row r="20" ht="12.75" customHeight="1">
      <c r="A20" s="34"/>
      <c r="B20" s="27"/>
      <c r="C20" s="35"/>
      <c r="D20" s="19" t="s">
        <v>13</v>
      </c>
      <c r="E20" s="38">
        <v>104.0</v>
      </c>
      <c r="F20" s="38">
        <v>94.0</v>
      </c>
      <c r="G20" s="38">
        <v>107.0</v>
      </c>
      <c r="H20" s="38">
        <v>116.0</v>
      </c>
      <c r="I20" s="38">
        <v>106.0</v>
      </c>
      <c r="J20" s="38">
        <v>108.0</v>
      </c>
      <c r="K20" s="38">
        <v>121.0</v>
      </c>
      <c r="L20" s="38">
        <v>102.0</v>
      </c>
      <c r="M20" s="38">
        <v>112.0</v>
      </c>
      <c r="N20" s="38">
        <v>119.0</v>
      </c>
      <c r="O20" s="38">
        <v>108.0</v>
      </c>
      <c r="P20" s="38">
        <v>109.0</v>
      </c>
      <c r="Q20" s="38">
        <v>110.0</v>
      </c>
      <c r="R20" s="38">
        <v>115.0</v>
      </c>
      <c r="S20" s="38">
        <v>96.0</v>
      </c>
      <c r="T20" s="19">
        <v>99.0</v>
      </c>
      <c r="U20" s="19">
        <v>105.0</v>
      </c>
      <c r="V20" s="19">
        <v>106.0</v>
      </c>
      <c r="W20" s="19">
        <v>96.0</v>
      </c>
      <c r="X20" s="19">
        <v>108.0</v>
      </c>
      <c r="Y20" s="19">
        <v>100.0</v>
      </c>
      <c r="Z20" s="19">
        <v>102.0</v>
      </c>
      <c r="AA20" s="19">
        <v>112.0</v>
      </c>
      <c r="AB20" s="19">
        <v>126.0</v>
      </c>
      <c r="AC20" s="13">
        <f t="shared" si="3"/>
        <v>2581</v>
      </c>
    </row>
    <row r="21" ht="12.75" customHeight="1">
      <c r="A21" s="36"/>
      <c r="B21" s="28"/>
      <c r="C21" s="37"/>
      <c r="D21" s="13" t="s">
        <v>14</v>
      </c>
      <c r="E21" s="13">
        <f>SUM(E20)</f>
        <v>104</v>
      </c>
      <c r="F21" s="13">
        <f t="shared" ref="F21:AB21" si="4">SUM(F19:F20)</f>
        <v>192</v>
      </c>
      <c r="G21" s="13">
        <f t="shared" si="4"/>
        <v>201</v>
      </c>
      <c r="H21" s="13">
        <f t="shared" si="4"/>
        <v>215</v>
      </c>
      <c r="I21" s="13">
        <f t="shared" si="4"/>
        <v>205</v>
      </c>
      <c r="J21" s="13">
        <f t="shared" si="4"/>
        <v>204</v>
      </c>
      <c r="K21" s="13">
        <f t="shared" si="4"/>
        <v>232</v>
      </c>
      <c r="L21" s="13">
        <f t="shared" si="4"/>
        <v>188</v>
      </c>
      <c r="M21" s="13">
        <f t="shared" si="4"/>
        <v>204</v>
      </c>
      <c r="N21" s="13">
        <f t="shared" si="4"/>
        <v>226</v>
      </c>
      <c r="O21" s="13">
        <f t="shared" si="4"/>
        <v>202</v>
      </c>
      <c r="P21" s="13">
        <f t="shared" si="4"/>
        <v>199</v>
      </c>
      <c r="Q21" s="13">
        <f t="shared" si="4"/>
        <v>214</v>
      </c>
      <c r="R21" s="13">
        <f t="shared" si="4"/>
        <v>224</v>
      </c>
      <c r="S21" s="13">
        <f t="shared" si="4"/>
        <v>192</v>
      </c>
      <c r="T21" s="13">
        <f t="shared" si="4"/>
        <v>178</v>
      </c>
      <c r="U21" s="13">
        <f t="shared" si="4"/>
        <v>213</v>
      </c>
      <c r="V21" s="13">
        <f t="shared" si="4"/>
        <v>227</v>
      </c>
      <c r="W21" s="13">
        <f t="shared" si="4"/>
        <v>191</v>
      </c>
      <c r="X21" s="13">
        <f t="shared" si="4"/>
        <v>220</v>
      </c>
      <c r="Y21" s="13">
        <f t="shared" si="4"/>
        <v>199</v>
      </c>
      <c r="Z21" s="13">
        <f t="shared" si="4"/>
        <v>190</v>
      </c>
      <c r="AA21" s="13">
        <f t="shared" si="4"/>
        <v>204</v>
      </c>
      <c r="AB21" s="13">
        <f t="shared" si="4"/>
        <v>233</v>
      </c>
      <c r="AC21" s="13">
        <f t="shared" si="3"/>
        <v>4857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6">
        <v>0.0</v>
      </c>
      <c r="F22" s="66">
        <v>0.0</v>
      </c>
      <c r="G22" s="66">
        <v>0.0</v>
      </c>
      <c r="H22" s="66">
        <v>0.0</v>
      </c>
      <c r="I22" s="66">
        <v>0.0</v>
      </c>
      <c r="J22" s="66">
        <v>0.0</v>
      </c>
      <c r="K22" s="66">
        <v>0.0</v>
      </c>
      <c r="L22" s="66">
        <v>0.0</v>
      </c>
      <c r="M22" s="66">
        <v>0.0</v>
      </c>
      <c r="N22" s="66">
        <v>0.0</v>
      </c>
      <c r="O22" s="66">
        <v>0.0</v>
      </c>
      <c r="P22" s="66">
        <v>1.0</v>
      </c>
      <c r="Q22" s="66">
        <v>0.0</v>
      </c>
      <c r="R22" s="66">
        <v>0.0</v>
      </c>
      <c r="S22" s="66">
        <v>0.0</v>
      </c>
      <c r="T22" s="19">
        <v>2.0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1.0</v>
      </c>
      <c r="AB22" s="19">
        <v>0.0</v>
      </c>
      <c r="AC22" s="13">
        <f t="shared" si="3"/>
        <v>5</v>
      </c>
    </row>
    <row r="23" ht="12.75" customHeight="1">
      <c r="A23" s="34"/>
      <c r="B23" s="27"/>
      <c r="C23" s="35"/>
      <c r="D23" s="19" t="s">
        <v>13</v>
      </c>
      <c r="E23" s="66">
        <v>1.0</v>
      </c>
      <c r="F23" s="66">
        <v>0.0</v>
      </c>
      <c r="G23" s="66">
        <v>0.0</v>
      </c>
      <c r="H23" s="66">
        <v>1.0</v>
      </c>
      <c r="I23" s="66">
        <v>0.0</v>
      </c>
      <c r="J23" s="66">
        <v>0.0</v>
      </c>
      <c r="K23" s="66">
        <v>0.0</v>
      </c>
      <c r="L23" s="66">
        <v>0.0</v>
      </c>
      <c r="M23" s="66">
        <v>0.0</v>
      </c>
      <c r="N23" s="66">
        <v>0.0</v>
      </c>
      <c r="O23" s="66">
        <v>1.0</v>
      </c>
      <c r="P23" s="66">
        <v>1.0</v>
      </c>
      <c r="Q23" s="66">
        <v>0.0</v>
      </c>
      <c r="R23" s="66">
        <v>0.0</v>
      </c>
      <c r="S23" s="66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2.0</v>
      </c>
      <c r="AA23" s="19">
        <v>0.0</v>
      </c>
      <c r="AB23" s="19">
        <v>0.0</v>
      </c>
      <c r="AC23" s="13">
        <f t="shared" si="3"/>
        <v>6</v>
      </c>
    </row>
    <row r="24" ht="12.75" customHeight="1">
      <c r="A24" s="36"/>
      <c r="B24" s="28"/>
      <c r="C24" s="37"/>
      <c r="D24" s="13" t="s">
        <v>14</v>
      </c>
      <c r="E24" s="13">
        <f t="shared" ref="E24:AB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3</v>
      </c>
      <c r="AA24" s="13">
        <f t="shared" si="5"/>
        <v>1</v>
      </c>
      <c r="AB24" s="13">
        <f t="shared" si="5"/>
        <v>0</v>
      </c>
      <c r="AC24" s="13">
        <f t="shared" si="3"/>
        <v>11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2.0</v>
      </c>
      <c r="H25" s="19">
        <v>2.0</v>
      </c>
      <c r="I25" s="19">
        <v>0.0</v>
      </c>
      <c r="J25" s="19">
        <v>0.0</v>
      </c>
      <c r="K25" s="19">
        <v>2.0</v>
      </c>
      <c r="L25" s="19">
        <v>0.0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9">
        <v>2.0</v>
      </c>
      <c r="S25" s="19">
        <v>1.0</v>
      </c>
      <c r="T25" s="19">
        <v>0.0</v>
      </c>
      <c r="U25" s="19">
        <v>5.0</v>
      </c>
      <c r="V25" s="19">
        <v>0.0</v>
      </c>
      <c r="W25" s="19">
        <v>1.0</v>
      </c>
      <c r="X25" s="19">
        <v>0.0</v>
      </c>
      <c r="Y25" s="19">
        <v>0.0</v>
      </c>
      <c r="Z25" s="19">
        <v>0.0</v>
      </c>
      <c r="AA25" s="19">
        <v>1.0</v>
      </c>
      <c r="AB25" s="19">
        <v>0.0</v>
      </c>
      <c r="AC25" s="13">
        <f t="shared" si="3"/>
        <v>19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2.0</v>
      </c>
      <c r="G26" s="19">
        <v>4.0</v>
      </c>
      <c r="H26" s="19">
        <v>2.0</v>
      </c>
      <c r="I26" s="19">
        <v>0.0</v>
      </c>
      <c r="J26" s="19">
        <v>1.0</v>
      </c>
      <c r="K26" s="19">
        <v>0.0</v>
      </c>
      <c r="L26" s="19">
        <v>1.0</v>
      </c>
      <c r="M26" s="19">
        <v>2.0</v>
      </c>
      <c r="N26" s="19">
        <v>2.0</v>
      </c>
      <c r="O26" s="19">
        <v>1.0</v>
      </c>
      <c r="P26" s="19">
        <v>0.0</v>
      </c>
      <c r="Q26" s="19">
        <v>1.0</v>
      </c>
      <c r="R26" s="19">
        <v>1.0</v>
      </c>
      <c r="S26" s="19">
        <v>1.0</v>
      </c>
      <c r="T26" s="19">
        <v>0.0</v>
      </c>
      <c r="U26" s="19">
        <v>10.0</v>
      </c>
      <c r="V26" s="19">
        <v>4.0</v>
      </c>
      <c r="W26" s="19">
        <v>0.0</v>
      </c>
      <c r="X26" s="19">
        <v>1.0</v>
      </c>
      <c r="Y26" s="19">
        <v>0.0</v>
      </c>
      <c r="Z26" s="19">
        <v>0.0</v>
      </c>
      <c r="AA26" s="19">
        <v>1.0</v>
      </c>
      <c r="AB26" s="19">
        <v>4.0</v>
      </c>
      <c r="AC26" s="13">
        <f t="shared" si="3"/>
        <v>39</v>
      </c>
    </row>
    <row r="27" ht="12.75" customHeight="1">
      <c r="A27" s="36"/>
      <c r="B27" s="28"/>
      <c r="C27" s="37"/>
      <c r="D27" s="13" t="s">
        <v>14</v>
      </c>
      <c r="E27" s="13">
        <f t="shared" ref="E27:AB27" si="6">SUM(E25:E26)</f>
        <v>3</v>
      </c>
      <c r="F27" s="13">
        <f t="shared" si="6"/>
        <v>2</v>
      </c>
      <c r="G27" s="13">
        <f t="shared" si="6"/>
        <v>6</v>
      </c>
      <c r="H27" s="13">
        <f t="shared" si="6"/>
        <v>4</v>
      </c>
      <c r="I27" s="13">
        <f t="shared" si="6"/>
        <v>0</v>
      </c>
      <c r="J27" s="13">
        <f t="shared" si="6"/>
        <v>1</v>
      </c>
      <c r="K27" s="13">
        <f t="shared" si="6"/>
        <v>2</v>
      </c>
      <c r="L27" s="13">
        <f t="shared" si="6"/>
        <v>1</v>
      </c>
      <c r="M27" s="13">
        <f t="shared" si="6"/>
        <v>2</v>
      </c>
      <c r="N27" s="13">
        <f t="shared" si="6"/>
        <v>3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3</v>
      </c>
      <c r="S27" s="13">
        <f t="shared" si="6"/>
        <v>2</v>
      </c>
      <c r="T27" s="13">
        <f t="shared" si="6"/>
        <v>0</v>
      </c>
      <c r="U27" s="13">
        <f t="shared" si="6"/>
        <v>15</v>
      </c>
      <c r="V27" s="13">
        <f t="shared" si="6"/>
        <v>4</v>
      </c>
      <c r="W27" s="13">
        <f t="shared" si="6"/>
        <v>1</v>
      </c>
      <c r="X27" s="13">
        <f t="shared" si="6"/>
        <v>1</v>
      </c>
      <c r="Y27" s="13">
        <f t="shared" si="6"/>
        <v>0</v>
      </c>
      <c r="Z27" s="13">
        <f t="shared" si="6"/>
        <v>0</v>
      </c>
      <c r="AA27" s="13">
        <f t="shared" si="6"/>
        <v>2</v>
      </c>
      <c r="AB27" s="13">
        <f t="shared" si="6"/>
        <v>4</v>
      </c>
      <c r="AC27" s="13">
        <f t="shared" si="3"/>
        <v>58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B28" si="7">SUM(E19,E22,E25)</f>
        <v>99</v>
      </c>
      <c r="F28" s="13">
        <f t="shared" si="7"/>
        <v>98</v>
      </c>
      <c r="G28" s="13">
        <f t="shared" si="7"/>
        <v>96</v>
      </c>
      <c r="H28" s="13">
        <f t="shared" si="7"/>
        <v>101</v>
      </c>
      <c r="I28" s="13">
        <f t="shared" si="7"/>
        <v>99</v>
      </c>
      <c r="J28" s="13">
        <f t="shared" si="7"/>
        <v>96</v>
      </c>
      <c r="K28" s="13">
        <f t="shared" si="7"/>
        <v>113</v>
      </c>
      <c r="L28" s="13">
        <f t="shared" si="7"/>
        <v>86</v>
      </c>
      <c r="M28" s="13">
        <f t="shared" si="7"/>
        <v>92</v>
      </c>
      <c r="N28" s="13">
        <f t="shared" si="7"/>
        <v>108</v>
      </c>
      <c r="O28" s="13">
        <f t="shared" si="7"/>
        <v>94</v>
      </c>
      <c r="P28" s="13">
        <f t="shared" si="7"/>
        <v>91</v>
      </c>
      <c r="Q28" s="13">
        <f t="shared" si="7"/>
        <v>104</v>
      </c>
      <c r="R28" s="13">
        <f t="shared" si="7"/>
        <v>111</v>
      </c>
      <c r="S28" s="13">
        <f t="shared" si="7"/>
        <v>97</v>
      </c>
      <c r="T28" s="13">
        <f t="shared" si="7"/>
        <v>81</v>
      </c>
      <c r="U28" s="13">
        <f t="shared" si="7"/>
        <v>113</v>
      </c>
      <c r="V28" s="13">
        <f t="shared" si="7"/>
        <v>121</v>
      </c>
      <c r="W28" s="13">
        <f t="shared" si="7"/>
        <v>96</v>
      </c>
      <c r="X28" s="13">
        <f t="shared" si="7"/>
        <v>112</v>
      </c>
      <c r="Y28" s="13">
        <f t="shared" si="7"/>
        <v>99</v>
      </c>
      <c r="Z28" s="13">
        <f t="shared" si="7"/>
        <v>89</v>
      </c>
      <c r="AA28" s="13">
        <f t="shared" si="7"/>
        <v>94</v>
      </c>
      <c r="AB28" s="13">
        <f t="shared" si="7"/>
        <v>107</v>
      </c>
      <c r="AC28" s="13">
        <f t="shared" si="3"/>
        <v>2397</v>
      </c>
    </row>
    <row r="29" ht="12.75" customHeight="1">
      <c r="A29" s="36"/>
      <c r="B29" s="27"/>
      <c r="C29" s="35"/>
      <c r="D29" s="13" t="s">
        <v>13</v>
      </c>
      <c r="E29" s="13">
        <f t="shared" ref="E29:AB29" si="8">SUM(E20,E23,E26)</f>
        <v>106</v>
      </c>
      <c r="F29" s="13">
        <f t="shared" si="8"/>
        <v>96</v>
      </c>
      <c r="G29" s="13">
        <f t="shared" si="8"/>
        <v>111</v>
      </c>
      <c r="H29" s="13">
        <f t="shared" si="8"/>
        <v>119</v>
      </c>
      <c r="I29" s="13">
        <f t="shared" si="8"/>
        <v>106</v>
      </c>
      <c r="J29" s="13">
        <f t="shared" si="8"/>
        <v>109</v>
      </c>
      <c r="K29" s="13">
        <f t="shared" si="8"/>
        <v>121</v>
      </c>
      <c r="L29" s="13">
        <f t="shared" si="8"/>
        <v>103</v>
      </c>
      <c r="M29" s="13">
        <f t="shared" si="8"/>
        <v>114</v>
      </c>
      <c r="N29" s="13">
        <f t="shared" si="8"/>
        <v>121</v>
      </c>
      <c r="O29" s="13">
        <f t="shared" si="8"/>
        <v>110</v>
      </c>
      <c r="P29" s="13">
        <f t="shared" si="8"/>
        <v>110</v>
      </c>
      <c r="Q29" s="13">
        <f t="shared" si="8"/>
        <v>111</v>
      </c>
      <c r="R29" s="13">
        <f t="shared" si="8"/>
        <v>116</v>
      </c>
      <c r="S29" s="13">
        <f t="shared" si="8"/>
        <v>97</v>
      </c>
      <c r="T29" s="13">
        <f t="shared" si="8"/>
        <v>99</v>
      </c>
      <c r="U29" s="13">
        <f t="shared" si="8"/>
        <v>115</v>
      </c>
      <c r="V29" s="13">
        <f t="shared" si="8"/>
        <v>110</v>
      </c>
      <c r="W29" s="13">
        <f t="shared" si="8"/>
        <v>96</v>
      </c>
      <c r="X29" s="13">
        <f t="shared" si="8"/>
        <v>109</v>
      </c>
      <c r="Y29" s="13">
        <f t="shared" si="8"/>
        <v>100</v>
      </c>
      <c r="Z29" s="13">
        <f t="shared" si="8"/>
        <v>104</v>
      </c>
      <c r="AA29" s="13">
        <f t="shared" si="8"/>
        <v>113</v>
      </c>
      <c r="AB29" s="13">
        <f t="shared" si="8"/>
        <v>130</v>
      </c>
      <c r="AC29" s="13">
        <f t="shared" si="3"/>
        <v>2626</v>
      </c>
    </row>
    <row r="30" ht="12.75" customHeight="1">
      <c r="A30" s="36"/>
      <c r="B30" s="28"/>
      <c r="C30" s="37"/>
      <c r="D30" s="13" t="s">
        <v>14</v>
      </c>
      <c r="E30" s="13">
        <f t="shared" ref="E30:AB30" si="9">SUM(E28:E29)</f>
        <v>205</v>
      </c>
      <c r="F30" s="13">
        <f t="shared" si="9"/>
        <v>194</v>
      </c>
      <c r="G30" s="13">
        <f t="shared" si="9"/>
        <v>207</v>
      </c>
      <c r="H30" s="13">
        <f t="shared" si="9"/>
        <v>220</v>
      </c>
      <c r="I30" s="13">
        <f t="shared" si="9"/>
        <v>205</v>
      </c>
      <c r="J30" s="13">
        <f t="shared" si="9"/>
        <v>205</v>
      </c>
      <c r="K30" s="13">
        <f t="shared" si="9"/>
        <v>234</v>
      </c>
      <c r="L30" s="13">
        <f t="shared" si="9"/>
        <v>189</v>
      </c>
      <c r="M30" s="13">
        <f t="shared" si="9"/>
        <v>206</v>
      </c>
      <c r="N30" s="13">
        <f t="shared" si="9"/>
        <v>229</v>
      </c>
      <c r="O30" s="13">
        <f t="shared" si="9"/>
        <v>204</v>
      </c>
      <c r="P30" s="13">
        <f t="shared" si="9"/>
        <v>201</v>
      </c>
      <c r="Q30" s="13">
        <f t="shared" si="9"/>
        <v>215</v>
      </c>
      <c r="R30" s="13">
        <f t="shared" si="9"/>
        <v>227</v>
      </c>
      <c r="S30" s="13">
        <f t="shared" si="9"/>
        <v>194</v>
      </c>
      <c r="T30" s="13">
        <f t="shared" si="9"/>
        <v>180</v>
      </c>
      <c r="U30" s="13">
        <f t="shared" si="9"/>
        <v>228</v>
      </c>
      <c r="V30" s="13">
        <f t="shared" si="9"/>
        <v>231</v>
      </c>
      <c r="W30" s="13">
        <f t="shared" si="9"/>
        <v>192</v>
      </c>
      <c r="X30" s="13">
        <f t="shared" si="9"/>
        <v>221</v>
      </c>
      <c r="Y30" s="13">
        <f t="shared" si="9"/>
        <v>199</v>
      </c>
      <c r="Z30" s="13">
        <f t="shared" si="9"/>
        <v>193</v>
      </c>
      <c r="AA30" s="13">
        <f t="shared" si="9"/>
        <v>207</v>
      </c>
      <c r="AB30" s="13">
        <f t="shared" si="9"/>
        <v>237</v>
      </c>
      <c r="AC30" s="13">
        <f t="shared" si="3"/>
        <v>5023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19"/>
      <c r="Y31" s="19"/>
      <c r="Z31" s="19"/>
      <c r="AA31" s="19"/>
      <c r="AB31" s="19"/>
      <c r="AC31" s="65"/>
    </row>
    <row r="32" ht="12.75" customHeight="1">
      <c r="A32" s="44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56</v>
      </c>
      <c r="L32" s="13" t="s">
        <v>57</v>
      </c>
      <c r="M32" s="13" t="s">
        <v>58</v>
      </c>
      <c r="N32" s="13" t="s">
        <v>59</v>
      </c>
      <c r="O32" s="13" t="s">
        <v>60</v>
      </c>
      <c r="P32" s="13" t="s">
        <v>61</v>
      </c>
      <c r="Q32" s="13" t="s">
        <v>62</v>
      </c>
      <c r="R32" s="13" t="s">
        <v>63</v>
      </c>
      <c r="S32" s="13" t="s">
        <v>64</v>
      </c>
      <c r="T32" s="13" t="s">
        <v>65</v>
      </c>
      <c r="U32" s="13" t="s">
        <v>66</v>
      </c>
      <c r="V32" s="13" t="s">
        <v>67</v>
      </c>
      <c r="W32" s="13" t="s">
        <v>68</v>
      </c>
      <c r="X32" s="13" t="s">
        <v>69</v>
      </c>
      <c r="Y32" s="13" t="s">
        <v>70</v>
      </c>
      <c r="Z32" s="13" t="s">
        <v>71</v>
      </c>
      <c r="AA32" s="13" t="s">
        <v>72</v>
      </c>
      <c r="AB32" s="13" t="s">
        <v>73</v>
      </c>
      <c r="AC32" s="65"/>
    </row>
    <row r="33" ht="12.75" customHeight="1">
      <c r="A33" s="19">
        <v>1.0</v>
      </c>
      <c r="B33" s="20" t="s">
        <v>27</v>
      </c>
      <c r="C33" s="15"/>
      <c r="D33" s="16"/>
      <c r="E33" s="19">
        <v>263.0</v>
      </c>
      <c r="F33" s="19">
        <v>285.0</v>
      </c>
      <c r="G33" s="19">
        <v>281.0</v>
      </c>
      <c r="H33" s="19">
        <v>280.0</v>
      </c>
      <c r="I33" s="19">
        <v>284.0</v>
      </c>
      <c r="J33" s="19">
        <v>273.0</v>
      </c>
      <c r="K33" s="19">
        <v>280.0</v>
      </c>
      <c r="L33" s="19">
        <v>258.0</v>
      </c>
      <c r="M33" s="19">
        <v>272.0</v>
      </c>
      <c r="N33" s="19">
        <v>290.0</v>
      </c>
      <c r="O33" s="19">
        <v>285.0</v>
      </c>
      <c r="P33" s="19">
        <v>278.0</v>
      </c>
      <c r="Q33" s="19">
        <v>290.0</v>
      </c>
      <c r="R33" s="19">
        <v>280.0</v>
      </c>
      <c r="S33" s="19">
        <v>279.0</v>
      </c>
      <c r="T33" s="19">
        <v>269.0</v>
      </c>
      <c r="U33" s="19">
        <v>267.0</v>
      </c>
      <c r="V33" s="19">
        <v>273.0</v>
      </c>
      <c r="W33" s="19">
        <v>258.0</v>
      </c>
      <c r="X33" s="19">
        <v>279.0</v>
      </c>
      <c r="Y33" s="19">
        <v>249.0</v>
      </c>
      <c r="Z33" s="19">
        <v>230.0</v>
      </c>
      <c r="AA33" s="19">
        <v>264.0</v>
      </c>
      <c r="AB33" s="19">
        <v>296.0</v>
      </c>
      <c r="AC33" s="13">
        <f t="shared" ref="AC33:AC36" si="10">SUM(E33:AB33)</f>
        <v>6563</v>
      </c>
    </row>
    <row r="34" ht="12.75" customHeight="1">
      <c r="A34" s="19">
        <v>2.0</v>
      </c>
      <c r="B34" s="20" t="s">
        <v>28</v>
      </c>
      <c r="C34" s="15"/>
      <c r="D34" s="16"/>
      <c r="E34" s="13">
        <v>205.0</v>
      </c>
      <c r="F34" s="13">
        <v>194.0</v>
      </c>
      <c r="G34" s="13">
        <v>207.0</v>
      </c>
      <c r="H34" s="13">
        <v>220.0</v>
      </c>
      <c r="I34" s="13">
        <v>205.0</v>
      </c>
      <c r="J34" s="13">
        <v>205.0</v>
      </c>
      <c r="K34" s="13">
        <v>234.0</v>
      </c>
      <c r="L34" s="13">
        <v>189.0</v>
      </c>
      <c r="M34" s="13">
        <v>206.0</v>
      </c>
      <c r="N34" s="13">
        <v>229.0</v>
      </c>
      <c r="O34" s="13">
        <v>204.0</v>
      </c>
      <c r="P34" s="13">
        <v>201.0</v>
      </c>
      <c r="Q34" s="13">
        <v>215.0</v>
      </c>
      <c r="R34" s="13">
        <v>227.0</v>
      </c>
      <c r="S34" s="13">
        <v>194.0</v>
      </c>
      <c r="T34" s="13">
        <v>180.0</v>
      </c>
      <c r="U34" s="13">
        <v>228.0</v>
      </c>
      <c r="V34" s="13">
        <v>231.0</v>
      </c>
      <c r="W34" s="13">
        <v>192.0</v>
      </c>
      <c r="X34" s="13">
        <v>221.0</v>
      </c>
      <c r="Y34" s="13">
        <v>199.0</v>
      </c>
      <c r="Z34" s="13">
        <v>193.0</v>
      </c>
      <c r="AA34" s="13">
        <v>207.0</v>
      </c>
      <c r="AB34" s="13">
        <v>237.0</v>
      </c>
      <c r="AC34" s="13">
        <f t="shared" si="10"/>
        <v>5023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1.0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58</v>
      </c>
      <c r="F36" s="13">
        <f t="shared" si="11"/>
        <v>89</v>
      </c>
      <c r="G36" s="13">
        <f t="shared" si="11"/>
        <v>73</v>
      </c>
      <c r="H36" s="13">
        <f t="shared" si="11"/>
        <v>59</v>
      </c>
      <c r="I36" s="13">
        <f t="shared" si="11"/>
        <v>79</v>
      </c>
      <c r="J36" s="13">
        <f t="shared" si="11"/>
        <v>68</v>
      </c>
      <c r="K36" s="13">
        <f t="shared" si="11"/>
        <v>46</v>
      </c>
      <c r="L36" s="13">
        <f t="shared" si="11"/>
        <v>69</v>
      </c>
      <c r="M36" s="13">
        <f t="shared" si="11"/>
        <v>66</v>
      </c>
      <c r="N36" s="13">
        <f t="shared" si="11"/>
        <v>61</v>
      </c>
      <c r="O36" s="13">
        <f t="shared" si="11"/>
        <v>81</v>
      </c>
      <c r="P36" s="13">
        <f t="shared" si="11"/>
        <v>77</v>
      </c>
      <c r="Q36" s="13">
        <f t="shared" si="11"/>
        <v>75</v>
      </c>
      <c r="R36" s="13">
        <f t="shared" si="11"/>
        <v>53</v>
      </c>
      <c r="S36" s="13">
        <f t="shared" si="11"/>
        <v>85</v>
      </c>
      <c r="T36" s="13">
        <f t="shared" si="11"/>
        <v>89</v>
      </c>
      <c r="U36" s="13">
        <f t="shared" si="11"/>
        <v>39</v>
      </c>
      <c r="V36" s="13">
        <f t="shared" si="11"/>
        <v>42</v>
      </c>
      <c r="W36" s="13">
        <f t="shared" si="11"/>
        <v>66</v>
      </c>
      <c r="X36" s="13">
        <f t="shared" si="11"/>
        <v>58</v>
      </c>
      <c r="Y36" s="13">
        <f t="shared" si="11"/>
        <v>50</v>
      </c>
      <c r="Z36" s="13">
        <f t="shared" si="11"/>
        <v>37</v>
      </c>
      <c r="AA36" s="13">
        <f t="shared" si="11"/>
        <v>57</v>
      </c>
      <c r="AB36" s="13">
        <f t="shared" si="11"/>
        <v>59</v>
      </c>
      <c r="AC36" s="13">
        <f t="shared" si="10"/>
        <v>1536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19"/>
      <c r="Y37" s="19"/>
      <c r="Z37" s="19"/>
      <c r="AA37" s="19"/>
      <c r="AB37" s="19"/>
      <c r="AC37" s="65"/>
    </row>
    <row r="38" ht="12.75" customHeight="1">
      <c r="A38" s="46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56</v>
      </c>
      <c r="L38" s="13" t="s">
        <v>57</v>
      </c>
      <c r="M38" s="13" t="s">
        <v>58</v>
      </c>
      <c r="N38" s="13" t="s">
        <v>59</v>
      </c>
      <c r="O38" s="13" t="s">
        <v>60</v>
      </c>
      <c r="P38" s="13" t="s">
        <v>61</v>
      </c>
      <c r="Q38" s="13" t="s">
        <v>62</v>
      </c>
      <c r="R38" s="13" t="s">
        <v>63</v>
      </c>
      <c r="S38" s="13" t="s">
        <v>64</v>
      </c>
      <c r="T38" s="13" t="s">
        <v>65</v>
      </c>
      <c r="U38" s="13" t="s">
        <v>66</v>
      </c>
      <c r="V38" s="13" t="s">
        <v>67</v>
      </c>
      <c r="W38" s="13" t="s">
        <v>68</v>
      </c>
      <c r="X38" s="13" t="s">
        <v>69</v>
      </c>
      <c r="Y38" s="13" t="s">
        <v>70</v>
      </c>
      <c r="Z38" s="13" t="s">
        <v>71</v>
      </c>
      <c r="AA38" s="13" t="s">
        <v>72</v>
      </c>
      <c r="AB38" s="13" t="s">
        <v>73</v>
      </c>
      <c r="AC38" s="65"/>
    </row>
    <row r="39" ht="12.75" customHeight="1">
      <c r="A39" s="31"/>
      <c r="B39" s="47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3">
        <f t="shared" ref="AC39:AC41" si="12">SUM(E39:AB39)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3.0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3">
        <f t="shared" si="12"/>
        <v>4</v>
      </c>
    </row>
    <row r="41" ht="12.75" customHeight="1">
      <c r="A41" s="44"/>
      <c r="B41" s="48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4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5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19"/>
      <c r="Y42" s="19"/>
      <c r="Z42" s="19"/>
      <c r="AA42" s="19"/>
      <c r="AB42" s="19"/>
      <c r="AC42" s="13"/>
    </row>
    <row r="43" ht="12.75" customHeight="1">
      <c r="A43" s="46" t="s">
        <v>34</v>
      </c>
      <c r="B43" s="14" t="s">
        <v>35</v>
      </c>
      <c r="C43" s="15"/>
      <c r="D43" s="16"/>
      <c r="E43" s="13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56</v>
      </c>
      <c r="L43" s="13" t="s">
        <v>57</v>
      </c>
      <c r="M43" s="13" t="s">
        <v>58</v>
      </c>
      <c r="N43" s="13" t="s">
        <v>59</v>
      </c>
      <c r="O43" s="13" t="s">
        <v>60</v>
      </c>
      <c r="P43" s="13" t="s">
        <v>61</v>
      </c>
      <c r="Q43" s="13" t="s">
        <v>62</v>
      </c>
      <c r="R43" s="13" t="s">
        <v>63</v>
      </c>
      <c r="S43" s="13" t="s">
        <v>64</v>
      </c>
      <c r="T43" s="13" t="s">
        <v>65</v>
      </c>
      <c r="U43" s="13" t="s">
        <v>66</v>
      </c>
      <c r="V43" s="13" t="s">
        <v>67</v>
      </c>
      <c r="W43" s="13" t="s">
        <v>68</v>
      </c>
      <c r="X43" s="13" t="s">
        <v>69</v>
      </c>
      <c r="Y43" s="13" t="s">
        <v>70</v>
      </c>
      <c r="Z43" s="13" t="s">
        <v>71</v>
      </c>
      <c r="AA43" s="13" t="s">
        <v>72</v>
      </c>
      <c r="AB43" s="13" t="s">
        <v>73</v>
      </c>
      <c r="AC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67"/>
      <c r="B45" s="51">
        <v>1.0</v>
      </c>
      <c r="C45" s="52" t="s">
        <v>37</v>
      </c>
      <c r="D45" s="16"/>
      <c r="E45" s="19">
        <v>16.0</v>
      </c>
      <c r="F45" s="19">
        <v>24.0</v>
      </c>
      <c r="G45" s="19">
        <v>9.0</v>
      </c>
      <c r="H45" s="19">
        <v>27.0</v>
      </c>
      <c r="I45" s="19">
        <v>4.0</v>
      </c>
      <c r="J45" s="19">
        <v>12.0</v>
      </c>
      <c r="K45" s="19">
        <v>25.0</v>
      </c>
      <c r="L45" s="19">
        <v>16.0</v>
      </c>
      <c r="M45" s="19">
        <v>22.0</v>
      </c>
      <c r="N45" s="19">
        <v>15.0</v>
      </c>
      <c r="O45" s="19">
        <v>9.0</v>
      </c>
      <c r="P45" s="19">
        <v>11.0</v>
      </c>
      <c r="Q45" s="19">
        <v>11.0</v>
      </c>
      <c r="R45" s="19">
        <v>23.0</v>
      </c>
      <c r="S45" s="19">
        <v>15.0</v>
      </c>
      <c r="T45" s="19">
        <v>22.0</v>
      </c>
      <c r="U45" s="19">
        <v>5.0</v>
      </c>
      <c r="V45" s="19">
        <v>7.0</v>
      </c>
      <c r="W45" s="19">
        <v>5.0</v>
      </c>
      <c r="X45" s="19">
        <v>9.0</v>
      </c>
      <c r="Y45" s="19">
        <v>8.0</v>
      </c>
      <c r="Z45" s="19">
        <v>18.0</v>
      </c>
      <c r="AA45" s="19">
        <v>12.0</v>
      </c>
      <c r="AB45" s="19">
        <v>12.0</v>
      </c>
      <c r="AC45" s="13">
        <f t="shared" ref="AC45:AC47" si="14">SUM(E45:AB45)</f>
        <v>337</v>
      </c>
    </row>
    <row r="46" ht="12.75" customHeight="1">
      <c r="A46" s="18"/>
      <c r="B46" s="51">
        <v>2.0</v>
      </c>
      <c r="C46" s="52" t="s">
        <v>38</v>
      </c>
      <c r="D46" s="16"/>
      <c r="E46" s="19">
        <v>135.0</v>
      </c>
      <c r="F46" s="19">
        <v>129.0</v>
      </c>
      <c r="G46" s="19">
        <v>173.0</v>
      </c>
      <c r="H46" s="19">
        <v>150.0</v>
      </c>
      <c r="I46" s="19">
        <v>144.0</v>
      </c>
      <c r="J46" s="19">
        <v>157.0</v>
      </c>
      <c r="K46" s="19">
        <v>171.0</v>
      </c>
      <c r="L46" s="19">
        <v>137.0</v>
      </c>
      <c r="M46" s="19">
        <v>148.0</v>
      </c>
      <c r="N46" s="19">
        <v>166.0</v>
      </c>
      <c r="O46" s="19">
        <v>157.0</v>
      </c>
      <c r="P46" s="19">
        <v>148.0</v>
      </c>
      <c r="Q46" s="19">
        <v>164.0</v>
      </c>
      <c r="R46" s="19">
        <v>160.0</v>
      </c>
      <c r="S46" s="19">
        <v>142.0</v>
      </c>
      <c r="T46" s="19">
        <v>123.0</v>
      </c>
      <c r="U46" s="19">
        <v>157.0</v>
      </c>
      <c r="V46" s="19">
        <v>133.0</v>
      </c>
      <c r="W46" s="19">
        <v>127.0</v>
      </c>
      <c r="X46" s="19">
        <v>153.0</v>
      </c>
      <c r="Y46" s="19">
        <v>137.0</v>
      </c>
      <c r="Z46" s="19">
        <v>141.0</v>
      </c>
      <c r="AA46" s="19">
        <v>133.0</v>
      </c>
      <c r="AB46" s="19">
        <v>154.0</v>
      </c>
      <c r="AC46" s="13">
        <f t="shared" si="14"/>
        <v>3539</v>
      </c>
    </row>
    <row r="47" ht="12.75" customHeight="1">
      <c r="A47" s="49"/>
      <c r="B47" s="51">
        <v>3.0</v>
      </c>
      <c r="C47" s="52" t="s">
        <v>39</v>
      </c>
      <c r="D47" s="16"/>
      <c r="E47" s="19">
        <v>54.0</v>
      </c>
      <c r="F47" s="19">
        <v>36.0</v>
      </c>
      <c r="G47" s="19">
        <v>23.0</v>
      </c>
      <c r="H47" s="19">
        <v>39.0</v>
      </c>
      <c r="I47" s="19">
        <v>46.0</v>
      </c>
      <c r="J47" s="19">
        <v>29.0</v>
      </c>
      <c r="K47" s="19">
        <v>26.0</v>
      </c>
      <c r="L47" s="19">
        <v>33.0</v>
      </c>
      <c r="M47" s="19">
        <v>31.0</v>
      </c>
      <c r="N47" s="19">
        <v>46.0</v>
      </c>
      <c r="O47" s="19">
        <v>33.0</v>
      </c>
      <c r="P47" s="19">
        <v>41.0</v>
      </c>
      <c r="Q47" s="19">
        <v>37.0</v>
      </c>
      <c r="R47" s="19">
        <v>41.0</v>
      </c>
      <c r="S47" s="19">
        <v>35.0</v>
      </c>
      <c r="T47" s="19">
        <v>34.0</v>
      </c>
      <c r="U47" s="19">
        <v>65.0</v>
      </c>
      <c r="V47" s="19">
        <v>88.0</v>
      </c>
      <c r="W47" s="19">
        <v>53.0</v>
      </c>
      <c r="X47" s="19">
        <v>54.0</v>
      </c>
      <c r="Y47" s="19">
        <v>52.0</v>
      </c>
      <c r="Z47" s="19">
        <v>29.0</v>
      </c>
      <c r="AA47" s="19">
        <v>59.0</v>
      </c>
      <c r="AB47" s="19">
        <v>68.0</v>
      </c>
      <c r="AC47" s="13">
        <f t="shared" si="14"/>
        <v>1052</v>
      </c>
    </row>
    <row r="48" ht="12.75" customHeight="1">
      <c r="AC48" s="13"/>
    </row>
    <row r="49" ht="12.75" customHeight="1">
      <c r="A49" s="46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56</v>
      </c>
      <c r="L49" s="13" t="s">
        <v>57</v>
      </c>
      <c r="M49" s="13" t="s">
        <v>58</v>
      </c>
      <c r="N49" s="13" t="s">
        <v>59</v>
      </c>
      <c r="O49" s="13" t="s">
        <v>60</v>
      </c>
      <c r="P49" s="13" t="s">
        <v>61</v>
      </c>
      <c r="Q49" s="13" t="s">
        <v>62</v>
      </c>
      <c r="R49" s="13" t="s">
        <v>63</v>
      </c>
      <c r="S49" s="13" t="s">
        <v>64</v>
      </c>
      <c r="T49" s="13" t="s">
        <v>65</v>
      </c>
      <c r="U49" s="13" t="s">
        <v>66</v>
      </c>
      <c r="V49" s="13" t="s">
        <v>67</v>
      </c>
      <c r="W49" s="13" t="s">
        <v>68</v>
      </c>
      <c r="X49" s="13" t="s">
        <v>69</v>
      </c>
      <c r="Y49" s="13" t="s">
        <v>70</v>
      </c>
      <c r="Z49" s="13" t="s">
        <v>71</v>
      </c>
      <c r="AA49" s="13" t="s">
        <v>72</v>
      </c>
      <c r="AB49" s="13" t="s">
        <v>73</v>
      </c>
      <c r="AC49" s="13"/>
    </row>
    <row r="50" ht="12.75" customHeight="1">
      <c r="A50" s="46"/>
      <c r="B50" s="58" t="s">
        <v>42</v>
      </c>
      <c r="C50" s="59" t="s">
        <v>43</v>
      </c>
      <c r="D50" s="16"/>
      <c r="E50" s="19">
        <f t="shared" ref="E50:AB50" si="15">SUM(E45:E47)</f>
        <v>205</v>
      </c>
      <c r="F50" s="19">
        <f t="shared" si="15"/>
        <v>189</v>
      </c>
      <c r="G50" s="19">
        <f t="shared" si="15"/>
        <v>205</v>
      </c>
      <c r="H50" s="19">
        <f t="shared" si="15"/>
        <v>216</v>
      </c>
      <c r="I50" s="19">
        <f t="shared" si="15"/>
        <v>194</v>
      </c>
      <c r="J50" s="19">
        <f t="shared" si="15"/>
        <v>198</v>
      </c>
      <c r="K50" s="19">
        <f t="shared" si="15"/>
        <v>222</v>
      </c>
      <c r="L50" s="19">
        <f t="shared" si="15"/>
        <v>186</v>
      </c>
      <c r="M50" s="19">
        <f t="shared" si="15"/>
        <v>201</v>
      </c>
      <c r="N50" s="19">
        <f t="shared" si="15"/>
        <v>227</v>
      </c>
      <c r="O50" s="19">
        <f t="shared" si="15"/>
        <v>199</v>
      </c>
      <c r="P50" s="19">
        <f t="shared" si="15"/>
        <v>200</v>
      </c>
      <c r="Q50" s="19">
        <f t="shared" si="15"/>
        <v>212</v>
      </c>
      <c r="R50" s="19">
        <f t="shared" si="15"/>
        <v>224</v>
      </c>
      <c r="S50" s="19">
        <f t="shared" si="15"/>
        <v>192</v>
      </c>
      <c r="T50" s="19">
        <f t="shared" si="15"/>
        <v>179</v>
      </c>
      <c r="U50" s="19">
        <f t="shared" si="15"/>
        <v>227</v>
      </c>
      <c r="V50" s="19">
        <f t="shared" si="15"/>
        <v>228</v>
      </c>
      <c r="W50" s="19">
        <f t="shared" si="15"/>
        <v>185</v>
      </c>
      <c r="X50" s="19">
        <f t="shared" si="15"/>
        <v>216</v>
      </c>
      <c r="Y50" s="19">
        <f t="shared" si="15"/>
        <v>197</v>
      </c>
      <c r="Z50" s="19">
        <f t="shared" si="15"/>
        <v>188</v>
      </c>
      <c r="AA50" s="19">
        <f t="shared" si="15"/>
        <v>204</v>
      </c>
      <c r="AB50" s="19">
        <f t="shared" si="15"/>
        <v>234</v>
      </c>
      <c r="AC50" s="13">
        <f t="shared" ref="AC50:AC52" si="16">SUM(E50:AB50)</f>
        <v>4928</v>
      </c>
    </row>
    <row r="51" ht="12.75" customHeight="1">
      <c r="A51" s="36"/>
      <c r="B51" s="58" t="s">
        <v>44</v>
      </c>
      <c r="C51" s="59" t="s">
        <v>45</v>
      </c>
      <c r="D51" s="16"/>
      <c r="E51" s="19">
        <v>0.0</v>
      </c>
      <c r="F51" s="19">
        <v>5.0</v>
      </c>
      <c r="G51" s="19">
        <v>2.0</v>
      </c>
      <c r="H51" s="19">
        <v>4.0</v>
      </c>
      <c r="I51" s="19">
        <v>11.0</v>
      </c>
      <c r="J51" s="19">
        <v>7.0</v>
      </c>
      <c r="K51" s="19">
        <v>12.0</v>
      </c>
      <c r="L51" s="19">
        <v>3.0</v>
      </c>
      <c r="M51" s="19">
        <v>5.0</v>
      </c>
      <c r="N51" s="19">
        <v>2.0</v>
      </c>
      <c r="O51" s="19">
        <v>5.0</v>
      </c>
      <c r="P51" s="19">
        <v>1.0</v>
      </c>
      <c r="Q51" s="19">
        <v>3.0</v>
      </c>
      <c r="R51" s="19">
        <v>3.0</v>
      </c>
      <c r="S51" s="19">
        <v>2.0</v>
      </c>
      <c r="T51" s="19">
        <v>1.0</v>
      </c>
      <c r="U51" s="19">
        <v>1.0</v>
      </c>
      <c r="V51" s="19">
        <v>3.0</v>
      </c>
      <c r="W51" s="19">
        <v>7.0</v>
      </c>
      <c r="X51" s="19">
        <v>5.0</v>
      </c>
      <c r="Y51" s="19">
        <v>2.0</v>
      </c>
      <c r="Z51" s="19">
        <v>5.0</v>
      </c>
      <c r="AA51" s="19">
        <v>3.0</v>
      </c>
      <c r="AB51" s="19">
        <v>3.0</v>
      </c>
      <c r="AC51" s="13">
        <f t="shared" si="16"/>
        <v>95</v>
      </c>
    </row>
    <row r="52" ht="12.75" customHeight="1">
      <c r="A52" s="44"/>
      <c r="B52" s="58" t="s">
        <v>46</v>
      </c>
      <c r="C52" s="59" t="s">
        <v>47</v>
      </c>
      <c r="D52" s="16"/>
      <c r="E52" s="13">
        <f t="shared" ref="E52:AB52" si="17">SUM(E50:E51)</f>
        <v>205</v>
      </c>
      <c r="F52" s="13">
        <f t="shared" si="17"/>
        <v>194</v>
      </c>
      <c r="G52" s="13">
        <f t="shared" si="17"/>
        <v>207</v>
      </c>
      <c r="H52" s="13">
        <f t="shared" si="17"/>
        <v>220</v>
      </c>
      <c r="I52" s="13">
        <f t="shared" si="17"/>
        <v>205</v>
      </c>
      <c r="J52" s="13">
        <f t="shared" si="17"/>
        <v>205</v>
      </c>
      <c r="K52" s="13">
        <f t="shared" si="17"/>
        <v>234</v>
      </c>
      <c r="L52" s="13">
        <f t="shared" si="17"/>
        <v>189</v>
      </c>
      <c r="M52" s="13">
        <f t="shared" si="17"/>
        <v>206</v>
      </c>
      <c r="N52" s="13">
        <f t="shared" si="17"/>
        <v>229</v>
      </c>
      <c r="O52" s="13">
        <f t="shared" si="17"/>
        <v>204</v>
      </c>
      <c r="P52" s="13">
        <f t="shared" si="17"/>
        <v>201</v>
      </c>
      <c r="Q52" s="13">
        <f t="shared" si="17"/>
        <v>215</v>
      </c>
      <c r="R52" s="13">
        <f t="shared" si="17"/>
        <v>227</v>
      </c>
      <c r="S52" s="13">
        <f t="shared" si="17"/>
        <v>194</v>
      </c>
      <c r="T52" s="13">
        <f t="shared" si="17"/>
        <v>180</v>
      </c>
      <c r="U52" s="13">
        <f t="shared" si="17"/>
        <v>228</v>
      </c>
      <c r="V52" s="13">
        <f t="shared" si="17"/>
        <v>231</v>
      </c>
      <c r="W52" s="13">
        <f t="shared" si="17"/>
        <v>192</v>
      </c>
      <c r="X52" s="13">
        <f t="shared" si="17"/>
        <v>221</v>
      </c>
      <c r="Y52" s="13">
        <f t="shared" si="17"/>
        <v>199</v>
      </c>
      <c r="Z52" s="13">
        <f t="shared" si="17"/>
        <v>193</v>
      </c>
      <c r="AA52" s="13">
        <f t="shared" si="17"/>
        <v>207</v>
      </c>
      <c r="AB52" s="13">
        <f t="shared" si="17"/>
        <v>237</v>
      </c>
      <c r="AC52" s="13">
        <f t="shared" si="16"/>
        <v>5023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D117" s="5"/>
      <c r="AE117" s="5"/>
    </row>
    <row r="118" ht="12.75" customHeight="1">
      <c r="AD118" s="5"/>
      <c r="AE118" s="5"/>
    </row>
    <row r="119" ht="12.75" customHeight="1">
      <c r="AD119" s="5"/>
      <c r="AE119" s="5"/>
    </row>
    <row r="120" ht="12.75" customHeight="1">
      <c r="AD120" s="5"/>
      <c r="AE120" s="5"/>
    </row>
    <row r="121" ht="12.75" customHeight="1">
      <c r="AD121" s="5"/>
      <c r="AE121" s="5"/>
    </row>
    <row r="122" ht="12.75" customHeight="1">
      <c r="AD122" s="5"/>
      <c r="AE122" s="5"/>
    </row>
    <row r="123" ht="12.75" customHeight="1">
      <c r="AD123" s="5"/>
      <c r="AE123" s="5"/>
    </row>
    <row r="124" ht="12.75" customHeight="1">
      <c r="AD124" s="5"/>
      <c r="AE124" s="5"/>
    </row>
    <row r="125" ht="12.75" customHeight="1">
      <c r="AD125" s="5"/>
      <c r="AE125" s="5"/>
    </row>
    <row r="126" ht="12.75" customHeight="1">
      <c r="AD126" s="5"/>
      <c r="AE126" s="5"/>
    </row>
    <row r="127" ht="12.75" customHeight="1">
      <c r="AD127" s="5"/>
      <c r="AE127" s="5"/>
    </row>
    <row r="128" ht="12.75" customHeight="1">
      <c r="AD128" s="5"/>
      <c r="AE128" s="5"/>
    </row>
    <row r="129" ht="12.75" customHeight="1">
      <c r="AD129" s="5"/>
      <c r="AE129" s="5"/>
    </row>
    <row r="130" ht="12.75" customHeight="1">
      <c r="AD130" s="1"/>
      <c r="AE130" s="1"/>
    </row>
    <row r="131" ht="12.75" customHeight="1">
      <c r="AD131" s="54"/>
      <c r="AE131" s="54"/>
    </row>
    <row r="132" ht="12.75" customHeight="1">
      <c r="AD132" s="5"/>
      <c r="AE132" s="5"/>
    </row>
    <row r="133" ht="12.75" customHeight="1">
      <c r="AD133" s="5"/>
      <c r="AE133" s="5"/>
    </row>
    <row r="134" ht="12.75" customHeight="1">
      <c r="AD134" s="5"/>
      <c r="AE134" s="5"/>
    </row>
    <row r="135" ht="12.75" customHeight="1">
      <c r="AD135" s="5"/>
      <c r="AE135" s="5"/>
    </row>
    <row r="136" ht="12.75" customHeight="1">
      <c r="AD136" s="5"/>
      <c r="AE136" s="5"/>
    </row>
    <row r="137" ht="12.75" customHeight="1">
      <c r="AD137" s="5"/>
      <c r="AE137" s="5"/>
    </row>
    <row r="138" ht="12.75" customHeight="1">
      <c r="AD138" s="5"/>
      <c r="AE138" s="5"/>
    </row>
    <row r="139" ht="12.75" customHeight="1">
      <c r="AD139" s="5"/>
      <c r="AE139" s="5"/>
    </row>
    <row r="140" ht="12.75" customHeight="1">
      <c r="AD140" s="5"/>
      <c r="AE140" s="5"/>
    </row>
    <row r="141" ht="12.75" customHeight="1">
      <c r="AD141" s="1"/>
      <c r="AE141" s="1"/>
    </row>
    <row r="142" ht="12.75" customHeight="1">
      <c r="AD142" s="54"/>
      <c r="AE142" s="54"/>
    </row>
    <row r="143" ht="12.75" customHeight="1">
      <c r="AD143" s="5"/>
      <c r="AE143" s="5"/>
    </row>
    <row r="144" ht="12.75" customHeight="1">
      <c r="AD144" s="5"/>
      <c r="AE144" s="5"/>
    </row>
    <row r="145" ht="12.75" customHeight="1">
      <c r="AD145" s="5"/>
      <c r="AE145" s="5"/>
    </row>
    <row r="146" ht="12.75" customHeight="1">
      <c r="AD146" s="5"/>
      <c r="AE146" s="5"/>
    </row>
    <row r="147" ht="12.75" customHeight="1">
      <c r="AD147" s="5"/>
      <c r="AE147" s="5"/>
    </row>
    <row r="148" ht="12.75" customHeight="1">
      <c r="AD148" s="5"/>
      <c r="AE148" s="5"/>
    </row>
    <row r="149" ht="12.75" customHeight="1">
      <c r="AD149" s="5"/>
      <c r="AE149" s="5"/>
    </row>
    <row r="150" ht="12.75" customHeight="1">
      <c r="AD150" s="5"/>
      <c r="AE150" s="5"/>
    </row>
    <row r="151" ht="12.75" customHeight="1">
      <c r="AD151" s="1"/>
      <c r="AE151" s="1"/>
    </row>
    <row r="152" ht="12.75" customHeight="1">
      <c r="AD152" s="54"/>
      <c r="AE152" s="54"/>
    </row>
    <row r="153" ht="12.75" customHeight="1">
      <c r="AD153" s="5"/>
      <c r="AE153" s="5"/>
    </row>
    <row r="154" ht="12.75" customHeight="1">
      <c r="AD154" s="5"/>
      <c r="AE154" s="5"/>
    </row>
    <row r="155" ht="12.75" customHeight="1">
      <c r="AD155" s="5"/>
      <c r="AE155" s="5"/>
    </row>
    <row r="156" ht="12.75" customHeight="1">
      <c r="AD156" s="5"/>
      <c r="AE156" s="5"/>
    </row>
    <row r="157" ht="12.75" customHeight="1">
      <c r="AD157" s="5"/>
      <c r="AE157" s="5"/>
    </row>
    <row r="158" ht="12.75" customHeight="1">
      <c r="AD158" s="5"/>
      <c r="AE158" s="5"/>
    </row>
    <row r="159" ht="12.75" customHeight="1">
      <c r="AD159" s="5"/>
      <c r="AE159" s="5"/>
    </row>
    <row r="160" ht="12.75" customHeight="1">
      <c r="AD160" s="5"/>
      <c r="AE160" s="5"/>
    </row>
    <row r="161" ht="12.75" customHeight="1">
      <c r="AD161" s="5"/>
      <c r="AE161" s="5"/>
    </row>
    <row r="162" ht="12.75" customHeight="1">
      <c r="AD162" s="5"/>
      <c r="AE162" s="5"/>
    </row>
    <row r="163" ht="12.75" customHeight="1">
      <c r="AD163" s="5"/>
      <c r="AE163" s="5"/>
    </row>
    <row r="164" ht="12.75" customHeight="1">
      <c r="AD164" s="5"/>
      <c r="AE164" s="5"/>
    </row>
    <row r="165" ht="12.75" customHeight="1">
      <c r="AD165" s="1"/>
      <c r="AE165" s="1"/>
    </row>
    <row r="166" ht="12.75" customHeight="1">
      <c r="AD166" s="54"/>
      <c r="AE166" s="54"/>
    </row>
    <row r="167" ht="12.75" customHeight="1">
      <c r="AD167" s="5"/>
      <c r="AE167" s="5"/>
    </row>
    <row r="168" ht="12.75" customHeight="1">
      <c r="AD168" s="5"/>
      <c r="AE168" s="5"/>
    </row>
    <row r="169" ht="12.75" customHeight="1">
      <c r="AD169" s="5"/>
      <c r="AE169" s="5"/>
    </row>
    <row r="170" ht="12.75" customHeight="1">
      <c r="AD170" s="5"/>
      <c r="AE170" s="5"/>
    </row>
    <row r="171" ht="12.75" customHeight="1">
      <c r="AD171" s="5"/>
      <c r="AE171" s="5"/>
    </row>
    <row r="172" ht="12.75" customHeight="1">
      <c r="AD172" s="5"/>
      <c r="AE172" s="5"/>
    </row>
    <row r="173" ht="12.75" customHeight="1">
      <c r="AD173" s="5"/>
      <c r="AE173" s="5"/>
    </row>
    <row r="174" ht="12.75" customHeight="1">
      <c r="AD174" s="5"/>
      <c r="AE174" s="5"/>
    </row>
    <row r="175" ht="12.75" customHeight="1">
      <c r="AD175" s="5"/>
      <c r="AE175" s="5"/>
    </row>
    <row r="176" ht="12.75" customHeight="1">
      <c r="AD176" s="1"/>
      <c r="AE176" s="1"/>
    </row>
    <row r="177" ht="12.75" customHeight="1"/>
    <row r="178" ht="12.75" customHeight="1">
      <c r="AD178" s="5"/>
      <c r="AE178" s="5"/>
    </row>
    <row r="179" ht="12.75" customHeight="1">
      <c r="AD179" s="5"/>
      <c r="AE179" s="5"/>
    </row>
    <row r="180" ht="12.75" customHeight="1">
      <c r="AD180" s="5"/>
      <c r="AE180" s="5"/>
    </row>
    <row r="181" ht="12.75" customHeight="1">
      <c r="AD181" s="5"/>
      <c r="AE181" s="5"/>
    </row>
    <row r="182" ht="12.75" customHeight="1">
      <c r="AD182" s="5"/>
      <c r="AE182" s="5"/>
    </row>
    <row r="183" ht="12.75" customHeight="1">
      <c r="AD183" s="5"/>
      <c r="AE183" s="5"/>
    </row>
    <row r="184" ht="12.75" customHeight="1">
      <c r="AD184" s="5"/>
      <c r="AE184" s="5"/>
    </row>
    <row r="185" ht="12.75" customHeight="1">
      <c r="AD185" s="5"/>
      <c r="AE185" s="5"/>
    </row>
    <row r="186" ht="12.75" customHeight="1">
      <c r="AD186" s="5"/>
      <c r="AE186" s="5"/>
    </row>
    <row r="187" ht="12.75" customHeight="1">
      <c r="AD187" s="1"/>
      <c r="AE187" s="1"/>
    </row>
    <row r="188" ht="12.75" customHeight="1"/>
    <row r="189" ht="12.75" customHeight="1">
      <c r="AD189" s="5"/>
      <c r="AE189" s="5"/>
    </row>
    <row r="190" ht="12.75" customHeight="1">
      <c r="AD190" s="5"/>
      <c r="AE190" s="5"/>
    </row>
    <row r="191" ht="12.75" customHeight="1">
      <c r="AD191" s="5"/>
      <c r="AE191" s="5"/>
    </row>
    <row r="192" ht="12.75" customHeight="1">
      <c r="AD192" s="5"/>
      <c r="AE192" s="5"/>
    </row>
    <row r="193" ht="12.75" customHeight="1">
      <c r="AD193" s="5"/>
      <c r="AE193" s="5"/>
    </row>
    <row r="194" ht="12.75" customHeight="1">
      <c r="AD194" s="5"/>
      <c r="AE194" s="5"/>
    </row>
    <row r="195" ht="12.75" customHeight="1">
      <c r="AD195" s="5"/>
      <c r="AE195" s="5"/>
    </row>
    <row r="196" ht="12.75" customHeight="1">
      <c r="AD196" s="1"/>
      <c r="AE196" s="1"/>
    </row>
    <row r="197" ht="12.75" customHeight="1">
      <c r="AD197" s="1"/>
      <c r="AE197" s="1"/>
    </row>
    <row r="198" ht="12.75" customHeight="1">
      <c r="AD198" s="1"/>
      <c r="AE198" s="1"/>
    </row>
    <row r="199" ht="12.75" customHeight="1">
      <c r="AD199" s="54"/>
      <c r="AE199" s="54"/>
    </row>
    <row r="200" ht="12.75" customHeight="1">
      <c r="AD200" s="5"/>
      <c r="AE200" s="5"/>
    </row>
    <row r="201" ht="12.75" customHeight="1">
      <c r="AD201" s="5"/>
      <c r="AE201" s="5"/>
    </row>
    <row r="202" ht="12.75" customHeight="1">
      <c r="AD202" s="5"/>
      <c r="AE202" s="5"/>
    </row>
    <row r="203" ht="12.75" customHeight="1">
      <c r="AD203" s="5"/>
      <c r="AE203" s="5"/>
    </row>
    <row r="204" ht="12.75" customHeight="1">
      <c r="AD204" s="5"/>
      <c r="AE204" s="5"/>
    </row>
    <row r="205" ht="12.75" customHeight="1">
      <c r="AD205" s="5"/>
      <c r="AE205" s="5"/>
    </row>
    <row r="206" ht="12.75" customHeight="1">
      <c r="AD206" s="5"/>
      <c r="AE206" s="5"/>
    </row>
    <row r="207" ht="12.75" customHeight="1">
      <c r="AD207" s="1"/>
      <c r="AE207" s="1"/>
    </row>
    <row r="208" ht="12.75" customHeight="1">
      <c r="AD208" s="54"/>
      <c r="AE208" s="54"/>
    </row>
    <row r="209" ht="12.75" customHeight="1">
      <c r="AD209" s="54"/>
      <c r="AE209" s="54"/>
    </row>
    <row r="210" ht="12.75" customHeight="1">
      <c r="AD210" s="54"/>
      <c r="AE210" s="54"/>
    </row>
    <row r="211" ht="12.75" customHeight="1">
      <c r="AD211" s="5"/>
      <c r="AE211" s="5"/>
    </row>
    <row r="212" ht="12.75" customHeight="1">
      <c r="AD212" s="5"/>
      <c r="AE212" s="5"/>
    </row>
    <row r="213" ht="12.75" customHeight="1">
      <c r="AD213" s="5"/>
      <c r="AE213" s="5"/>
    </row>
    <row r="214" ht="12.75" customHeight="1">
      <c r="AD214" s="5"/>
      <c r="AE214" s="5"/>
    </row>
    <row r="215" ht="12.75" customHeight="1">
      <c r="AD215" s="5"/>
      <c r="AE215" s="5"/>
    </row>
    <row r="216" ht="12.75" customHeight="1">
      <c r="AD216" s="5"/>
      <c r="AE216" s="5"/>
    </row>
    <row r="217" ht="12.75" customHeight="1">
      <c r="AD217" s="5"/>
      <c r="AE217" s="5"/>
    </row>
    <row r="218" ht="12.75" customHeight="1">
      <c r="AD218" s="1"/>
      <c r="AE218" s="1"/>
    </row>
    <row r="219" ht="12.75" customHeight="1">
      <c r="AD219" s="54"/>
      <c r="AE219" s="54"/>
    </row>
    <row r="220" ht="12.75" customHeight="1">
      <c r="AD220" s="5"/>
      <c r="AE220" s="5"/>
    </row>
    <row r="221" ht="12.75" customHeight="1">
      <c r="AD221" s="5"/>
      <c r="AE221" s="5"/>
    </row>
    <row r="222" ht="12.75" customHeight="1">
      <c r="AD222" s="5"/>
      <c r="AE222" s="5"/>
    </row>
    <row r="223" ht="12.75" customHeight="1">
      <c r="AD223" s="5"/>
      <c r="AE223" s="5"/>
    </row>
    <row r="224" ht="12.75" customHeight="1">
      <c r="AD224" s="5"/>
      <c r="AE224" s="5"/>
    </row>
    <row r="225" ht="12.75" customHeight="1">
      <c r="AD225" s="5"/>
      <c r="AE225" s="5"/>
    </row>
    <row r="226" ht="12.75" customHeight="1">
      <c r="AD226" s="5"/>
      <c r="AE226" s="5"/>
    </row>
    <row r="227" ht="12.75" customHeight="1">
      <c r="AD227" s="5"/>
      <c r="AE227" s="5"/>
    </row>
    <row r="228" ht="12.75" customHeight="1">
      <c r="AD228" s="5"/>
      <c r="AE228" s="5"/>
    </row>
    <row r="229" ht="12.75" customHeight="1">
      <c r="AD229" s="1"/>
      <c r="AE229" s="1"/>
    </row>
    <row r="230" ht="12.75" customHeight="1">
      <c r="AD230" s="54"/>
      <c r="AE230" s="54"/>
    </row>
    <row r="231" ht="12.75" customHeight="1">
      <c r="AD231" s="5"/>
      <c r="AE231" s="5"/>
    </row>
    <row r="232" ht="12.75" customHeight="1">
      <c r="AD232" s="5"/>
      <c r="AE232" s="5"/>
    </row>
    <row r="233" ht="12.75" customHeight="1">
      <c r="AD233" s="5"/>
      <c r="AE233" s="5"/>
    </row>
    <row r="234" ht="12.75" customHeight="1">
      <c r="AD234" s="5"/>
      <c r="AE234" s="5"/>
    </row>
    <row r="235" ht="12.75" customHeight="1">
      <c r="AD235" s="5"/>
      <c r="AE235" s="5"/>
    </row>
    <row r="236" ht="12.75" customHeight="1">
      <c r="AD236" s="5"/>
      <c r="AE236" s="5"/>
    </row>
    <row r="237" ht="12.75" customHeight="1">
      <c r="AD237" s="5"/>
      <c r="AE237" s="5"/>
    </row>
    <row r="238" ht="12.75" customHeight="1">
      <c r="AD238" s="5"/>
      <c r="AE238" s="5"/>
    </row>
    <row r="239" ht="12.75" customHeight="1">
      <c r="AD239" s="5"/>
      <c r="AE239" s="5"/>
    </row>
    <row r="240" ht="12.75" customHeight="1">
      <c r="AD240" s="1"/>
      <c r="AE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B15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E30&lt;&gt;E47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E34&lt;&gt;#REF!</formula>
    </cfRule>
  </conditionalFormatting>
  <conditionalFormatting sqref="E45:AB47">
    <cfRule type="containsBlanks" dxfId="1" priority="10">
      <formula>LEN(TRIM(E45))=0</formula>
    </cfRule>
  </conditionalFormatting>
  <conditionalFormatting sqref="E50:AB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81" width="8.71"/>
    <col customWidth="1" min="82" max="82" width="13.29"/>
    <col customWidth="1" min="83" max="8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6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75</v>
      </c>
      <c r="AD13" s="13" t="s">
        <v>76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13" t="s">
        <v>90</v>
      </c>
      <c r="AS13" s="13" t="s">
        <v>91</v>
      </c>
      <c r="AT13" s="13" t="s">
        <v>92</v>
      </c>
      <c r="AU13" s="13" t="s">
        <v>93</v>
      </c>
      <c r="AV13" s="13" t="s">
        <v>94</v>
      </c>
      <c r="AW13" s="13" t="s">
        <v>95</v>
      </c>
      <c r="AX13" s="13" t="s">
        <v>96</v>
      </c>
      <c r="AY13" s="13" t="s">
        <v>97</v>
      </c>
      <c r="AZ13" s="13" t="s">
        <v>98</v>
      </c>
      <c r="BA13" s="13" t="s">
        <v>99</v>
      </c>
      <c r="BB13" s="13" t="s">
        <v>100</v>
      </c>
      <c r="BC13" s="13" t="s">
        <v>101</v>
      </c>
      <c r="BD13" s="13" t="s">
        <v>102</v>
      </c>
      <c r="BE13" s="13" t="s">
        <v>103</v>
      </c>
      <c r="BF13" s="13" t="s">
        <v>104</v>
      </c>
      <c r="BG13" s="13" t="s">
        <v>105</v>
      </c>
      <c r="BH13" s="13" t="s">
        <v>106</v>
      </c>
      <c r="BI13" s="13" t="s">
        <v>107</v>
      </c>
      <c r="BJ13" s="13" t="s">
        <v>108</v>
      </c>
      <c r="BK13" s="13" t="s">
        <v>109</v>
      </c>
      <c r="BL13" s="13" t="s">
        <v>110</v>
      </c>
      <c r="BM13" s="13" t="s">
        <v>111</v>
      </c>
      <c r="BN13" s="13" t="s">
        <v>112</v>
      </c>
      <c r="BO13" s="13" t="s">
        <v>113</v>
      </c>
      <c r="BP13" s="13" t="s">
        <v>114</v>
      </c>
      <c r="BQ13" s="13" t="s">
        <v>115</v>
      </c>
      <c r="BR13" s="13" t="s">
        <v>116</v>
      </c>
      <c r="BS13" s="13" t="s">
        <v>117</v>
      </c>
      <c r="BT13" s="13" t="s">
        <v>118</v>
      </c>
      <c r="BU13" s="13" t="s">
        <v>119</v>
      </c>
      <c r="BV13" s="13" t="s">
        <v>120</v>
      </c>
      <c r="BW13" s="13" t="s">
        <v>121</v>
      </c>
      <c r="BX13" s="13" t="s">
        <v>122</v>
      </c>
      <c r="BY13" s="13" t="s">
        <v>123</v>
      </c>
      <c r="BZ13" s="13" t="s">
        <v>124</v>
      </c>
      <c r="CA13" s="13" t="s">
        <v>125</v>
      </c>
      <c r="CB13" s="13" t="s">
        <v>126</v>
      </c>
      <c r="CC13" s="13" t="s">
        <v>127</v>
      </c>
      <c r="CD13" s="37"/>
    </row>
    <row r="14" ht="12.75" customHeight="1">
      <c r="A14" s="18"/>
      <c r="B14" s="22" t="s">
        <v>11</v>
      </c>
      <c r="C14" s="23"/>
      <c r="D14" s="19" t="s">
        <v>12</v>
      </c>
      <c r="E14" s="38">
        <v>123.0</v>
      </c>
      <c r="F14" s="38">
        <v>129.0</v>
      </c>
      <c r="G14" s="38">
        <v>144.0</v>
      </c>
      <c r="H14" s="38">
        <v>128.0</v>
      </c>
      <c r="I14" s="38">
        <v>117.0</v>
      </c>
      <c r="J14" s="38">
        <v>138.0</v>
      </c>
      <c r="K14" s="38">
        <v>149.0</v>
      </c>
      <c r="L14" s="38">
        <v>141.0</v>
      </c>
      <c r="M14" s="38">
        <v>149.0</v>
      </c>
      <c r="N14" s="38">
        <v>146.0</v>
      </c>
      <c r="O14" s="38">
        <v>121.0</v>
      </c>
      <c r="P14" s="38">
        <v>139.0</v>
      </c>
      <c r="Q14" s="38">
        <v>155.0</v>
      </c>
      <c r="R14" s="38">
        <v>138.0</v>
      </c>
      <c r="S14" s="38">
        <v>141.0</v>
      </c>
      <c r="T14" s="66">
        <v>160.0</v>
      </c>
      <c r="U14" s="66">
        <v>147.0</v>
      </c>
      <c r="V14" s="66">
        <v>148.0</v>
      </c>
      <c r="W14" s="66">
        <v>155.0</v>
      </c>
      <c r="X14" s="66">
        <v>127.0</v>
      </c>
      <c r="Y14" s="66">
        <v>136.0</v>
      </c>
      <c r="Z14" s="66">
        <v>143.0</v>
      </c>
      <c r="AA14" s="66">
        <v>111.0</v>
      </c>
      <c r="AB14" s="66">
        <v>142.0</v>
      </c>
      <c r="AC14" s="66">
        <v>134.0</v>
      </c>
      <c r="AD14" s="66">
        <v>135.0</v>
      </c>
      <c r="AE14" s="66">
        <v>126.0</v>
      </c>
      <c r="AF14" s="66">
        <v>117.0</v>
      </c>
      <c r="AG14" s="66">
        <v>138.0</v>
      </c>
      <c r="AH14" s="66">
        <v>141.0</v>
      </c>
      <c r="AI14" s="38">
        <v>143.0</v>
      </c>
      <c r="AJ14" s="38">
        <v>125.0</v>
      </c>
      <c r="AK14" s="38">
        <v>123.0</v>
      </c>
      <c r="AL14" s="38">
        <v>107.0</v>
      </c>
      <c r="AM14" s="38">
        <v>131.0</v>
      </c>
      <c r="AN14" s="38">
        <v>111.0</v>
      </c>
      <c r="AO14" s="38">
        <v>135.0</v>
      </c>
      <c r="AP14" s="38">
        <v>96.0</v>
      </c>
      <c r="AQ14" s="38">
        <v>135.0</v>
      </c>
      <c r="AR14" s="38">
        <v>139.0</v>
      </c>
      <c r="AS14" s="38">
        <v>137.0</v>
      </c>
      <c r="AT14" s="38">
        <v>137.0</v>
      </c>
      <c r="AU14" s="38">
        <v>101.0</v>
      </c>
      <c r="AV14" s="38">
        <v>116.0</v>
      </c>
      <c r="AW14" s="38">
        <v>104.0</v>
      </c>
      <c r="AX14" s="38">
        <v>107.0</v>
      </c>
      <c r="AY14" s="38">
        <v>128.0</v>
      </c>
      <c r="AZ14" s="38">
        <v>122.0</v>
      </c>
      <c r="BA14" s="38">
        <v>144.0</v>
      </c>
      <c r="BB14" s="38">
        <v>124.0</v>
      </c>
      <c r="BC14" s="38">
        <v>138.0</v>
      </c>
      <c r="BD14" s="38">
        <v>149.0</v>
      </c>
      <c r="BE14" s="38">
        <v>141.0</v>
      </c>
      <c r="BF14" s="38">
        <v>132.0</v>
      </c>
      <c r="BG14" s="38">
        <v>148.0</v>
      </c>
      <c r="BH14" s="38">
        <v>140.0</v>
      </c>
      <c r="BI14" s="38">
        <v>143.0</v>
      </c>
      <c r="BJ14" s="38">
        <v>157.0</v>
      </c>
      <c r="BK14" s="38">
        <v>152.0</v>
      </c>
      <c r="BL14" s="38">
        <v>145.0</v>
      </c>
      <c r="BM14" s="38">
        <v>145.0</v>
      </c>
      <c r="BN14" s="38">
        <v>128.0</v>
      </c>
      <c r="BO14" s="38">
        <v>120.0</v>
      </c>
      <c r="BP14" s="38">
        <v>131.0</v>
      </c>
      <c r="BQ14" s="38">
        <v>137.0</v>
      </c>
      <c r="BR14" s="38">
        <v>141.0</v>
      </c>
      <c r="BS14" s="38">
        <v>146.0</v>
      </c>
      <c r="BT14" s="38">
        <v>149.0</v>
      </c>
      <c r="BU14" s="38">
        <v>130.0</v>
      </c>
      <c r="BV14" s="38">
        <v>134.0</v>
      </c>
      <c r="BW14" s="38">
        <v>142.0</v>
      </c>
      <c r="BX14" s="38">
        <v>130.0</v>
      </c>
      <c r="BY14" s="38">
        <v>132.0</v>
      </c>
      <c r="BZ14" s="38">
        <v>134.0</v>
      </c>
      <c r="CA14" s="38">
        <v>124.0</v>
      </c>
      <c r="CB14" s="19"/>
      <c r="CC14" s="19"/>
      <c r="CD14" s="13">
        <f t="shared" ref="CD14:CD16" si="1">SUM(E14:CC14)</f>
        <v>10051</v>
      </c>
    </row>
    <row r="15" ht="12.75" customHeight="1">
      <c r="A15" s="18"/>
      <c r="B15" s="26"/>
      <c r="C15" s="27"/>
      <c r="D15" s="19" t="s">
        <v>13</v>
      </c>
      <c r="E15" s="38">
        <v>137.0</v>
      </c>
      <c r="F15" s="38">
        <v>118.0</v>
      </c>
      <c r="G15" s="38">
        <v>148.0</v>
      </c>
      <c r="H15" s="38">
        <v>133.0</v>
      </c>
      <c r="I15" s="38">
        <v>112.0</v>
      </c>
      <c r="J15" s="38">
        <v>137.0</v>
      </c>
      <c r="K15" s="38">
        <v>141.0</v>
      </c>
      <c r="L15" s="38">
        <v>147.0</v>
      </c>
      <c r="M15" s="38">
        <v>144.0</v>
      </c>
      <c r="N15" s="38">
        <v>149.0</v>
      </c>
      <c r="O15" s="38">
        <v>120.0</v>
      </c>
      <c r="P15" s="38">
        <v>137.0</v>
      </c>
      <c r="Q15" s="38">
        <v>138.0</v>
      </c>
      <c r="R15" s="38">
        <v>158.0</v>
      </c>
      <c r="S15" s="38">
        <v>158.0</v>
      </c>
      <c r="T15" s="66">
        <v>139.0</v>
      </c>
      <c r="U15" s="66">
        <v>139.0</v>
      </c>
      <c r="V15" s="66">
        <v>143.0</v>
      </c>
      <c r="W15" s="66">
        <v>136.0</v>
      </c>
      <c r="X15" s="66">
        <v>137.0</v>
      </c>
      <c r="Y15" s="66">
        <v>123.0</v>
      </c>
      <c r="Z15" s="66">
        <v>152.0</v>
      </c>
      <c r="AA15" s="66">
        <v>105.0</v>
      </c>
      <c r="AB15" s="66">
        <v>153.0</v>
      </c>
      <c r="AC15" s="66">
        <v>155.0</v>
      </c>
      <c r="AD15" s="66">
        <v>119.0</v>
      </c>
      <c r="AE15" s="66">
        <v>120.0</v>
      </c>
      <c r="AF15" s="66">
        <v>117.0</v>
      </c>
      <c r="AG15" s="66">
        <v>153.0</v>
      </c>
      <c r="AH15" s="66">
        <v>151.0</v>
      </c>
      <c r="AI15" s="38">
        <v>134.0</v>
      </c>
      <c r="AJ15" s="38">
        <v>103.0</v>
      </c>
      <c r="AK15" s="38">
        <v>120.0</v>
      </c>
      <c r="AL15" s="38">
        <v>116.0</v>
      </c>
      <c r="AM15" s="38">
        <v>117.0</v>
      </c>
      <c r="AN15" s="38">
        <v>118.0</v>
      </c>
      <c r="AO15" s="38">
        <v>117.0</v>
      </c>
      <c r="AP15" s="38">
        <v>107.0</v>
      </c>
      <c r="AQ15" s="38">
        <v>142.0</v>
      </c>
      <c r="AR15" s="38">
        <v>144.0</v>
      </c>
      <c r="AS15" s="38">
        <v>125.0</v>
      </c>
      <c r="AT15" s="38">
        <v>127.0</v>
      </c>
      <c r="AU15" s="38">
        <v>114.0</v>
      </c>
      <c r="AV15" s="38">
        <v>122.0</v>
      </c>
      <c r="AW15" s="38">
        <v>119.0</v>
      </c>
      <c r="AX15" s="38">
        <v>107.0</v>
      </c>
      <c r="AY15" s="38">
        <v>117.0</v>
      </c>
      <c r="AZ15" s="38">
        <v>125.0</v>
      </c>
      <c r="BA15" s="38">
        <v>117.0</v>
      </c>
      <c r="BB15" s="38">
        <v>107.0</v>
      </c>
      <c r="BC15" s="38">
        <v>126.0</v>
      </c>
      <c r="BD15" s="38">
        <v>143.0</v>
      </c>
      <c r="BE15" s="38">
        <v>138.0</v>
      </c>
      <c r="BF15" s="38">
        <v>156.0</v>
      </c>
      <c r="BG15" s="38">
        <v>141.0</v>
      </c>
      <c r="BH15" s="38">
        <v>151.0</v>
      </c>
      <c r="BI15" s="38">
        <v>147.0</v>
      </c>
      <c r="BJ15" s="38">
        <v>138.0</v>
      </c>
      <c r="BK15" s="38">
        <v>145.0</v>
      </c>
      <c r="BL15" s="38">
        <v>149.0</v>
      </c>
      <c r="BM15" s="38">
        <v>141.0</v>
      </c>
      <c r="BN15" s="38">
        <v>139.0</v>
      </c>
      <c r="BO15" s="38">
        <v>120.0</v>
      </c>
      <c r="BP15" s="38">
        <v>153.0</v>
      </c>
      <c r="BQ15" s="38">
        <v>145.0</v>
      </c>
      <c r="BR15" s="38">
        <v>125.0</v>
      </c>
      <c r="BS15" s="38">
        <v>147.0</v>
      </c>
      <c r="BT15" s="38">
        <v>137.0</v>
      </c>
      <c r="BU15" s="38">
        <v>158.0</v>
      </c>
      <c r="BV15" s="38">
        <v>144.0</v>
      </c>
      <c r="BW15" s="38">
        <v>145.0</v>
      </c>
      <c r="BX15" s="38">
        <v>119.0</v>
      </c>
      <c r="BY15" s="38">
        <v>107.0</v>
      </c>
      <c r="BZ15" s="38">
        <v>121.0</v>
      </c>
      <c r="CA15" s="38">
        <v>112.0</v>
      </c>
      <c r="CB15" s="19"/>
      <c r="CC15" s="19"/>
      <c r="CD15" s="13">
        <f t="shared" si="1"/>
        <v>9964</v>
      </c>
    </row>
    <row r="16" ht="12.75" customHeight="1">
      <c r="A16" s="25"/>
      <c r="B16" s="21"/>
      <c r="C16" s="28"/>
      <c r="D16" s="13" t="s">
        <v>14</v>
      </c>
      <c r="E16" s="13">
        <f t="shared" ref="E16:CC16" si="2">SUM(E14:E15)</f>
        <v>260</v>
      </c>
      <c r="F16" s="13">
        <f t="shared" si="2"/>
        <v>247</v>
      </c>
      <c r="G16" s="13">
        <f t="shared" si="2"/>
        <v>292</v>
      </c>
      <c r="H16" s="13">
        <f t="shared" si="2"/>
        <v>261</v>
      </c>
      <c r="I16" s="13">
        <f t="shared" si="2"/>
        <v>229</v>
      </c>
      <c r="J16" s="13">
        <f t="shared" si="2"/>
        <v>275</v>
      </c>
      <c r="K16" s="13">
        <f t="shared" si="2"/>
        <v>290</v>
      </c>
      <c r="L16" s="13">
        <f t="shared" si="2"/>
        <v>288</v>
      </c>
      <c r="M16" s="13">
        <f t="shared" si="2"/>
        <v>293</v>
      </c>
      <c r="N16" s="13">
        <f t="shared" si="2"/>
        <v>295</v>
      </c>
      <c r="O16" s="13">
        <f t="shared" si="2"/>
        <v>241</v>
      </c>
      <c r="P16" s="13">
        <f t="shared" si="2"/>
        <v>276</v>
      </c>
      <c r="Q16" s="13">
        <f t="shared" si="2"/>
        <v>293</v>
      </c>
      <c r="R16" s="13">
        <f t="shared" si="2"/>
        <v>296</v>
      </c>
      <c r="S16" s="13">
        <f t="shared" si="2"/>
        <v>299</v>
      </c>
      <c r="T16" s="13">
        <f t="shared" si="2"/>
        <v>299</v>
      </c>
      <c r="U16" s="13">
        <f t="shared" si="2"/>
        <v>286</v>
      </c>
      <c r="V16" s="13">
        <f t="shared" si="2"/>
        <v>291</v>
      </c>
      <c r="W16" s="13">
        <f t="shared" si="2"/>
        <v>291</v>
      </c>
      <c r="X16" s="13">
        <f t="shared" si="2"/>
        <v>264</v>
      </c>
      <c r="Y16" s="13">
        <f t="shared" si="2"/>
        <v>259</v>
      </c>
      <c r="Z16" s="13">
        <f t="shared" si="2"/>
        <v>295</v>
      </c>
      <c r="AA16" s="13">
        <f t="shared" si="2"/>
        <v>216</v>
      </c>
      <c r="AB16" s="13">
        <f t="shared" si="2"/>
        <v>295</v>
      </c>
      <c r="AC16" s="13">
        <f t="shared" si="2"/>
        <v>289</v>
      </c>
      <c r="AD16" s="13">
        <f t="shared" si="2"/>
        <v>254</v>
      </c>
      <c r="AE16" s="13">
        <f t="shared" si="2"/>
        <v>246</v>
      </c>
      <c r="AF16" s="13">
        <f t="shared" si="2"/>
        <v>234</v>
      </c>
      <c r="AG16" s="13">
        <f t="shared" si="2"/>
        <v>291</v>
      </c>
      <c r="AH16" s="13">
        <f t="shared" si="2"/>
        <v>292</v>
      </c>
      <c r="AI16" s="13">
        <f t="shared" si="2"/>
        <v>277</v>
      </c>
      <c r="AJ16" s="13">
        <f t="shared" si="2"/>
        <v>228</v>
      </c>
      <c r="AK16" s="13">
        <f t="shared" si="2"/>
        <v>243</v>
      </c>
      <c r="AL16" s="13">
        <f t="shared" si="2"/>
        <v>223</v>
      </c>
      <c r="AM16" s="13">
        <f t="shared" si="2"/>
        <v>248</v>
      </c>
      <c r="AN16" s="13">
        <f t="shared" si="2"/>
        <v>229</v>
      </c>
      <c r="AO16" s="13">
        <f t="shared" si="2"/>
        <v>252</v>
      </c>
      <c r="AP16" s="13">
        <f t="shared" si="2"/>
        <v>203</v>
      </c>
      <c r="AQ16" s="13">
        <f t="shared" si="2"/>
        <v>277</v>
      </c>
      <c r="AR16" s="13">
        <f t="shared" si="2"/>
        <v>283</v>
      </c>
      <c r="AS16" s="13">
        <f t="shared" si="2"/>
        <v>262</v>
      </c>
      <c r="AT16" s="13">
        <f t="shared" si="2"/>
        <v>264</v>
      </c>
      <c r="AU16" s="13">
        <f t="shared" si="2"/>
        <v>215</v>
      </c>
      <c r="AV16" s="13">
        <f t="shared" si="2"/>
        <v>238</v>
      </c>
      <c r="AW16" s="13">
        <f t="shared" si="2"/>
        <v>223</v>
      </c>
      <c r="AX16" s="13">
        <f t="shared" si="2"/>
        <v>214</v>
      </c>
      <c r="AY16" s="13">
        <f t="shared" si="2"/>
        <v>245</v>
      </c>
      <c r="AZ16" s="13">
        <f t="shared" si="2"/>
        <v>247</v>
      </c>
      <c r="BA16" s="13">
        <f t="shared" si="2"/>
        <v>261</v>
      </c>
      <c r="BB16" s="13">
        <f t="shared" si="2"/>
        <v>231</v>
      </c>
      <c r="BC16" s="13">
        <f t="shared" si="2"/>
        <v>264</v>
      </c>
      <c r="BD16" s="13">
        <f t="shared" si="2"/>
        <v>292</v>
      </c>
      <c r="BE16" s="13">
        <f t="shared" si="2"/>
        <v>279</v>
      </c>
      <c r="BF16" s="13">
        <f t="shared" si="2"/>
        <v>288</v>
      </c>
      <c r="BG16" s="13">
        <f t="shared" si="2"/>
        <v>289</v>
      </c>
      <c r="BH16" s="13">
        <f t="shared" si="2"/>
        <v>291</v>
      </c>
      <c r="BI16" s="13">
        <f t="shared" si="2"/>
        <v>290</v>
      </c>
      <c r="BJ16" s="13">
        <f t="shared" si="2"/>
        <v>295</v>
      </c>
      <c r="BK16" s="13">
        <f t="shared" si="2"/>
        <v>297</v>
      </c>
      <c r="BL16" s="13">
        <f t="shared" si="2"/>
        <v>294</v>
      </c>
      <c r="BM16" s="13">
        <f t="shared" si="2"/>
        <v>286</v>
      </c>
      <c r="BN16" s="13">
        <f t="shared" si="2"/>
        <v>267</v>
      </c>
      <c r="BO16" s="13">
        <f t="shared" si="2"/>
        <v>240</v>
      </c>
      <c r="BP16" s="13">
        <f t="shared" si="2"/>
        <v>284</v>
      </c>
      <c r="BQ16" s="13">
        <f t="shared" si="2"/>
        <v>282</v>
      </c>
      <c r="BR16" s="13">
        <f t="shared" si="2"/>
        <v>266</v>
      </c>
      <c r="BS16" s="13">
        <f t="shared" si="2"/>
        <v>293</v>
      </c>
      <c r="BT16" s="13">
        <f t="shared" si="2"/>
        <v>286</v>
      </c>
      <c r="BU16" s="13">
        <f t="shared" si="2"/>
        <v>288</v>
      </c>
      <c r="BV16" s="13">
        <f t="shared" si="2"/>
        <v>278</v>
      </c>
      <c r="BW16" s="13">
        <f t="shared" si="2"/>
        <v>287</v>
      </c>
      <c r="BX16" s="13">
        <f t="shared" si="2"/>
        <v>249</v>
      </c>
      <c r="BY16" s="13">
        <f t="shared" si="2"/>
        <v>239</v>
      </c>
      <c r="BZ16" s="13">
        <f t="shared" si="2"/>
        <v>255</v>
      </c>
      <c r="CA16" s="13">
        <f t="shared" si="2"/>
        <v>236</v>
      </c>
      <c r="CB16" s="13">
        <f t="shared" si="2"/>
        <v>0</v>
      </c>
      <c r="CC16" s="13">
        <f t="shared" si="2"/>
        <v>0</v>
      </c>
      <c r="CD16" s="13">
        <f t="shared" si="1"/>
        <v>20015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19"/>
      <c r="Z17" s="19"/>
      <c r="AA17" s="19"/>
      <c r="AB17" s="19"/>
      <c r="AC17" s="64"/>
      <c r="AD17" s="19"/>
      <c r="AE17" s="19"/>
      <c r="AF17" s="19"/>
      <c r="AG17" s="19"/>
      <c r="AH17" s="64"/>
      <c r="AI17" s="19"/>
      <c r="AJ17" s="19"/>
      <c r="AK17" s="19"/>
      <c r="AL17" s="19"/>
      <c r="AM17" s="64"/>
      <c r="AN17" s="19"/>
      <c r="AO17" s="19"/>
      <c r="AP17" s="19"/>
      <c r="AQ17" s="19"/>
      <c r="AR17" s="64"/>
      <c r="AS17" s="19"/>
      <c r="AT17" s="19"/>
      <c r="AU17" s="19"/>
      <c r="AV17" s="19"/>
      <c r="AW17" s="64"/>
      <c r="AX17" s="19"/>
      <c r="AY17" s="19"/>
      <c r="AZ17" s="19"/>
      <c r="BA17" s="19"/>
      <c r="BB17" s="64"/>
      <c r="BC17" s="19"/>
      <c r="BD17" s="19"/>
      <c r="BE17" s="19"/>
      <c r="BF17" s="19"/>
      <c r="BG17" s="64"/>
      <c r="BH17" s="19"/>
      <c r="BI17" s="19"/>
      <c r="BJ17" s="19"/>
      <c r="BK17" s="19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5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4"/>
      <c r="O18" s="19"/>
      <c r="P18" s="19"/>
      <c r="Q18" s="19"/>
      <c r="R18" s="19"/>
      <c r="S18" s="64"/>
      <c r="T18" s="19"/>
      <c r="U18" s="19"/>
      <c r="V18" s="19"/>
      <c r="W18" s="19"/>
      <c r="X18" s="64"/>
      <c r="Y18" s="19"/>
      <c r="Z18" s="19"/>
      <c r="AA18" s="19"/>
      <c r="AB18" s="19"/>
      <c r="AC18" s="64"/>
      <c r="AD18" s="19"/>
      <c r="AE18" s="19"/>
      <c r="AF18" s="19"/>
      <c r="AG18" s="19"/>
      <c r="AH18" s="64"/>
      <c r="AI18" s="19"/>
      <c r="AJ18" s="19"/>
      <c r="AK18" s="19"/>
      <c r="AL18" s="19"/>
      <c r="AM18" s="64"/>
      <c r="AN18" s="19"/>
      <c r="AO18" s="19"/>
      <c r="AP18" s="19"/>
      <c r="AQ18" s="19"/>
      <c r="AR18" s="64"/>
      <c r="AS18" s="19"/>
      <c r="AT18" s="19"/>
      <c r="AU18" s="19"/>
      <c r="AV18" s="19"/>
      <c r="AW18" s="64"/>
      <c r="AX18" s="19"/>
      <c r="AY18" s="19"/>
      <c r="AZ18" s="19"/>
      <c r="BA18" s="19"/>
      <c r="BB18" s="64"/>
      <c r="BC18" s="19"/>
      <c r="BD18" s="19"/>
      <c r="BE18" s="19"/>
      <c r="BF18" s="19"/>
      <c r="BG18" s="64"/>
      <c r="BH18" s="19"/>
      <c r="BI18" s="19"/>
      <c r="BJ18" s="19"/>
      <c r="BK18" s="19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5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38">
        <v>84.0</v>
      </c>
      <c r="F19" s="38">
        <v>104.0</v>
      </c>
      <c r="G19" s="38">
        <v>97.0</v>
      </c>
      <c r="H19" s="38">
        <v>99.0</v>
      </c>
      <c r="I19" s="38">
        <v>82.0</v>
      </c>
      <c r="J19" s="38">
        <v>98.0</v>
      </c>
      <c r="K19" s="38">
        <v>104.0</v>
      </c>
      <c r="L19" s="38">
        <v>93.0</v>
      </c>
      <c r="M19" s="38">
        <v>93.0</v>
      </c>
      <c r="N19" s="38">
        <v>112.0</v>
      </c>
      <c r="O19" s="38">
        <v>85.0</v>
      </c>
      <c r="P19" s="38">
        <v>93.0</v>
      </c>
      <c r="Q19" s="38">
        <v>102.0</v>
      </c>
      <c r="R19" s="38">
        <v>92.0</v>
      </c>
      <c r="S19" s="38">
        <v>97.0</v>
      </c>
      <c r="T19" s="38">
        <v>90.0</v>
      </c>
      <c r="U19" s="38">
        <v>94.0</v>
      </c>
      <c r="V19" s="38">
        <v>117.0</v>
      </c>
      <c r="W19" s="38">
        <v>97.0</v>
      </c>
      <c r="X19" s="38">
        <v>85.0</v>
      </c>
      <c r="Y19" s="38">
        <v>97.0</v>
      </c>
      <c r="Z19" s="38">
        <v>94.0</v>
      </c>
      <c r="AA19" s="38">
        <v>78.0</v>
      </c>
      <c r="AB19" s="38">
        <v>96.0</v>
      </c>
      <c r="AC19" s="38">
        <v>96.0</v>
      </c>
      <c r="AD19" s="38">
        <v>96.0</v>
      </c>
      <c r="AE19" s="38">
        <v>90.0</v>
      </c>
      <c r="AF19" s="38">
        <v>89.0</v>
      </c>
      <c r="AG19" s="38">
        <v>86.0</v>
      </c>
      <c r="AH19" s="38">
        <v>116.0</v>
      </c>
      <c r="AI19" s="38">
        <v>103.0</v>
      </c>
      <c r="AJ19" s="38">
        <v>93.0</v>
      </c>
      <c r="AK19" s="38">
        <v>93.0</v>
      </c>
      <c r="AL19" s="38">
        <v>76.0</v>
      </c>
      <c r="AM19" s="38">
        <v>94.0</v>
      </c>
      <c r="AN19" s="38">
        <v>74.0</v>
      </c>
      <c r="AO19" s="38">
        <v>87.0</v>
      </c>
      <c r="AP19" s="38">
        <v>66.0</v>
      </c>
      <c r="AQ19" s="38">
        <v>100.0</v>
      </c>
      <c r="AR19" s="38">
        <v>101.0</v>
      </c>
      <c r="AS19" s="38">
        <v>101.0</v>
      </c>
      <c r="AT19" s="38">
        <v>102.0</v>
      </c>
      <c r="AU19" s="38">
        <v>88.0</v>
      </c>
      <c r="AV19" s="38">
        <v>81.0</v>
      </c>
      <c r="AW19" s="38">
        <v>76.0</v>
      </c>
      <c r="AX19" s="38">
        <v>73.0</v>
      </c>
      <c r="AY19" s="38">
        <v>104.0</v>
      </c>
      <c r="AZ19" s="38">
        <v>82.0</v>
      </c>
      <c r="BA19" s="38">
        <v>82.0</v>
      </c>
      <c r="BB19" s="38">
        <v>71.0</v>
      </c>
      <c r="BC19" s="38">
        <v>92.0</v>
      </c>
      <c r="BD19" s="38">
        <v>90.0</v>
      </c>
      <c r="BE19" s="38">
        <v>86.0</v>
      </c>
      <c r="BF19" s="38">
        <v>86.0</v>
      </c>
      <c r="BG19" s="38">
        <v>104.0</v>
      </c>
      <c r="BH19" s="38">
        <v>103.0</v>
      </c>
      <c r="BI19" s="38">
        <v>91.0</v>
      </c>
      <c r="BJ19" s="38">
        <v>115.0</v>
      </c>
      <c r="BK19" s="38">
        <v>120.0</v>
      </c>
      <c r="BL19" s="38">
        <v>114.0</v>
      </c>
      <c r="BM19" s="38">
        <v>104.0</v>
      </c>
      <c r="BN19" s="38">
        <v>89.0</v>
      </c>
      <c r="BO19" s="38">
        <v>85.0</v>
      </c>
      <c r="BP19" s="38">
        <v>86.0</v>
      </c>
      <c r="BQ19" s="38">
        <v>82.0</v>
      </c>
      <c r="BR19" s="38">
        <v>98.0</v>
      </c>
      <c r="BS19" s="38">
        <v>96.0</v>
      </c>
      <c r="BT19" s="38">
        <v>104.0</v>
      </c>
      <c r="BU19" s="38">
        <v>89.0</v>
      </c>
      <c r="BV19" s="38">
        <v>83.0</v>
      </c>
      <c r="BW19" s="38">
        <v>99.0</v>
      </c>
      <c r="BX19" s="38">
        <v>94.0</v>
      </c>
      <c r="BY19" s="38">
        <v>97.0</v>
      </c>
      <c r="BZ19" s="38">
        <v>86.0</v>
      </c>
      <c r="CA19" s="38">
        <v>66.0</v>
      </c>
      <c r="CB19" s="19"/>
      <c r="CC19" s="19"/>
      <c r="CD19" s="13">
        <f t="shared" ref="CD19:CD30" si="3">SUM(E19:CC19)</f>
        <v>6962</v>
      </c>
    </row>
    <row r="20" ht="12.75" customHeight="1">
      <c r="A20" s="34"/>
      <c r="B20" s="27"/>
      <c r="C20" s="35"/>
      <c r="D20" s="19" t="s">
        <v>13</v>
      </c>
      <c r="E20" s="38">
        <v>102.0</v>
      </c>
      <c r="F20" s="38">
        <v>97.0</v>
      </c>
      <c r="G20" s="38">
        <v>100.0</v>
      </c>
      <c r="H20" s="38">
        <v>107.0</v>
      </c>
      <c r="I20" s="38">
        <v>72.0</v>
      </c>
      <c r="J20" s="38">
        <v>102.0</v>
      </c>
      <c r="K20" s="38">
        <v>91.0</v>
      </c>
      <c r="L20" s="38">
        <v>109.0</v>
      </c>
      <c r="M20" s="38">
        <v>100.0</v>
      </c>
      <c r="N20" s="38">
        <v>121.0</v>
      </c>
      <c r="O20" s="38">
        <v>97.0</v>
      </c>
      <c r="P20" s="38">
        <v>105.0</v>
      </c>
      <c r="Q20" s="38">
        <v>106.0</v>
      </c>
      <c r="R20" s="38">
        <v>120.0</v>
      </c>
      <c r="S20" s="38">
        <v>121.0</v>
      </c>
      <c r="T20" s="38">
        <v>89.0</v>
      </c>
      <c r="U20" s="38">
        <v>88.0</v>
      </c>
      <c r="V20" s="38">
        <v>123.0</v>
      </c>
      <c r="W20" s="38">
        <v>109.0</v>
      </c>
      <c r="X20" s="38">
        <v>92.0</v>
      </c>
      <c r="Y20" s="38">
        <v>90.0</v>
      </c>
      <c r="Z20" s="38">
        <v>111.0</v>
      </c>
      <c r="AA20" s="38">
        <v>76.0</v>
      </c>
      <c r="AB20" s="38">
        <v>109.0</v>
      </c>
      <c r="AC20" s="38">
        <v>118.0</v>
      </c>
      <c r="AD20" s="38">
        <v>94.0</v>
      </c>
      <c r="AE20" s="38">
        <v>86.0</v>
      </c>
      <c r="AF20" s="38">
        <v>94.0</v>
      </c>
      <c r="AG20" s="38">
        <v>92.0</v>
      </c>
      <c r="AH20" s="38">
        <v>118.0</v>
      </c>
      <c r="AI20" s="38">
        <v>89.0</v>
      </c>
      <c r="AJ20" s="38">
        <v>76.0</v>
      </c>
      <c r="AK20" s="38">
        <v>94.0</v>
      </c>
      <c r="AL20" s="38">
        <v>86.0</v>
      </c>
      <c r="AM20" s="38">
        <v>103.0</v>
      </c>
      <c r="AN20" s="38">
        <v>89.0</v>
      </c>
      <c r="AO20" s="38">
        <v>81.0</v>
      </c>
      <c r="AP20" s="38">
        <v>79.0</v>
      </c>
      <c r="AQ20" s="38">
        <v>108.0</v>
      </c>
      <c r="AR20" s="38">
        <v>120.0</v>
      </c>
      <c r="AS20" s="38">
        <v>98.0</v>
      </c>
      <c r="AT20" s="38">
        <v>107.0</v>
      </c>
      <c r="AU20" s="38">
        <v>108.0</v>
      </c>
      <c r="AV20" s="38">
        <v>91.0</v>
      </c>
      <c r="AW20" s="38">
        <v>89.0</v>
      </c>
      <c r="AX20" s="38">
        <v>85.0</v>
      </c>
      <c r="AY20" s="38">
        <v>106.0</v>
      </c>
      <c r="AZ20" s="38">
        <v>88.0</v>
      </c>
      <c r="BA20" s="38">
        <v>91.0</v>
      </c>
      <c r="BB20" s="38">
        <v>64.0</v>
      </c>
      <c r="BC20" s="38">
        <v>103.0</v>
      </c>
      <c r="BD20" s="38">
        <v>92.0</v>
      </c>
      <c r="BE20" s="38">
        <v>99.0</v>
      </c>
      <c r="BF20" s="38">
        <v>97.0</v>
      </c>
      <c r="BG20" s="38">
        <v>115.0</v>
      </c>
      <c r="BH20" s="38">
        <v>111.0</v>
      </c>
      <c r="BI20" s="38">
        <v>111.0</v>
      </c>
      <c r="BJ20" s="38">
        <v>102.0</v>
      </c>
      <c r="BK20" s="38">
        <v>127.0</v>
      </c>
      <c r="BL20" s="38">
        <v>120.0</v>
      </c>
      <c r="BM20" s="38">
        <v>101.0</v>
      </c>
      <c r="BN20" s="38">
        <v>104.0</v>
      </c>
      <c r="BO20" s="38">
        <v>90.0</v>
      </c>
      <c r="BP20" s="38">
        <v>109.0</v>
      </c>
      <c r="BQ20" s="38">
        <v>94.0</v>
      </c>
      <c r="BR20" s="38">
        <v>91.0</v>
      </c>
      <c r="BS20" s="38">
        <v>102.0</v>
      </c>
      <c r="BT20" s="38">
        <v>105.0</v>
      </c>
      <c r="BU20" s="38">
        <v>108.0</v>
      </c>
      <c r="BV20" s="38">
        <v>109.0</v>
      </c>
      <c r="BW20" s="38">
        <v>94.0</v>
      </c>
      <c r="BX20" s="38">
        <v>91.0</v>
      </c>
      <c r="BY20" s="38">
        <v>76.0</v>
      </c>
      <c r="BZ20" s="38">
        <v>82.0</v>
      </c>
      <c r="CA20" s="38">
        <v>74.0</v>
      </c>
      <c r="CB20" s="19"/>
      <c r="CC20" s="19"/>
      <c r="CD20" s="13">
        <f t="shared" si="3"/>
        <v>7398</v>
      </c>
    </row>
    <row r="21" ht="12.75" customHeight="1">
      <c r="A21" s="36"/>
      <c r="B21" s="28"/>
      <c r="C21" s="37"/>
      <c r="D21" s="13" t="s">
        <v>14</v>
      </c>
      <c r="E21" s="13">
        <f t="shared" ref="E21:CC21" si="4">SUM(E19:E20)</f>
        <v>186</v>
      </c>
      <c r="F21" s="13">
        <f t="shared" si="4"/>
        <v>201</v>
      </c>
      <c r="G21" s="13">
        <f t="shared" si="4"/>
        <v>197</v>
      </c>
      <c r="H21" s="13">
        <f t="shared" si="4"/>
        <v>206</v>
      </c>
      <c r="I21" s="13">
        <f t="shared" si="4"/>
        <v>154</v>
      </c>
      <c r="J21" s="13">
        <f t="shared" si="4"/>
        <v>200</v>
      </c>
      <c r="K21" s="13">
        <f t="shared" si="4"/>
        <v>195</v>
      </c>
      <c r="L21" s="13">
        <f t="shared" si="4"/>
        <v>202</v>
      </c>
      <c r="M21" s="13">
        <f t="shared" si="4"/>
        <v>193</v>
      </c>
      <c r="N21" s="13">
        <f t="shared" si="4"/>
        <v>233</v>
      </c>
      <c r="O21" s="13">
        <f t="shared" si="4"/>
        <v>182</v>
      </c>
      <c r="P21" s="13">
        <f t="shared" si="4"/>
        <v>198</v>
      </c>
      <c r="Q21" s="13">
        <f t="shared" si="4"/>
        <v>208</v>
      </c>
      <c r="R21" s="13">
        <f t="shared" si="4"/>
        <v>212</v>
      </c>
      <c r="S21" s="13">
        <f t="shared" si="4"/>
        <v>218</v>
      </c>
      <c r="T21" s="13">
        <f t="shared" si="4"/>
        <v>179</v>
      </c>
      <c r="U21" s="13">
        <f t="shared" si="4"/>
        <v>182</v>
      </c>
      <c r="V21" s="13">
        <f t="shared" si="4"/>
        <v>240</v>
      </c>
      <c r="W21" s="13">
        <f t="shared" si="4"/>
        <v>206</v>
      </c>
      <c r="X21" s="13">
        <f t="shared" si="4"/>
        <v>177</v>
      </c>
      <c r="Y21" s="13">
        <f t="shared" si="4"/>
        <v>187</v>
      </c>
      <c r="Z21" s="13">
        <f t="shared" si="4"/>
        <v>205</v>
      </c>
      <c r="AA21" s="13">
        <f t="shared" si="4"/>
        <v>154</v>
      </c>
      <c r="AB21" s="13">
        <f t="shared" si="4"/>
        <v>205</v>
      </c>
      <c r="AC21" s="13">
        <f t="shared" si="4"/>
        <v>214</v>
      </c>
      <c r="AD21" s="13">
        <f t="shared" si="4"/>
        <v>190</v>
      </c>
      <c r="AE21" s="13">
        <f t="shared" si="4"/>
        <v>176</v>
      </c>
      <c r="AF21" s="13">
        <f t="shared" si="4"/>
        <v>183</v>
      </c>
      <c r="AG21" s="13">
        <f t="shared" si="4"/>
        <v>178</v>
      </c>
      <c r="AH21" s="13">
        <f t="shared" si="4"/>
        <v>234</v>
      </c>
      <c r="AI21" s="13">
        <f t="shared" si="4"/>
        <v>192</v>
      </c>
      <c r="AJ21" s="13">
        <f t="shared" si="4"/>
        <v>169</v>
      </c>
      <c r="AK21" s="13">
        <f t="shared" si="4"/>
        <v>187</v>
      </c>
      <c r="AL21" s="13">
        <f t="shared" si="4"/>
        <v>162</v>
      </c>
      <c r="AM21" s="13">
        <f t="shared" si="4"/>
        <v>197</v>
      </c>
      <c r="AN21" s="13">
        <f t="shared" si="4"/>
        <v>163</v>
      </c>
      <c r="AO21" s="13">
        <f t="shared" si="4"/>
        <v>168</v>
      </c>
      <c r="AP21" s="13">
        <f t="shared" si="4"/>
        <v>145</v>
      </c>
      <c r="AQ21" s="13">
        <f t="shared" si="4"/>
        <v>208</v>
      </c>
      <c r="AR21" s="13">
        <f t="shared" si="4"/>
        <v>221</v>
      </c>
      <c r="AS21" s="13">
        <f t="shared" si="4"/>
        <v>199</v>
      </c>
      <c r="AT21" s="13">
        <f t="shared" si="4"/>
        <v>209</v>
      </c>
      <c r="AU21" s="13">
        <f t="shared" si="4"/>
        <v>196</v>
      </c>
      <c r="AV21" s="13">
        <f t="shared" si="4"/>
        <v>172</v>
      </c>
      <c r="AW21" s="13">
        <f t="shared" si="4"/>
        <v>165</v>
      </c>
      <c r="AX21" s="13">
        <f t="shared" si="4"/>
        <v>158</v>
      </c>
      <c r="AY21" s="13">
        <f t="shared" si="4"/>
        <v>210</v>
      </c>
      <c r="AZ21" s="13">
        <f t="shared" si="4"/>
        <v>170</v>
      </c>
      <c r="BA21" s="13">
        <f t="shared" si="4"/>
        <v>173</v>
      </c>
      <c r="BB21" s="13">
        <f t="shared" si="4"/>
        <v>135</v>
      </c>
      <c r="BC21" s="13">
        <f t="shared" si="4"/>
        <v>195</v>
      </c>
      <c r="BD21" s="13">
        <f t="shared" si="4"/>
        <v>182</v>
      </c>
      <c r="BE21" s="13">
        <f t="shared" si="4"/>
        <v>185</v>
      </c>
      <c r="BF21" s="13">
        <f t="shared" si="4"/>
        <v>183</v>
      </c>
      <c r="BG21" s="13">
        <f t="shared" si="4"/>
        <v>219</v>
      </c>
      <c r="BH21" s="13">
        <f t="shared" si="4"/>
        <v>214</v>
      </c>
      <c r="BI21" s="13">
        <f t="shared" si="4"/>
        <v>202</v>
      </c>
      <c r="BJ21" s="13">
        <f t="shared" si="4"/>
        <v>217</v>
      </c>
      <c r="BK21" s="13">
        <f t="shared" si="4"/>
        <v>247</v>
      </c>
      <c r="BL21" s="13">
        <f t="shared" si="4"/>
        <v>234</v>
      </c>
      <c r="BM21" s="13">
        <f t="shared" si="4"/>
        <v>205</v>
      </c>
      <c r="BN21" s="13">
        <f t="shared" si="4"/>
        <v>193</v>
      </c>
      <c r="BO21" s="13">
        <f t="shared" si="4"/>
        <v>175</v>
      </c>
      <c r="BP21" s="13">
        <f t="shared" si="4"/>
        <v>195</v>
      </c>
      <c r="BQ21" s="13">
        <f t="shared" si="4"/>
        <v>176</v>
      </c>
      <c r="BR21" s="13">
        <f t="shared" si="4"/>
        <v>189</v>
      </c>
      <c r="BS21" s="13">
        <f t="shared" si="4"/>
        <v>198</v>
      </c>
      <c r="BT21" s="13">
        <f t="shared" si="4"/>
        <v>209</v>
      </c>
      <c r="BU21" s="13">
        <f t="shared" si="4"/>
        <v>197</v>
      </c>
      <c r="BV21" s="13">
        <f t="shared" si="4"/>
        <v>192</v>
      </c>
      <c r="BW21" s="13">
        <f t="shared" si="4"/>
        <v>193</v>
      </c>
      <c r="BX21" s="13">
        <f t="shared" si="4"/>
        <v>185</v>
      </c>
      <c r="BY21" s="13">
        <f t="shared" si="4"/>
        <v>173</v>
      </c>
      <c r="BZ21" s="13">
        <f t="shared" si="4"/>
        <v>168</v>
      </c>
      <c r="CA21" s="13">
        <f t="shared" si="4"/>
        <v>140</v>
      </c>
      <c r="CB21" s="13">
        <f t="shared" si="4"/>
        <v>0</v>
      </c>
      <c r="CC21" s="13">
        <f t="shared" si="4"/>
        <v>0</v>
      </c>
      <c r="CD21" s="13">
        <f t="shared" si="3"/>
        <v>14360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66">
        <v>0.0</v>
      </c>
      <c r="F22" s="66">
        <v>1.0</v>
      </c>
      <c r="G22" s="66">
        <v>0.0</v>
      </c>
      <c r="H22" s="66">
        <v>0.0</v>
      </c>
      <c r="I22" s="66">
        <v>0.0</v>
      </c>
      <c r="J22" s="66">
        <v>0.0</v>
      </c>
      <c r="K22" s="66">
        <v>0.0</v>
      </c>
      <c r="L22" s="66">
        <v>1.0</v>
      </c>
      <c r="M22" s="66">
        <v>1.0</v>
      </c>
      <c r="N22" s="66">
        <v>7.0</v>
      </c>
      <c r="O22" s="66">
        <v>0.0</v>
      </c>
      <c r="P22" s="66">
        <v>0.0</v>
      </c>
      <c r="Q22" s="66">
        <v>0.0</v>
      </c>
      <c r="R22" s="66">
        <v>0.0</v>
      </c>
      <c r="S22" s="66">
        <v>0.0</v>
      </c>
      <c r="T22" s="38">
        <v>0.0</v>
      </c>
      <c r="U22" s="38">
        <v>0.0</v>
      </c>
      <c r="V22" s="38">
        <v>1.0</v>
      </c>
      <c r="W22" s="38">
        <v>0.0</v>
      </c>
      <c r="X22" s="38">
        <v>0.0</v>
      </c>
      <c r="Y22" s="38">
        <v>0.0</v>
      </c>
      <c r="Z22" s="38">
        <v>0.0</v>
      </c>
      <c r="AA22" s="38">
        <v>3.0</v>
      </c>
      <c r="AB22" s="38">
        <v>1.0</v>
      </c>
      <c r="AC22" s="38">
        <v>0.0</v>
      </c>
      <c r="AD22" s="38">
        <v>0.0</v>
      </c>
      <c r="AE22" s="38">
        <v>1.0</v>
      </c>
      <c r="AF22" s="38">
        <v>0.0</v>
      </c>
      <c r="AG22" s="38">
        <v>0.0</v>
      </c>
      <c r="AH22" s="38">
        <v>0.0</v>
      </c>
      <c r="AI22" s="38">
        <v>0.0</v>
      </c>
      <c r="AJ22" s="38">
        <v>0.0</v>
      </c>
      <c r="AK22" s="38">
        <v>1.0</v>
      </c>
      <c r="AL22" s="38">
        <v>0.0</v>
      </c>
      <c r="AM22" s="38">
        <v>0.0</v>
      </c>
      <c r="AN22" s="38">
        <v>0.0</v>
      </c>
      <c r="AO22" s="38">
        <v>0.0</v>
      </c>
      <c r="AP22" s="38">
        <v>0.0</v>
      </c>
      <c r="AQ22" s="38">
        <v>0.0</v>
      </c>
      <c r="AR22" s="38">
        <v>0.0</v>
      </c>
      <c r="AS22" s="38">
        <v>0.0</v>
      </c>
      <c r="AT22" s="38">
        <v>0.0</v>
      </c>
      <c r="AU22" s="38">
        <v>0.0</v>
      </c>
      <c r="AV22" s="38">
        <v>0.0</v>
      </c>
      <c r="AW22" s="38">
        <v>0.0</v>
      </c>
      <c r="AX22" s="38">
        <v>0.0</v>
      </c>
      <c r="AY22" s="38">
        <v>0.0</v>
      </c>
      <c r="AZ22" s="38">
        <v>0.0</v>
      </c>
      <c r="BA22" s="38">
        <v>0.0</v>
      </c>
      <c r="BB22" s="38">
        <v>0.0</v>
      </c>
      <c r="BC22" s="38">
        <v>0.0</v>
      </c>
      <c r="BD22" s="38">
        <v>0.0</v>
      </c>
      <c r="BE22" s="38">
        <v>0.0</v>
      </c>
      <c r="BF22" s="38">
        <v>0.0</v>
      </c>
      <c r="BG22" s="38">
        <v>0.0</v>
      </c>
      <c r="BH22" s="38">
        <v>0.0</v>
      </c>
      <c r="BI22" s="38">
        <v>0.0</v>
      </c>
      <c r="BJ22" s="38">
        <v>0.0</v>
      </c>
      <c r="BK22" s="38">
        <v>0.0</v>
      </c>
      <c r="BL22" s="38">
        <v>0.0</v>
      </c>
      <c r="BM22" s="38">
        <v>0.0</v>
      </c>
      <c r="BN22" s="38">
        <v>0.0</v>
      </c>
      <c r="BO22" s="38">
        <v>0.0</v>
      </c>
      <c r="BP22" s="38">
        <v>1.0</v>
      </c>
      <c r="BQ22" s="38">
        <v>0.0</v>
      </c>
      <c r="BR22" s="38">
        <v>1.0</v>
      </c>
      <c r="BS22" s="38">
        <v>0.0</v>
      </c>
      <c r="BT22" s="38">
        <v>0.0</v>
      </c>
      <c r="BU22" s="38">
        <v>0.0</v>
      </c>
      <c r="BV22" s="38">
        <v>0.0</v>
      </c>
      <c r="BW22" s="38">
        <v>0.0</v>
      </c>
      <c r="BX22" s="38">
        <v>0.0</v>
      </c>
      <c r="BY22" s="38">
        <v>0.0</v>
      </c>
      <c r="BZ22" s="38">
        <v>0.0</v>
      </c>
      <c r="CA22" s="38">
        <v>0.0</v>
      </c>
      <c r="CB22" s="19"/>
      <c r="CC22" s="19"/>
      <c r="CD22" s="13">
        <f t="shared" si="3"/>
        <v>19</v>
      </c>
    </row>
    <row r="23" ht="12.75" customHeight="1">
      <c r="A23" s="34"/>
      <c r="B23" s="27"/>
      <c r="C23" s="35"/>
      <c r="D23" s="19" t="s">
        <v>13</v>
      </c>
      <c r="E23" s="66">
        <v>0.0</v>
      </c>
      <c r="F23" s="66">
        <v>2.0</v>
      </c>
      <c r="G23" s="66">
        <v>0.0</v>
      </c>
      <c r="H23" s="66">
        <v>0.0</v>
      </c>
      <c r="I23" s="66">
        <v>0.0</v>
      </c>
      <c r="J23" s="66">
        <v>0.0</v>
      </c>
      <c r="K23" s="66">
        <v>0.0</v>
      </c>
      <c r="L23" s="66">
        <v>1.0</v>
      </c>
      <c r="M23" s="66">
        <v>1.0</v>
      </c>
      <c r="N23" s="66">
        <v>3.0</v>
      </c>
      <c r="O23" s="66">
        <v>0.0</v>
      </c>
      <c r="P23" s="66">
        <v>0.0</v>
      </c>
      <c r="Q23" s="66">
        <v>0.0</v>
      </c>
      <c r="R23" s="66">
        <v>0.0</v>
      </c>
      <c r="S23" s="66">
        <v>0.0</v>
      </c>
      <c r="T23" s="38">
        <v>0.0</v>
      </c>
      <c r="U23" s="38">
        <v>0.0</v>
      </c>
      <c r="V23" s="38">
        <v>1.0</v>
      </c>
      <c r="W23" s="38">
        <v>0.0</v>
      </c>
      <c r="X23" s="38">
        <v>0.0</v>
      </c>
      <c r="Y23" s="38">
        <v>0.0</v>
      </c>
      <c r="Z23" s="38">
        <v>0.0</v>
      </c>
      <c r="AA23" s="38">
        <v>1.0</v>
      </c>
      <c r="AB23" s="38">
        <v>5.0</v>
      </c>
      <c r="AC23" s="38">
        <v>0.0</v>
      </c>
      <c r="AD23" s="38">
        <v>0.0</v>
      </c>
      <c r="AE23" s="38">
        <v>1.0</v>
      </c>
      <c r="AF23" s="38">
        <v>0.0</v>
      </c>
      <c r="AG23" s="38">
        <v>0.0</v>
      </c>
      <c r="AH23" s="38">
        <v>0.0</v>
      </c>
      <c r="AI23" s="38">
        <v>0.0</v>
      </c>
      <c r="AJ23" s="38">
        <v>0.0</v>
      </c>
      <c r="AK23" s="38">
        <v>1.0</v>
      </c>
      <c r="AL23" s="38">
        <v>0.0</v>
      </c>
      <c r="AM23" s="38">
        <v>0.0</v>
      </c>
      <c r="AN23" s="38">
        <v>0.0</v>
      </c>
      <c r="AO23" s="38">
        <v>0.0</v>
      </c>
      <c r="AP23" s="38">
        <v>0.0</v>
      </c>
      <c r="AQ23" s="38">
        <v>0.0</v>
      </c>
      <c r="AR23" s="38">
        <v>0.0</v>
      </c>
      <c r="AS23" s="38">
        <v>0.0</v>
      </c>
      <c r="AT23" s="38">
        <v>0.0</v>
      </c>
      <c r="AU23" s="38">
        <v>0.0</v>
      </c>
      <c r="AV23" s="38">
        <v>0.0</v>
      </c>
      <c r="AW23" s="38">
        <v>0.0</v>
      </c>
      <c r="AX23" s="38">
        <v>0.0</v>
      </c>
      <c r="AY23" s="38">
        <v>0.0</v>
      </c>
      <c r="AZ23" s="38">
        <v>0.0</v>
      </c>
      <c r="BA23" s="38">
        <v>0.0</v>
      </c>
      <c r="BB23" s="38">
        <v>0.0</v>
      </c>
      <c r="BC23" s="38">
        <v>0.0</v>
      </c>
      <c r="BD23" s="38">
        <v>0.0</v>
      </c>
      <c r="BE23" s="38">
        <v>1.0</v>
      </c>
      <c r="BF23" s="38">
        <v>0.0</v>
      </c>
      <c r="BG23" s="38">
        <v>0.0</v>
      </c>
      <c r="BH23" s="38">
        <v>0.0</v>
      </c>
      <c r="BI23" s="38">
        <v>0.0</v>
      </c>
      <c r="BJ23" s="38">
        <v>0.0</v>
      </c>
      <c r="BK23" s="38">
        <v>0.0</v>
      </c>
      <c r="BL23" s="38">
        <v>0.0</v>
      </c>
      <c r="BM23" s="38">
        <v>0.0</v>
      </c>
      <c r="BN23" s="38">
        <v>0.0</v>
      </c>
      <c r="BO23" s="38">
        <v>0.0</v>
      </c>
      <c r="BP23" s="38">
        <v>0.0</v>
      </c>
      <c r="BQ23" s="38">
        <v>0.0</v>
      </c>
      <c r="BR23" s="38">
        <v>0.0</v>
      </c>
      <c r="BS23" s="38">
        <v>0.0</v>
      </c>
      <c r="BT23" s="38">
        <v>0.0</v>
      </c>
      <c r="BU23" s="38">
        <v>0.0</v>
      </c>
      <c r="BV23" s="38">
        <v>0.0</v>
      </c>
      <c r="BW23" s="38">
        <v>0.0</v>
      </c>
      <c r="BX23" s="38">
        <v>0.0</v>
      </c>
      <c r="BY23" s="38">
        <v>0.0</v>
      </c>
      <c r="BZ23" s="38">
        <v>0.0</v>
      </c>
      <c r="CA23" s="38">
        <v>0.0</v>
      </c>
      <c r="CB23" s="19"/>
      <c r="CC23" s="19"/>
      <c r="CD23" s="13">
        <f t="shared" si="3"/>
        <v>17</v>
      </c>
    </row>
    <row r="24" ht="12.75" customHeight="1">
      <c r="A24" s="36"/>
      <c r="B24" s="28"/>
      <c r="C24" s="37"/>
      <c r="D24" s="13" t="s">
        <v>14</v>
      </c>
      <c r="E24" s="13">
        <f t="shared" ref="E24:CC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2</v>
      </c>
      <c r="N24" s="13">
        <f t="shared" si="5"/>
        <v>10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4</v>
      </c>
      <c r="AB24" s="13">
        <f t="shared" si="5"/>
        <v>6</v>
      </c>
      <c r="AC24" s="13">
        <f t="shared" si="5"/>
        <v>0</v>
      </c>
      <c r="AD24" s="13">
        <f t="shared" si="5"/>
        <v>0</v>
      </c>
      <c r="AE24" s="13">
        <f t="shared" si="5"/>
        <v>2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2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1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0</v>
      </c>
      <c r="BN24" s="13">
        <f t="shared" si="5"/>
        <v>0</v>
      </c>
      <c r="BO24" s="13">
        <f t="shared" si="5"/>
        <v>0</v>
      </c>
      <c r="BP24" s="13">
        <f t="shared" si="5"/>
        <v>1</v>
      </c>
      <c r="BQ24" s="13">
        <f t="shared" si="5"/>
        <v>0</v>
      </c>
      <c r="BR24" s="13">
        <f t="shared" si="5"/>
        <v>1</v>
      </c>
      <c r="BS24" s="13">
        <f t="shared" si="5"/>
        <v>0</v>
      </c>
      <c r="BT24" s="13">
        <f t="shared" si="5"/>
        <v>0</v>
      </c>
      <c r="BU24" s="13">
        <f t="shared" si="5"/>
        <v>0</v>
      </c>
      <c r="BV24" s="13">
        <f t="shared" si="5"/>
        <v>0</v>
      </c>
      <c r="BW24" s="13">
        <f t="shared" si="5"/>
        <v>0</v>
      </c>
      <c r="BX24" s="13">
        <f t="shared" si="5"/>
        <v>0</v>
      </c>
      <c r="BY24" s="13">
        <f t="shared" si="5"/>
        <v>0</v>
      </c>
      <c r="BZ24" s="13">
        <f t="shared" si="5"/>
        <v>0</v>
      </c>
      <c r="CA24" s="13">
        <f t="shared" si="5"/>
        <v>0</v>
      </c>
      <c r="CB24" s="13">
        <f t="shared" si="5"/>
        <v>0</v>
      </c>
      <c r="CC24" s="13">
        <f t="shared" si="5"/>
        <v>0</v>
      </c>
      <c r="CD24" s="13">
        <f t="shared" si="3"/>
        <v>36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38">
        <v>0.0</v>
      </c>
      <c r="F25" s="38">
        <v>0.0</v>
      </c>
      <c r="G25" s="38">
        <v>0.0</v>
      </c>
      <c r="H25" s="38">
        <v>1.0</v>
      </c>
      <c r="I25" s="38">
        <v>2.0</v>
      </c>
      <c r="J25" s="38">
        <v>3.0</v>
      </c>
      <c r="K25" s="38">
        <v>11.0</v>
      </c>
      <c r="L25" s="38">
        <v>2.0</v>
      </c>
      <c r="M25" s="38">
        <v>0.0</v>
      </c>
      <c r="N25" s="38">
        <v>0.0</v>
      </c>
      <c r="O25" s="38">
        <v>0.0</v>
      </c>
      <c r="P25" s="38">
        <v>0.0</v>
      </c>
      <c r="Q25" s="38">
        <v>2.0</v>
      </c>
      <c r="R25" s="38">
        <v>0.0</v>
      </c>
      <c r="S25" s="38">
        <v>0.0</v>
      </c>
      <c r="T25" s="38">
        <v>3.0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2.0</v>
      </c>
      <c r="AA25" s="38">
        <v>0.0</v>
      </c>
      <c r="AB25" s="38">
        <v>0.0</v>
      </c>
      <c r="AC25" s="38">
        <v>0.0</v>
      </c>
      <c r="AD25" s="38">
        <v>0.0</v>
      </c>
      <c r="AE25" s="38">
        <v>0.0</v>
      </c>
      <c r="AF25" s="38">
        <v>0.0</v>
      </c>
      <c r="AG25" s="38">
        <v>2.0</v>
      </c>
      <c r="AH25" s="38">
        <v>0.0</v>
      </c>
      <c r="AI25" s="38">
        <v>0.0</v>
      </c>
      <c r="AJ25" s="38">
        <v>0.0</v>
      </c>
      <c r="AK25" s="38">
        <v>0.0</v>
      </c>
      <c r="AL25" s="38">
        <v>2.0</v>
      </c>
      <c r="AM25" s="38">
        <v>0.0</v>
      </c>
      <c r="AN25" s="38">
        <v>0.0</v>
      </c>
      <c r="AO25" s="38">
        <v>0.0</v>
      </c>
      <c r="AP25" s="38">
        <v>0.0</v>
      </c>
      <c r="AQ25" s="38">
        <v>0.0</v>
      </c>
      <c r="AR25" s="38">
        <v>0.0</v>
      </c>
      <c r="AS25" s="38">
        <v>0.0</v>
      </c>
      <c r="AT25" s="38">
        <v>1.0</v>
      </c>
      <c r="AU25" s="38">
        <v>0.0</v>
      </c>
      <c r="AV25" s="38">
        <v>0.0</v>
      </c>
      <c r="AW25" s="38">
        <v>1.0</v>
      </c>
      <c r="AX25" s="38">
        <v>0.0</v>
      </c>
      <c r="AY25" s="38">
        <v>1.0</v>
      </c>
      <c r="AZ25" s="38">
        <v>5.0</v>
      </c>
      <c r="BA25" s="38">
        <v>8.0</v>
      </c>
      <c r="BB25" s="38">
        <v>0.0</v>
      </c>
      <c r="BC25" s="38">
        <v>0.0</v>
      </c>
      <c r="BD25" s="38">
        <v>3.0</v>
      </c>
      <c r="BE25" s="38">
        <v>0.0</v>
      </c>
      <c r="BF25" s="38">
        <v>1.0</v>
      </c>
      <c r="BG25" s="38">
        <v>0.0</v>
      </c>
      <c r="BH25" s="38">
        <v>5.0</v>
      </c>
      <c r="BI25" s="38">
        <v>0.0</v>
      </c>
      <c r="BJ25" s="38">
        <v>1.0</v>
      </c>
      <c r="BK25" s="38">
        <v>0.0</v>
      </c>
      <c r="BL25" s="38">
        <v>3.0</v>
      </c>
      <c r="BM25" s="38">
        <v>3.0</v>
      </c>
      <c r="BN25" s="38">
        <v>0.0</v>
      </c>
      <c r="BO25" s="38">
        <v>0.0</v>
      </c>
      <c r="BP25" s="38">
        <v>0.0</v>
      </c>
      <c r="BQ25" s="38">
        <v>0.0</v>
      </c>
      <c r="BR25" s="38">
        <v>10.0</v>
      </c>
      <c r="BS25" s="38">
        <v>0.0</v>
      </c>
      <c r="BT25" s="38">
        <v>0.0</v>
      </c>
      <c r="BU25" s="38">
        <v>4.0</v>
      </c>
      <c r="BV25" s="38">
        <v>16.0</v>
      </c>
      <c r="BW25" s="38">
        <v>34.0</v>
      </c>
      <c r="BX25" s="38">
        <v>6.0</v>
      </c>
      <c r="BY25" s="38">
        <v>0.0</v>
      </c>
      <c r="BZ25" s="38">
        <v>0.0</v>
      </c>
      <c r="CA25" s="38">
        <v>4.0</v>
      </c>
      <c r="CB25" s="19"/>
      <c r="CC25" s="19"/>
      <c r="CD25" s="13">
        <f t="shared" si="3"/>
        <v>136</v>
      </c>
    </row>
    <row r="26" ht="12.75" customHeight="1">
      <c r="A26" s="34"/>
      <c r="B26" s="27"/>
      <c r="C26" s="35"/>
      <c r="D26" s="19" t="s">
        <v>13</v>
      </c>
      <c r="E26" s="38">
        <v>0.0</v>
      </c>
      <c r="F26" s="38">
        <v>3.0</v>
      </c>
      <c r="G26" s="38">
        <v>0.0</v>
      </c>
      <c r="H26" s="38">
        <v>2.0</v>
      </c>
      <c r="I26" s="38">
        <v>1.0</v>
      </c>
      <c r="J26" s="38">
        <v>2.0</v>
      </c>
      <c r="K26" s="38">
        <v>16.0</v>
      </c>
      <c r="L26" s="38">
        <v>1.0</v>
      </c>
      <c r="M26" s="38">
        <v>0.0</v>
      </c>
      <c r="N26" s="38">
        <v>0.0</v>
      </c>
      <c r="O26" s="38">
        <v>0.0</v>
      </c>
      <c r="P26" s="38">
        <v>0.0</v>
      </c>
      <c r="Q26" s="38">
        <v>0.0</v>
      </c>
      <c r="R26" s="38">
        <v>0.0</v>
      </c>
      <c r="S26" s="38">
        <v>0.0</v>
      </c>
      <c r="T26" s="38">
        <v>7.0</v>
      </c>
      <c r="U26" s="38">
        <v>0.0</v>
      </c>
      <c r="V26" s="38">
        <v>0.0</v>
      </c>
      <c r="W26" s="38">
        <v>3.0</v>
      </c>
      <c r="X26" s="38">
        <v>0.0</v>
      </c>
      <c r="Y26" s="38">
        <v>0.0</v>
      </c>
      <c r="Z26" s="38">
        <v>4.0</v>
      </c>
      <c r="AA26" s="38">
        <v>0.0</v>
      </c>
      <c r="AB26" s="38">
        <v>0.0</v>
      </c>
      <c r="AC26" s="38">
        <v>1.0</v>
      </c>
      <c r="AD26" s="38">
        <v>0.0</v>
      </c>
      <c r="AE26" s="38">
        <v>1.0</v>
      </c>
      <c r="AF26" s="38">
        <v>3.0</v>
      </c>
      <c r="AG26" s="38">
        <v>3.0</v>
      </c>
      <c r="AH26" s="38">
        <v>0.0</v>
      </c>
      <c r="AI26" s="38">
        <v>0.0</v>
      </c>
      <c r="AJ26" s="38">
        <v>0.0</v>
      </c>
      <c r="AK26" s="38">
        <v>0.0</v>
      </c>
      <c r="AL26" s="38">
        <v>6.0</v>
      </c>
      <c r="AM26" s="38">
        <v>0.0</v>
      </c>
      <c r="AN26" s="38">
        <v>0.0</v>
      </c>
      <c r="AO26" s="38">
        <v>0.0</v>
      </c>
      <c r="AP26" s="38">
        <v>0.0</v>
      </c>
      <c r="AQ26" s="38">
        <v>0.0</v>
      </c>
      <c r="AR26" s="38">
        <v>0.0</v>
      </c>
      <c r="AS26" s="38">
        <v>0.0</v>
      </c>
      <c r="AT26" s="38">
        <v>1.0</v>
      </c>
      <c r="AU26" s="38">
        <v>0.0</v>
      </c>
      <c r="AV26" s="38">
        <v>0.0</v>
      </c>
      <c r="AW26" s="38">
        <v>0.0</v>
      </c>
      <c r="AX26" s="38">
        <v>0.0</v>
      </c>
      <c r="AY26" s="38">
        <v>2.0</v>
      </c>
      <c r="AZ26" s="38">
        <v>9.0</v>
      </c>
      <c r="BA26" s="38">
        <v>16.0</v>
      </c>
      <c r="BB26" s="38">
        <v>0.0</v>
      </c>
      <c r="BC26" s="38">
        <v>0.0</v>
      </c>
      <c r="BD26" s="38">
        <v>2.0</v>
      </c>
      <c r="BE26" s="38">
        <v>0.0</v>
      </c>
      <c r="BF26" s="38">
        <v>0.0</v>
      </c>
      <c r="BG26" s="38">
        <v>0.0</v>
      </c>
      <c r="BH26" s="38">
        <v>7.0</v>
      </c>
      <c r="BI26" s="38">
        <v>1.0</v>
      </c>
      <c r="BJ26" s="38">
        <v>1.0</v>
      </c>
      <c r="BK26" s="38">
        <v>0.0</v>
      </c>
      <c r="BL26" s="38">
        <v>3.0</v>
      </c>
      <c r="BM26" s="38">
        <v>2.0</v>
      </c>
      <c r="BN26" s="38">
        <v>0.0</v>
      </c>
      <c r="BO26" s="38">
        <v>0.0</v>
      </c>
      <c r="BP26" s="38">
        <v>1.0</v>
      </c>
      <c r="BQ26" s="38">
        <v>0.0</v>
      </c>
      <c r="BR26" s="38">
        <v>9.0</v>
      </c>
      <c r="BS26" s="38">
        <v>0.0</v>
      </c>
      <c r="BT26" s="38">
        <v>0.0</v>
      </c>
      <c r="BU26" s="38">
        <v>3.0</v>
      </c>
      <c r="BV26" s="38">
        <v>18.0</v>
      </c>
      <c r="BW26" s="38">
        <v>42.0</v>
      </c>
      <c r="BX26" s="38">
        <v>7.0</v>
      </c>
      <c r="BY26" s="38">
        <v>0.0</v>
      </c>
      <c r="BZ26" s="38">
        <v>0.0</v>
      </c>
      <c r="CA26" s="38">
        <v>3.0</v>
      </c>
      <c r="CB26" s="19"/>
      <c r="CC26" s="19"/>
      <c r="CD26" s="13">
        <f t="shared" si="3"/>
        <v>180</v>
      </c>
    </row>
    <row r="27" ht="12.75" customHeight="1">
      <c r="A27" s="36"/>
      <c r="B27" s="28"/>
      <c r="C27" s="37"/>
      <c r="D27" s="13" t="s">
        <v>14</v>
      </c>
      <c r="E27" s="13">
        <f t="shared" ref="E27:CC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3</v>
      </c>
      <c r="J27" s="13">
        <f t="shared" si="6"/>
        <v>5</v>
      </c>
      <c r="K27" s="13">
        <f t="shared" si="6"/>
        <v>27</v>
      </c>
      <c r="L27" s="13">
        <f t="shared" si="6"/>
        <v>3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0</v>
      </c>
      <c r="T27" s="13">
        <f t="shared" si="6"/>
        <v>10</v>
      </c>
      <c r="U27" s="13">
        <f t="shared" si="6"/>
        <v>0</v>
      </c>
      <c r="V27" s="13">
        <f t="shared" si="6"/>
        <v>0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6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6"/>
        <v>3</v>
      </c>
      <c r="AG27" s="13">
        <f t="shared" si="6"/>
        <v>5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8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2</v>
      </c>
      <c r="AU27" s="13">
        <f t="shared" si="6"/>
        <v>0</v>
      </c>
      <c r="AV27" s="13">
        <f t="shared" si="6"/>
        <v>0</v>
      </c>
      <c r="AW27" s="13">
        <f t="shared" si="6"/>
        <v>1</v>
      </c>
      <c r="AX27" s="13">
        <f t="shared" si="6"/>
        <v>0</v>
      </c>
      <c r="AY27" s="13">
        <f t="shared" si="6"/>
        <v>3</v>
      </c>
      <c r="AZ27" s="13">
        <f t="shared" si="6"/>
        <v>14</v>
      </c>
      <c r="BA27" s="13">
        <f t="shared" si="6"/>
        <v>24</v>
      </c>
      <c r="BB27" s="13">
        <f t="shared" si="6"/>
        <v>0</v>
      </c>
      <c r="BC27" s="13">
        <f t="shared" si="6"/>
        <v>0</v>
      </c>
      <c r="BD27" s="13">
        <f t="shared" si="6"/>
        <v>5</v>
      </c>
      <c r="BE27" s="13">
        <f t="shared" si="6"/>
        <v>0</v>
      </c>
      <c r="BF27" s="13">
        <f t="shared" si="6"/>
        <v>1</v>
      </c>
      <c r="BG27" s="13">
        <f t="shared" si="6"/>
        <v>0</v>
      </c>
      <c r="BH27" s="13">
        <f t="shared" si="6"/>
        <v>12</v>
      </c>
      <c r="BI27" s="13">
        <f t="shared" si="6"/>
        <v>1</v>
      </c>
      <c r="BJ27" s="13">
        <f t="shared" si="6"/>
        <v>2</v>
      </c>
      <c r="BK27" s="13">
        <f t="shared" si="6"/>
        <v>0</v>
      </c>
      <c r="BL27" s="13">
        <f t="shared" si="6"/>
        <v>6</v>
      </c>
      <c r="BM27" s="13">
        <f t="shared" si="6"/>
        <v>5</v>
      </c>
      <c r="BN27" s="13">
        <f t="shared" si="6"/>
        <v>0</v>
      </c>
      <c r="BO27" s="13">
        <f t="shared" si="6"/>
        <v>0</v>
      </c>
      <c r="BP27" s="13">
        <f t="shared" si="6"/>
        <v>1</v>
      </c>
      <c r="BQ27" s="13">
        <f t="shared" si="6"/>
        <v>0</v>
      </c>
      <c r="BR27" s="13">
        <f t="shared" si="6"/>
        <v>19</v>
      </c>
      <c r="BS27" s="13">
        <f t="shared" si="6"/>
        <v>0</v>
      </c>
      <c r="BT27" s="13">
        <f t="shared" si="6"/>
        <v>0</v>
      </c>
      <c r="BU27" s="13">
        <f t="shared" si="6"/>
        <v>7</v>
      </c>
      <c r="BV27" s="13">
        <f t="shared" si="6"/>
        <v>34</v>
      </c>
      <c r="BW27" s="13">
        <f t="shared" si="6"/>
        <v>76</v>
      </c>
      <c r="BX27" s="13">
        <f t="shared" si="6"/>
        <v>13</v>
      </c>
      <c r="BY27" s="13">
        <f t="shared" si="6"/>
        <v>0</v>
      </c>
      <c r="BZ27" s="13">
        <f t="shared" si="6"/>
        <v>0</v>
      </c>
      <c r="CA27" s="13">
        <f t="shared" si="6"/>
        <v>7</v>
      </c>
      <c r="CB27" s="13">
        <f t="shared" si="6"/>
        <v>0</v>
      </c>
      <c r="CC27" s="13">
        <f t="shared" si="6"/>
        <v>0</v>
      </c>
      <c r="CD27" s="13">
        <f t="shared" si="3"/>
        <v>316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CC28" si="7">SUM(E19,E22,E25)</f>
        <v>84</v>
      </c>
      <c r="F28" s="13">
        <f t="shared" si="7"/>
        <v>105</v>
      </c>
      <c r="G28" s="13">
        <f t="shared" si="7"/>
        <v>97</v>
      </c>
      <c r="H28" s="13">
        <f t="shared" si="7"/>
        <v>100</v>
      </c>
      <c r="I28" s="13">
        <f t="shared" si="7"/>
        <v>84</v>
      </c>
      <c r="J28" s="13">
        <f t="shared" si="7"/>
        <v>101</v>
      </c>
      <c r="K28" s="13">
        <f t="shared" si="7"/>
        <v>115</v>
      </c>
      <c r="L28" s="13">
        <f t="shared" si="7"/>
        <v>96</v>
      </c>
      <c r="M28" s="13">
        <f t="shared" si="7"/>
        <v>94</v>
      </c>
      <c r="N28" s="13">
        <f t="shared" si="7"/>
        <v>119</v>
      </c>
      <c r="O28" s="13">
        <f t="shared" si="7"/>
        <v>85</v>
      </c>
      <c r="P28" s="13">
        <f t="shared" si="7"/>
        <v>93</v>
      </c>
      <c r="Q28" s="13">
        <f t="shared" si="7"/>
        <v>104</v>
      </c>
      <c r="R28" s="13">
        <f t="shared" si="7"/>
        <v>92</v>
      </c>
      <c r="S28" s="13">
        <f t="shared" si="7"/>
        <v>97</v>
      </c>
      <c r="T28" s="13">
        <f t="shared" si="7"/>
        <v>93</v>
      </c>
      <c r="U28" s="13">
        <f t="shared" si="7"/>
        <v>94</v>
      </c>
      <c r="V28" s="13">
        <f t="shared" si="7"/>
        <v>118</v>
      </c>
      <c r="W28" s="13">
        <f t="shared" si="7"/>
        <v>97</v>
      </c>
      <c r="X28" s="13">
        <f t="shared" si="7"/>
        <v>85</v>
      </c>
      <c r="Y28" s="13">
        <f t="shared" si="7"/>
        <v>97</v>
      </c>
      <c r="Z28" s="13">
        <f t="shared" si="7"/>
        <v>96</v>
      </c>
      <c r="AA28" s="13">
        <f t="shared" si="7"/>
        <v>81</v>
      </c>
      <c r="AB28" s="13">
        <f t="shared" si="7"/>
        <v>97</v>
      </c>
      <c r="AC28" s="13">
        <f t="shared" si="7"/>
        <v>96</v>
      </c>
      <c r="AD28" s="13">
        <f t="shared" si="7"/>
        <v>96</v>
      </c>
      <c r="AE28" s="13">
        <f t="shared" si="7"/>
        <v>91</v>
      </c>
      <c r="AF28" s="13">
        <f t="shared" si="7"/>
        <v>89</v>
      </c>
      <c r="AG28" s="13">
        <f t="shared" si="7"/>
        <v>88</v>
      </c>
      <c r="AH28" s="13">
        <f t="shared" si="7"/>
        <v>116</v>
      </c>
      <c r="AI28" s="13">
        <f t="shared" si="7"/>
        <v>103</v>
      </c>
      <c r="AJ28" s="13">
        <f t="shared" si="7"/>
        <v>93</v>
      </c>
      <c r="AK28" s="13">
        <f t="shared" si="7"/>
        <v>94</v>
      </c>
      <c r="AL28" s="13">
        <f t="shared" si="7"/>
        <v>78</v>
      </c>
      <c r="AM28" s="13">
        <f t="shared" si="7"/>
        <v>94</v>
      </c>
      <c r="AN28" s="13">
        <f t="shared" si="7"/>
        <v>74</v>
      </c>
      <c r="AO28" s="13">
        <f t="shared" si="7"/>
        <v>87</v>
      </c>
      <c r="AP28" s="13">
        <f t="shared" si="7"/>
        <v>66</v>
      </c>
      <c r="AQ28" s="13">
        <f t="shared" si="7"/>
        <v>100</v>
      </c>
      <c r="AR28" s="13">
        <f t="shared" si="7"/>
        <v>101</v>
      </c>
      <c r="AS28" s="13">
        <f t="shared" si="7"/>
        <v>101</v>
      </c>
      <c r="AT28" s="13">
        <f t="shared" si="7"/>
        <v>103</v>
      </c>
      <c r="AU28" s="13">
        <f t="shared" si="7"/>
        <v>88</v>
      </c>
      <c r="AV28" s="13">
        <f t="shared" si="7"/>
        <v>81</v>
      </c>
      <c r="AW28" s="13">
        <f t="shared" si="7"/>
        <v>77</v>
      </c>
      <c r="AX28" s="13">
        <f t="shared" si="7"/>
        <v>73</v>
      </c>
      <c r="AY28" s="13">
        <f t="shared" si="7"/>
        <v>105</v>
      </c>
      <c r="AZ28" s="13">
        <f t="shared" si="7"/>
        <v>87</v>
      </c>
      <c r="BA28" s="13">
        <f t="shared" si="7"/>
        <v>90</v>
      </c>
      <c r="BB28" s="13">
        <f t="shared" si="7"/>
        <v>71</v>
      </c>
      <c r="BC28" s="13">
        <f t="shared" si="7"/>
        <v>92</v>
      </c>
      <c r="BD28" s="13">
        <f t="shared" si="7"/>
        <v>93</v>
      </c>
      <c r="BE28" s="13">
        <f t="shared" si="7"/>
        <v>86</v>
      </c>
      <c r="BF28" s="13">
        <f t="shared" si="7"/>
        <v>87</v>
      </c>
      <c r="BG28" s="13">
        <f t="shared" si="7"/>
        <v>104</v>
      </c>
      <c r="BH28" s="13">
        <f t="shared" si="7"/>
        <v>108</v>
      </c>
      <c r="BI28" s="13">
        <f t="shared" si="7"/>
        <v>91</v>
      </c>
      <c r="BJ28" s="13">
        <f t="shared" si="7"/>
        <v>116</v>
      </c>
      <c r="BK28" s="13">
        <f t="shared" si="7"/>
        <v>120</v>
      </c>
      <c r="BL28" s="13">
        <f t="shared" si="7"/>
        <v>117</v>
      </c>
      <c r="BM28" s="13">
        <f t="shared" si="7"/>
        <v>107</v>
      </c>
      <c r="BN28" s="13">
        <f t="shared" si="7"/>
        <v>89</v>
      </c>
      <c r="BO28" s="13">
        <f t="shared" si="7"/>
        <v>85</v>
      </c>
      <c r="BP28" s="13">
        <f t="shared" si="7"/>
        <v>87</v>
      </c>
      <c r="BQ28" s="13">
        <f t="shared" si="7"/>
        <v>82</v>
      </c>
      <c r="BR28" s="13">
        <f t="shared" si="7"/>
        <v>109</v>
      </c>
      <c r="BS28" s="13">
        <f t="shared" si="7"/>
        <v>96</v>
      </c>
      <c r="BT28" s="13">
        <f t="shared" si="7"/>
        <v>104</v>
      </c>
      <c r="BU28" s="13">
        <f t="shared" si="7"/>
        <v>93</v>
      </c>
      <c r="BV28" s="13">
        <f t="shared" si="7"/>
        <v>99</v>
      </c>
      <c r="BW28" s="13">
        <f t="shared" si="7"/>
        <v>133</v>
      </c>
      <c r="BX28" s="13">
        <f t="shared" si="7"/>
        <v>100</v>
      </c>
      <c r="BY28" s="13">
        <f t="shared" si="7"/>
        <v>97</v>
      </c>
      <c r="BZ28" s="13">
        <f t="shared" si="7"/>
        <v>86</v>
      </c>
      <c r="CA28" s="13">
        <f t="shared" si="7"/>
        <v>70</v>
      </c>
      <c r="CB28" s="13">
        <f t="shared" si="7"/>
        <v>0</v>
      </c>
      <c r="CC28" s="13">
        <f t="shared" si="7"/>
        <v>0</v>
      </c>
      <c r="CD28" s="13">
        <f t="shared" si="3"/>
        <v>7117</v>
      </c>
    </row>
    <row r="29" ht="12.75" customHeight="1">
      <c r="A29" s="36"/>
      <c r="B29" s="27"/>
      <c r="C29" s="35"/>
      <c r="D29" s="13" t="s">
        <v>13</v>
      </c>
      <c r="E29" s="13">
        <f t="shared" ref="E29:CC29" si="8">SUM(E20,E23,E26)</f>
        <v>102</v>
      </c>
      <c r="F29" s="13">
        <f t="shared" si="8"/>
        <v>102</v>
      </c>
      <c r="G29" s="13">
        <f t="shared" si="8"/>
        <v>100</v>
      </c>
      <c r="H29" s="13">
        <f t="shared" si="8"/>
        <v>109</v>
      </c>
      <c r="I29" s="13">
        <f t="shared" si="8"/>
        <v>73</v>
      </c>
      <c r="J29" s="13">
        <f t="shared" si="8"/>
        <v>104</v>
      </c>
      <c r="K29" s="13">
        <f t="shared" si="8"/>
        <v>107</v>
      </c>
      <c r="L29" s="13">
        <f t="shared" si="8"/>
        <v>111</v>
      </c>
      <c r="M29" s="13">
        <f t="shared" si="8"/>
        <v>101</v>
      </c>
      <c r="N29" s="13">
        <f t="shared" si="8"/>
        <v>124</v>
      </c>
      <c r="O29" s="13">
        <f t="shared" si="8"/>
        <v>97</v>
      </c>
      <c r="P29" s="13">
        <f t="shared" si="8"/>
        <v>105</v>
      </c>
      <c r="Q29" s="13">
        <f t="shared" si="8"/>
        <v>106</v>
      </c>
      <c r="R29" s="13">
        <f t="shared" si="8"/>
        <v>120</v>
      </c>
      <c r="S29" s="13">
        <f t="shared" si="8"/>
        <v>121</v>
      </c>
      <c r="T29" s="13">
        <f t="shared" si="8"/>
        <v>96</v>
      </c>
      <c r="U29" s="13">
        <f t="shared" si="8"/>
        <v>88</v>
      </c>
      <c r="V29" s="13">
        <f t="shared" si="8"/>
        <v>124</v>
      </c>
      <c r="W29" s="13">
        <f t="shared" si="8"/>
        <v>112</v>
      </c>
      <c r="X29" s="13">
        <f t="shared" si="8"/>
        <v>92</v>
      </c>
      <c r="Y29" s="13">
        <f t="shared" si="8"/>
        <v>90</v>
      </c>
      <c r="Z29" s="13">
        <f t="shared" si="8"/>
        <v>115</v>
      </c>
      <c r="AA29" s="13">
        <f t="shared" si="8"/>
        <v>77</v>
      </c>
      <c r="AB29" s="13">
        <f t="shared" si="8"/>
        <v>114</v>
      </c>
      <c r="AC29" s="13">
        <f t="shared" si="8"/>
        <v>119</v>
      </c>
      <c r="AD29" s="13">
        <f t="shared" si="8"/>
        <v>94</v>
      </c>
      <c r="AE29" s="13">
        <f t="shared" si="8"/>
        <v>88</v>
      </c>
      <c r="AF29" s="13">
        <f t="shared" si="8"/>
        <v>97</v>
      </c>
      <c r="AG29" s="13">
        <f t="shared" si="8"/>
        <v>95</v>
      </c>
      <c r="AH29" s="13">
        <f t="shared" si="8"/>
        <v>118</v>
      </c>
      <c r="AI29" s="13">
        <f t="shared" si="8"/>
        <v>89</v>
      </c>
      <c r="AJ29" s="13">
        <f t="shared" si="8"/>
        <v>76</v>
      </c>
      <c r="AK29" s="13">
        <f t="shared" si="8"/>
        <v>95</v>
      </c>
      <c r="AL29" s="13">
        <f t="shared" si="8"/>
        <v>92</v>
      </c>
      <c r="AM29" s="13">
        <f t="shared" si="8"/>
        <v>103</v>
      </c>
      <c r="AN29" s="13">
        <f t="shared" si="8"/>
        <v>89</v>
      </c>
      <c r="AO29" s="13">
        <f t="shared" si="8"/>
        <v>81</v>
      </c>
      <c r="AP29" s="13">
        <f t="shared" si="8"/>
        <v>79</v>
      </c>
      <c r="AQ29" s="13">
        <f t="shared" si="8"/>
        <v>108</v>
      </c>
      <c r="AR29" s="13">
        <f t="shared" si="8"/>
        <v>120</v>
      </c>
      <c r="AS29" s="13">
        <f t="shared" si="8"/>
        <v>98</v>
      </c>
      <c r="AT29" s="13">
        <f t="shared" si="8"/>
        <v>108</v>
      </c>
      <c r="AU29" s="13">
        <f t="shared" si="8"/>
        <v>108</v>
      </c>
      <c r="AV29" s="13">
        <f t="shared" si="8"/>
        <v>91</v>
      </c>
      <c r="AW29" s="13">
        <f t="shared" si="8"/>
        <v>89</v>
      </c>
      <c r="AX29" s="13">
        <f t="shared" si="8"/>
        <v>85</v>
      </c>
      <c r="AY29" s="13">
        <f t="shared" si="8"/>
        <v>108</v>
      </c>
      <c r="AZ29" s="13">
        <f t="shared" si="8"/>
        <v>97</v>
      </c>
      <c r="BA29" s="13">
        <f t="shared" si="8"/>
        <v>107</v>
      </c>
      <c r="BB29" s="13">
        <f t="shared" si="8"/>
        <v>64</v>
      </c>
      <c r="BC29" s="13">
        <f t="shared" si="8"/>
        <v>103</v>
      </c>
      <c r="BD29" s="13">
        <f t="shared" si="8"/>
        <v>94</v>
      </c>
      <c r="BE29" s="13">
        <f t="shared" si="8"/>
        <v>100</v>
      </c>
      <c r="BF29" s="13">
        <f t="shared" si="8"/>
        <v>97</v>
      </c>
      <c r="BG29" s="13">
        <f t="shared" si="8"/>
        <v>115</v>
      </c>
      <c r="BH29" s="13">
        <f t="shared" si="8"/>
        <v>118</v>
      </c>
      <c r="BI29" s="13">
        <f t="shared" si="8"/>
        <v>112</v>
      </c>
      <c r="BJ29" s="13">
        <f t="shared" si="8"/>
        <v>103</v>
      </c>
      <c r="BK29" s="13">
        <f t="shared" si="8"/>
        <v>127</v>
      </c>
      <c r="BL29" s="13">
        <f t="shared" si="8"/>
        <v>123</v>
      </c>
      <c r="BM29" s="13">
        <f t="shared" si="8"/>
        <v>103</v>
      </c>
      <c r="BN29" s="13">
        <f t="shared" si="8"/>
        <v>104</v>
      </c>
      <c r="BO29" s="13">
        <f t="shared" si="8"/>
        <v>90</v>
      </c>
      <c r="BP29" s="13">
        <f t="shared" si="8"/>
        <v>110</v>
      </c>
      <c r="BQ29" s="13">
        <f t="shared" si="8"/>
        <v>94</v>
      </c>
      <c r="BR29" s="13">
        <f t="shared" si="8"/>
        <v>100</v>
      </c>
      <c r="BS29" s="13">
        <f t="shared" si="8"/>
        <v>102</v>
      </c>
      <c r="BT29" s="13">
        <f t="shared" si="8"/>
        <v>105</v>
      </c>
      <c r="BU29" s="13">
        <f t="shared" si="8"/>
        <v>111</v>
      </c>
      <c r="BV29" s="13">
        <f t="shared" si="8"/>
        <v>127</v>
      </c>
      <c r="BW29" s="13">
        <f t="shared" si="8"/>
        <v>136</v>
      </c>
      <c r="BX29" s="13">
        <f t="shared" si="8"/>
        <v>98</v>
      </c>
      <c r="BY29" s="13">
        <f t="shared" si="8"/>
        <v>76</v>
      </c>
      <c r="BZ29" s="13">
        <f t="shared" si="8"/>
        <v>82</v>
      </c>
      <c r="CA29" s="13">
        <f t="shared" si="8"/>
        <v>77</v>
      </c>
      <c r="CB29" s="13">
        <f t="shared" si="8"/>
        <v>0</v>
      </c>
      <c r="CC29" s="13">
        <f t="shared" si="8"/>
        <v>0</v>
      </c>
      <c r="CD29" s="13">
        <f t="shared" si="3"/>
        <v>7595</v>
      </c>
    </row>
    <row r="30" ht="12.75" customHeight="1">
      <c r="A30" s="36"/>
      <c r="B30" s="28"/>
      <c r="C30" s="37"/>
      <c r="D30" s="13" t="s">
        <v>14</v>
      </c>
      <c r="E30" s="13">
        <f t="shared" ref="E30:CC30" si="9">SUM(E28:E29)</f>
        <v>186</v>
      </c>
      <c r="F30" s="13">
        <f t="shared" si="9"/>
        <v>207</v>
      </c>
      <c r="G30" s="13">
        <f t="shared" si="9"/>
        <v>197</v>
      </c>
      <c r="H30" s="13">
        <f t="shared" si="9"/>
        <v>209</v>
      </c>
      <c r="I30" s="13">
        <f t="shared" si="9"/>
        <v>157</v>
      </c>
      <c r="J30" s="13">
        <f t="shared" si="9"/>
        <v>205</v>
      </c>
      <c r="K30" s="13">
        <f t="shared" si="9"/>
        <v>222</v>
      </c>
      <c r="L30" s="13">
        <f t="shared" si="9"/>
        <v>207</v>
      </c>
      <c r="M30" s="13">
        <f t="shared" si="9"/>
        <v>195</v>
      </c>
      <c r="N30" s="13">
        <f t="shared" si="9"/>
        <v>243</v>
      </c>
      <c r="O30" s="13">
        <f t="shared" si="9"/>
        <v>182</v>
      </c>
      <c r="P30" s="13">
        <f t="shared" si="9"/>
        <v>198</v>
      </c>
      <c r="Q30" s="13">
        <f t="shared" si="9"/>
        <v>210</v>
      </c>
      <c r="R30" s="13">
        <f t="shared" si="9"/>
        <v>212</v>
      </c>
      <c r="S30" s="13">
        <f t="shared" si="9"/>
        <v>218</v>
      </c>
      <c r="T30" s="13">
        <f t="shared" si="9"/>
        <v>189</v>
      </c>
      <c r="U30" s="13">
        <f t="shared" si="9"/>
        <v>182</v>
      </c>
      <c r="V30" s="13">
        <f t="shared" si="9"/>
        <v>242</v>
      </c>
      <c r="W30" s="13">
        <f t="shared" si="9"/>
        <v>209</v>
      </c>
      <c r="X30" s="13">
        <f t="shared" si="9"/>
        <v>177</v>
      </c>
      <c r="Y30" s="13">
        <f t="shared" si="9"/>
        <v>187</v>
      </c>
      <c r="Z30" s="13">
        <f t="shared" si="9"/>
        <v>211</v>
      </c>
      <c r="AA30" s="13">
        <f t="shared" si="9"/>
        <v>158</v>
      </c>
      <c r="AB30" s="13">
        <f t="shared" si="9"/>
        <v>211</v>
      </c>
      <c r="AC30" s="13">
        <f t="shared" si="9"/>
        <v>215</v>
      </c>
      <c r="AD30" s="13">
        <f t="shared" si="9"/>
        <v>190</v>
      </c>
      <c r="AE30" s="13">
        <f t="shared" si="9"/>
        <v>179</v>
      </c>
      <c r="AF30" s="13">
        <f t="shared" si="9"/>
        <v>186</v>
      </c>
      <c r="AG30" s="13">
        <f t="shared" si="9"/>
        <v>183</v>
      </c>
      <c r="AH30" s="13">
        <f t="shared" si="9"/>
        <v>234</v>
      </c>
      <c r="AI30" s="13">
        <f t="shared" si="9"/>
        <v>192</v>
      </c>
      <c r="AJ30" s="13">
        <f t="shared" si="9"/>
        <v>169</v>
      </c>
      <c r="AK30" s="13">
        <f t="shared" si="9"/>
        <v>189</v>
      </c>
      <c r="AL30" s="13">
        <f t="shared" si="9"/>
        <v>170</v>
      </c>
      <c r="AM30" s="13">
        <f t="shared" si="9"/>
        <v>197</v>
      </c>
      <c r="AN30" s="13">
        <f t="shared" si="9"/>
        <v>163</v>
      </c>
      <c r="AO30" s="13">
        <f t="shared" si="9"/>
        <v>168</v>
      </c>
      <c r="AP30" s="13">
        <f t="shared" si="9"/>
        <v>145</v>
      </c>
      <c r="AQ30" s="13">
        <f t="shared" si="9"/>
        <v>208</v>
      </c>
      <c r="AR30" s="13">
        <f t="shared" si="9"/>
        <v>221</v>
      </c>
      <c r="AS30" s="13">
        <f t="shared" si="9"/>
        <v>199</v>
      </c>
      <c r="AT30" s="13">
        <f t="shared" si="9"/>
        <v>211</v>
      </c>
      <c r="AU30" s="13">
        <f t="shared" si="9"/>
        <v>196</v>
      </c>
      <c r="AV30" s="13">
        <f t="shared" si="9"/>
        <v>172</v>
      </c>
      <c r="AW30" s="13">
        <f t="shared" si="9"/>
        <v>166</v>
      </c>
      <c r="AX30" s="13">
        <f t="shared" si="9"/>
        <v>158</v>
      </c>
      <c r="AY30" s="13">
        <f t="shared" si="9"/>
        <v>213</v>
      </c>
      <c r="AZ30" s="13">
        <f t="shared" si="9"/>
        <v>184</v>
      </c>
      <c r="BA30" s="13">
        <f t="shared" si="9"/>
        <v>197</v>
      </c>
      <c r="BB30" s="13">
        <f t="shared" si="9"/>
        <v>135</v>
      </c>
      <c r="BC30" s="13">
        <f t="shared" si="9"/>
        <v>195</v>
      </c>
      <c r="BD30" s="13">
        <f t="shared" si="9"/>
        <v>187</v>
      </c>
      <c r="BE30" s="13">
        <f t="shared" si="9"/>
        <v>186</v>
      </c>
      <c r="BF30" s="13">
        <f t="shared" si="9"/>
        <v>184</v>
      </c>
      <c r="BG30" s="13">
        <f t="shared" si="9"/>
        <v>219</v>
      </c>
      <c r="BH30" s="13">
        <f t="shared" si="9"/>
        <v>226</v>
      </c>
      <c r="BI30" s="13">
        <f t="shared" si="9"/>
        <v>203</v>
      </c>
      <c r="BJ30" s="13">
        <f t="shared" si="9"/>
        <v>219</v>
      </c>
      <c r="BK30" s="13">
        <f t="shared" si="9"/>
        <v>247</v>
      </c>
      <c r="BL30" s="13">
        <f t="shared" si="9"/>
        <v>240</v>
      </c>
      <c r="BM30" s="13">
        <f t="shared" si="9"/>
        <v>210</v>
      </c>
      <c r="BN30" s="13">
        <f t="shared" si="9"/>
        <v>193</v>
      </c>
      <c r="BO30" s="13">
        <f t="shared" si="9"/>
        <v>175</v>
      </c>
      <c r="BP30" s="13">
        <f t="shared" si="9"/>
        <v>197</v>
      </c>
      <c r="BQ30" s="13">
        <f t="shared" si="9"/>
        <v>176</v>
      </c>
      <c r="BR30" s="13">
        <f t="shared" si="9"/>
        <v>209</v>
      </c>
      <c r="BS30" s="13">
        <f t="shared" si="9"/>
        <v>198</v>
      </c>
      <c r="BT30" s="13">
        <f t="shared" si="9"/>
        <v>209</v>
      </c>
      <c r="BU30" s="13">
        <f t="shared" si="9"/>
        <v>204</v>
      </c>
      <c r="BV30" s="13">
        <f t="shared" si="9"/>
        <v>226</v>
      </c>
      <c r="BW30" s="13">
        <f t="shared" si="9"/>
        <v>269</v>
      </c>
      <c r="BX30" s="13">
        <f t="shared" si="9"/>
        <v>198</v>
      </c>
      <c r="BY30" s="13">
        <f t="shared" si="9"/>
        <v>173</v>
      </c>
      <c r="BZ30" s="13">
        <f t="shared" si="9"/>
        <v>168</v>
      </c>
      <c r="CA30" s="13">
        <f t="shared" si="9"/>
        <v>147</v>
      </c>
      <c r="CB30" s="13">
        <f t="shared" si="9"/>
        <v>0</v>
      </c>
      <c r="CC30" s="13">
        <f t="shared" si="9"/>
        <v>0</v>
      </c>
      <c r="CD30" s="13">
        <f t="shared" si="3"/>
        <v>14712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19"/>
      <c r="Z31" s="19"/>
      <c r="AA31" s="19"/>
      <c r="AB31" s="19"/>
      <c r="AC31" s="64"/>
      <c r="AD31" s="19"/>
      <c r="AE31" s="19"/>
      <c r="AF31" s="19"/>
      <c r="AG31" s="19"/>
      <c r="AH31" s="64"/>
      <c r="AI31" s="19"/>
      <c r="AJ31" s="19"/>
      <c r="AK31" s="19"/>
      <c r="AL31" s="19"/>
      <c r="AM31" s="64"/>
      <c r="AN31" s="19"/>
      <c r="AO31" s="19"/>
      <c r="AP31" s="19"/>
      <c r="AQ31" s="19"/>
      <c r="AR31" s="64"/>
      <c r="AS31" s="19"/>
      <c r="AT31" s="19"/>
      <c r="AU31" s="19"/>
      <c r="AV31" s="19"/>
      <c r="AW31" s="64"/>
      <c r="AX31" s="19"/>
      <c r="AY31" s="19"/>
      <c r="AZ31" s="19"/>
      <c r="BA31" s="19"/>
      <c r="BB31" s="64"/>
      <c r="BC31" s="19"/>
      <c r="BD31" s="19"/>
      <c r="BE31" s="19"/>
      <c r="BF31" s="19"/>
      <c r="BG31" s="64"/>
      <c r="BH31" s="19"/>
      <c r="BI31" s="19"/>
      <c r="BJ31" s="19"/>
      <c r="BK31" s="19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5"/>
    </row>
    <row r="32" ht="12.75" customHeight="1">
      <c r="A32" s="44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56</v>
      </c>
      <c r="L32" s="13" t="s">
        <v>57</v>
      </c>
      <c r="M32" s="13" t="s">
        <v>58</v>
      </c>
      <c r="N32" s="13" t="s">
        <v>59</v>
      </c>
      <c r="O32" s="13" t="s">
        <v>60</v>
      </c>
      <c r="P32" s="13" t="s">
        <v>61</v>
      </c>
      <c r="Q32" s="13" t="s">
        <v>62</v>
      </c>
      <c r="R32" s="13" t="s">
        <v>63</v>
      </c>
      <c r="S32" s="13" t="s">
        <v>64</v>
      </c>
      <c r="T32" s="13" t="s">
        <v>65</v>
      </c>
      <c r="U32" s="13" t="s">
        <v>66</v>
      </c>
      <c r="V32" s="13" t="s">
        <v>67</v>
      </c>
      <c r="W32" s="13" t="s">
        <v>68</v>
      </c>
      <c r="X32" s="13" t="s">
        <v>69</v>
      </c>
      <c r="Y32" s="13" t="s">
        <v>70</v>
      </c>
      <c r="Z32" s="13" t="s">
        <v>71</v>
      </c>
      <c r="AA32" s="13" t="s">
        <v>72</v>
      </c>
      <c r="AB32" s="13" t="s">
        <v>73</v>
      </c>
      <c r="AC32" s="13" t="s">
        <v>75</v>
      </c>
      <c r="AD32" s="13" t="s">
        <v>76</v>
      </c>
      <c r="AE32" s="13" t="s">
        <v>77</v>
      </c>
      <c r="AF32" s="13" t="s">
        <v>78</v>
      </c>
      <c r="AG32" s="13" t="s">
        <v>79</v>
      </c>
      <c r="AH32" s="13" t="s">
        <v>80</v>
      </c>
      <c r="AI32" s="13" t="s">
        <v>81</v>
      </c>
      <c r="AJ32" s="13" t="s">
        <v>82</v>
      </c>
      <c r="AK32" s="13" t="s">
        <v>83</v>
      </c>
      <c r="AL32" s="13" t="s">
        <v>84</v>
      </c>
      <c r="AM32" s="13" t="s">
        <v>85</v>
      </c>
      <c r="AN32" s="13" t="s">
        <v>86</v>
      </c>
      <c r="AO32" s="13" t="s">
        <v>87</v>
      </c>
      <c r="AP32" s="13" t="s">
        <v>88</v>
      </c>
      <c r="AQ32" s="13" t="s">
        <v>89</v>
      </c>
      <c r="AR32" s="13" t="s">
        <v>90</v>
      </c>
      <c r="AS32" s="13" t="s">
        <v>91</v>
      </c>
      <c r="AT32" s="13" t="s">
        <v>92</v>
      </c>
      <c r="AU32" s="13" t="s">
        <v>93</v>
      </c>
      <c r="AV32" s="13" t="s">
        <v>94</v>
      </c>
      <c r="AW32" s="13" t="s">
        <v>95</v>
      </c>
      <c r="AX32" s="13" t="s">
        <v>96</v>
      </c>
      <c r="AY32" s="13" t="s">
        <v>97</v>
      </c>
      <c r="AZ32" s="13" t="s">
        <v>98</v>
      </c>
      <c r="BA32" s="13" t="s">
        <v>99</v>
      </c>
      <c r="BB32" s="13" t="s">
        <v>100</v>
      </c>
      <c r="BC32" s="13" t="s">
        <v>101</v>
      </c>
      <c r="BD32" s="13" t="s">
        <v>102</v>
      </c>
      <c r="BE32" s="13" t="s">
        <v>103</v>
      </c>
      <c r="BF32" s="13" t="s">
        <v>104</v>
      </c>
      <c r="BG32" s="13" t="s">
        <v>105</v>
      </c>
      <c r="BH32" s="13" t="s">
        <v>106</v>
      </c>
      <c r="BI32" s="13" t="s">
        <v>107</v>
      </c>
      <c r="BJ32" s="13" t="s">
        <v>108</v>
      </c>
      <c r="BK32" s="13" t="s">
        <v>109</v>
      </c>
      <c r="BL32" s="13" t="s">
        <v>110</v>
      </c>
      <c r="BM32" s="13" t="s">
        <v>111</v>
      </c>
      <c r="BN32" s="13" t="s">
        <v>112</v>
      </c>
      <c r="BO32" s="13" t="s">
        <v>113</v>
      </c>
      <c r="BP32" s="13" t="s">
        <v>114</v>
      </c>
      <c r="BQ32" s="13" t="s">
        <v>115</v>
      </c>
      <c r="BR32" s="13" t="s">
        <v>116</v>
      </c>
      <c r="BS32" s="13" t="s">
        <v>117</v>
      </c>
      <c r="BT32" s="13" t="s">
        <v>118</v>
      </c>
      <c r="BU32" s="13" t="s">
        <v>119</v>
      </c>
      <c r="BV32" s="13" t="s">
        <v>120</v>
      </c>
      <c r="BW32" s="13" t="s">
        <v>121</v>
      </c>
      <c r="BX32" s="13" t="s">
        <v>122</v>
      </c>
      <c r="BY32" s="13" t="s">
        <v>123</v>
      </c>
      <c r="BZ32" s="13" t="s">
        <v>124</v>
      </c>
      <c r="CA32" s="13" t="s">
        <v>125</v>
      </c>
      <c r="CB32" s="13" t="s">
        <v>126</v>
      </c>
      <c r="CC32" s="13" t="s">
        <v>127</v>
      </c>
      <c r="CD32" s="65"/>
    </row>
    <row r="33" ht="12.75" customHeight="1">
      <c r="A33" s="19">
        <v>1.0</v>
      </c>
      <c r="B33" s="20" t="s">
        <v>27</v>
      </c>
      <c r="C33" s="15"/>
      <c r="D33" s="16"/>
      <c r="E33" s="66">
        <v>266.0</v>
      </c>
      <c r="F33" s="66">
        <v>254.0</v>
      </c>
      <c r="G33" s="66">
        <v>300.0</v>
      </c>
      <c r="H33" s="66">
        <v>267.0</v>
      </c>
      <c r="I33" s="66">
        <v>234.0</v>
      </c>
      <c r="J33" s="66">
        <v>283.0</v>
      </c>
      <c r="K33" s="66">
        <v>296.0</v>
      </c>
      <c r="L33" s="66">
        <v>298.0</v>
      </c>
      <c r="M33" s="66">
        <v>296.0</v>
      </c>
      <c r="N33" s="66">
        <v>301.0</v>
      </c>
      <c r="O33" s="66">
        <v>246.0</v>
      </c>
      <c r="P33" s="66">
        <v>284.0</v>
      </c>
      <c r="Q33" s="66">
        <v>299.0</v>
      </c>
      <c r="R33" s="66">
        <v>303.0</v>
      </c>
      <c r="S33" s="66">
        <v>306.0</v>
      </c>
      <c r="T33" s="68">
        <v>306.0</v>
      </c>
      <c r="U33" s="68">
        <v>290.0</v>
      </c>
      <c r="V33" s="68">
        <v>296.0</v>
      </c>
      <c r="W33" s="68">
        <v>297.0</v>
      </c>
      <c r="X33" s="68">
        <v>270.0</v>
      </c>
      <c r="Y33" s="68">
        <v>266.0</v>
      </c>
      <c r="Z33" s="68">
        <v>301.0</v>
      </c>
      <c r="AA33" s="68">
        <v>221.0</v>
      </c>
      <c r="AB33" s="68">
        <v>302.0</v>
      </c>
      <c r="AC33" s="68">
        <v>297.0</v>
      </c>
      <c r="AD33" s="68">
        <v>260.0</v>
      </c>
      <c r="AE33" s="68">
        <v>251.0</v>
      </c>
      <c r="AF33" s="68">
        <v>239.0</v>
      </c>
      <c r="AG33" s="68">
        <v>296.0</v>
      </c>
      <c r="AH33" s="68">
        <v>298.0</v>
      </c>
      <c r="AI33" s="38">
        <v>286.0</v>
      </c>
      <c r="AJ33" s="38">
        <v>236.0</v>
      </c>
      <c r="AK33" s="38">
        <v>248.0</v>
      </c>
      <c r="AL33" s="38">
        <v>229.0</v>
      </c>
      <c r="AM33" s="38">
        <v>253.0</v>
      </c>
      <c r="AN33" s="38">
        <v>229.0</v>
      </c>
      <c r="AO33" s="38">
        <v>258.0</v>
      </c>
      <c r="AP33" s="38">
        <v>209.0</v>
      </c>
      <c r="AQ33" s="38">
        <v>283.0</v>
      </c>
      <c r="AR33" s="38">
        <v>289.0</v>
      </c>
      <c r="AS33" s="38">
        <v>261.0</v>
      </c>
      <c r="AT33" s="38">
        <v>271.0</v>
      </c>
      <c r="AU33" s="38">
        <v>220.0</v>
      </c>
      <c r="AV33" s="38">
        <v>243.0</v>
      </c>
      <c r="AW33" s="38">
        <v>229.0</v>
      </c>
      <c r="AX33" s="66">
        <v>220.0</v>
      </c>
      <c r="AY33" s="66">
        <v>250.0</v>
      </c>
      <c r="AZ33" s="66">
        <v>253.0</v>
      </c>
      <c r="BA33" s="66">
        <v>267.0</v>
      </c>
      <c r="BB33" s="66">
        <v>236.0</v>
      </c>
      <c r="BC33" s="66">
        <v>273.0</v>
      </c>
      <c r="BD33" s="66">
        <v>298.0</v>
      </c>
      <c r="BE33" s="66">
        <v>285.0</v>
      </c>
      <c r="BF33" s="66">
        <v>294.0</v>
      </c>
      <c r="BG33" s="66">
        <v>297.0</v>
      </c>
      <c r="BH33" s="66">
        <v>296.0</v>
      </c>
      <c r="BI33" s="66">
        <v>292.0</v>
      </c>
      <c r="BJ33" s="66">
        <v>295.0</v>
      </c>
      <c r="BK33" s="66">
        <v>303.0</v>
      </c>
      <c r="BL33" s="66">
        <v>300.0</v>
      </c>
      <c r="BM33" s="38">
        <v>292.0</v>
      </c>
      <c r="BN33" s="38">
        <v>273.0</v>
      </c>
      <c r="BO33" s="38">
        <v>246.0</v>
      </c>
      <c r="BP33" s="38">
        <v>289.0</v>
      </c>
      <c r="BQ33" s="38">
        <v>288.0</v>
      </c>
      <c r="BR33" s="38">
        <v>272.0</v>
      </c>
      <c r="BS33" s="38">
        <v>299.0</v>
      </c>
      <c r="BT33" s="38">
        <v>292.0</v>
      </c>
      <c r="BU33" s="38">
        <v>291.0</v>
      </c>
      <c r="BV33" s="38">
        <v>285.0</v>
      </c>
      <c r="BW33" s="38">
        <v>292.0</v>
      </c>
      <c r="BX33" s="38">
        <v>254.0</v>
      </c>
      <c r="BY33" s="38">
        <v>244.0</v>
      </c>
      <c r="BZ33" s="38">
        <v>261.0</v>
      </c>
      <c r="CA33" s="38">
        <v>241.0</v>
      </c>
      <c r="CB33" s="19"/>
      <c r="CC33" s="19"/>
      <c r="CD33" s="13">
        <f t="shared" ref="CD33:CD36" si="10">SUM(E33:CC33)</f>
        <v>20445</v>
      </c>
    </row>
    <row r="34" ht="12.75" customHeight="1">
      <c r="A34" s="19">
        <v>2.0</v>
      </c>
      <c r="B34" s="20" t="s">
        <v>28</v>
      </c>
      <c r="C34" s="15"/>
      <c r="D34" s="16"/>
      <c r="E34" s="66">
        <v>186.0</v>
      </c>
      <c r="F34" s="66">
        <v>207.0</v>
      </c>
      <c r="G34" s="66">
        <v>197.0</v>
      </c>
      <c r="H34" s="66">
        <v>209.0</v>
      </c>
      <c r="I34" s="66">
        <v>157.0</v>
      </c>
      <c r="J34" s="66">
        <v>205.0</v>
      </c>
      <c r="K34" s="66">
        <v>222.0</v>
      </c>
      <c r="L34" s="66">
        <v>207.0</v>
      </c>
      <c r="M34" s="66">
        <v>195.0</v>
      </c>
      <c r="N34" s="66">
        <v>243.0</v>
      </c>
      <c r="O34" s="66">
        <v>182.0</v>
      </c>
      <c r="P34" s="66">
        <v>198.0</v>
      </c>
      <c r="Q34" s="66">
        <v>210.0</v>
      </c>
      <c r="R34" s="66">
        <v>212.0</v>
      </c>
      <c r="S34" s="66">
        <v>218.0</v>
      </c>
      <c r="T34" s="68">
        <v>189.0</v>
      </c>
      <c r="U34" s="68">
        <v>182.0</v>
      </c>
      <c r="V34" s="68">
        <v>242.0</v>
      </c>
      <c r="W34" s="68">
        <v>209.0</v>
      </c>
      <c r="X34" s="68">
        <v>177.0</v>
      </c>
      <c r="Y34" s="68">
        <v>187.0</v>
      </c>
      <c r="Z34" s="68">
        <v>211.0</v>
      </c>
      <c r="AA34" s="68">
        <v>158.0</v>
      </c>
      <c r="AB34" s="68">
        <v>211.0</v>
      </c>
      <c r="AC34" s="68">
        <v>215.0</v>
      </c>
      <c r="AD34" s="68">
        <v>190.0</v>
      </c>
      <c r="AE34" s="68">
        <v>179.0</v>
      </c>
      <c r="AF34" s="68">
        <v>186.0</v>
      </c>
      <c r="AG34" s="68">
        <v>183.0</v>
      </c>
      <c r="AH34" s="68">
        <v>234.0</v>
      </c>
      <c r="AI34" s="38">
        <v>192.0</v>
      </c>
      <c r="AJ34" s="38">
        <v>169.0</v>
      </c>
      <c r="AK34" s="38">
        <v>189.0</v>
      </c>
      <c r="AL34" s="38">
        <v>170.0</v>
      </c>
      <c r="AM34" s="38">
        <v>197.0</v>
      </c>
      <c r="AN34" s="38">
        <v>163.0</v>
      </c>
      <c r="AO34" s="38">
        <v>168.0</v>
      </c>
      <c r="AP34" s="38">
        <v>145.0</v>
      </c>
      <c r="AQ34" s="38">
        <v>208.0</v>
      </c>
      <c r="AR34" s="38">
        <v>221.0</v>
      </c>
      <c r="AS34" s="38">
        <v>199.0</v>
      </c>
      <c r="AT34" s="38">
        <v>211.0</v>
      </c>
      <c r="AU34" s="38">
        <v>196.0</v>
      </c>
      <c r="AV34" s="38">
        <v>172.0</v>
      </c>
      <c r="AW34" s="38">
        <v>166.0</v>
      </c>
      <c r="AX34" s="66">
        <v>158.0</v>
      </c>
      <c r="AY34" s="66">
        <v>213.0</v>
      </c>
      <c r="AZ34" s="66">
        <v>184.0</v>
      </c>
      <c r="BA34" s="66">
        <v>197.0</v>
      </c>
      <c r="BB34" s="66">
        <v>135.0</v>
      </c>
      <c r="BC34" s="66">
        <v>195.0</v>
      </c>
      <c r="BD34" s="66">
        <v>187.0</v>
      </c>
      <c r="BE34" s="66">
        <v>186.0</v>
      </c>
      <c r="BF34" s="66">
        <v>184.0</v>
      </c>
      <c r="BG34" s="66">
        <v>219.0</v>
      </c>
      <c r="BH34" s="66">
        <v>226.0</v>
      </c>
      <c r="BI34" s="66">
        <v>203.0</v>
      </c>
      <c r="BJ34" s="66">
        <v>219.0</v>
      </c>
      <c r="BK34" s="66">
        <v>247.0</v>
      </c>
      <c r="BL34" s="66">
        <v>240.0</v>
      </c>
      <c r="BM34" s="38">
        <v>210.0</v>
      </c>
      <c r="BN34" s="38">
        <v>193.0</v>
      </c>
      <c r="BO34" s="38">
        <v>175.0</v>
      </c>
      <c r="BP34" s="38">
        <v>197.0</v>
      </c>
      <c r="BQ34" s="38">
        <v>176.0</v>
      </c>
      <c r="BR34" s="38">
        <v>209.0</v>
      </c>
      <c r="BS34" s="38">
        <v>198.0</v>
      </c>
      <c r="BT34" s="38">
        <v>209.0</v>
      </c>
      <c r="BU34" s="38">
        <v>204.0</v>
      </c>
      <c r="BV34" s="38">
        <v>226.0</v>
      </c>
      <c r="BW34" s="38">
        <v>269.0</v>
      </c>
      <c r="BX34" s="38">
        <v>198.0</v>
      </c>
      <c r="BY34" s="38">
        <v>173.0</v>
      </c>
      <c r="BZ34" s="38">
        <v>168.0</v>
      </c>
      <c r="CA34" s="38">
        <v>147.0</v>
      </c>
      <c r="CB34" s="13"/>
      <c r="CC34" s="13"/>
      <c r="CD34" s="13">
        <f t="shared" si="10"/>
        <v>14712</v>
      </c>
    </row>
    <row r="35" ht="12.75" customHeight="1">
      <c r="A35" s="19">
        <v>3.0</v>
      </c>
      <c r="B35" s="20" t="s">
        <v>29</v>
      </c>
      <c r="C35" s="15"/>
      <c r="D35" s="16"/>
      <c r="E35" s="66">
        <v>0.0</v>
      </c>
      <c r="F35" s="66">
        <v>0.0</v>
      </c>
      <c r="G35" s="66">
        <v>0.0</v>
      </c>
      <c r="H35" s="66">
        <v>0.0</v>
      </c>
      <c r="I35" s="66">
        <v>0.0</v>
      </c>
      <c r="J35" s="66">
        <v>0.0</v>
      </c>
      <c r="K35" s="66">
        <v>0.0</v>
      </c>
      <c r="L35" s="66">
        <v>0.0</v>
      </c>
      <c r="M35" s="66">
        <v>0.0</v>
      </c>
      <c r="N35" s="66">
        <v>0.0</v>
      </c>
      <c r="O35" s="66">
        <v>0.0</v>
      </c>
      <c r="P35" s="66">
        <v>0.0</v>
      </c>
      <c r="Q35" s="66">
        <v>1.0</v>
      </c>
      <c r="R35" s="66">
        <v>0.0</v>
      </c>
      <c r="S35" s="66">
        <v>0.0</v>
      </c>
      <c r="T35" s="68">
        <v>0.0</v>
      </c>
      <c r="U35" s="68">
        <v>0.0</v>
      </c>
      <c r="V35" s="68">
        <v>0.0</v>
      </c>
      <c r="W35" s="68">
        <v>0.0</v>
      </c>
      <c r="X35" s="68">
        <v>0.0</v>
      </c>
      <c r="Y35" s="68">
        <v>0.0</v>
      </c>
      <c r="Z35" s="68">
        <v>0.0</v>
      </c>
      <c r="AA35" s="68">
        <v>0.0</v>
      </c>
      <c r="AB35" s="68">
        <v>4.0</v>
      </c>
      <c r="AC35" s="68">
        <v>0.0</v>
      </c>
      <c r="AD35" s="68">
        <v>0.0</v>
      </c>
      <c r="AE35" s="68">
        <v>0.0</v>
      </c>
      <c r="AF35" s="68">
        <v>0.0</v>
      </c>
      <c r="AG35" s="68">
        <v>0.0</v>
      </c>
      <c r="AH35" s="68">
        <v>0.0</v>
      </c>
      <c r="AI35" s="38">
        <v>0.0</v>
      </c>
      <c r="AJ35" s="38">
        <v>0.0</v>
      </c>
      <c r="AK35" s="38">
        <v>0.0</v>
      </c>
      <c r="AL35" s="38">
        <v>1.0</v>
      </c>
      <c r="AM35" s="38">
        <v>0.0</v>
      </c>
      <c r="AN35" s="38">
        <v>0.0</v>
      </c>
      <c r="AO35" s="38">
        <v>0.0</v>
      </c>
      <c r="AP35" s="38">
        <v>0.0</v>
      </c>
      <c r="AQ35" s="38">
        <v>0.0</v>
      </c>
      <c r="AR35" s="38">
        <v>3.0</v>
      </c>
      <c r="AS35" s="38">
        <v>0.0</v>
      </c>
      <c r="AT35" s="38">
        <v>0.0</v>
      </c>
      <c r="AU35" s="38">
        <v>0.0</v>
      </c>
      <c r="AV35" s="38">
        <v>0.0</v>
      </c>
      <c r="AW35" s="38">
        <v>0.0</v>
      </c>
      <c r="AX35" s="66">
        <v>0.0</v>
      </c>
      <c r="AY35" s="66">
        <v>0.0</v>
      </c>
      <c r="AZ35" s="66">
        <v>0.0</v>
      </c>
      <c r="BA35" s="66">
        <v>0.0</v>
      </c>
      <c r="BB35" s="66">
        <v>0.0</v>
      </c>
      <c r="BC35" s="66">
        <v>0.0</v>
      </c>
      <c r="BD35" s="66">
        <v>0.0</v>
      </c>
      <c r="BE35" s="66">
        <v>1.0</v>
      </c>
      <c r="BF35" s="66">
        <v>0.0</v>
      </c>
      <c r="BG35" s="66">
        <v>0.0</v>
      </c>
      <c r="BH35" s="66">
        <v>0.0</v>
      </c>
      <c r="BI35" s="66">
        <v>0.0</v>
      </c>
      <c r="BJ35" s="66">
        <v>0.0</v>
      </c>
      <c r="BK35" s="66">
        <v>0.0</v>
      </c>
      <c r="BL35" s="66">
        <v>0.0</v>
      </c>
      <c r="BM35" s="38">
        <v>0.0</v>
      </c>
      <c r="BN35" s="38">
        <v>0.0</v>
      </c>
      <c r="BO35" s="38">
        <v>0.0</v>
      </c>
      <c r="BP35" s="38">
        <v>0.0</v>
      </c>
      <c r="BQ35" s="38">
        <v>0.0</v>
      </c>
      <c r="BR35" s="38">
        <v>0.0</v>
      </c>
      <c r="BS35" s="38">
        <v>0.0</v>
      </c>
      <c r="BT35" s="38">
        <v>0.0</v>
      </c>
      <c r="BU35" s="38">
        <v>0.0</v>
      </c>
      <c r="BV35" s="38">
        <v>0.0</v>
      </c>
      <c r="BW35" s="38">
        <v>0.0</v>
      </c>
      <c r="BX35" s="38">
        <v>1.0</v>
      </c>
      <c r="BY35" s="38">
        <v>0.0</v>
      </c>
      <c r="BZ35" s="38">
        <v>0.0</v>
      </c>
      <c r="CA35" s="38">
        <v>0.0</v>
      </c>
      <c r="CB35" s="19"/>
      <c r="CC35" s="19"/>
      <c r="CD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CC36" si="11">E33-(E34+E35)</f>
        <v>80</v>
      </c>
      <c r="F36" s="13">
        <f t="shared" si="11"/>
        <v>47</v>
      </c>
      <c r="G36" s="13">
        <f t="shared" si="11"/>
        <v>103</v>
      </c>
      <c r="H36" s="13">
        <f t="shared" si="11"/>
        <v>58</v>
      </c>
      <c r="I36" s="13">
        <f t="shared" si="11"/>
        <v>77</v>
      </c>
      <c r="J36" s="13">
        <f t="shared" si="11"/>
        <v>78</v>
      </c>
      <c r="K36" s="13">
        <f t="shared" si="11"/>
        <v>74</v>
      </c>
      <c r="L36" s="13">
        <f t="shared" si="11"/>
        <v>91</v>
      </c>
      <c r="M36" s="13">
        <f t="shared" si="11"/>
        <v>101</v>
      </c>
      <c r="N36" s="13">
        <f t="shared" si="11"/>
        <v>58</v>
      </c>
      <c r="O36" s="13">
        <f t="shared" si="11"/>
        <v>64</v>
      </c>
      <c r="P36" s="13">
        <f t="shared" si="11"/>
        <v>86</v>
      </c>
      <c r="Q36" s="13">
        <f t="shared" si="11"/>
        <v>88</v>
      </c>
      <c r="R36" s="13">
        <f t="shared" si="11"/>
        <v>91</v>
      </c>
      <c r="S36" s="13">
        <f t="shared" si="11"/>
        <v>88</v>
      </c>
      <c r="T36" s="13">
        <f t="shared" si="11"/>
        <v>117</v>
      </c>
      <c r="U36" s="13">
        <f t="shared" si="11"/>
        <v>108</v>
      </c>
      <c r="V36" s="13">
        <f t="shared" si="11"/>
        <v>54</v>
      </c>
      <c r="W36" s="13">
        <f t="shared" si="11"/>
        <v>88</v>
      </c>
      <c r="X36" s="13">
        <f t="shared" si="11"/>
        <v>93</v>
      </c>
      <c r="Y36" s="13">
        <f t="shared" si="11"/>
        <v>79</v>
      </c>
      <c r="Z36" s="13">
        <f t="shared" si="11"/>
        <v>90</v>
      </c>
      <c r="AA36" s="13">
        <f t="shared" si="11"/>
        <v>63</v>
      </c>
      <c r="AB36" s="13">
        <f t="shared" si="11"/>
        <v>87</v>
      </c>
      <c r="AC36" s="13">
        <f t="shared" si="11"/>
        <v>82</v>
      </c>
      <c r="AD36" s="13">
        <f t="shared" si="11"/>
        <v>70</v>
      </c>
      <c r="AE36" s="13">
        <f t="shared" si="11"/>
        <v>72</v>
      </c>
      <c r="AF36" s="13">
        <f t="shared" si="11"/>
        <v>53</v>
      </c>
      <c r="AG36" s="13">
        <f t="shared" si="11"/>
        <v>113</v>
      </c>
      <c r="AH36" s="13">
        <f t="shared" si="11"/>
        <v>64</v>
      </c>
      <c r="AI36" s="13">
        <f t="shared" si="11"/>
        <v>94</v>
      </c>
      <c r="AJ36" s="13">
        <f t="shared" si="11"/>
        <v>67</v>
      </c>
      <c r="AK36" s="13">
        <f t="shared" si="11"/>
        <v>59</v>
      </c>
      <c r="AL36" s="13">
        <f t="shared" si="11"/>
        <v>58</v>
      </c>
      <c r="AM36" s="13">
        <f t="shared" si="11"/>
        <v>56</v>
      </c>
      <c r="AN36" s="13">
        <f t="shared" si="11"/>
        <v>66</v>
      </c>
      <c r="AO36" s="13">
        <f t="shared" si="11"/>
        <v>90</v>
      </c>
      <c r="AP36" s="13">
        <f t="shared" si="11"/>
        <v>64</v>
      </c>
      <c r="AQ36" s="13">
        <f t="shared" si="11"/>
        <v>75</v>
      </c>
      <c r="AR36" s="13">
        <f t="shared" si="11"/>
        <v>65</v>
      </c>
      <c r="AS36" s="13">
        <f t="shared" si="11"/>
        <v>62</v>
      </c>
      <c r="AT36" s="13">
        <f t="shared" si="11"/>
        <v>60</v>
      </c>
      <c r="AU36" s="13">
        <f t="shared" si="11"/>
        <v>24</v>
      </c>
      <c r="AV36" s="13">
        <f t="shared" si="11"/>
        <v>71</v>
      </c>
      <c r="AW36" s="13">
        <f t="shared" si="11"/>
        <v>63</v>
      </c>
      <c r="AX36" s="13">
        <f t="shared" si="11"/>
        <v>62</v>
      </c>
      <c r="AY36" s="13">
        <f t="shared" si="11"/>
        <v>37</v>
      </c>
      <c r="AZ36" s="13">
        <f t="shared" si="11"/>
        <v>69</v>
      </c>
      <c r="BA36" s="13">
        <f t="shared" si="11"/>
        <v>70</v>
      </c>
      <c r="BB36" s="13">
        <f t="shared" si="11"/>
        <v>101</v>
      </c>
      <c r="BC36" s="13">
        <f t="shared" si="11"/>
        <v>78</v>
      </c>
      <c r="BD36" s="13">
        <f t="shared" si="11"/>
        <v>111</v>
      </c>
      <c r="BE36" s="13">
        <f t="shared" si="11"/>
        <v>98</v>
      </c>
      <c r="BF36" s="13">
        <f t="shared" si="11"/>
        <v>110</v>
      </c>
      <c r="BG36" s="13">
        <f t="shared" si="11"/>
        <v>78</v>
      </c>
      <c r="BH36" s="13">
        <f t="shared" si="11"/>
        <v>70</v>
      </c>
      <c r="BI36" s="13">
        <f t="shared" si="11"/>
        <v>89</v>
      </c>
      <c r="BJ36" s="13">
        <f t="shared" si="11"/>
        <v>76</v>
      </c>
      <c r="BK36" s="13">
        <f t="shared" si="11"/>
        <v>56</v>
      </c>
      <c r="BL36" s="13">
        <f t="shared" si="11"/>
        <v>60</v>
      </c>
      <c r="BM36" s="13">
        <f t="shared" si="11"/>
        <v>82</v>
      </c>
      <c r="BN36" s="13">
        <f t="shared" si="11"/>
        <v>80</v>
      </c>
      <c r="BO36" s="13">
        <f t="shared" si="11"/>
        <v>71</v>
      </c>
      <c r="BP36" s="13">
        <f t="shared" si="11"/>
        <v>92</v>
      </c>
      <c r="BQ36" s="13">
        <f t="shared" si="11"/>
        <v>112</v>
      </c>
      <c r="BR36" s="13">
        <f t="shared" si="11"/>
        <v>63</v>
      </c>
      <c r="BS36" s="13">
        <f t="shared" si="11"/>
        <v>101</v>
      </c>
      <c r="BT36" s="13">
        <f t="shared" si="11"/>
        <v>83</v>
      </c>
      <c r="BU36" s="13">
        <f t="shared" si="11"/>
        <v>87</v>
      </c>
      <c r="BV36" s="13">
        <f t="shared" si="11"/>
        <v>59</v>
      </c>
      <c r="BW36" s="13">
        <f t="shared" si="11"/>
        <v>23</v>
      </c>
      <c r="BX36" s="13">
        <f t="shared" si="11"/>
        <v>55</v>
      </c>
      <c r="BY36" s="13">
        <f t="shared" si="11"/>
        <v>71</v>
      </c>
      <c r="BZ36" s="13">
        <f t="shared" si="11"/>
        <v>93</v>
      </c>
      <c r="CA36" s="13">
        <f t="shared" si="11"/>
        <v>94</v>
      </c>
      <c r="CB36" s="13">
        <f t="shared" si="11"/>
        <v>0</v>
      </c>
      <c r="CC36" s="13">
        <f t="shared" si="11"/>
        <v>0</v>
      </c>
      <c r="CD36" s="13">
        <f t="shared" si="10"/>
        <v>5722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19"/>
      <c r="Z37" s="19"/>
      <c r="AA37" s="19"/>
      <c r="AB37" s="19"/>
      <c r="AC37" s="64"/>
      <c r="AD37" s="19"/>
      <c r="AE37" s="19"/>
      <c r="AF37" s="19"/>
      <c r="AG37" s="19"/>
      <c r="AH37" s="64"/>
      <c r="AI37" s="19"/>
      <c r="AJ37" s="19"/>
      <c r="AK37" s="19"/>
      <c r="AL37" s="19"/>
      <c r="AM37" s="64"/>
      <c r="AN37" s="19"/>
      <c r="AO37" s="19"/>
      <c r="AP37" s="19"/>
      <c r="AQ37" s="19"/>
      <c r="AR37" s="64"/>
      <c r="AS37" s="19"/>
      <c r="AT37" s="19"/>
      <c r="AU37" s="19"/>
      <c r="AV37" s="19"/>
      <c r="AW37" s="64"/>
      <c r="AX37" s="19"/>
      <c r="AY37" s="19"/>
      <c r="AZ37" s="19"/>
      <c r="BA37" s="19"/>
      <c r="BB37" s="64"/>
      <c r="BC37" s="19"/>
      <c r="BD37" s="19"/>
      <c r="BE37" s="19"/>
      <c r="BF37" s="19"/>
      <c r="BG37" s="64"/>
      <c r="BH37" s="19"/>
      <c r="BI37" s="19"/>
      <c r="BJ37" s="19"/>
      <c r="BK37" s="19"/>
      <c r="BL37" s="64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5"/>
    </row>
    <row r="38" ht="12.75" customHeight="1">
      <c r="A38" s="46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56</v>
      </c>
      <c r="L38" s="13" t="s">
        <v>57</v>
      </c>
      <c r="M38" s="13" t="s">
        <v>58</v>
      </c>
      <c r="N38" s="13" t="s">
        <v>59</v>
      </c>
      <c r="O38" s="13" t="s">
        <v>60</v>
      </c>
      <c r="P38" s="13" t="s">
        <v>61</v>
      </c>
      <c r="Q38" s="13" t="s">
        <v>62</v>
      </c>
      <c r="R38" s="13" t="s">
        <v>63</v>
      </c>
      <c r="S38" s="13" t="s">
        <v>64</v>
      </c>
      <c r="T38" s="13" t="s">
        <v>65</v>
      </c>
      <c r="U38" s="13" t="s">
        <v>66</v>
      </c>
      <c r="V38" s="13" t="s">
        <v>67</v>
      </c>
      <c r="W38" s="13" t="s">
        <v>68</v>
      </c>
      <c r="X38" s="13" t="s">
        <v>69</v>
      </c>
      <c r="Y38" s="13" t="s">
        <v>70</v>
      </c>
      <c r="Z38" s="13" t="s">
        <v>71</v>
      </c>
      <c r="AA38" s="13" t="s">
        <v>72</v>
      </c>
      <c r="AB38" s="13" t="s">
        <v>73</v>
      </c>
      <c r="AC38" s="13" t="s">
        <v>75</v>
      </c>
      <c r="AD38" s="13" t="s">
        <v>76</v>
      </c>
      <c r="AE38" s="13" t="s">
        <v>77</v>
      </c>
      <c r="AF38" s="13" t="s">
        <v>78</v>
      </c>
      <c r="AG38" s="13" t="s">
        <v>79</v>
      </c>
      <c r="AH38" s="13" t="s">
        <v>80</v>
      </c>
      <c r="AI38" s="13" t="s">
        <v>81</v>
      </c>
      <c r="AJ38" s="13" t="s">
        <v>82</v>
      </c>
      <c r="AK38" s="13" t="s">
        <v>83</v>
      </c>
      <c r="AL38" s="13" t="s">
        <v>84</v>
      </c>
      <c r="AM38" s="13" t="s">
        <v>85</v>
      </c>
      <c r="AN38" s="13" t="s">
        <v>86</v>
      </c>
      <c r="AO38" s="13" t="s">
        <v>87</v>
      </c>
      <c r="AP38" s="13" t="s">
        <v>88</v>
      </c>
      <c r="AQ38" s="13" t="s">
        <v>89</v>
      </c>
      <c r="AR38" s="13" t="s">
        <v>90</v>
      </c>
      <c r="AS38" s="13" t="s">
        <v>91</v>
      </c>
      <c r="AT38" s="13" t="s">
        <v>92</v>
      </c>
      <c r="AU38" s="13" t="s">
        <v>93</v>
      </c>
      <c r="AV38" s="13" t="s">
        <v>94</v>
      </c>
      <c r="AW38" s="13" t="s">
        <v>95</v>
      </c>
      <c r="AX38" s="13" t="s">
        <v>96</v>
      </c>
      <c r="AY38" s="13" t="s">
        <v>97</v>
      </c>
      <c r="AZ38" s="13" t="s">
        <v>98</v>
      </c>
      <c r="BA38" s="13" t="s">
        <v>99</v>
      </c>
      <c r="BB38" s="13" t="s">
        <v>100</v>
      </c>
      <c r="BC38" s="13" t="s">
        <v>101</v>
      </c>
      <c r="BD38" s="13" t="s">
        <v>102</v>
      </c>
      <c r="BE38" s="13" t="s">
        <v>103</v>
      </c>
      <c r="BF38" s="13" t="s">
        <v>104</v>
      </c>
      <c r="BG38" s="13" t="s">
        <v>105</v>
      </c>
      <c r="BH38" s="13" t="s">
        <v>106</v>
      </c>
      <c r="BI38" s="13" t="s">
        <v>107</v>
      </c>
      <c r="BJ38" s="13" t="s">
        <v>108</v>
      </c>
      <c r="BK38" s="13" t="s">
        <v>109</v>
      </c>
      <c r="BL38" s="13" t="s">
        <v>110</v>
      </c>
      <c r="BM38" s="13" t="s">
        <v>111</v>
      </c>
      <c r="BN38" s="13" t="s">
        <v>112</v>
      </c>
      <c r="BO38" s="13" t="s">
        <v>113</v>
      </c>
      <c r="BP38" s="13" t="s">
        <v>114</v>
      </c>
      <c r="BQ38" s="13" t="s">
        <v>115</v>
      </c>
      <c r="BR38" s="13" t="s">
        <v>116</v>
      </c>
      <c r="BS38" s="13" t="s">
        <v>117</v>
      </c>
      <c r="BT38" s="13" t="s">
        <v>118</v>
      </c>
      <c r="BU38" s="13" t="s">
        <v>119</v>
      </c>
      <c r="BV38" s="13" t="s">
        <v>120</v>
      </c>
      <c r="BW38" s="13" t="s">
        <v>121</v>
      </c>
      <c r="BX38" s="13" t="s">
        <v>122</v>
      </c>
      <c r="BY38" s="13" t="s">
        <v>123</v>
      </c>
      <c r="BZ38" s="13" t="s">
        <v>124</v>
      </c>
      <c r="CA38" s="13" t="s">
        <v>125</v>
      </c>
      <c r="CB38" s="13" t="s">
        <v>126</v>
      </c>
      <c r="CC38" s="13" t="s">
        <v>127</v>
      </c>
      <c r="CD38" s="65"/>
    </row>
    <row r="39" ht="12.75" customHeight="1">
      <c r="A39" s="31"/>
      <c r="B39" s="47" t="s">
        <v>33</v>
      </c>
      <c r="C39" s="23"/>
      <c r="D39" s="19" t="s">
        <v>12</v>
      </c>
      <c r="E39" s="38">
        <v>0.0</v>
      </c>
      <c r="F39" s="38">
        <v>0.0</v>
      </c>
      <c r="G39" s="38">
        <v>0.0</v>
      </c>
      <c r="H39" s="38">
        <v>3.0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1.0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38">
        <v>0.0</v>
      </c>
      <c r="AE39" s="38">
        <v>0.0</v>
      </c>
      <c r="AF39" s="38">
        <v>0.0</v>
      </c>
      <c r="AG39" s="38">
        <v>2.0</v>
      </c>
      <c r="AH39" s="38">
        <v>0.0</v>
      </c>
      <c r="AI39" s="38">
        <v>0.0</v>
      </c>
      <c r="AJ39" s="38">
        <v>0.0</v>
      </c>
      <c r="AK39" s="38">
        <v>0.0</v>
      </c>
      <c r="AL39" s="38">
        <v>0.0</v>
      </c>
      <c r="AM39" s="38">
        <v>0.0</v>
      </c>
      <c r="AN39" s="38">
        <v>0.0</v>
      </c>
      <c r="AO39" s="38">
        <v>0.0</v>
      </c>
      <c r="AP39" s="38">
        <v>0.0</v>
      </c>
      <c r="AQ39" s="38">
        <v>0.0</v>
      </c>
      <c r="AR39" s="38">
        <v>0.0</v>
      </c>
      <c r="AS39" s="38">
        <v>0.0</v>
      </c>
      <c r="AT39" s="38">
        <v>0.0</v>
      </c>
      <c r="AU39" s="38">
        <v>0.0</v>
      </c>
      <c r="AV39" s="38">
        <v>0.0</v>
      </c>
      <c r="AW39" s="38">
        <v>0.0</v>
      </c>
      <c r="AX39" s="38">
        <v>0.0</v>
      </c>
      <c r="AY39" s="38">
        <v>0.0</v>
      </c>
      <c r="AZ39" s="38">
        <v>0.0</v>
      </c>
      <c r="BA39" s="38">
        <v>0.0</v>
      </c>
      <c r="BB39" s="38">
        <v>0.0</v>
      </c>
      <c r="BC39" s="38">
        <v>0.0</v>
      </c>
      <c r="BD39" s="38">
        <v>2.0</v>
      </c>
      <c r="BE39" s="38">
        <v>0.0</v>
      </c>
      <c r="BF39" s="38">
        <v>0.0</v>
      </c>
      <c r="BG39" s="38">
        <v>0.0</v>
      </c>
      <c r="BH39" s="38">
        <v>0.0</v>
      </c>
      <c r="BI39" s="38">
        <v>0.0</v>
      </c>
      <c r="BJ39" s="38">
        <v>0.0</v>
      </c>
      <c r="BK39" s="38">
        <v>1.0</v>
      </c>
      <c r="BL39" s="38">
        <v>0.0</v>
      </c>
      <c r="BM39" s="38">
        <v>0.0</v>
      </c>
      <c r="BN39" s="38">
        <v>0.0</v>
      </c>
      <c r="BO39" s="38">
        <v>0.0</v>
      </c>
      <c r="BP39" s="38">
        <v>0.0</v>
      </c>
      <c r="BQ39" s="38">
        <v>0.0</v>
      </c>
      <c r="BR39" s="38">
        <v>0.0</v>
      </c>
      <c r="BS39" s="38">
        <v>0.0</v>
      </c>
      <c r="BT39" s="38">
        <v>0.0</v>
      </c>
      <c r="BU39" s="38">
        <v>0.0</v>
      </c>
      <c r="BV39" s="38">
        <v>0.0</v>
      </c>
      <c r="BW39" s="38">
        <v>0.0</v>
      </c>
      <c r="BX39" s="38">
        <v>0.0</v>
      </c>
      <c r="BY39" s="38">
        <v>1.0</v>
      </c>
      <c r="BZ39" s="38">
        <v>0.0</v>
      </c>
      <c r="CA39" s="38">
        <v>0.0</v>
      </c>
      <c r="CB39" s="19"/>
      <c r="CC39" s="19"/>
      <c r="CD39" s="13">
        <f t="shared" ref="CD39:CD41" si="12">SUM(E39:CC39)</f>
        <v>10</v>
      </c>
    </row>
    <row r="40" ht="12.75" customHeight="1">
      <c r="A40" s="34"/>
      <c r="C40" s="27"/>
      <c r="D40" s="19" t="s">
        <v>13</v>
      </c>
      <c r="E40" s="38">
        <v>0.0</v>
      </c>
      <c r="F40" s="38">
        <v>0.0</v>
      </c>
      <c r="G40" s="38">
        <v>0.0</v>
      </c>
      <c r="H40" s="38">
        <v>0.0</v>
      </c>
      <c r="I40" s="38">
        <v>0.0</v>
      </c>
      <c r="J40" s="38">
        <v>0.0</v>
      </c>
      <c r="K40" s="38">
        <v>0.0</v>
      </c>
      <c r="L40" s="38">
        <v>1.0</v>
      </c>
      <c r="M40" s="38">
        <v>0.0</v>
      </c>
      <c r="N40" s="38">
        <v>0.0</v>
      </c>
      <c r="O40" s="38">
        <v>0.0</v>
      </c>
      <c r="P40" s="38">
        <v>0.0</v>
      </c>
      <c r="Q40" s="38">
        <v>0.0</v>
      </c>
      <c r="R40" s="38">
        <v>0.0</v>
      </c>
      <c r="S40" s="38">
        <v>0.0</v>
      </c>
      <c r="T40" s="38">
        <v>0.0</v>
      </c>
      <c r="U40" s="38">
        <v>0.0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38">
        <v>0.0</v>
      </c>
      <c r="AE40" s="38">
        <v>0.0</v>
      </c>
      <c r="AF40" s="38">
        <v>0.0</v>
      </c>
      <c r="AG40" s="38">
        <v>2.0</v>
      </c>
      <c r="AH40" s="38">
        <v>0.0</v>
      </c>
      <c r="AI40" s="38">
        <v>0.0</v>
      </c>
      <c r="AJ40" s="38">
        <v>0.0</v>
      </c>
      <c r="AK40" s="38">
        <v>0.0</v>
      </c>
      <c r="AL40" s="38">
        <v>0.0</v>
      </c>
      <c r="AM40" s="38">
        <v>0.0</v>
      </c>
      <c r="AN40" s="38">
        <v>0.0</v>
      </c>
      <c r="AO40" s="38">
        <v>0.0</v>
      </c>
      <c r="AP40" s="38">
        <v>0.0</v>
      </c>
      <c r="AQ40" s="38">
        <v>0.0</v>
      </c>
      <c r="AR40" s="38">
        <v>0.0</v>
      </c>
      <c r="AS40" s="38">
        <v>0.0</v>
      </c>
      <c r="AT40" s="38">
        <v>0.0</v>
      </c>
      <c r="AU40" s="38">
        <v>0.0</v>
      </c>
      <c r="AV40" s="38">
        <v>0.0</v>
      </c>
      <c r="AW40" s="38">
        <v>0.0</v>
      </c>
      <c r="AX40" s="38">
        <v>0.0</v>
      </c>
      <c r="AY40" s="38">
        <v>0.0</v>
      </c>
      <c r="AZ40" s="38">
        <v>0.0</v>
      </c>
      <c r="BA40" s="38">
        <v>0.0</v>
      </c>
      <c r="BB40" s="38">
        <v>0.0</v>
      </c>
      <c r="BC40" s="38">
        <v>0.0</v>
      </c>
      <c r="BD40" s="38">
        <v>0.0</v>
      </c>
      <c r="BE40" s="38">
        <v>0.0</v>
      </c>
      <c r="BF40" s="38">
        <v>0.0</v>
      </c>
      <c r="BG40" s="38">
        <v>0.0</v>
      </c>
      <c r="BH40" s="38">
        <v>0.0</v>
      </c>
      <c r="BI40" s="38">
        <v>0.0</v>
      </c>
      <c r="BJ40" s="38">
        <v>0.0</v>
      </c>
      <c r="BK40" s="38">
        <v>0.0</v>
      </c>
      <c r="BL40" s="38">
        <v>0.0</v>
      </c>
      <c r="BM40" s="38">
        <v>0.0</v>
      </c>
      <c r="BN40" s="38">
        <v>0.0</v>
      </c>
      <c r="BO40" s="38">
        <v>0.0</v>
      </c>
      <c r="BP40" s="38">
        <v>0.0</v>
      </c>
      <c r="BQ40" s="38">
        <v>0.0</v>
      </c>
      <c r="BR40" s="38">
        <v>0.0</v>
      </c>
      <c r="BS40" s="38">
        <v>0.0</v>
      </c>
      <c r="BT40" s="38">
        <v>0.0</v>
      </c>
      <c r="BU40" s="38">
        <v>0.0</v>
      </c>
      <c r="BV40" s="38">
        <v>0.0</v>
      </c>
      <c r="BW40" s="38">
        <v>0.0</v>
      </c>
      <c r="BX40" s="38">
        <v>0.0</v>
      </c>
      <c r="BY40" s="38">
        <v>2.0</v>
      </c>
      <c r="BZ40" s="38">
        <v>0.0</v>
      </c>
      <c r="CA40" s="38">
        <v>0.0</v>
      </c>
      <c r="CB40" s="19"/>
      <c r="CC40" s="19"/>
      <c r="CD40" s="13">
        <f t="shared" si="12"/>
        <v>5</v>
      </c>
    </row>
    <row r="41" ht="12.75" customHeight="1">
      <c r="A41" s="44"/>
      <c r="B41" s="48"/>
      <c r="C41" s="28"/>
      <c r="D41" s="13" t="s">
        <v>14</v>
      </c>
      <c r="E41" s="13">
        <f t="shared" ref="E41:C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4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2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1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0</v>
      </c>
      <c r="BQ41" s="13">
        <f t="shared" si="13"/>
        <v>0</v>
      </c>
      <c r="BR41" s="13">
        <f t="shared" si="13"/>
        <v>0</v>
      </c>
      <c r="BS41" s="13">
        <f t="shared" si="13"/>
        <v>0</v>
      </c>
      <c r="BT41" s="13">
        <f t="shared" si="13"/>
        <v>0</v>
      </c>
      <c r="BU41" s="13">
        <f t="shared" si="13"/>
        <v>0</v>
      </c>
      <c r="BV41" s="13">
        <f t="shared" si="13"/>
        <v>0</v>
      </c>
      <c r="BW41" s="13">
        <f t="shared" si="13"/>
        <v>0</v>
      </c>
      <c r="BX41" s="13">
        <f t="shared" si="13"/>
        <v>0</v>
      </c>
      <c r="BY41" s="13">
        <f t="shared" si="13"/>
        <v>3</v>
      </c>
      <c r="BZ41" s="13">
        <f t="shared" si="13"/>
        <v>0</v>
      </c>
      <c r="CA41" s="13">
        <f t="shared" si="13"/>
        <v>0</v>
      </c>
      <c r="CB41" s="13">
        <f t="shared" si="13"/>
        <v>0</v>
      </c>
      <c r="CC41" s="13">
        <f t="shared" si="13"/>
        <v>0</v>
      </c>
      <c r="CD41" s="13">
        <f t="shared" si="12"/>
        <v>15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9"/>
      <c r="Z42" s="19"/>
      <c r="AA42" s="19"/>
      <c r="AB42" s="19"/>
      <c r="AC42" s="64"/>
      <c r="AD42" s="19"/>
      <c r="AE42" s="19"/>
      <c r="AF42" s="19"/>
      <c r="AG42" s="19"/>
      <c r="AH42" s="64"/>
      <c r="AI42" s="19"/>
      <c r="AJ42" s="19"/>
      <c r="AK42" s="19"/>
      <c r="AL42" s="19"/>
      <c r="AM42" s="64"/>
      <c r="AN42" s="19"/>
      <c r="AO42" s="19"/>
      <c r="AP42" s="19"/>
      <c r="AQ42" s="19"/>
      <c r="AR42" s="64"/>
      <c r="AS42" s="19"/>
      <c r="AT42" s="19"/>
      <c r="AU42" s="19"/>
      <c r="AV42" s="19"/>
      <c r="AW42" s="64"/>
      <c r="AX42" s="19"/>
      <c r="AY42" s="19"/>
      <c r="AZ42" s="19"/>
      <c r="BA42" s="19"/>
      <c r="BB42" s="64"/>
      <c r="BC42" s="19"/>
      <c r="BD42" s="19"/>
      <c r="BE42" s="19"/>
      <c r="BF42" s="19"/>
      <c r="BG42" s="64"/>
      <c r="BH42" s="19"/>
      <c r="BI42" s="19"/>
      <c r="BJ42" s="19"/>
      <c r="BK42" s="19"/>
      <c r="BL42" s="64"/>
      <c r="BM42" s="19"/>
      <c r="BN42" s="64"/>
      <c r="BO42" s="19"/>
      <c r="BP42" s="64"/>
      <c r="BQ42" s="19"/>
      <c r="BR42" s="64"/>
      <c r="BS42" s="19"/>
      <c r="BT42" s="64"/>
      <c r="BU42" s="19"/>
      <c r="BV42" s="64"/>
      <c r="BW42" s="19"/>
      <c r="BX42" s="64"/>
      <c r="BY42" s="19"/>
      <c r="BZ42" s="64"/>
      <c r="CA42" s="19"/>
      <c r="CB42" s="64"/>
      <c r="CC42" s="19"/>
      <c r="CD42" s="13"/>
    </row>
    <row r="43" ht="12.75" customHeight="1">
      <c r="A43" s="46" t="s">
        <v>34</v>
      </c>
      <c r="B43" s="14" t="s">
        <v>35</v>
      </c>
      <c r="C43" s="15"/>
      <c r="D43" s="16"/>
      <c r="E43" s="39" t="s">
        <v>50</v>
      </c>
      <c r="F43" s="39" t="s">
        <v>51</v>
      </c>
      <c r="G43" s="39" t="s">
        <v>52</v>
      </c>
      <c r="H43" s="39" t="s">
        <v>53</v>
      </c>
      <c r="I43" s="39" t="s">
        <v>54</v>
      </c>
      <c r="J43" s="39" t="s">
        <v>55</v>
      </c>
      <c r="K43" s="39" t="s">
        <v>56</v>
      </c>
      <c r="L43" s="39" t="s">
        <v>57</v>
      </c>
      <c r="M43" s="39" t="s">
        <v>58</v>
      </c>
      <c r="N43" s="39" t="s">
        <v>59</v>
      </c>
      <c r="O43" s="39" t="s">
        <v>60</v>
      </c>
      <c r="P43" s="39" t="s">
        <v>61</v>
      </c>
      <c r="Q43" s="39" t="s">
        <v>62</v>
      </c>
      <c r="R43" s="39" t="s">
        <v>63</v>
      </c>
      <c r="S43" s="39" t="s">
        <v>64</v>
      </c>
      <c r="T43" s="39" t="s">
        <v>65</v>
      </c>
      <c r="U43" s="39" t="s">
        <v>66</v>
      </c>
      <c r="V43" s="39" t="s">
        <v>67</v>
      </c>
      <c r="W43" s="39" t="s">
        <v>68</v>
      </c>
      <c r="X43" s="39" t="s">
        <v>69</v>
      </c>
      <c r="Y43" s="39" t="s">
        <v>70</v>
      </c>
      <c r="Z43" s="39" t="s">
        <v>71</v>
      </c>
      <c r="AA43" s="39" t="s">
        <v>72</v>
      </c>
      <c r="AB43" s="39" t="s">
        <v>73</v>
      </c>
      <c r="AC43" s="39" t="s">
        <v>75</v>
      </c>
      <c r="AD43" s="39" t="s">
        <v>76</v>
      </c>
      <c r="AE43" s="39" t="s">
        <v>77</v>
      </c>
      <c r="AF43" s="39" t="s">
        <v>78</v>
      </c>
      <c r="AG43" s="39" t="s">
        <v>79</v>
      </c>
      <c r="AH43" s="39" t="s">
        <v>80</v>
      </c>
      <c r="AI43" s="39" t="s">
        <v>81</v>
      </c>
      <c r="AJ43" s="39" t="s">
        <v>82</v>
      </c>
      <c r="AK43" s="39" t="s">
        <v>83</v>
      </c>
      <c r="AL43" s="39" t="s">
        <v>84</v>
      </c>
      <c r="AM43" s="39" t="s">
        <v>85</v>
      </c>
      <c r="AN43" s="39" t="s">
        <v>86</v>
      </c>
      <c r="AO43" s="39" t="s">
        <v>87</v>
      </c>
      <c r="AP43" s="39" t="s">
        <v>88</v>
      </c>
      <c r="AQ43" s="39" t="s">
        <v>89</v>
      </c>
      <c r="AR43" s="39" t="s">
        <v>90</v>
      </c>
      <c r="AS43" s="39" t="s">
        <v>91</v>
      </c>
      <c r="AT43" s="39" t="s">
        <v>92</v>
      </c>
      <c r="AU43" s="39" t="s">
        <v>93</v>
      </c>
      <c r="AV43" s="39" t="s">
        <v>94</v>
      </c>
      <c r="AW43" s="39" t="s">
        <v>95</v>
      </c>
      <c r="AX43" s="39" t="s">
        <v>96</v>
      </c>
      <c r="AY43" s="39" t="s">
        <v>97</v>
      </c>
      <c r="AZ43" s="39" t="s">
        <v>98</v>
      </c>
      <c r="BA43" s="39" t="s">
        <v>99</v>
      </c>
      <c r="BB43" s="39" t="s">
        <v>100</v>
      </c>
      <c r="BC43" s="39" t="s">
        <v>101</v>
      </c>
      <c r="BD43" s="39" t="s">
        <v>102</v>
      </c>
      <c r="BE43" s="39" t="s">
        <v>103</v>
      </c>
      <c r="BF43" s="39" t="s">
        <v>104</v>
      </c>
      <c r="BG43" s="39" t="s">
        <v>105</v>
      </c>
      <c r="BH43" s="39" t="s">
        <v>106</v>
      </c>
      <c r="BI43" s="39" t="s">
        <v>107</v>
      </c>
      <c r="BJ43" s="39" t="s">
        <v>108</v>
      </c>
      <c r="BK43" s="39" t="s">
        <v>109</v>
      </c>
      <c r="BL43" s="39" t="s">
        <v>110</v>
      </c>
      <c r="BM43" s="39" t="s">
        <v>111</v>
      </c>
      <c r="BN43" s="39" t="s">
        <v>112</v>
      </c>
      <c r="BO43" s="39" t="s">
        <v>113</v>
      </c>
      <c r="BP43" s="39" t="s">
        <v>114</v>
      </c>
      <c r="BQ43" s="39" t="s">
        <v>115</v>
      </c>
      <c r="BR43" s="39" t="s">
        <v>116</v>
      </c>
      <c r="BS43" s="39" t="s">
        <v>117</v>
      </c>
      <c r="BT43" s="39" t="s">
        <v>118</v>
      </c>
      <c r="BU43" s="39" t="s">
        <v>119</v>
      </c>
      <c r="BV43" s="39" t="s">
        <v>120</v>
      </c>
      <c r="BW43" s="39" t="s">
        <v>121</v>
      </c>
      <c r="BX43" s="39" t="s">
        <v>122</v>
      </c>
      <c r="BY43" s="39" t="s">
        <v>123</v>
      </c>
      <c r="BZ43" s="39" t="s">
        <v>124</v>
      </c>
      <c r="CA43" s="39" t="s">
        <v>125</v>
      </c>
      <c r="CB43" s="39" t="s">
        <v>126</v>
      </c>
      <c r="CC43" s="39" t="s">
        <v>127</v>
      </c>
      <c r="CD43" s="13"/>
    </row>
    <row r="44" ht="12.75" customHeight="1">
      <c r="A44" s="47" t="s">
        <v>36</v>
      </c>
      <c r="B44" s="50"/>
      <c r="C44" s="50"/>
      <c r="D44" s="23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13"/>
    </row>
    <row r="45" ht="12.75" customHeight="1">
      <c r="A45" s="67"/>
      <c r="B45" s="51">
        <v>1.0</v>
      </c>
      <c r="C45" s="52" t="s">
        <v>37</v>
      </c>
      <c r="D45" s="16"/>
      <c r="E45" s="38">
        <v>11.0</v>
      </c>
      <c r="F45" s="38">
        <v>30.0</v>
      </c>
      <c r="G45" s="38">
        <v>12.0</v>
      </c>
      <c r="H45" s="38">
        <v>5.0</v>
      </c>
      <c r="I45" s="38">
        <v>12.0</v>
      </c>
      <c r="J45" s="38">
        <v>14.0</v>
      </c>
      <c r="K45" s="38">
        <v>12.0</v>
      </c>
      <c r="L45" s="38">
        <v>12.0</v>
      </c>
      <c r="M45" s="38">
        <v>8.0</v>
      </c>
      <c r="N45" s="38">
        <v>39.0</v>
      </c>
      <c r="O45" s="38">
        <v>17.0</v>
      </c>
      <c r="P45" s="38">
        <v>14.0</v>
      </c>
      <c r="Q45" s="38">
        <v>15.0</v>
      </c>
      <c r="R45" s="38">
        <v>30.0</v>
      </c>
      <c r="S45" s="38">
        <v>21.0</v>
      </c>
      <c r="T45" s="38">
        <v>19.0</v>
      </c>
      <c r="U45" s="38">
        <v>26.0</v>
      </c>
      <c r="V45" s="38">
        <v>46.0</v>
      </c>
      <c r="W45" s="38">
        <v>24.0</v>
      </c>
      <c r="X45" s="38">
        <v>18.0</v>
      </c>
      <c r="Y45" s="38">
        <v>21.0</v>
      </c>
      <c r="Z45" s="38">
        <v>15.0</v>
      </c>
      <c r="AA45" s="38">
        <v>11.0</v>
      </c>
      <c r="AB45" s="38">
        <v>17.0</v>
      </c>
      <c r="AC45" s="38">
        <v>15.0</v>
      </c>
      <c r="AD45" s="38">
        <v>3.0</v>
      </c>
      <c r="AE45" s="38">
        <v>13.0</v>
      </c>
      <c r="AF45" s="38">
        <v>7.0</v>
      </c>
      <c r="AG45" s="38">
        <v>11.0</v>
      </c>
      <c r="AH45" s="38">
        <v>24.0</v>
      </c>
      <c r="AI45" s="38">
        <v>17.0</v>
      </c>
      <c r="AJ45" s="38">
        <v>6.0</v>
      </c>
      <c r="AK45" s="38">
        <v>8.0</v>
      </c>
      <c r="AL45" s="38">
        <v>9.0</v>
      </c>
      <c r="AM45" s="38">
        <v>12.0</v>
      </c>
      <c r="AN45" s="38">
        <v>14.0</v>
      </c>
      <c r="AO45" s="38">
        <v>15.0</v>
      </c>
      <c r="AP45" s="38">
        <v>25.0</v>
      </c>
      <c r="AQ45" s="38">
        <v>18.0</v>
      </c>
      <c r="AR45" s="38">
        <v>33.0</v>
      </c>
      <c r="AS45" s="38">
        <v>24.0</v>
      </c>
      <c r="AT45" s="38">
        <v>30.0</v>
      </c>
      <c r="AU45" s="38">
        <v>21.0</v>
      </c>
      <c r="AV45" s="38">
        <v>12.0</v>
      </c>
      <c r="AW45" s="38">
        <v>29.0</v>
      </c>
      <c r="AX45" s="38">
        <v>17.0</v>
      </c>
      <c r="AY45" s="38">
        <v>16.0</v>
      </c>
      <c r="AZ45" s="38">
        <v>23.0</v>
      </c>
      <c r="BA45" s="38">
        <v>32.0</v>
      </c>
      <c r="BB45" s="38">
        <v>9.0</v>
      </c>
      <c r="BC45" s="38">
        <v>19.0</v>
      </c>
      <c r="BD45" s="38">
        <v>33.0</v>
      </c>
      <c r="BE45" s="38">
        <v>18.0</v>
      </c>
      <c r="BF45" s="38">
        <v>24.0</v>
      </c>
      <c r="BG45" s="38">
        <v>42.0</v>
      </c>
      <c r="BH45" s="38">
        <v>24.0</v>
      </c>
      <c r="BI45" s="38">
        <v>23.0</v>
      </c>
      <c r="BJ45" s="38">
        <v>17.0</v>
      </c>
      <c r="BK45" s="38">
        <v>36.0</v>
      </c>
      <c r="BL45" s="38">
        <v>31.0</v>
      </c>
      <c r="BM45" s="38">
        <v>20.0</v>
      </c>
      <c r="BN45" s="38">
        <v>34.0</v>
      </c>
      <c r="BO45" s="38">
        <v>26.0</v>
      </c>
      <c r="BP45" s="38">
        <v>36.0</v>
      </c>
      <c r="BQ45" s="38">
        <v>30.0</v>
      </c>
      <c r="BR45" s="38">
        <v>16.0</v>
      </c>
      <c r="BS45" s="38">
        <v>30.0</v>
      </c>
      <c r="BT45" s="38">
        <v>44.0</v>
      </c>
      <c r="BU45" s="38">
        <v>38.0</v>
      </c>
      <c r="BV45" s="38">
        <v>35.0</v>
      </c>
      <c r="BW45" s="38">
        <v>51.0</v>
      </c>
      <c r="BX45" s="38">
        <v>57.0</v>
      </c>
      <c r="BY45" s="38">
        <v>33.0</v>
      </c>
      <c r="BZ45" s="38">
        <v>21.0</v>
      </c>
      <c r="CA45" s="38">
        <v>21.0</v>
      </c>
      <c r="CB45" s="38">
        <v>26.0</v>
      </c>
      <c r="CC45" s="38">
        <v>22.0</v>
      </c>
      <c r="CD45" s="13">
        <f t="shared" ref="CD45:CD47" si="14">SUM(E45:CC45)</f>
        <v>1699</v>
      </c>
    </row>
    <row r="46" ht="12.75" customHeight="1">
      <c r="A46" s="18"/>
      <c r="B46" s="51">
        <v>2.0</v>
      </c>
      <c r="C46" s="52" t="s">
        <v>38</v>
      </c>
      <c r="D46" s="16"/>
      <c r="E46" s="38">
        <v>136.0</v>
      </c>
      <c r="F46" s="38">
        <v>145.0</v>
      </c>
      <c r="G46" s="38">
        <v>166.0</v>
      </c>
      <c r="H46" s="38">
        <v>143.0</v>
      </c>
      <c r="I46" s="38">
        <v>107.0</v>
      </c>
      <c r="J46" s="38">
        <v>148.0</v>
      </c>
      <c r="K46" s="38">
        <v>165.0</v>
      </c>
      <c r="L46" s="38">
        <v>153.0</v>
      </c>
      <c r="M46" s="38">
        <v>153.0</v>
      </c>
      <c r="N46" s="38">
        <v>174.0</v>
      </c>
      <c r="O46" s="38">
        <v>139.0</v>
      </c>
      <c r="P46" s="38">
        <v>151.0</v>
      </c>
      <c r="Q46" s="38">
        <v>158.0</v>
      </c>
      <c r="R46" s="38">
        <v>149.0</v>
      </c>
      <c r="S46" s="38">
        <v>154.0</v>
      </c>
      <c r="T46" s="38">
        <v>137.0</v>
      </c>
      <c r="U46" s="38">
        <v>130.0</v>
      </c>
      <c r="V46" s="38">
        <v>165.0</v>
      </c>
      <c r="W46" s="38">
        <v>145.0</v>
      </c>
      <c r="X46" s="38">
        <v>133.0</v>
      </c>
      <c r="Y46" s="38">
        <v>133.0</v>
      </c>
      <c r="Z46" s="38">
        <v>182.0</v>
      </c>
      <c r="AA46" s="38">
        <v>115.0</v>
      </c>
      <c r="AB46" s="38">
        <v>157.0</v>
      </c>
      <c r="AC46" s="38">
        <v>172.0</v>
      </c>
      <c r="AD46" s="38">
        <v>169.0</v>
      </c>
      <c r="AE46" s="38">
        <v>137.0</v>
      </c>
      <c r="AF46" s="38">
        <v>150.0</v>
      </c>
      <c r="AG46" s="38">
        <v>148.0</v>
      </c>
      <c r="AH46" s="38">
        <v>155.0</v>
      </c>
      <c r="AI46" s="38">
        <v>128.0</v>
      </c>
      <c r="AJ46" s="38">
        <v>115.0</v>
      </c>
      <c r="AK46" s="38">
        <v>137.0</v>
      </c>
      <c r="AL46" s="38">
        <v>127.0</v>
      </c>
      <c r="AM46" s="38">
        <v>138.0</v>
      </c>
      <c r="AN46" s="38">
        <v>121.0</v>
      </c>
      <c r="AO46" s="38">
        <v>118.0</v>
      </c>
      <c r="AP46" s="38">
        <v>95.0</v>
      </c>
      <c r="AQ46" s="38">
        <v>152.0</v>
      </c>
      <c r="AR46" s="38">
        <v>159.0</v>
      </c>
      <c r="AS46" s="38">
        <v>119.0</v>
      </c>
      <c r="AT46" s="38">
        <v>136.0</v>
      </c>
      <c r="AU46" s="38">
        <v>137.0</v>
      </c>
      <c r="AV46" s="38">
        <v>129.0</v>
      </c>
      <c r="AW46" s="38">
        <v>94.0</v>
      </c>
      <c r="AX46" s="38">
        <v>105.0</v>
      </c>
      <c r="AY46" s="38">
        <v>162.0</v>
      </c>
      <c r="AZ46" s="38">
        <v>118.0</v>
      </c>
      <c r="BA46" s="38">
        <v>110.0</v>
      </c>
      <c r="BB46" s="38">
        <v>102.0</v>
      </c>
      <c r="BC46" s="38">
        <v>127.0</v>
      </c>
      <c r="BD46" s="38">
        <v>115.0</v>
      </c>
      <c r="BE46" s="38">
        <v>141.0</v>
      </c>
      <c r="BF46" s="38">
        <v>122.0</v>
      </c>
      <c r="BG46" s="38">
        <v>143.0</v>
      </c>
      <c r="BH46" s="38">
        <v>160.0</v>
      </c>
      <c r="BI46" s="38">
        <v>152.0</v>
      </c>
      <c r="BJ46" s="38">
        <v>176.0</v>
      </c>
      <c r="BK46" s="38">
        <v>167.0</v>
      </c>
      <c r="BL46" s="38">
        <v>190.0</v>
      </c>
      <c r="BM46" s="38">
        <v>167.0</v>
      </c>
      <c r="BN46" s="38">
        <v>134.0</v>
      </c>
      <c r="BO46" s="38">
        <v>123.0</v>
      </c>
      <c r="BP46" s="38">
        <v>131.0</v>
      </c>
      <c r="BQ46" s="38">
        <v>134.0</v>
      </c>
      <c r="BR46" s="38">
        <v>163.0</v>
      </c>
      <c r="BS46" s="38">
        <v>148.0</v>
      </c>
      <c r="BT46" s="38">
        <v>136.0</v>
      </c>
      <c r="BU46" s="38">
        <v>150.0</v>
      </c>
      <c r="BV46" s="38">
        <v>159.0</v>
      </c>
      <c r="BW46" s="38">
        <v>194.0</v>
      </c>
      <c r="BX46" s="38">
        <v>112.0</v>
      </c>
      <c r="BY46" s="38">
        <v>112.0</v>
      </c>
      <c r="BZ46" s="38">
        <v>100.0</v>
      </c>
      <c r="CA46" s="38">
        <v>100.0</v>
      </c>
      <c r="CB46" s="38">
        <v>160.0</v>
      </c>
      <c r="CC46" s="38">
        <v>169.0</v>
      </c>
      <c r="CD46" s="13">
        <f t="shared" si="14"/>
        <v>10856</v>
      </c>
    </row>
    <row r="47" ht="12.75" customHeight="1">
      <c r="A47" s="49"/>
      <c r="B47" s="51">
        <v>3.0</v>
      </c>
      <c r="C47" s="52" t="s">
        <v>39</v>
      </c>
      <c r="D47" s="16"/>
      <c r="E47" s="38">
        <v>38.0</v>
      </c>
      <c r="F47" s="38">
        <v>29.0</v>
      </c>
      <c r="G47" s="38">
        <v>18.0</v>
      </c>
      <c r="H47" s="38">
        <v>55.0</v>
      </c>
      <c r="I47" s="38">
        <v>35.0</v>
      </c>
      <c r="J47" s="38">
        <v>40.0</v>
      </c>
      <c r="K47" s="38">
        <v>37.0</v>
      </c>
      <c r="L47" s="38">
        <v>40.0</v>
      </c>
      <c r="M47" s="38">
        <v>26.0</v>
      </c>
      <c r="N47" s="38">
        <v>30.0</v>
      </c>
      <c r="O47" s="38">
        <v>24.0</v>
      </c>
      <c r="P47" s="38">
        <v>30.0</v>
      </c>
      <c r="Q47" s="38">
        <v>34.0</v>
      </c>
      <c r="R47" s="38">
        <v>33.0</v>
      </c>
      <c r="S47" s="38">
        <v>37.0</v>
      </c>
      <c r="T47" s="38">
        <v>30.0</v>
      </c>
      <c r="U47" s="38">
        <v>21.0</v>
      </c>
      <c r="V47" s="38">
        <v>27.0</v>
      </c>
      <c r="W47" s="38">
        <v>38.0</v>
      </c>
      <c r="X47" s="38">
        <v>25.0</v>
      </c>
      <c r="Y47" s="38">
        <v>28.0</v>
      </c>
      <c r="Z47" s="38">
        <v>13.0</v>
      </c>
      <c r="AA47" s="38">
        <v>27.0</v>
      </c>
      <c r="AB47" s="38">
        <v>33.0</v>
      </c>
      <c r="AC47" s="38">
        <v>25.0</v>
      </c>
      <c r="AD47" s="38">
        <v>13.0</v>
      </c>
      <c r="AE47" s="38">
        <v>28.0</v>
      </c>
      <c r="AF47" s="38">
        <v>25.0</v>
      </c>
      <c r="AG47" s="38">
        <v>21.0</v>
      </c>
      <c r="AH47" s="38">
        <v>51.0</v>
      </c>
      <c r="AI47" s="38">
        <v>39.0</v>
      </c>
      <c r="AJ47" s="38">
        <v>47.0</v>
      </c>
      <c r="AK47" s="38">
        <v>42.0</v>
      </c>
      <c r="AL47" s="38">
        <v>29.0</v>
      </c>
      <c r="AM47" s="38">
        <v>41.0</v>
      </c>
      <c r="AN47" s="38">
        <v>26.0</v>
      </c>
      <c r="AO47" s="38">
        <v>31.0</v>
      </c>
      <c r="AP47" s="38">
        <v>22.0</v>
      </c>
      <c r="AQ47" s="38">
        <v>37.0</v>
      </c>
      <c r="AR47" s="38">
        <v>24.0</v>
      </c>
      <c r="AS47" s="38">
        <v>55.0</v>
      </c>
      <c r="AT47" s="38">
        <v>44.0</v>
      </c>
      <c r="AU47" s="38">
        <v>36.0</v>
      </c>
      <c r="AV47" s="38">
        <v>27.0</v>
      </c>
      <c r="AW47" s="38">
        <v>41.0</v>
      </c>
      <c r="AX47" s="38">
        <v>36.0</v>
      </c>
      <c r="AY47" s="38">
        <v>34.0</v>
      </c>
      <c r="AZ47" s="38">
        <v>40.0</v>
      </c>
      <c r="BA47" s="38">
        <v>45.0</v>
      </c>
      <c r="BB47" s="38">
        <v>21.0</v>
      </c>
      <c r="BC47" s="38">
        <v>42.0</v>
      </c>
      <c r="BD47" s="38">
        <v>34.0</v>
      </c>
      <c r="BE47" s="38">
        <v>23.0</v>
      </c>
      <c r="BF47" s="38">
        <v>35.0</v>
      </c>
      <c r="BG47" s="38">
        <v>32.0</v>
      </c>
      <c r="BH47" s="38">
        <v>39.0</v>
      </c>
      <c r="BI47" s="38">
        <v>25.0</v>
      </c>
      <c r="BJ47" s="38">
        <v>24.0</v>
      </c>
      <c r="BK47" s="38">
        <v>37.0</v>
      </c>
      <c r="BL47" s="38">
        <v>16.0</v>
      </c>
      <c r="BM47" s="38">
        <v>19.0</v>
      </c>
      <c r="BN47" s="38">
        <v>21.0</v>
      </c>
      <c r="BO47" s="38">
        <v>24.0</v>
      </c>
      <c r="BP47" s="38">
        <v>29.0</v>
      </c>
      <c r="BQ47" s="38">
        <v>8.0</v>
      </c>
      <c r="BR47" s="38">
        <v>25.0</v>
      </c>
      <c r="BS47" s="38">
        <v>15.0</v>
      </c>
      <c r="BT47" s="38">
        <v>27.0</v>
      </c>
      <c r="BU47" s="38">
        <v>14.0</v>
      </c>
      <c r="BV47" s="38">
        <v>28.0</v>
      </c>
      <c r="BW47" s="38">
        <v>16.0</v>
      </c>
      <c r="BX47" s="38">
        <v>25.0</v>
      </c>
      <c r="BY47" s="38">
        <v>26.0</v>
      </c>
      <c r="BZ47" s="38">
        <v>43.0</v>
      </c>
      <c r="CA47" s="38">
        <v>20.0</v>
      </c>
      <c r="CB47" s="38">
        <v>26.0</v>
      </c>
      <c r="CC47" s="38">
        <v>28.0</v>
      </c>
      <c r="CD47" s="13">
        <f t="shared" si="14"/>
        <v>2329</v>
      </c>
    </row>
    <row r="48" ht="12.75" customHeight="1">
      <c r="CD48" s="13"/>
    </row>
    <row r="49" ht="12.75" customHeight="1">
      <c r="A49" s="46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56</v>
      </c>
      <c r="L49" s="13" t="s">
        <v>57</v>
      </c>
      <c r="M49" s="13" t="s">
        <v>58</v>
      </c>
      <c r="N49" s="13" t="s">
        <v>59</v>
      </c>
      <c r="O49" s="13" t="s">
        <v>60</v>
      </c>
      <c r="P49" s="13" t="s">
        <v>61</v>
      </c>
      <c r="Q49" s="13" t="s">
        <v>62</v>
      </c>
      <c r="R49" s="13" t="s">
        <v>63</v>
      </c>
      <c r="S49" s="13" t="s">
        <v>64</v>
      </c>
      <c r="T49" s="13" t="s">
        <v>65</v>
      </c>
      <c r="U49" s="13" t="s">
        <v>66</v>
      </c>
      <c r="V49" s="13" t="s">
        <v>67</v>
      </c>
      <c r="W49" s="13" t="s">
        <v>68</v>
      </c>
      <c r="X49" s="13" t="s">
        <v>69</v>
      </c>
      <c r="Y49" s="13" t="s">
        <v>70</v>
      </c>
      <c r="Z49" s="13" t="s">
        <v>71</v>
      </c>
      <c r="AA49" s="13" t="s">
        <v>72</v>
      </c>
      <c r="AB49" s="13" t="s">
        <v>73</v>
      </c>
      <c r="AC49" s="13" t="s">
        <v>75</v>
      </c>
      <c r="AD49" s="13" t="s">
        <v>76</v>
      </c>
      <c r="AE49" s="13" t="s">
        <v>77</v>
      </c>
      <c r="AF49" s="13" t="s">
        <v>78</v>
      </c>
      <c r="AG49" s="13" t="s">
        <v>79</v>
      </c>
      <c r="AH49" s="13" t="s">
        <v>80</v>
      </c>
      <c r="AI49" s="13" t="s">
        <v>81</v>
      </c>
      <c r="AJ49" s="13" t="s">
        <v>82</v>
      </c>
      <c r="AK49" s="13" t="s">
        <v>83</v>
      </c>
      <c r="AL49" s="13" t="s">
        <v>84</v>
      </c>
      <c r="AM49" s="13" t="s">
        <v>85</v>
      </c>
      <c r="AN49" s="13" t="s">
        <v>86</v>
      </c>
      <c r="AO49" s="13" t="s">
        <v>87</v>
      </c>
      <c r="AP49" s="13" t="s">
        <v>88</v>
      </c>
      <c r="AQ49" s="13" t="s">
        <v>89</v>
      </c>
      <c r="AR49" s="13" t="s">
        <v>90</v>
      </c>
      <c r="AS49" s="13" t="s">
        <v>91</v>
      </c>
      <c r="AT49" s="13" t="s">
        <v>92</v>
      </c>
      <c r="AU49" s="13" t="s">
        <v>93</v>
      </c>
      <c r="AV49" s="13" t="s">
        <v>94</v>
      </c>
      <c r="AW49" s="13" t="s">
        <v>95</v>
      </c>
      <c r="AX49" s="13" t="s">
        <v>96</v>
      </c>
      <c r="AY49" s="13" t="s">
        <v>97</v>
      </c>
      <c r="AZ49" s="13" t="s">
        <v>98</v>
      </c>
      <c r="BA49" s="13" t="s">
        <v>99</v>
      </c>
      <c r="BB49" s="13" t="s">
        <v>100</v>
      </c>
      <c r="BC49" s="13" t="s">
        <v>101</v>
      </c>
      <c r="BD49" s="13" t="s">
        <v>102</v>
      </c>
      <c r="BE49" s="13" t="s">
        <v>103</v>
      </c>
      <c r="BF49" s="13" t="s">
        <v>104</v>
      </c>
      <c r="BG49" s="13" t="s">
        <v>105</v>
      </c>
      <c r="BH49" s="13" t="s">
        <v>106</v>
      </c>
      <c r="BI49" s="13" t="s">
        <v>107</v>
      </c>
      <c r="BJ49" s="13" t="s">
        <v>108</v>
      </c>
      <c r="BK49" s="13" t="s">
        <v>109</v>
      </c>
      <c r="BL49" s="13" t="s">
        <v>110</v>
      </c>
      <c r="BM49" s="13" t="s">
        <v>111</v>
      </c>
      <c r="BN49" s="13" t="s">
        <v>112</v>
      </c>
      <c r="BO49" s="13" t="s">
        <v>113</v>
      </c>
      <c r="BP49" s="13" t="s">
        <v>114</v>
      </c>
      <c r="BQ49" s="13" t="s">
        <v>115</v>
      </c>
      <c r="BR49" s="13" t="s">
        <v>116</v>
      </c>
      <c r="BS49" s="13" t="s">
        <v>117</v>
      </c>
      <c r="BT49" s="13" t="s">
        <v>118</v>
      </c>
      <c r="BU49" s="13" t="s">
        <v>119</v>
      </c>
      <c r="BV49" s="13" t="s">
        <v>120</v>
      </c>
      <c r="BW49" s="13" t="s">
        <v>121</v>
      </c>
      <c r="BX49" s="13" t="s">
        <v>122</v>
      </c>
      <c r="BY49" s="13" t="s">
        <v>123</v>
      </c>
      <c r="BZ49" s="13" t="s">
        <v>124</v>
      </c>
      <c r="CA49" s="13" t="s">
        <v>125</v>
      </c>
      <c r="CB49" s="13" t="s">
        <v>126</v>
      </c>
      <c r="CC49" s="13" t="s">
        <v>127</v>
      </c>
      <c r="CD49" s="13"/>
    </row>
    <row r="50" ht="12.75" customHeight="1">
      <c r="A50" s="46"/>
      <c r="B50" s="58" t="s">
        <v>42</v>
      </c>
      <c r="C50" s="59" t="s">
        <v>43</v>
      </c>
      <c r="D50" s="16"/>
      <c r="E50" s="19">
        <f t="shared" ref="E50:CC50" si="15">SUM(E45:E47)</f>
        <v>185</v>
      </c>
      <c r="F50" s="19">
        <f t="shared" si="15"/>
        <v>204</v>
      </c>
      <c r="G50" s="19">
        <f t="shared" si="15"/>
        <v>196</v>
      </c>
      <c r="H50" s="19">
        <f t="shared" si="15"/>
        <v>203</v>
      </c>
      <c r="I50" s="19">
        <f t="shared" si="15"/>
        <v>154</v>
      </c>
      <c r="J50" s="19">
        <f t="shared" si="15"/>
        <v>202</v>
      </c>
      <c r="K50" s="19">
        <f t="shared" si="15"/>
        <v>214</v>
      </c>
      <c r="L50" s="19">
        <f t="shared" si="15"/>
        <v>205</v>
      </c>
      <c r="M50" s="19">
        <f t="shared" si="15"/>
        <v>187</v>
      </c>
      <c r="N50" s="19">
        <f t="shared" si="15"/>
        <v>243</v>
      </c>
      <c r="O50" s="19">
        <f t="shared" si="15"/>
        <v>180</v>
      </c>
      <c r="P50" s="19">
        <f t="shared" si="15"/>
        <v>195</v>
      </c>
      <c r="Q50" s="19">
        <f t="shared" si="15"/>
        <v>207</v>
      </c>
      <c r="R50" s="19">
        <f t="shared" si="15"/>
        <v>212</v>
      </c>
      <c r="S50" s="19">
        <f t="shared" si="15"/>
        <v>212</v>
      </c>
      <c r="T50" s="19">
        <f t="shared" si="15"/>
        <v>186</v>
      </c>
      <c r="U50" s="19">
        <f t="shared" si="15"/>
        <v>177</v>
      </c>
      <c r="V50" s="19">
        <f t="shared" si="15"/>
        <v>238</v>
      </c>
      <c r="W50" s="19">
        <f t="shared" si="15"/>
        <v>207</v>
      </c>
      <c r="X50" s="19">
        <f t="shared" si="15"/>
        <v>176</v>
      </c>
      <c r="Y50" s="19">
        <f t="shared" si="15"/>
        <v>182</v>
      </c>
      <c r="Z50" s="19">
        <f t="shared" si="15"/>
        <v>210</v>
      </c>
      <c r="AA50" s="19">
        <f t="shared" si="15"/>
        <v>153</v>
      </c>
      <c r="AB50" s="19">
        <f t="shared" si="15"/>
        <v>207</v>
      </c>
      <c r="AC50" s="19">
        <f t="shared" si="15"/>
        <v>212</v>
      </c>
      <c r="AD50" s="19">
        <f t="shared" si="15"/>
        <v>185</v>
      </c>
      <c r="AE50" s="19">
        <f t="shared" si="15"/>
        <v>178</v>
      </c>
      <c r="AF50" s="19">
        <f t="shared" si="15"/>
        <v>182</v>
      </c>
      <c r="AG50" s="19">
        <f t="shared" si="15"/>
        <v>180</v>
      </c>
      <c r="AH50" s="19">
        <f t="shared" si="15"/>
        <v>230</v>
      </c>
      <c r="AI50" s="19">
        <f t="shared" si="15"/>
        <v>184</v>
      </c>
      <c r="AJ50" s="19">
        <f t="shared" si="15"/>
        <v>168</v>
      </c>
      <c r="AK50" s="19">
        <f t="shared" si="15"/>
        <v>187</v>
      </c>
      <c r="AL50" s="19">
        <f t="shared" si="15"/>
        <v>165</v>
      </c>
      <c r="AM50" s="19">
        <f t="shared" si="15"/>
        <v>191</v>
      </c>
      <c r="AN50" s="19">
        <f t="shared" si="15"/>
        <v>161</v>
      </c>
      <c r="AO50" s="19">
        <f t="shared" si="15"/>
        <v>164</v>
      </c>
      <c r="AP50" s="19">
        <f t="shared" si="15"/>
        <v>142</v>
      </c>
      <c r="AQ50" s="19">
        <f t="shared" si="15"/>
        <v>207</v>
      </c>
      <c r="AR50" s="19">
        <f t="shared" si="15"/>
        <v>216</v>
      </c>
      <c r="AS50" s="19">
        <f t="shared" si="15"/>
        <v>198</v>
      </c>
      <c r="AT50" s="19">
        <f t="shared" si="15"/>
        <v>210</v>
      </c>
      <c r="AU50" s="19">
        <f t="shared" si="15"/>
        <v>194</v>
      </c>
      <c r="AV50" s="19">
        <f t="shared" si="15"/>
        <v>168</v>
      </c>
      <c r="AW50" s="19">
        <f t="shared" si="15"/>
        <v>164</v>
      </c>
      <c r="AX50" s="19">
        <f t="shared" si="15"/>
        <v>158</v>
      </c>
      <c r="AY50" s="19">
        <f t="shared" si="15"/>
        <v>212</v>
      </c>
      <c r="AZ50" s="19">
        <f t="shared" si="15"/>
        <v>181</v>
      </c>
      <c r="BA50" s="19">
        <f t="shared" si="15"/>
        <v>187</v>
      </c>
      <c r="BB50" s="19">
        <f t="shared" si="15"/>
        <v>132</v>
      </c>
      <c r="BC50" s="19">
        <f t="shared" si="15"/>
        <v>188</v>
      </c>
      <c r="BD50" s="19">
        <f t="shared" si="15"/>
        <v>182</v>
      </c>
      <c r="BE50" s="19">
        <f t="shared" si="15"/>
        <v>182</v>
      </c>
      <c r="BF50" s="19">
        <f t="shared" si="15"/>
        <v>181</v>
      </c>
      <c r="BG50" s="19">
        <f t="shared" si="15"/>
        <v>217</v>
      </c>
      <c r="BH50" s="19">
        <f t="shared" si="15"/>
        <v>223</v>
      </c>
      <c r="BI50" s="19">
        <f t="shared" si="15"/>
        <v>200</v>
      </c>
      <c r="BJ50" s="19">
        <f t="shared" si="15"/>
        <v>217</v>
      </c>
      <c r="BK50" s="19">
        <f t="shared" si="15"/>
        <v>240</v>
      </c>
      <c r="BL50" s="19">
        <f t="shared" si="15"/>
        <v>237</v>
      </c>
      <c r="BM50" s="19">
        <f t="shared" si="15"/>
        <v>206</v>
      </c>
      <c r="BN50" s="19">
        <f t="shared" si="15"/>
        <v>189</v>
      </c>
      <c r="BO50" s="19">
        <f t="shared" si="15"/>
        <v>173</v>
      </c>
      <c r="BP50" s="19">
        <f t="shared" si="15"/>
        <v>196</v>
      </c>
      <c r="BQ50" s="19">
        <f t="shared" si="15"/>
        <v>172</v>
      </c>
      <c r="BR50" s="19">
        <f t="shared" si="15"/>
        <v>204</v>
      </c>
      <c r="BS50" s="19">
        <f t="shared" si="15"/>
        <v>193</v>
      </c>
      <c r="BT50" s="19">
        <f t="shared" si="15"/>
        <v>207</v>
      </c>
      <c r="BU50" s="19">
        <f t="shared" si="15"/>
        <v>202</v>
      </c>
      <c r="BV50" s="19">
        <f t="shared" si="15"/>
        <v>222</v>
      </c>
      <c r="BW50" s="19">
        <f t="shared" si="15"/>
        <v>261</v>
      </c>
      <c r="BX50" s="19">
        <f t="shared" si="15"/>
        <v>194</v>
      </c>
      <c r="BY50" s="19">
        <f t="shared" si="15"/>
        <v>171</v>
      </c>
      <c r="BZ50" s="19">
        <f t="shared" si="15"/>
        <v>164</v>
      </c>
      <c r="CA50" s="19">
        <f t="shared" si="15"/>
        <v>141</v>
      </c>
      <c r="CB50" s="19">
        <f t="shared" si="15"/>
        <v>212</v>
      </c>
      <c r="CC50" s="19">
        <f t="shared" si="15"/>
        <v>219</v>
      </c>
      <c r="CD50" s="13">
        <f t="shared" ref="CD50:CD52" si="16">SUM(E50:CC50)</f>
        <v>14884</v>
      </c>
    </row>
    <row r="51" ht="12.75" customHeight="1">
      <c r="A51" s="36"/>
      <c r="B51" s="58" t="s">
        <v>44</v>
      </c>
      <c r="C51" s="59" t="s">
        <v>45</v>
      </c>
      <c r="D51" s="16"/>
      <c r="E51" s="38">
        <v>1.0</v>
      </c>
      <c r="F51" s="38">
        <v>3.0</v>
      </c>
      <c r="G51" s="38">
        <v>1.0</v>
      </c>
      <c r="H51" s="38">
        <v>6.0</v>
      </c>
      <c r="I51" s="38">
        <v>3.0</v>
      </c>
      <c r="J51" s="38">
        <v>3.0</v>
      </c>
      <c r="K51" s="38">
        <v>8.0</v>
      </c>
      <c r="L51" s="38">
        <v>2.0</v>
      </c>
      <c r="M51" s="38">
        <v>8.0</v>
      </c>
      <c r="N51" s="38">
        <v>0.0</v>
      </c>
      <c r="O51" s="38">
        <v>2.0</v>
      </c>
      <c r="P51" s="38">
        <v>3.0</v>
      </c>
      <c r="Q51" s="38">
        <v>3.0</v>
      </c>
      <c r="R51" s="38">
        <v>0.0</v>
      </c>
      <c r="S51" s="38">
        <v>6.0</v>
      </c>
      <c r="T51" s="38">
        <v>3.0</v>
      </c>
      <c r="U51" s="38">
        <v>5.0</v>
      </c>
      <c r="V51" s="38">
        <v>4.0</v>
      </c>
      <c r="W51" s="38">
        <v>2.0</v>
      </c>
      <c r="X51" s="38">
        <v>1.0</v>
      </c>
      <c r="Y51" s="38">
        <v>5.0</v>
      </c>
      <c r="Z51" s="38">
        <v>1.0</v>
      </c>
      <c r="AA51" s="38">
        <v>5.0</v>
      </c>
      <c r="AB51" s="38">
        <v>4.0</v>
      </c>
      <c r="AC51" s="38">
        <v>3.0</v>
      </c>
      <c r="AD51" s="38">
        <v>5.0</v>
      </c>
      <c r="AE51" s="38">
        <v>1.0</v>
      </c>
      <c r="AF51" s="38">
        <v>4.0</v>
      </c>
      <c r="AG51" s="38">
        <v>3.0</v>
      </c>
      <c r="AH51" s="38">
        <v>4.0</v>
      </c>
      <c r="AI51" s="38">
        <v>8.0</v>
      </c>
      <c r="AJ51" s="38">
        <v>1.0</v>
      </c>
      <c r="AK51" s="38">
        <v>2.0</v>
      </c>
      <c r="AL51" s="38">
        <v>5.0</v>
      </c>
      <c r="AM51" s="38">
        <v>6.0</v>
      </c>
      <c r="AN51" s="38">
        <v>2.0</v>
      </c>
      <c r="AO51" s="38">
        <v>4.0</v>
      </c>
      <c r="AP51" s="38">
        <v>3.0</v>
      </c>
      <c r="AQ51" s="38">
        <v>1.0</v>
      </c>
      <c r="AR51" s="38">
        <v>5.0</v>
      </c>
      <c r="AS51" s="38">
        <v>1.0</v>
      </c>
      <c r="AT51" s="38">
        <v>1.0</v>
      </c>
      <c r="AU51" s="38">
        <v>2.0</v>
      </c>
      <c r="AV51" s="38">
        <v>4.0</v>
      </c>
      <c r="AW51" s="38">
        <v>2.0</v>
      </c>
      <c r="AX51" s="38">
        <v>0.0</v>
      </c>
      <c r="AY51" s="38">
        <v>1.0</v>
      </c>
      <c r="AZ51" s="38">
        <v>3.0</v>
      </c>
      <c r="BA51" s="38">
        <v>10.0</v>
      </c>
      <c r="BB51" s="38">
        <v>3.0</v>
      </c>
      <c r="BC51" s="38">
        <v>7.0</v>
      </c>
      <c r="BD51" s="38">
        <v>5.0</v>
      </c>
      <c r="BE51" s="38">
        <v>4.0</v>
      </c>
      <c r="BF51" s="38">
        <v>3.0</v>
      </c>
      <c r="BG51" s="38">
        <v>2.0</v>
      </c>
      <c r="BH51" s="38">
        <v>3.0</v>
      </c>
      <c r="BI51" s="38">
        <v>3.0</v>
      </c>
      <c r="BJ51" s="38">
        <v>2.0</v>
      </c>
      <c r="BK51" s="38">
        <v>7.0</v>
      </c>
      <c r="BL51" s="38">
        <v>3.0</v>
      </c>
      <c r="BM51" s="38">
        <v>4.0</v>
      </c>
      <c r="BN51" s="38">
        <v>4.0</v>
      </c>
      <c r="BO51" s="38">
        <v>2.0</v>
      </c>
      <c r="BP51" s="38">
        <v>1.0</v>
      </c>
      <c r="BQ51" s="38">
        <v>4.0</v>
      </c>
      <c r="BR51" s="38">
        <v>5.0</v>
      </c>
      <c r="BS51" s="38">
        <v>5.0</v>
      </c>
      <c r="BT51" s="38">
        <v>2.0</v>
      </c>
      <c r="BU51" s="38">
        <v>2.0</v>
      </c>
      <c r="BV51" s="38">
        <v>4.0</v>
      </c>
      <c r="BW51" s="38">
        <v>8.0</v>
      </c>
      <c r="BX51" s="38">
        <v>4.0</v>
      </c>
      <c r="BY51" s="38">
        <v>2.0</v>
      </c>
      <c r="BZ51" s="38">
        <v>4.0</v>
      </c>
      <c r="CA51" s="38">
        <v>6.0</v>
      </c>
      <c r="CB51" s="19">
        <v>1.0</v>
      </c>
      <c r="CC51" s="19">
        <v>6.0</v>
      </c>
      <c r="CD51" s="13">
        <f t="shared" si="16"/>
        <v>266</v>
      </c>
    </row>
    <row r="52" ht="12.75" customHeight="1">
      <c r="A52" s="44"/>
      <c r="B52" s="58" t="s">
        <v>46</v>
      </c>
      <c r="C52" s="59" t="s">
        <v>47</v>
      </c>
      <c r="D52" s="16"/>
      <c r="E52" s="13">
        <f t="shared" ref="E52:CC52" si="17">SUM(E50:E51)</f>
        <v>186</v>
      </c>
      <c r="F52" s="13">
        <f t="shared" si="17"/>
        <v>207</v>
      </c>
      <c r="G52" s="13">
        <f t="shared" si="17"/>
        <v>197</v>
      </c>
      <c r="H52" s="13">
        <f t="shared" si="17"/>
        <v>209</v>
      </c>
      <c r="I52" s="13">
        <f t="shared" si="17"/>
        <v>157</v>
      </c>
      <c r="J52" s="13">
        <f t="shared" si="17"/>
        <v>205</v>
      </c>
      <c r="K52" s="13">
        <f t="shared" si="17"/>
        <v>222</v>
      </c>
      <c r="L52" s="13">
        <f t="shared" si="17"/>
        <v>207</v>
      </c>
      <c r="M52" s="13">
        <f t="shared" si="17"/>
        <v>195</v>
      </c>
      <c r="N52" s="13">
        <f t="shared" si="17"/>
        <v>243</v>
      </c>
      <c r="O52" s="13">
        <f t="shared" si="17"/>
        <v>182</v>
      </c>
      <c r="P52" s="13">
        <f t="shared" si="17"/>
        <v>198</v>
      </c>
      <c r="Q52" s="13">
        <f t="shared" si="17"/>
        <v>210</v>
      </c>
      <c r="R52" s="13">
        <f t="shared" si="17"/>
        <v>212</v>
      </c>
      <c r="S52" s="13">
        <f t="shared" si="17"/>
        <v>218</v>
      </c>
      <c r="T52" s="13">
        <f t="shared" si="17"/>
        <v>189</v>
      </c>
      <c r="U52" s="13">
        <f t="shared" si="17"/>
        <v>182</v>
      </c>
      <c r="V52" s="13">
        <f t="shared" si="17"/>
        <v>242</v>
      </c>
      <c r="W52" s="13">
        <f t="shared" si="17"/>
        <v>209</v>
      </c>
      <c r="X52" s="13">
        <f t="shared" si="17"/>
        <v>177</v>
      </c>
      <c r="Y52" s="13">
        <f t="shared" si="17"/>
        <v>187</v>
      </c>
      <c r="Z52" s="13">
        <f t="shared" si="17"/>
        <v>211</v>
      </c>
      <c r="AA52" s="13">
        <f t="shared" si="17"/>
        <v>158</v>
      </c>
      <c r="AB52" s="13">
        <f t="shared" si="17"/>
        <v>211</v>
      </c>
      <c r="AC52" s="13">
        <f t="shared" si="17"/>
        <v>215</v>
      </c>
      <c r="AD52" s="13">
        <f t="shared" si="17"/>
        <v>190</v>
      </c>
      <c r="AE52" s="13">
        <f t="shared" si="17"/>
        <v>179</v>
      </c>
      <c r="AF52" s="13">
        <f t="shared" si="17"/>
        <v>186</v>
      </c>
      <c r="AG52" s="13">
        <f t="shared" si="17"/>
        <v>183</v>
      </c>
      <c r="AH52" s="13">
        <f t="shared" si="17"/>
        <v>234</v>
      </c>
      <c r="AI52" s="13">
        <f t="shared" si="17"/>
        <v>192</v>
      </c>
      <c r="AJ52" s="13">
        <f t="shared" si="17"/>
        <v>169</v>
      </c>
      <c r="AK52" s="13">
        <f t="shared" si="17"/>
        <v>189</v>
      </c>
      <c r="AL52" s="13">
        <f t="shared" si="17"/>
        <v>170</v>
      </c>
      <c r="AM52" s="13">
        <f t="shared" si="17"/>
        <v>197</v>
      </c>
      <c r="AN52" s="13">
        <f t="shared" si="17"/>
        <v>163</v>
      </c>
      <c r="AO52" s="13">
        <f t="shared" si="17"/>
        <v>168</v>
      </c>
      <c r="AP52" s="13">
        <f t="shared" si="17"/>
        <v>145</v>
      </c>
      <c r="AQ52" s="13">
        <f t="shared" si="17"/>
        <v>208</v>
      </c>
      <c r="AR52" s="13">
        <f t="shared" si="17"/>
        <v>221</v>
      </c>
      <c r="AS52" s="13">
        <f t="shared" si="17"/>
        <v>199</v>
      </c>
      <c r="AT52" s="13">
        <f t="shared" si="17"/>
        <v>211</v>
      </c>
      <c r="AU52" s="13">
        <f t="shared" si="17"/>
        <v>196</v>
      </c>
      <c r="AV52" s="13">
        <f t="shared" si="17"/>
        <v>172</v>
      </c>
      <c r="AW52" s="13">
        <f t="shared" si="17"/>
        <v>166</v>
      </c>
      <c r="AX52" s="13">
        <f t="shared" si="17"/>
        <v>158</v>
      </c>
      <c r="AY52" s="13">
        <f t="shared" si="17"/>
        <v>213</v>
      </c>
      <c r="AZ52" s="13">
        <f t="shared" si="17"/>
        <v>184</v>
      </c>
      <c r="BA52" s="13">
        <f t="shared" si="17"/>
        <v>197</v>
      </c>
      <c r="BB52" s="13">
        <f t="shared" si="17"/>
        <v>135</v>
      </c>
      <c r="BC52" s="13">
        <f t="shared" si="17"/>
        <v>195</v>
      </c>
      <c r="BD52" s="13">
        <f t="shared" si="17"/>
        <v>187</v>
      </c>
      <c r="BE52" s="13">
        <f t="shared" si="17"/>
        <v>186</v>
      </c>
      <c r="BF52" s="13">
        <f t="shared" si="17"/>
        <v>184</v>
      </c>
      <c r="BG52" s="13">
        <f t="shared" si="17"/>
        <v>219</v>
      </c>
      <c r="BH52" s="13">
        <f t="shared" si="17"/>
        <v>226</v>
      </c>
      <c r="BI52" s="13">
        <f t="shared" si="17"/>
        <v>203</v>
      </c>
      <c r="BJ52" s="13">
        <f t="shared" si="17"/>
        <v>219</v>
      </c>
      <c r="BK52" s="13">
        <f t="shared" si="17"/>
        <v>247</v>
      </c>
      <c r="BL52" s="13">
        <f t="shared" si="17"/>
        <v>240</v>
      </c>
      <c r="BM52" s="13">
        <f t="shared" si="17"/>
        <v>210</v>
      </c>
      <c r="BN52" s="13">
        <f t="shared" si="17"/>
        <v>193</v>
      </c>
      <c r="BO52" s="13">
        <f t="shared" si="17"/>
        <v>175</v>
      </c>
      <c r="BP52" s="13">
        <f t="shared" si="17"/>
        <v>197</v>
      </c>
      <c r="BQ52" s="13">
        <f t="shared" si="17"/>
        <v>176</v>
      </c>
      <c r="BR52" s="13">
        <f t="shared" si="17"/>
        <v>209</v>
      </c>
      <c r="BS52" s="13">
        <f t="shared" si="17"/>
        <v>198</v>
      </c>
      <c r="BT52" s="13">
        <f t="shared" si="17"/>
        <v>209</v>
      </c>
      <c r="BU52" s="13">
        <f t="shared" si="17"/>
        <v>204</v>
      </c>
      <c r="BV52" s="13">
        <f t="shared" si="17"/>
        <v>226</v>
      </c>
      <c r="BW52" s="13">
        <f t="shared" si="17"/>
        <v>269</v>
      </c>
      <c r="BX52" s="13">
        <f t="shared" si="17"/>
        <v>198</v>
      </c>
      <c r="BY52" s="13">
        <f t="shared" si="17"/>
        <v>173</v>
      </c>
      <c r="BZ52" s="13">
        <f t="shared" si="17"/>
        <v>168</v>
      </c>
      <c r="CA52" s="13">
        <f t="shared" si="17"/>
        <v>147</v>
      </c>
      <c r="CB52" s="13">
        <f t="shared" si="17"/>
        <v>213</v>
      </c>
      <c r="CC52" s="13">
        <f t="shared" si="17"/>
        <v>225</v>
      </c>
      <c r="CD52" s="13">
        <f t="shared" si="16"/>
        <v>15150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CF117" s="5"/>
    </row>
    <row r="118" ht="12.75" customHeight="1">
      <c r="CF118" s="5"/>
    </row>
    <row r="119" ht="12.75" customHeight="1">
      <c r="CF119" s="5"/>
    </row>
    <row r="120" ht="12.75" customHeight="1">
      <c r="CF120" s="5"/>
    </row>
    <row r="121" ht="12.75" customHeight="1">
      <c r="CF121" s="5"/>
    </row>
    <row r="122" ht="12.75" customHeight="1">
      <c r="CF122" s="5"/>
    </row>
    <row r="123" ht="12.75" customHeight="1">
      <c r="CF123" s="5"/>
    </row>
    <row r="124" ht="12.75" customHeight="1">
      <c r="CF124" s="5"/>
    </row>
    <row r="125" ht="12.75" customHeight="1">
      <c r="CF125" s="5"/>
    </row>
    <row r="126" ht="12.75" customHeight="1">
      <c r="CF126" s="5"/>
    </row>
    <row r="127" ht="12.75" customHeight="1">
      <c r="CF127" s="5"/>
    </row>
    <row r="128" ht="12.75" customHeight="1">
      <c r="CF128" s="5"/>
    </row>
    <row r="129" ht="12.75" customHeight="1">
      <c r="CF129" s="5"/>
    </row>
    <row r="130" ht="12.75" customHeight="1">
      <c r="CF130" s="1"/>
    </row>
    <row r="131" ht="12.75" customHeight="1">
      <c r="CF131" s="54"/>
    </row>
    <row r="132" ht="12.75" customHeight="1">
      <c r="CF132" s="5"/>
    </row>
    <row r="133" ht="12.75" customHeight="1">
      <c r="CF133" s="5"/>
    </row>
    <row r="134" ht="12.75" customHeight="1">
      <c r="CF134" s="5"/>
    </row>
    <row r="135" ht="12.75" customHeight="1">
      <c r="CF135" s="5"/>
    </row>
    <row r="136" ht="12.75" customHeight="1">
      <c r="CF136" s="5"/>
    </row>
    <row r="137" ht="12.75" customHeight="1">
      <c r="CF137" s="5"/>
    </row>
    <row r="138" ht="12.75" customHeight="1">
      <c r="CF138" s="5"/>
    </row>
    <row r="139" ht="12.75" customHeight="1">
      <c r="CF139" s="5"/>
    </row>
    <row r="140" ht="12.75" customHeight="1">
      <c r="CF140" s="5"/>
    </row>
    <row r="141" ht="12.75" customHeight="1">
      <c r="CF141" s="1"/>
    </row>
    <row r="142" ht="12.75" customHeight="1">
      <c r="CF142" s="54"/>
    </row>
    <row r="143" ht="12.75" customHeight="1">
      <c r="CF143" s="5"/>
    </row>
    <row r="144" ht="12.75" customHeight="1">
      <c r="CF144" s="5"/>
    </row>
    <row r="145" ht="12.75" customHeight="1">
      <c r="CF145" s="5"/>
    </row>
    <row r="146" ht="12.75" customHeight="1">
      <c r="CF146" s="5"/>
    </row>
    <row r="147" ht="12.75" customHeight="1">
      <c r="CF147" s="5"/>
    </row>
    <row r="148" ht="12.75" customHeight="1">
      <c r="CF148" s="5"/>
    </row>
    <row r="149" ht="12.75" customHeight="1">
      <c r="CF149" s="5"/>
    </row>
    <row r="150" ht="12.75" customHeight="1">
      <c r="CF150" s="5"/>
    </row>
    <row r="151" ht="12.75" customHeight="1">
      <c r="CF151" s="1"/>
    </row>
    <row r="152" ht="12.75" customHeight="1">
      <c r="CF152" s="54"/>
    </row>
    <row r="153" ht="12.75" customHeight="1">
      <c r="CF153" s="5"/>
    </row>
    <row r="154" ht="12.75" customHeight="1">
      <c r="CF154" s="5"/>
    </row>
    <row r="155" ht="12.75" customHeight="1">
      <c r="CF155" s="5"/>
    </row>
    <row r="156" ht="12.75" customHeight="1">
      <c r="CF156" s="5"/>
    </row>
    <row r="157" ht="12.75" customHeight="1">
      <c r="CF157" s="5"/>
    </row>
    <row r="158" ht="12.75" customHeight="1">
      <c r="CF158" s="5"/>
    </row>
    <row r="159" ht="12.75" customHeight="1">
      <c r="CF159" s="5"/>
    </row>
    <row r="160" ht="12.75" customHeight="1">
      <c r="CF160" s="5"/>
    </row>
    <row r="161" ht="12.75" customHeight="1">
      <c r="CF161" s="5"/>
    </row>
    <row r="162" ht="12.75" customHeight="1">
      <c r="CF162" s="5"/>
    </row>
    <row r="163" ht="12.75" customHeight="1">
      <c r="CF163" s="5"/>
    </row>
    <row r="164" ht="12.75" customHeight="1">
      <c r="CF164" s="5"/>
    </row>
    <row r="165" ht="12.75" customHeight="1">
      <c r="CF165" s="1"/>
    </row>
    <row r="166" ht="12.75" customHeight="1">
      <c r="CF166" s="54"/>
    </row>
    <row r="167" ht="12.75" customHeight="1">
      <c r="CF167" s="5"/>
    </row>
    <row r="168" ht="12.75" customHeight="1">
      <c r="CF168" s="5"/>
    </row>
    <row r="169" ht="12.75" customHeight="1">
      <c r="CF169" s="5"/>
    </row>
    <row r="170" ht="12.75" customHeight="1">
      <c r="CF170" s="5"/>
    </row>
    <row r="171" ht="12.75" customHeight="1">
      <c r="CF171" s="5"/>
    </row>
    <row r="172" ht="12.75" customHeight="1">
      <c r="CF172" s="5"/>
    </row>
    <row r="173" ht="12.75" customHeight="1">
      <c r="CF173" s="5"/>
    </row>
    <row r="174" ht="12.75" customHeight="1">
      <c r="CF174" s="5"/>
    </row>
    <row r="175" ht="12.75" customHeight="1">
      <c r="CF175" s="5"/>
    </row>
    <row r="176" ht="12.75" customHeight="1">
      <c r="CF176" s="1"/>
    </row>
    <row r="177" ht="12.75" customHeight="1"/>
    <row r="178" ht="12.75" customHeight="1">
      <c r="CF178" s="5"/>
    </row>
    <row r="179" ht="12.75" customHeight="1">
      <c r="CF179" s="5"/>
    </row>
    <row r="180" ht="12.75" customHeight="1">
      <c r="CF180" s="5"/>
    </row>
    <row r="181" ht="12.75" customHeight="1">
      <c r="CF181" s="5"/>
    </row>
    <row r="182" ht="12.75" customHeight="1">
      <c r="CF182" s="5"/>
    </row>
    <row r="183" ht="12.75" customHeight="1">
      <c r="CF183" s="5"/>
    </row>
    <row r="184" ht="12.75" customHeight="1">
      <c r="CF184" s="5"/>
    </row>
    <row r="185" ht="12.75" customHeight="1">
      <c r="CF185" s="5"/>
    </row>
    <row r="186" ht="12.75" customHeight="1">
      <c r="CF186" s="5"/>
    </row>
    <row r="187" ht="12.75" customHeight="1">
      <c r="CF187" s="1"/>
    </row>
    <row r="188" ht="12.75" customHeight="1"/>
    <row r="189" ht="12.75" customHeight="1">
      <c r="CF189" s="5"/>
    </row>
    <row r="190" ht="12.75" customHeight="1">
      <c r="CF190" s="5"/>
    </row>
    <row r="191" ht="12.75" customHeight="1">
      <c r="CF191" s="5"/>
    </row>
    <row r="192" ht="12.75" customHeight="1">
      <c r="CF192" s="5"/>
    </row>
    <row r="193" ht="12.75" customHeight="1">
      <c r="CF193" s="5"/>
    </row>
    <row r="194" ht="12.75" customHeight="1">
      <c r="CF194" s="5"/>
    </row>
    <row r="195" ht="12.75" customHeight="1">
      <c r="CF195" s="5"/>
    </row>
    <row r="196" ht="12.75" customHeight="1">
      <c r="CF196" s="1"/>
    </row>
    <row r="197" ht="12.75" customHeight="1">
      <c r="CF197" s="1"/>
    </row>
    <row r="198" ht="12.75" customHeight="1">
      <c r="CF198" s="1"/>
    </row>
    <row r="199" ht="12.75" customHeight="1">
      <c r="CF199" s="54"/>
    </row>
    <row r="200" ht="12.75" customHeight="1">
      <c r="CF200" s="5"/>
    </row>
    <row r="201" ht="12.75" customHeight="1">
      <c r="CF201" s="5"/>
    </row>
    <row r="202" ht="12.75" customHeight="1">
      <c r="CF202" s="5"/>
    </row>
    <row r="203" ht="12.75" customHeight="1">
      <c r="CF203" s="5"/>
    </row>
    <row r="204" ht="12.75" customHeight="1">
      <c r="CF204" s="5"/>
    </row>
    <row r="205" ht="12.75" customHeight="1">
      <c r="CF205" s="5"/>
    </row>
    <row r="206" ht="12.75" customHeight="1">
      <c r="CF206" s="5"/>
    </row>
    <row r="207" ht="12.75" customHeight="1">
      <c r="CF207" s="1"/>
    </row>
    <row r="208" ht="12.75" customHeight="1">
      <c r="CF208" s="54"/>
    </row>
    <row r="209" ht="12.75" customHeight="1">
      <c r="CF209" s="54"/>
    </row>
    <row r="210" ht="12.75" customHeight="1">
      <c r="CF210" s="54"/>
    </row>
    <row r="211" ht="12.75" customHeight="1">
      <c r="CF211" s="5"/>
    </row>
    <row r="212" ht="12.75" customHeight="1">
      <c r="CF212" s="5"/>
    </row>
    <row r="213" ht="12.75" customHeight="1">
      <c r="CF213" s="5"/>
    </row>
    <row r="214" ht="12.75" customHeight="1">
      <c r="CF214" s="5"/>
    </row>
    <row r="215" ht="12.75" customHeight="1">
      <c r="CF215" s="5"/>
    </row>
    <row r="216" ht="12.75" customHeight="1">
      <c r="CF216" s="5"/>
    </row>
    <row r="217" ht="12.75" customHeight="1">
      <c r="CF217" s="5"/>
    </row>
    <row r="218" ht="12.75" customHeight="1">
      <c r="CF218" s="1"/>
    </row>
    <row r="219" ht="12.75" customHeight="1">
      <c r="CF219" s="54"/>
    </row>
    <row r="220" ht="12.75" customHeight="1">
      <c r="CF220" s="5"/>
    </row>
    <row r="221" ht="12.75" customHeight="1">
      <c r="CF221" s="5"/>
    </row>
    <row r="222" ht="12.75" customHeight="1">
      <c r="CF222" s="5"/>
    </row>
    <row r="223" ht="12.75" customHeight="1">
      <c r="CF223" s="5"/>
    </row>
    <row r="224" ht="12.75" customHeight="1">
      <c r="CF224" s="5"/>
    </row>
    <row r="225" ht="12.75" customHeight="1">
      <c r="CF225" s="5"/>
    </row>
    <row r="226" ht="12.75" customHeight="1">
      <c r="CF226" s="5"/>
    </row>
    <row r="227" ht="12.75" customHeight="1">
      <c r="CF227" s="5"/>
    </row>
    <row r="228" ht="12.75" customHeight="1">
      <c r="CF228" s="5"/>
    </row>
    <row r="229" ht="12.75" customHeight="1">
      <c r="CF229" s="1"/>
    </row>
    <row r="230" ht="12.75" customHeight="1">
      <c r="CF230" s="54"/>
    </row>
    <row r="231" ht="12.75" customHeight="1">
      <c r="CF231" s="5"/>
    </row>
    <row r="232" ht="12.75" customHeight="1">
      <c r="CF232" s="5"/>
    </row>
    <row r="233" ht="12.75" customHeight="1">
      <c r="CF233" s="5"/>
    </row>
    <row r="234" ht="12.75" customHeight="1">
      <c r="CF234" s="5"/>
    </row>
    <row r="235" ht="12.75" customHeight="1">
      <c r="CF235" s="5"/>
    </row>
    <row r="236" ht="12.75" customHeight="1">
      <c r="CF236" s="5"/>
    </row>
    <row r="237" ht="12.75" customHeight="1">
      <c r="CF237" s="5"/>
    </row>
    <row r="238" ht="12.75" customHeight="1">
      <c r="CF238" s="5"/>
    </row>
    <row r="239" ht="12.75" customHeight="1">
      <c r="CF239" s="5"/>
    </row>
    <row r="240" ht="12.75" customHeight="1">
      <c r="CF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CC12"/>
    <mergeCell ref="CD12:C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BR34">
    <cfRule type="expression" dxfId="0" priority="1">
      <formula>E34&lt;&gt;#REF!</formula>
    </cfRule>
  </conditionalFormatting>
  <conditionalFormatting sqref="E14:CC15">
    <cfRule type="containsBlanks" dxfId="1" priority="2">
      <formula>LEN(TRIM(E14))=0</formula>
    </cfRule>
  </conditionalFormatting>
  <conditionalFormatting sqref="E19:CC20">
    <cfRule type="containsBlanks" dxfId="1" priority="3">
      <formula>LEN(TRIM(E19))=0</formula>
    </cfRule>
  </conditionalFormatting>
  <conditionalFormatting sqref="E22:CC23 E25:CC26 E33:CC33 E35:CC35 E39:CC40">
    <cfRule type="containsBlanks" dxfId="1" priority="4">
      <formula>LEN(TRIM(E22))=0</formula>
    </cfRule>
  </conditionalFormatting>
  <conditionalFormatting sqref="E30:CC30">
    <cfRule type="expression" dxfId="0" priority="5">
      <formula>E30&lt;&gt;E47</formula>
    </cfRule>
  </conditionalFormatting>
  <conditionalFormatting sqref="E30:CC30">
    <cfRule type="expression" dxfId="0" priority="6">
      <formula>E30&lt;&gt;E34</formula>
    </cfRule>
  </conditionalFormatting>
  <conditionalFormatting sqref="E34:CC34">
    <cfRule type="expression" dxfId="2" priority="7">
      <formula>E30&lt;&gt;E34</formula>
    </cfRule>
  </conditionalFormatting>
  <conditionalFormatting sqref="E34:CC34">
    <cfRule type="expression" dxfId="3" priority="8">
      <formula>E30=E34</formula>
    </cfRule>
  </conditionalFormatting>
  <conditionalFormatting sqref="E34:CC34">
    <cfRule type="expression" dxfId="0" priority="9">
      <formula>E34&lt;&gt;E30</formula>
    </cfRule>
  </conditionalFormatting>
  <conditionalFormatting sqref="BS34:CC34">
    <cfRule type="expression" dxfId="0" priority="10">
      <formula>BS34&lt;&gt;BS47</formula>
    </cfRule>
  </conditionalFormatting>
  <conditionalFormatting sqref="E45:CC47">
    <cfRule type="containsBlanks" dxfId="1" priority="11">
      <formula>LEN(TRIM(E45))=0</formula>
    </cfRule>
  </conditionalFormatting>
  <conditionalFormatting sqref="E50:CC51">
    <cfRule type="containsBlanks" dxfId="1" priority="12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7" width="8.71"/>
    <col customWidth="1" min="38" max="38" width="13.29"/>
    <col customWidth="1" min="39" max="4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128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6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75</v>
      </c>
      <c r="AD13" s="13" t="s">
        <v>76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37"/>
    </row>
    <row r="14" ht="12.75" customHeight="1">
      <c r="A14" s="18"/>
      <c r="B14" s="22" t="s">
        <v>11</v>
      </c>
      <c r="C14" s="23"/>
      <c r="D14" s="19" t="s">
        <v>12</v>
      </c>
      <c r="E14" s="38">
        <v>133.0</v>
      </c>
      <c r="F14" s="38">
        <v>128.0</v>
      </c>
      <c r="G14" s="38">
        <v>97.0</v>
      </c>
      <c r="H14" s="38">
        <v>128.0</v>
      </c>
      <c r="I14" s="38">
        <v>140.0</v>
      </c>
      <c r="J14" s="38">
        <v>138.0</v>
      </c>
      <c r="K14" s="38">
        <v>155.0</v>
      </c>
      <c r="L14" s="38">
        <v>137.0</v>
      </c>
      <c r="M14" s="38">
        <v>134.0</v>
      </c>
      <c r="N14" s="38">
        <v>130.0</v>
      </c>
      <c r="O14" s="38">
        <v>135.0</v>
      </c>
      <c r="P14" s="38">
        <v>128.0</v>
      </c>
      <c r="Q14" s="38">
        <v>145.0</v>
      </c>
      <c r="R14" s="38">
        <v>145.0</v>
      </c>
      <c r="S14" s="38">
        <v>126.0</v>
      </c>
      <c r="T14" s="38">
        <v>123.0</v>
      </c>
      <c r="U14" s="38">
        <v>134.0</v>
      </c>
      <c r="V14" s="38">
        <v>136.0</v>
      </c>
      <c r="W14" s="38">
        <v>144.0</v>
      </c>
      <c r="X14" s="38">
        <v>122.0</v>
      </c>
      <c r="Y14" s="38">
        <v>144.0</v>
      </c>
      <c r="Z14" s="38">
        <v>134.0</v>
      </c>
      <c r="AA14" s="38">
        <v>148.0</v>
      </c>
      <c r="AB14" s="38">
        <v>129.0</v>
      </c>
      <c r="AC14" s="38">
        <v>143.0</v>
      </c>
      <c r="AD14" s="38">
        <v>139.0</v>
      </c>
      <c r="AE14" s="38">
        <v>133.0</v>
      </c>
      <c r="AF14" s="38">
        <v>137.0</v>
      </c>
      <c r="AG14" s="38">
        <v>141.0</v>
      </c>
      <c r="AH14" s="38">
        <v>127.0</v>
      </c>
      <c r="AI14" s="19">
        <v>155.0</v>
      </c>
      <c r="AJ14" s="19">
        <v>152.0</v>
      </c>
      <c r="AK14" s="19">
        <v>144.0</v>
      </c>
      <c r="AL14" s="13">
        <f t="shared" ref="AL14:AL16" si="1">SUM(E14:AK14)</f>
        <v>4484</v>
      </c>
    </row>
    <row r="15" ht="12.75" customHeight="1">
      <c r="A15" s="18"/>
      <c r="B15" s="26"/>
      <c r="C15" s="27"/>
      <c r="D15" s="19" t="s">
        <v>13</v>
      </c>
      <c r="E15" s="38">
        <v>123.0</v>
      </c>
      <c r="F15" s="38">
        <v>134.0</v>
      </c>
      <c r="G15" s="38">
        <v>100.0</v>
      </c>
      <c r="H15" s="38">
        <v>127.0</v>
      </c>
      <c r="I15" s="38">
        <v>116.0</v>
      </c>
      <c r="J15" s="38">
        <v>134.0</v>
      </c>
      <c r="K15" s="38">
        <v>129.0</v>
      </c>
      <c r="L15" s="38">
        <v>141.0</v>
      </c>
      <c r="M15" s="38">
        <v>114.0</v>
      </c>
      <c r="N15" s="38">
        <v>130.0</v>
      </c>
      <c r="O15" s="38">
        <v>129.0</v>
      </c>
      <c r="P15" s="38">
        <v>124.0</v>
      </c>
      <c r="Q15" s="38">
        <v>132.0</v>
      </c>
      <c r="R15" s="38">
        <v>133.0</v>
      </c>
      <c r="S15" s="38">
        <v>128.0</v>
      </c>
      <c r="T15" s="38">
        <v>106.0</v>
      </c>
      <c r="U15" s="38">
        <v>139.0</v>
      </c>
      <c r="V15" s="38">
        <v>133.0</v>
      </c>
      <c r="W15" s="38">
        <v>138.0</v>
      </c>
      <c r="X15" s="38">
        <v>118.0</v>
      </c>
      <c r="Y15" s="38">
        <v>126.0</v>
      </c>
      <c r="Z15" s="38">
        <v>129.0</v>
      </c>
      <c r="AA15" s="38">
        <v>140.0</v>
      </c>
      <c r="AB15" s="38">
        <v>127.0</v>
      </c>
      <c r="AC15" s="38">
        <v>128.0</v>
      </c>
      <c r="AD15" s="38">
        <v>129.0</v>
      </c>
      <c r="AE15" s="38">
        <v>119.0</v>
      </c>
      <c r="AF15" s="38">
        <v>135.0</v>
      </c>
      <c r="AG15" s="38">
        <v>131.0</v>
      </c>
      <c r="AH15" s="38">
        <v>120.0</v>
      </c>
      <c r="AI15" s="19">
        <v>124.0</v>
      </c>
      <c r="AJ15" s="19">
        <v>129.0</v>
      </c>
      <c r="AK15" s="19">
        <v>130.0</v>
      </c>
      <c r="AL15" s="13">
        <f t="shared" si="1"/>
        <v>4195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256</v>
      </c>
      <c r="F16" s="13">
        <f t="shared" si="2"/>
        <v>262</v>
      </c>
      <c r="G16" s="13">
        <f t="shared" si="2"/>
        <v>197</v>
      </c>
      <c r="H16" s="13">
        <f t="shared" si="2"/>
        <v>255</v>
      </c>
      <c r="I16" s="13">
        <f t="shared" si="2"/>
        <v>256</v>
      </c>
      <c r="J16" s="13">
        <f t="shared" si="2"/>
        <v>272</v>
      </c>
      <c r="K16" s="13">
        <f t="shared" si="2"/>
        <v>284</v>
      </c>
      <c r="L16" s="13">
        <f t="shared" si="2"/>
        <v>278</v>
      </c>
      <c r="M16" s="13">
        <f t="shared" si="2"/>
        <v>248</v>
      </c>
      <c r="N16" s="13">
        <f t="shared" si="2"/>
        <v>260</v>
      </c>
      <c r="O16" s="13">
        <f t="shared" si="2"/>
        <v>264</v>
      </c>
      <c r="P16" s="13">
        <f t="shared" si="2"/>
        <v>252</v>
      </c>
      <c r="Q16" s="13">
        <f t="shared" si="2"/>
        <v>277</v>
      </c>
      <c r="R16" s="13">
        <f t="shared" si="2"/>
        <v>278</v>
      </c>
      <c r="S16" s="13">
        <f t="shared" si="2"/>
        <v>254</v>
      </c>
      <c r="T16" s="13">
        <f t="shared" si="2"/>
        <v>229</v>
      </c>
      <c r="U16" s="13">
        <f t="shared" si="2"/>
        <v>273</v>
      </c>
      <c r="V16" s="13">
        <f t="shared" si="2"/>
        <v>269</v>
      </c>
      <c r="W16" s="13">
        <f t="shared" si="2"/>
        <v>282</v>
      </c>
      <c r="X16" s="13">
        <f t="shared" si="2"/>
        <v>240</v>
      </c>
      <c r="Y16" s="13">
        <f t="shared" si="2"/>
        <v>270</v>
      </c>
      <c r="Z16" s="13">
        <f t="shared" si="2"/>
        <v>263</v>
      </c>
      <c r="AA16" s="13">
        <f t="shared" si="2"/>
        <v>288</v>
      </c>
      <c r="AB16" s="13">
        <f t="shared" si="2"/>
        <v>256</v>
      </c>
      <c r="AC16" s="13">
        <f t="shared" si="2"/>
        <v>271</v>
      </c>
      <c r="AD16" s="13">
        <f t="shared" si="2"/>
        <v>268</v>
      </c>
      <c r="AE16" s="13">
        <f t="shared" si="2"/>
        <v>252</v>
      </c>
      <c r="AF16" s="13">
        <f t="shared" si="2"/>
        <v>272</v>
      </c>
      <c r="AG16" s="13">
        <f t="shared" si="2"/>
        <v>272</v>
      </c>
      <c r="AH16" s="13">
        <f t="shared" si="2"/>
        <v>247</v>
      </c>
      <c r="AI16" s="13">
        <f t="shared" si="2"/>
        <v>279</v>
      </c>
      <c r="AJ16" s="13">
        <f t="shared" si="2"/>
        <v>281</v>
      </c>
      <c r="AK16" s="13">
        <f t="shared" si="2"/>
        <v>274</v>
      </c>
      <c r="AL16" s="13">
        <f t="shared" si="1"/>
        <v>8679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19"/>
      <c r="Z17" s="19"/>
      <c r="AA17" s="19"/>
      <c r="AB17" s="19"/>
      <c r="AC17" s="64"/>
      <c r="AD17" s="19"/>
      <c r="AE17" s="19"/>
      <c r="AF17" s="19"/>
      <c r="AG17" s="19"/>
      <c r="AH17" s="64"/>
      <c r="AI17" s="19"/>
      <c r="AJ17" s="19"/>
      <c r="AK17" s="19"/>
      <c r="AL17" s="65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56</v>
      </c>
      <c r="L18" s="13" t="s">
        <v>57</v>
      </c>
      <c r="M18" s="13" t="s">
        <v>58</v>
      </c>
      <c r="N18" s="13" t="s">
        <v>59</v>
      </c>
      <c r="O18" s="13" t="s">
        <v>60</v>
      </c>
      <c r="P18" s="13" t="s">
        <v>61</v>
      </c>
      <c r="Q18" s="13" t="s">
        <v>62</v>
      </c>
      <c r="R18" s="13" t="s">
        <v>63</v>
      </c>
      <c r="S18" s="13" t="s">
        <v>64</v>
      </c>
      <c r="T18" s="13" t="s">
        <v>65</v>
      </c>
      <c r="U18" s="13" t="s">
        <v>66</v>
      </c>
      <c r="V18" s="13" t="s">
        <v>67</v>
      </c>
      <c r="W18" s="13" t="s">
        <v>68</v>
      </c>
      <c r="X18" s="13" t="s">
        <v>69</v>
      </c>
      <c r="Y18" s="13" t="s">
        <v>70</v>
      </c>
      <c r="Z18" s="13" t="s">
        <v>71</v>
      </c>
      <c r="AA18" s="13" t="s">
        <v>72</v>
      </c>
      <c r="AB18" s="13" t="s">
        <v>73</v>
      </c>
      <c r="AC18" s="13" t="s">
        <v>75</v>
      </c>
      <c r="AD18" s="13" t="s">
        <v>76</v>
      </c>
      <c r="AE18" s="13" t="s">
        <v>77</v>
      </c>
      <c r="AF18" s="13" t="s">
        <v>78</v>
      </c>
      <c r="AG18" s="13" t="s">
        <v>79</v>
      </c>
      <c r="AH18" s="13" t="s">
        <v>80</v>
      </c>
      <c r="AI18" s="13" t="s">
        <v>81</v>
      </c>
      <c r="AJ18" s="13" t="s">
        <v>82</v>
      </c>
      <c r="AK18" s="13" t="s">
        <v>83</v>
      </c>
      <c r="AL18" s="65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38">
        <v>93.0</v>
      </c>
      <c r="F19" s="38">
        <v>93.0</v>
      </c>
      <c r="G19" s="38">
        <v>58.0</v>
      </c>
      <c r="H19" s="38">
        <v>97.0</v>
      </c>
      <c r="I19" s="38">
        <v>88.0</v>
      </c>
      <c r="J19" s="38">
        <v>95.0</v>
      </c>
      <c r="K19" s="38">
        <v>122.0</v>
      </c>
      <c r="L19" s="38">
        <v>110.0</v>
      </c>
      <c r="M19" s="38">
        <v>106.0</v>
      </c>
      <c r="N19" s="38">
        <v>102.0</v>
      </c>
      <c r="O19" s="38">
        <v>112.0</v>
      </c>
      <c r="P19" s="38">
        <v>94.0</v>
      </c>
      <c r="Q19" s="38">
        <v>115.0</v>
      </c>
      <c r="R19" s="38">
        <v>104.0</v>
      </c>
      <c r="S19" s="38">
        <v>107.0</v>
      </c>
      <c r="T19" s="38">
        <v>89.0</v>
      </c>
      <c r="U19" s="38">
        <v>104.0</v>
      </c>
      <c r="V19" s="38">
        <v>102.0</v>
      </c>
      <c r="W19" s="38">
        <v>101.0</v>
      </c>
      <c r="X19" s="38">
        <v>79.0</v>
      </c>
      <c r="Y19" s="38">
        <v>108.0</v>
      </c>
      <c r="Z19" s="38">
        <v>95.0</v>
      </c>
      <c r="AA19" s="38">
        <v>95.0</v>
      </c>
      <c r="AB19" s="38">
        <v>98.0</v>
      </c>
      <c r="AC19" s="38">
        <v>89.0</v>
      </c>
      <c r="AD19" s="38">
        <v>91.0</v>
      </c>
      <c r="AE19" s="38">
        <v>95.0</v>
      </c>
      <c r="AF19" s="38">
        <v>95.0</v>
      </c>
      <c r="AG19" s="38">
        <v>82.0</v>
      </c>
      <c r="AH19" s="38">
        <v>72.0</v>
      </c>
      <c r="AI19" s="38">
        <v>109.0</v>
      </c>
      <c r="AJ19" s="38">
        <v>99.0</v>
      </c>
      <c r="AK19" s="38">
        <v>109.0</v>
      </c>
      <c r="AL19" s="13">
        <f t="shared" ref="AL19:AL30" si="3">SUM(E19:AK19)</f>
        <v>3208</v>
      </c>
    </row>
    <row r="20" ht="12.75" customHeight="1">
      <c r="A20" s="34"/>
      <c r="B20" s="27"/>
      <c r="C20" s="35"/>
      <c r="D20" s="19" t="s">
        <v>13</v>
      </c>
      <c r="E20" s="38">
        <v>104.0</v>
      </c>
      <c r="F20" s="38">
        <v>110.0</v>
      </c>
      <c r="G20" s="38">
        <v>76.0</v>
      </c>
      <c r="H20" s="38">
        <v>100.0</v>
      </c>
      <c r="I20" s="38">
        <v>103.0</v>
      </c>
      <c r="J20" s="38">
        <v>109.0</v>
      </c>
      <c r="K20" s="38">
        <v>114.0</v>
      </c>
      <c r="L20" s="38">
        <v>117.0</v>
      </c>
      <c r="M20" s="38">
        <v>100.0</v>
      </c>
      <c r="N20" s="38">
        <v>107.0</v>
      </c>
      <c r="O20" s="38">
        <v>109.0</v>
      </c>
      <c r="P20" s="38">
        <v>108.0</v>
      </c>
      <c r="Q20" s="38">
        <v>100.0</v>
      </c>
      <c r="R20" s="38">
        <v>103.0</v>
      </c>
      <c r="S20" s="38">
        <v>102.0</v>
      </c>
      <c r="T20" s="38">
        <v>87.0</v>
      </c>
      <c r="U20" s="38">
        <v>109.0</v>
      </c>
      <c r="V20" s="38">
        <v>105.0</v>
      </c>
      <c r="W20" s="38">
        <v>102.0</v>
      </c>
      <c r="X20" s="38">
        <v>87.0</v>
      </c>
      <c r="Y20" s="38">
        <v>105.0</v>
      </c>
      <c r="Z20" s="38">
        <v>98.0</v>
      </c>
      <c r="AA20" s="38">
        <v>103.0</v>
      </c>
      <c r="AB20" s="38">
        <v>98.0</v>
      </c>
      <c r="AC20" s="38">
        <v>99.0</v>
      </c>
      <c r="AD20" s="38">
        <v>85.0</v>
      </c>
      <c r="AE20" s="38">
        <v>83.0</v>
      </c>
      <c r="AF20" s="38">
        <v>88.0</v>
      </c>
      <c r="AG20" s="38">
        <v>87.0</v>
      </c>
      <c r="AH20" s="38">
        <v>69.0</v>
      </c>
      <c r="AI20" s="38">
        <v>95.0</v>
      </c>
      <c r="AJ20" s="38">
        <v>88.0</v>
      </c>
      <c r="AK20" s="38">
        <v>104.0</v>
      </c>
      <c r="AL20" s="13">
        <f t="shared" si="3"/>
        <v>3254</v>
      </c>
    </row>
    <row r="21" ht="12.75" customHeight="1">
      <c r="A21" s="36"/>
      <c r="B21" s="28"/>
      <c r="C21" s="37"/>
      <c r="D21" s="13" t="s">
        <v>14</v>
      </c>
      <c r="E21" s="13">
        <f t="shared" ref="E21:AK21" si="4">SUM(E19:E20)</f>
        <v>197</v>
      </c>
      <c r="F21" s="13">
        <f t="shared" si="4"/>
        <v>203</v>
      </c>
      <c r="G21" s="13">
        <f t="shared" si="4"/>
        <v>134</v>
      </c>
      <c r="H21" s="13">
        <f t="shared" si="4"/>
        <v>197</v>
      </c>
      <c r="I21" s="13">
        <f t="shared" si="4"/>
        <v>191</v>
      </c>
      <c r="J21" s="13">
        <f t="shared" si="4"/>
        <v>204</v>
      </c>
      <c r="K21" s="13">
        <f t="shared" si="4"/>
        <v>236</v>
      </c>
      <c r="L21" s="13">
        <f t="shared" si="4"/>
        <v>227</v>
      </c>
      <c r="M21" s="13">
        <f t="shared" si="4"/>
        <v>206</v>
      </c>
      <c r="N21" s="13">
        <f t="shared" si="4"/>
        <v>209</v>
      </c>
      <c r="O21" s="13">
        <f t="shared" si="4"/>
        <v>221</v>
      </c>
      <c r="P21" s="13">
        <f t="shared" si="4"/>
        <v>202</v>
      </c>
      <c r="Q21" s="13">
        <f t="shared" si="4"/>
        <v>215</v>
      </c>
      <c r="R21" s="13">
        <f t="shared" si="4"/>
        <v>207</v>
      </c>
      <c r="S21" s="13">
        <f t="shared" si="4"/>
        <v>209</v>
      </c>
      <c r="T21" s="13">
        <f t="shared" si="4"/>
        <v>176</v>
      </c>
      <c r="U21" s="13">
        <f t="shared" si="4"/>
        <v>213</v>
      </c>
      <c r="V21" s="13">
        <f t="shared" si="4"/>
        <v>207</v>
      </c>
      <c r="W21" s="13">
        <f t="shared" si="4"/>
        <v>203</v>
      </c>
      <c r="X21" s="13">
        <f t="shared" si="4"/>
        <v>166</v>
      </c>
      <c r="Y21" s="13">
        <f t="shared" si="4"/>
        <v>213</v>
      </c>
      <c r="Z21" s="13">
        <f t="shared" si="4"/>
        <v>193</v>
      </c>
      <c r="AA21" s="13">
        <f t="shared" si="4"/>
        <v>198</v>
      </c>
      <c r="AB21" s="13">
        <f t="shared" si="4"/>
        <v>196</v>
      </c>
      <c r="AC21" s="13">
        <f t="shared" si="4"/>
        <v>188</v>
      </c>
      <c r="AD21" s="13">
        <f t="shared" si="4"/>
        <v>176</v>
      </c>
      <c r="AE21" s="13">
        <f t="shared" si="4"/>
        <v>178</v>
      </c>
      <c r="AF21" s="13">
        <f t="shared" si="4"/>
        <v>183</v>
      </c>
      <c r="AG21" s="13">
        <f t="shared" si="4"/>
        <v>169</v>
      </c>
      <c r="AH21" s="13">
        <f t="shared" si="4"/>
        <v>141</v>
      </c>
      <c r="AI21" s="13">
        <f t="shared" si="4"/>
        <v>204</v>
      </c>
      <c r="AJ21" s="13">
        <f t="shared" si="4"/>
        <v>187</v>
      </c>
      <c r="AK21" s="13">
        <f t="shared" si="4"/>
        <v>213</v>
      </c>
      <c r="AL21" s="13">
        <f t="shared" si="3"/>
        <v>6462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2.0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2.0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</v>
      </c>
      <c r="Y22" s="38">
        <v>0.0</v>
      </c>
      <c r="Z22" s="38">
        <v>0.0</v>
      </c>
      <c r="AA22" s="38">
        <v>0.0</v>
      </c>
      <c r="AB22" s="38">
        <v>0.0</v>
      </c>
      <c r="AC22" s="38">
        <v>1.0</v>
      </c>
      <c r="AD22" s="38">
        <v>0.0</v>
      </c>
      <c r="AE22" s="38">
        <v>0.0</v>
      </c>
      <c r="AF22" s="38">
        <v>0.0</v>
      </c>
      <c r="AG22" s="38">
        <v>0.0</v>
      </c>
      <c r="AH22" s="38">
        <v>0.0</v>
      </c>
      <c r="AI22" s="38">
        <v>1.0</v>
      </c>
      <c r="AJ22" s="38">
        <v>0.0</v>
      </c>
      <c r="AK22" s="38">
        <v>2.0</v>
      </c>
      <c r="AL22" s="13">
        <f t="shared" si="3"/>
        <v>9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3.0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1.0</v>
      </c>
      <c r="AJ23" s="38">
        <v>0.0</v>
      </c>
      <c r="AK23" s="38">
        <v>0.0</v>
      </c>
      <c r="AL23" s="13">
        <f t="shared" si="3"/>
        <v>4</v>
      </c>
    </row>
    <row r="24" ht="12.75" customHeight="1">
      <c r="A24" s="36"/>
      <c r="B24" s="28"/>
      <c r="C24" s="37"/>
      <c r="D24" s="13" t="s">
        <v>14</v>
      </c>
      <c r="E24" s="13">
        <f t="shared" ref="E24:AK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5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2</v>
      </c>
      <c r="AJ24" s="13">
        <f t="shared" si="5"/>
        <v>0</v>
      </c>
      <c r="AK24" s="13">
        <f t="shared" si="5"/>
        <v>2</v>
      </c>
      <c r="AL24" s="13">
        <f t="shared" si="3"/>
        <v>13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1.0</v>
      </c>
      <c r="F25" s="19">
        <v>0.0</v>
      </c>
      <c r="G25" s="19">
        <v>1.0</v>
      </c>
      <c r="H25" s="19">
        <v>0.0</v>
      </c>
      <c r="I25" s="19">
        <v>0.0</v>
      </c>
      <c r="J25" s="19">
        <v>4.0</v>
      </c>
      <c r="K25" s="19">
        <v>0.0</v>
      </c>
      <c r="L25" s="19">
        <v>3.0</v>
      </c>
      <c r="M25" s="19">
        <v>2.0</v>
      </c>
      <c r="N25" s="19">
        <v>0.0</v>
      </c>
      <c r="O25" s="19">
        <v>4.0</v>
      </c>
      <c r="P25" s="19">
        <v>3.0</v>
      </c>
      <c r="Q25" s="19">
        <v>3.0</v>
      </c>
      <c r="R25" s="19">
        <v>3.0</v>
      </c>
      <c r="S25" s="19">
        <v>0.0</v>
      </c>
      <c r="T25" s="38">
        <v>8.0</v>
      </c>
      <c r="U25" s="38">
        <v>0.0</v>
      </c>
      <c r="V25" s="38">
        <v>0.0</v>
      </c>
      <c r="W25" s="38">
        <v>1.0</v>
      </c>
      <c r="X25" s="38">
        <v>4.0</v>
      </c>
      <c r="Y25" s="38">
        <v>2.0</v>
      </c>
      <c r="Z25" s="38">
        <v>0.0</v>
      </c>
      <c r="AA25" s="38">
        <v>0.0</v>
      </c>
      <c r="AB25" s="38">
        <v>2.0</v>
      </c>
      <c r="AC25" s="38">
        <v>3.0</v>
      </c>
      <c r="AD25" s="38">
        <v>3.0</v>
      </c>
      <c r="AE25" s="38">
        <v>3.0</v>
      </c>
      <c r="AF25" s="38">
        <v>2.0</v>
      </c>
      <c r="AG25" s="38">
        <v>0.0</v>
      </c>
      <c r="AH25" s="38">
        <v>0.0</v>
      </c>
      <c r="AI25" s="38">
        <v>0.0</v>
      </c>
      <c r="AJ25" s="38">
        <v>2.0</v>
      </c>
      <c r="AK25" s="38">
        <v>1.0</v>
      </c>
      <c r="AL25" s="13">
        <f t="shared" si="3"/>
        <v>55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4.0</v>
      </c>
      <c r="K26" s="19">
        <v>1.0</v>
      </c>
      <c r="L26" s="19">
        <v>1.0</v>
      </c>
      <c r="M26" s="19">
        <v>1.0</v>
      </c>
      <c r="N26" s="19">
        <v>0.0</v>
      </c>
      <c r="O26" s="19">
        <v>2.0</v>
      </c>
      <c r="P26" s="19">
        <v>1.0</v>
      </c>
      <c r="Q26" s="19">
        <v>1.0</v>
      </c>
      <c r="R26" s="19">
        <v>3.0</v>
      </c>
      <c r="S26" s="19">
        <v>0.0</v>
      </c>
      <c r="T26" s="38">
        <v>4.0</v>
      </c>
      <c r="U26" s="38">
        <v>5.0</v>
      </c>
      <c r="V26" s="38">
        <v>0.0</v>
      </c>
      <c r="W26" s="38">
        <v>3.0</v>
      </c>
      <c r="X26" s="38">
        <v>2.0</v>
      </c>
      <c r="Y26" s="38">
        <v>0.0</v>
      </c>
      <c r="Z26" s="38">
        <v>1.0</v>
      </c>
      <c r="AA26" s="38">
        <v>2.0</v>
      </c>
      <c r="AB26" s="38">
        <v>3.0</v>
      </c>
      <c r="AC26" s="38">
        <v>3.0</v>
      </c>
      <c r="AD26" s="38">
        <v>6.0</v>
      </c>
      <c r="AE26" s="38">
        <v>3.0</v>
      </c>
      <c r="AF26" s="38">
        <v>5.0</v>
      </c>
      <c r="AG26" s="38">
        <v>2.0</v>
      </c>
      <c r="AH26" s="38">
        <v>2.0</v>
      </c>
      <c r="AI26" s="38">
        <v>5.0</v>
      </c>
      <c r="AJ26" s="38">
        <v>2.0</v>
      </c>
      <c r="AK26" s="38">
        <v>2.0</v>
      </c>
      <c r="AL26" s="13">
        <f t="shared" si="3"/>
        <v>64</v>
      </c>
    </row>
    <row r="27" ht="12.75" customHeight="1">
      <c r="A27" s="36"/>
      <c r="B27" s="28"/>
      <c r="C27" s="37"/>
      <c r="D27" s="13" t="s">
        <v>14</v>
      </c>
      <c r="E27" s="13">
        <f t="shared" ref="E27:AK27" si="6">SUM(E25:E26)</f>
        <v>1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8</v>
      </c>
      <c r="K27" s="13">
        <f t="shared" si="6"/>
        <v>1</v>
      </c>
      <c r="L27" s="13">
        <f t="shared" si="6"/>
        <v>4</v>
      </c>
      <c r="M27" s="13">
        <f t="shared" si="6"/>
        <v>3</v>
      </c>
      <c r="N27" s="13">
        <f t="shared" si="6"/>
        <v>0</v>
      </c>
      <c r="O27" s="13">
        <f t="shared" si="6"/>
        <v>6</v>
      </c>
      <c r="P27" s="13">
        <f t="shared" si="6"/>
        <v>4</v>
      </c>
      <c r="Q27" s="13">
        <f t="shared" si="6"/>
        <v>4</v>
      </c>
      <c r="R27" s="13">
        <f t="shared" si="6"/>
        <v>6</v>
      </c>
      <c r="S27" s="13">
        <f t="shared" si="6"/>
        <v>0</v>
      </c>
      <c r="T27" s="13">
        <f t="shared" si="6"/>
        <v>12</v>
      </c>
      <c r="U27" s="13">
        <f t="shared" si="6"/>
        <v>5</v>
      </c>
      <c r="V27" s="13">
        <f t="shared" si="6"/>
        <v>0</v>
      </c>
      <c r="W27" s="13">
        <f t="shared" si="6"/>
        <v>4</v>
      </c>
      <c r="X27" s="13">
        <f t="shared" si="6"/>
        <v>6</v>
      </c>
      <c r="Y27" s="13">
        <f t="shared" si="6"/>
        <v>2</v>
      </c>
      <c r="Z27" s="13">
        <f t="shared" si="6"/>
        <v>1</v>
      </c>
      <c r="AA27" s="13">
        <f t="shared" si="6"/>
        <v>2</v>
      </c>
      <c r="AB27" s="13">
        <f t="shared" si="6"/>
        <v>5</v>
      </c>
      <c r="AC27" s="13">
        <f t="shared" si="6"/>
        <v>6</v>
      </c>
      <c r="AD27" s="13">
        <f t="shared" si="6"/>
        <v>9</v>
      </c>
      <c r="AE27" s="13">
        <f t="shared" si="6"/>
        <v>6</v>
      </c>
      <c r="AF27" s="13">
        <f t="shared" si="6"/>
        <v>7</v>
      </c>
      <c r="AG27" s="13">
        <f t="shared" si="6"/>
        <v>2</v>
      </c>
      <c r="AH27" s="13">
        <f t="shared" si="6"/>
        <v>2</v>
      </c>
      <c r="AI27" s="13">
        <f t="shared" si="6"/>
        <v>5</v>
      </c>
      <c r="AJ27" s="13">
        <f t="shared" si="6"/>
        <v>4</v>
      </c>
      <c r="AK27" s="13">
        <f t="shared" si="6"/>
        <v>3</v>
      </c>
      <c r="AL27" s="13">
        <f t="shared" si="3"/>
        <v>119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K28" si="7">SUM(E19,E22,E25)</f>
        <v>96</v>
      </c>
      <c r="F28" s="13">
        <f t="shared" si="7"/>
        <v>93</v>
      </c>
      <c r="G28" s="13">
        <f t="shared" si="7"/>
        <v>59</v>
      </c>
      <c r="H28" s="13">
        <f t="shared" si="7"/>
        <v>97</v>
      </c>
      <c r="I28" s="13">
        <f t="shared" si="7"/>
        <v>88</v>
      </c>
      <c r="J28" s="13">
        <f t="shared" si="7"/>
        <v>99</v>
      </c>
      <c r="K28" s="13">
        <f t="shared" si="7"/>
        <v>122</v>
      </c>
      <c r="L28" s="13">
        <f t="shared" si="7"/>
        <v>113</v>
      </c>
      <c r="M28" s="13">
        <f t="shared" si="7"/>
        <v>109</v>
      </c>
      <c r="N28" s="13">
        <f t="shared" si="7"/>
        <v>104</v>
      </c>
      <c r="O28" s="13">
        <f t="shared" si="7"/>
        <v>116</v>
      </c>
      <c r="P28" s="13">
        <f t="shared" si="7"/>
        <v>97</v>
      </c>
      <c r="Q28" s="13">
        <f t="shared" si="7"/>
        <v>118</v>
      </c>
      <c r="R28" s="13">
        <f t="shared" si="7"/>
        <v>107</v>
      </c>
      <c r="S28" s="13">
        <f t="shared" si="7"/>
        <v>107</v>
      </c>
      <c r="T28" s="13">
        <f t="shared" si="7"/>
        <v>97</v>
      </c>
      <c r="U28" s="13">
        <f t="shared" si="7"/>
        <v>104</v>
      </c>
      <c r="V28" s="13">
        <f t="shared" si="7"/>
        <v>102</v>
      </c>
      <c r="W28" s="13">
        <f t="shared" si="7"/>
        <v>102</v>
      </c>
      <c r="X28" s="13">
        <f t="shared" si="7"/>
        <v>83</v>
      </c>
      <c r="Y28" s="13">
        <f t="shared" si="7"/>
        <v>110</v>
      </c>
      <c r="Z28" s="13">
        <f t="shared" si="7"/>
        <v>95</v>
      </c>
      <c r="AA28" s="13">
        <f t="shared" si="7"/>
        <v>95</v>
      </c>
      <c r="AB28" s="13">
        <f t="shared" si="7"/>
        <v>100</v>
      </c>
      <c r="AC28" s="13">
        <f t="shared" si="7"/>
        <v>93</v>
      </c>
      <c r="AD28" s="13">
        <f t="shared" si="7"/>
        <v>94</v>
      </c>
      <c r="AE28" s="13">
        <f t="shared" si="7"/>
        <v>98</v>
      </c>
      <c r="AF28" s="13">
        <f t="shared" si="7"/>
        <v>97</v>
      </c>
      <c r="AG28" s="13">
        <f t="shared" si="7"/>
        <v>82</v>
      </c>
      <c r="AH28" s="13">
        <f t="shared" si="7"/>
        <v>72</v>
      </c>
      <c r="AI28" s="13">
        <f t="shared" si="7"/>
        <v>110</v>
      </c>
      <c r="AJ28" s="13">
        <f t="shared" si="7"/>
        <v>101</v>
      </c>
      <c r="AK28" s="13">
        <f t="shared" si="7"/>
        <v>112</v>
      </c>
      <c r="AL28" s="13">
        <f t="shared" si="3"/>
        <v>3272</v>
      </c>
    </row>
    <row r="29" ht="12.75" customHeight="1">
      <c r="A29" s="36"/>
      <c r="B29" s="27"/>
      <c r="C29" s="35"/>
      <c r="D29" s="13" t="s">
        <v>13</v>
      </c>
      <c r="E29" s="13">
        <f t="shared" ref="E29:AK29" si="8">SUM(E20,E23,E26)</f>
        <v>104</v>
      </c>
      <c r="F29" s="13">
        <f t="shared" si="8"/>
        <v>110</v>
      </c>
      <c r="G29" s="13">
        <f t="shared" si="8"/>
        <v>76</v>
      </c>
      <c r="H29" s="13">
        <f t="shared" si="8"/>
        <v>100</v>
      </c>
      <c r="I29" s="13">
        <f t="shared" si="8"/>
        <v>103</v>
      </c>
      <c r="J29" s="13">
        <f t="shared" si="8"/>
        <v>113</v>
      </c>
      <c r="K29" s="13">
        <f t="shared" si="8"/>
        <v>115</v>
      </c>
      <c r="L29" s="13">
        <f t="shared" si="8"/>
        <v>118</v>
      </c>
      <c r="M29" s="13">
        <f t="shared" si="8"/>
        <v>101</v>
      </c>
      <c r="N29" s="13">
        <f t="shared" si="8"/>
        <v>110</v>
      </c>
      <c r="O29" s="13">
        <f t="shared" si="8"/>
        <v>111</v>
      </c>
      <c r="P29" s="13">
        <f t="shared" si="8"/>
        <v>109</v>
      </c>
      <c r="Q29" s="13">
        <f t="shared" si="8"/>
        <v>101</v>
      </c>
      <c r="R29" s="13">
        <f t="shared" si="8"/>
        <v>106</v>
      </c>
      <c r="S29" s="13">
        <f t="shared" si="8"/>
        <v>102</v>
      </c>
      <c r="T29" s="13">
        <f t="shared" si="8"/>
        <v>91</v>
      </c>
      <c r="U29" s="13">
        <f t="shared" si="8"/>
        <v>114</v>
      </c>
      <c r="V29" s="13">
        <f t="shared" si="8"/>
        <v>105</v>
      </c>
      <c r="W29" s="13">
        <f t="shared" si="8"/>
        <v>105</v>
      </c>
      <c r="X29" s="13">
        <f t="shared" si="8"/>
        <v>89</v>
      </c>
      <c r="Y29" s="13">
        <f t="shared" si="8"/>
        <v>105</v>
      </c>
      <c r="Z29" s="13">
        <f t="shared" si="8"/>
        <v>99</v>
      </c>
      <c r="AA29" s="13">
        <f t="shared" si="8"/>
        <v>105</v>
      </c>
      <c r="AB29" s="13">
        <f t="shared" si="8"/>
        <v>101</v>
      </c>
      <c r="AC29" s="13">
        <f t="shared" si="8"/>
        <v>102</v>
      </c>
      <c r="AD29" s="13">
        <f t="shared" si="8"/>
        <v>91</v>
      </c>
      <c r="AE29" s="13">
        <f t="shared" si="8"/>
        <v>86</v>
      </c>
      <c r="AF29" s="13">
        <f t="shared" si="8"/>
        <v>93</v>
      </c>
      <c r="AG29" s="13">
        <f t="shared" si="8"/>
        <v>89</v>
      </c>
      <c r="AH29" s="13">
        <f t="shared" si="8"/>
        <v>71</v>
      </c>
      <c r="AI29" s="13">
        <f t="shared" si="8"/>
        <v>101</v>
      </c>
      <c r="AJ29" s="13">
        <f t="shared" si="8"/>
        <v>90</v>
      </c>
      <c r="AK29" s="13">
        <f t="shared" si="8"/>
        <v>106</v>
      </c>
      <c r="AL29" s="13">
        <f t="shared" si="3"/>
        <v>3322</v>
      </c>
    </row>
    <row r="30" ht="12.75" customHeight="1">
      <c r="A30" s="36"/>
      <c r="B30" s="28"/>
      <c r="C30" s="37"/>
      <c r="D30" s="13" t="s">
        <v>14</v>
      </c>
      <c r="E30" s="13">
        <f t="shared" ref="E30:AK30" si="9">SUM(E28:E29)</f>
        <v>200</v>
      </c>
      <c r="F30" s="13">
        <f t="shared" si="9"/>
        <v>203</v>
      </c>
      <c r="G30" s="13">
        <f t="shared" si="9"/>
        <v>135</v>
      </c>
      <c r="H30" s="13">
        <f t="shared" si="9"/>
        <v>197</v>
      </c>
      <c r="I30" s="13">
        <f t="shared" si="9"/>
        <v>191</v>
      </c>
      <c r="J30" s="13">
        <f t="shared" si="9"/>
        <v>212</v>
      </c>
      <c r="K30" s="13">
        <f t="shared" si="9"/>
        <v>237</v>
      </c>
      <c r="L30" s="13">
        <f t="shared" si="9"/>
        <v>231</v>
      </c>
      <c r="M30" s="13">
        <f t="shared" si="9"/>
        <v>210</v>
      </c>
      <c r="N30" s="13">
        <f t="shared" si="9"/>
        <v>214</v>
      </c>
      <c r="O30" s="13">
        <f t="shared" si="9"/>
        <v>227</v>
      </c>
      <c r="P30" s="13">
        <f t="shared" si="9"/>
        <v>206</v>
      </c>
      <c r="Q30" s="13">
        <f t="shared" si="9"/>
        <v>219</v>
      </c>
      <c r="R30" s="13">
        <f t="shared" si="9"/>
        <v>213</v>
      </c>
      <c r="S30" s="13">
        <f t="shared" si="9"/>
        <v>209</v>
      </c>
      <c r="T30" s="13">
        <f t="shared" si="9"/>
        <v>188</v>
      </c>
      <c r="U30" s="13">
        <f t="shared" si="9"/>
        <v>218</v>
      </c>
      <c r="V30" s="13">
        <f t="shared" si="9"/>
        <v>207</v>
      </c>
      <c r="W30" s="13">
        <f t="shared" si="9"/>
        <v>207</v>
      </c>
      <c r="X30" s="13">
        <f t="shared" si="9"/>
        <v>172</v>
      </c>
      <c r="Y30" s="13">
        <f t="shared" si="9"/>
        <v>215</v>
      </c>
      <c r="Z30" s="13">
        <f t="shared" si="9"/>
        <v>194</v>
      </c>
      <c r="AA30" s="13">
        <f t="shared" si="9"/>
        <v>200</v>
      </c>
      <c r="AB30" s="13">
        <f t="shared" si="9"/>
        <v>201</v>
      </c>
      <c r="AC30" s="13">
        <f t="shared" si="9"/>
        <v>195</v>
      </c>
      <c r="AD30" s="13">
        <f t="shared" si="9"/>
        <v>185</v>
      </c>
      <c r="AE30" s="13">
        <f t="shared" si="9"/>
        <v>184</v>
      </c>
      <c r="AF30" s="13">
        <f t="shared" si="9"/>
        <v>190</v>
      </c>
      <c r="AG30" s="13">
        <f t="shared" si="9"/>
        <v>171</v>
      </c>
      <c r="AH30" s="13">
        <f t="shared" si="9"/>
        <v>143</v>
      </c>
      <c r="AI30" s="13">
        <f t="shared" si="9"/>
        <v>211</v>
      </c>
      <c r="AJ30" s="13">
        <f t="shared" si="9"/>
        <v>191</v>
      </c>
      <c r="AK30" s="13">
        <f t="shared" si="9"/>
        <v>218</v>
      </c>
      <c r="AL30" s="13">
        <f t="shared" si="3"/>
        <v>6594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19"/>
      <c r="Z31" s="19"/>
      <c r="AA31" s="19"/>
      <c r="AB31" s="19"/>
      <c r="AC31" s="64"/>
      <c r="AD31" s="19"/>
      <c r="AE31" s="19"/>
      <c r="AF31" s="19"/>
      <c r="AG31" s="19"/>
      <c r="AH31" s="64"/>
      <c r="AI31" s="19"/>
      <c r="AJ31" s="19"/>
      <c r="AK31" s="19"/>
      <c r="AL31" s="65"/>
    </row>
    <row r="32" ht="12.75" customHeight="1">
      <c r="A32" s="44" t="s">
        <v>25</v>
      </c>
      <c r="B32" s="14" t="s">
        <v>26</v>
      </c>
      <c r="C32" s="15"/>
      <c r="D32" s="16"/>
      <c r="E32" s="13" t="s">
        <v>129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56</v>
      </c>
      <c r="L32" s="13" t="s">
        <v>57</v>
      </c>
      <c r="M32" s="13" t="s">
        <v>58</v>
      </c>
      <c r="N32" s="13" t="s">
        <v>59</v>
      </c>
      <c r="O32" s="13" t="s">
        <v>60</v>
      </c>
      <c r="P32" s="13" t="s">
        <v>61</v>
      </c>
      <c r="Q32" s="13" t="s">
        <v>62</v>
      </c>
      <c r="R32" s="13" t="s">
        <v>63</v>
      </c>
      <c r="S32" s="13" t="s">
        <v>64</v>
      </c>
      <c r="T32" s="13" t="s">
        <v>65</v>
      </c>
      <c r="U32" s="13" t="s">
        <v>66</v>
      </c>
      <c r="V32" s="13" t="s">
        <v>67</v>
      </c>
      <c r="W32" s="13" t="s">
        <v>68</v>
      </c>
      <c r="X32" s="13" t="s">
        <v>69</v>
      </c>
      <c r="Y32" s="13" t="s">
        <v>70</v>
      </c>
      <c r="Z32" s="13" t="s">
        <v>71</v>
      </c>
      <c r="AA32" s="13" t="s">
        <v>72</v>
      </c>
      <c r="AB32" s="13" t="s">
        <v>73</v>
      </c>
      <c r="AC32" s="13" t="s">
        <v>75</v>
      </c>
      <c r="AD32" s="13" t="s">
        <v>76</v>
      </c>
      <c r="AE32" s="13" t="s">
        <v>77</v>
      </c>
      <c r="AF32" s="13" t="s">
        <v>78</v>
      </c>
      <c r="AG32" s="13" t="s">
        <v>79</v>
      </c>
      <c r="AH32" s="13" t="s">
        <v>80</v>
      </c>
      <c r="AI32" s="13" t="s">
        <v>81</v>
      </c>
      <c r="AJ32" s="13" t="s">
        <v>82</v>
      </c>
      <c r="AK32" s="13" t="s">
        <v>83</v>
      </c>
      <c r="AL32" s="65"/>
    </row>
    <row r="33" ht="12.75" customHeight="1">
      <c r="A33" s="19">
        <v>1.0</v>
      </c>
      <c r="B33" s="20" t="s">
        <v>27</v>
      </c>
      <c r="C33" s="15"/>
      <c r="D33" s="16"/>
      <c r="E33" s="38">
        <v>262.0</v>
      </c>
      <c r="F33" s="38">
        <v>268.0</v>
      </c>
      <c r="G33" s="38">
        <v>201.0</v>
      </c>
      <c r="H33" s="38">
        <v>261.0</v>
      </c>
      <c r="I33" s="38">
        <v>262.0</v>
      </c>
      <c r="J33" s="38">
        <v>278.0</v>
      </c>
      <c r="K33" s="38">
        <v>290.0</v>
      </c>
      <c r="L33" s="38">
        <v>284.0</v>
      </c>
      <c r="M33" s="38">
        <v>253.0</v>
      </c>
      <c r="N33" s="38">
        <v>268.0</v>
      </c>
      <c r="O33" s="38">
        <v>271.0</v>
      </c>
      <c r="P33" s="38">
        <v>266.0</v>
      </c>
      <c r="Q33" s="38">
        <v>283.0</v>
      </c>
      <c r="R33" s="38">
        <v>284.0</v>
      </c>
      <c r="S33" s="38">
        <v>260.0</v>
      </c>
      <c r="T33" s="38">
        <v>234.0</v>
      </c>
      <c r="U33" s="38">
        <v>281.0</v>
      </c>
      <c r="V33" s="38">
        <v>275.0</v>
      </c>
      <c r="W33" s="38">
        <v>288.0</v>
      </c>
      <c r="X33" s="38">
        <v>246.0</v>
      </c>
      <c r="Y33" s="38">
        <v>277.0</v>
      </c>
      <c r="Z33" s="38">
        <v>270.0</v>
      </c>
      <c r="AA33" s="38">
        <v>294.0</v>
      </c>
      <c r="AB33" s="38">
        <v>262.0</v>
      </c>
      <c r="AC33" s="38">
        <v>283.0</v>
      </c>
      <c r="AD33" s="38">
        <v>274.0</v>
      </c>
      <c r="AE33" s="38">
        <v>258.0</v>
      </c>
      <c r="AF33" s="38">
        <v>278.0</v>
      </c>
      <c r="AG33" s="38">
        <v>279.0</v>
      </c>
      <c r="AH33" s="38">
        <v>252.0</v>
      </c>
      <c r="AI33" s="38">
        <v>287.0</v>
      </c>
      <c r="AJ33" s="38">
        <v>289.0</v>
      </c>
      <c r="AK33" s="38">
        <v>280.0</v>
      </c>
      <c r="AL33" s="13">
        <f t="shared" ref="AL33:AL36" si="10">SUM(E33:AK33)</f>
        <v>8898</v>
      </c>
    </row>
    <row r="34" ht="12.75" customHeight="1">
      <c r="A34" s="19">
        <v>2.0</v>
      </c>
      <c r="B34" s="20" t="s">
        <v>28</v>
      </c>
      <c r="C34" s="15"/>
      <c r="D34" s="16"/>
      <c r="E34" s="38">
        <v>200.0</v>
      </c>
      <c r="F34" s="38">
        <v>203.0</v>
      </c>
      <c r="G34" s="38">
        <v>135.0</v>
      </c>
      <c r="H34" s="38">
        <v>197.0</v>
      </c>
      <c r="I34" s="38">
        <v>191.0</v>
      </c>
      <c r="J34" s="38">
        <v>212.0</v>
      </c>
      <c r="K34" s="38">
        <v>237.0</v>
      </c>
      <c r="L34" s="38">
        <v>231.0</v>
      </c>
      <c r="M34" s="38">
        <v>210.0</v>
      </c>
      <c r="N34" s="38">
        <v>214.0</v>
      </c>
      <c r="O34" s="38">
        <v>227.0</v>
      </c>
      <c r="P34" s="38">
        <v>206.0</v>
      </c>
      <c r="Q34" s="38">
        <v>219.0</v>
      </c>
      <c r="R34" s="38">
        <v>213.0</v>
      </c>
      <c r="S34" s="38">
        <v>209.0</v>
      </c>
      <c r="T34" s="38">
        <v>188.0</v>
      </c>
      <c r="U34" s="38">
        <v>218.0</v>
      </c>
      <c r="V34" s="38">
        <v>207.0</v>
      </c>
      <c r="W34" s="38">
        <v>207.0</v>
      </c>
      <c r="X34" s="38">
        <v>172.0</v>
      </c>
      <c r="Y34" s="38">
        <v>215.0</v>
      </c>
      <c r="Z34" s="38">
        <v>194.0</v>
      </c>
      <c r="AA34" s="38">
        <v>200.0</v>
      </c>
      <c r="AB34" s="38">
        <v>201.0</v>
      </c>
      <c r="AC34" s="38">
        <v>195.0</v>
      </c>
      <c r="AD34" s="38">
        <v>185.0</v>
      </c>
      <c r="AE34" s="38">
        <v>184.0</v>
      </c>
      <c r="AF34" s="38">
        <v>190.0</v>
      </c>
      <c r="AG34" s="38">
        <v>171.0</v>
      </c>
      <c r="AH34" s="38">
        <v>143.0</v>
      </c>
      <c r="AI34" s="38">
        <v>211.0</v>
      </c>
      <c r="AJ34" s="38">
        <v>191.0</v>
      </c>
      <c r="AK34" s="38">
        <v>218.0</v>
      </c>
      <c r="AL34" s="13">
        <f t="shared" si="10"/>
        <v>6594</v>
      </c>
    </row>
    <row r="35" ht="12.75" customHeight="1">
      <c r="A35" s="19">
        <v>3.0</v>
      </c>
      <c r="B35" s="20" t="s">
        <v>29</v>
      </c>
      <c r="C35" s="15"/>
      <c r="D35" s="16"/>
      <c r="E35" s="38">
        <v>0.0</v>
      </c>
      <c r="F35" s="38">
        <v>0.0</v>
      </c>
      <c r="G35" s="38">
        <v>0.0</v>
      </c>
      <c r="H35" s="38">
        <v>0.0</v>
      </c>
      <c r="I35" s="38">
        <v>1.0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1.0</v>
      </c>
      <c r="V35" s="38">
        <v>1.0</v>
      </c>
      <c r="W35" s="38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3.0</v>
      </c>
      <c r="AD35" s="38">
        <v>0.0</v>
      </c>
      <c r="AE35" s="38">
        <v>3.0</v>
      </c>
      <c r="AF35" s="38">
        <v>0.0</v>
      </c>
      <c r="AG35" s="38">
        <v>0.0</v>
      </c>
      <c r="AH35" s="38">
        <v>0.0</v>
      </c>
      <c r="AI35" s="38">
        <v>1.0</v>
      </c>
      <c r="AJ35" s="38">
        <v>0.0</v>
      </c>
      <c r="AK35" s="38">
        <v>0.0</v>
      </c>
      <c r="AL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62</v>
      </c>
      <c r="F36" s="13">
        <f t="shared" si="11"/>
        <v>65</v>
      </c>
      <c r="G36" s="13">
        <f t="shared" si="11"/>
        <v>66</v>
      </c>
      <c r="H36" s="13">
        <f t="shared" si="11"/>
        <v>64</v>
      </c>
      <c r="I36" s="13">
        <f t="shared" si="11"/>
        <v>70</v>
      </c>
      <c r="J36" s="13">
        <f t="shared" si="11"/>
        <v>66</v>
      </c>
      <c r="K36" s="13">
        <f t="shared" si="11"/>
        <v>53</v>
      </c>
      <c r="L36" s="13">
        <f t="shared" si="11"/>
        <v>53</v>
      </c>
      <c r="M36" s="13">
        <f t="shared" si="11"/>
        <v>43</v>
      </c>
      <c r="N36" s="13">
        <f t="shared" si="11"/>
        <v>54</v>
      </c>
      <c r="O36" s="13">
        <f t="shared" si="11"/>
        <v>44</v>
      </c>
      <c r="P36" s="13">
        <f t="shared" si="11"/>
        <v>60</v>
      </c>
      <c r="Q36" s="13">
        <f t="shared" si="11"/>
        <v>64</v>
      </c>
      <c r="R36" s="13">
        <f t="shared" si="11"/>
        <v>71</v>
      </c>
      <c r="S36" s="13">
        <f t="shared" si="11"/>
        <v>51</v>
      </c>
      <c r="T36" s="13">
        <f t="shared" si="11"/>
        <v>46</v>
      </c>
      <c r="U36" s="13">
        <f t="shared" si="11"/>
        <v>62</v>
      </c>
      <c r="V36" s="13">
        <f t="shared" si="11"/>
        <v>67</v>
      </c>
      <c r="W36" s="13">
        <f t="shared" si="11"/>
        <v>81</v>
      </c>
      <c r="X36" s="13">
        <f t="shared" si="11"/>
        <v>74</v>
      </c>
      <c r="Y36" s="13">
        <f t="shared" si="11"/>
        <v>62</v>
      </c>
      <c r="Z36" s="13">
        <f t="shared" si="11"/>
        <v>76</v>
      </c>
      <c r="AA36" s="13">
        <f t="shared" si="11"/>
        <v>94</v>
      </c>
      <c r="AB36" s="13">
        <f t="shared" si="11"/>
        <v>61</v>
      </c>
      <c r="AC36" s="13">
        <f t="shared" si="11"/>
        <v>85</v>
      </c>
      <c r="AD36" s="13">
        <f t="shared" si="11"/>
        <v>89</v>
      </c>
      <c r="AE36" s="13">
        <f t="shared" si="11"/>
        <v>71</v>
      </c>
      <c r="AF36" s="13">
        <f t="shared" si="11"/>
        <v>88</v>
      </c>
      <c r="AG36" s="13">
        <f t="shared" si="11"/>
        <v>108</v>
      </c>
      <c r="AH36" s="13">
        <f t="shared" si="11"/>
        <v>109</v>
      </c>
      <c r="AI36" s="13">
        <f t="shared" si="11"/>
        <v>75</v>
      </c>
      <c r="AJ36" s="13">
        <f t="shared" si="11"/>
        <v>98</v>
      </c>
      <c r="AK36" s="13">
        <f t="shared" si="11"/>
        <v>62</v>
      </c>
      <c r="AL36" s="13">
        <f t="shared" si="10"/>
        <v>2294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19"/>
      <c r="Z37" s="19"/>
      <c r="AA37" s="19"/>
      <c r="AB37" s="19"/>
      <c r="AC37" s="64"/>
      <c r="AD37" s="19"/>
      <c r="AE37" s="19"/>
      <c r="AF37" s="19"/>
      <c r="AG37" s="19"/>
      <c r="AH37" s="64"/>
      <c r="AI37" s="19"/>
      <c r="AJ37" s="19"/>
      <c r="AK37" s="19"/>
      <c r="AL37" s="65"/>
    </row>
    <row r="38" ht="12.75" customHeight="1">
      <c r="A38" s="46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56</v>
      </c>
      <c r="L38" s="13" t="s">
        <v>57</v>
      </c>
      <c r="M38" s="13" t="s">
        <v>58</v>
      </c>
      <c r="N38" s="13" t="s">
        <v>59</v>
      </c>
      <c r="O38" s="13" t="s">
        <v>60</v>
      </c>
      <c r="P38" s="13" t="s">
        <v>61</v>
      </c>
      <c r="Q38" s="13" t="s">
        <v>62</v>
      </c>
      <c r="R38" s="13" t="s">
        <v>63</v>
      </c>
      <c r="S38" s="13" t="s">
        <v>64</v>
      </c>
      <c r="T38" s="13" t="s">
        <v>65</v>
      </c>
      <c r="U38" s="13" t="s">
        <v>66</v>
      </c>
      <c r="V38" s="13" t="s">
        <v>67</v>
      </c>
      <c r="W38" s="13" t="s">
        <v>68</v>
      </c>
      <c r="X38" s="13" t="s">
        <v>69</v>
      </c>
      <c r="Y38" s="13" t="s">
        <v>70</v>
      </c>
      <c r="Z38" s="13" t="s">
        <v>71</v>
      </c>
      <c r="AA38" s="13" t="s">
        <v>72</v>
      </c>
      <c r="AB38" s="13" t="s">
        <v>73</v>
      </c>
      <c r="AC38" s="13" t="s">
        <v>75</v>
      </c>
      <c r="AD38" s="13" t="s">
        <v>76</v>
      </c>
      <c r="AE38" s="13" t="s">
        <v>77</v>
      </c>
      <c r="AF38" s="13" t="s">
        <v>78</v>
      </c>
      <c r="AG38" s="13" t="s">
        <v>79</v>
      </c>
      <c r="AH38" s="13" t="s">
        <v>80</v>
      </c>
      <c r="AI38" s="13" t="s">
        <v>81</v>
      </c>
      <c r="AJ38" s="13" t="s">
        <v>82</v>
      </c>
      <c r="AK38" s="13" t="s">
        <v>83</v>
      </c>
      <c r="AL38" s="65"/>
    </row>
    <row r="39" ht="12.75" customHeight="1">
      <c r="A39" s="31"/>
      <c r="B39" s="47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2.0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9">
        <v>1.0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3">
        <f t="shared" ref="AL39:AL41" si="12">SUM(E39:AK39)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3">
        <f t="shared" si="12"/>
        <v>3</v>
      </c>
    </row>
    <row r="41" ht="12.75" customHeight="1">
      <c r="A41" s="44"/>
      <c r="B41" s="48"/>
      <c r="C41" s="28"/>
      <c r="D41" s="13" t="s">
        <v>14</v>
      </c>
      <c r="E41" s="13">
        <f t="shared" ref="E41:AK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3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2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7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9"/>
      <c r="Z42" s="19"/>
      <c r="AA42" s="19"/>
      <c r="AB42" s="19"/>
      <c r="AC42" s="64"/>
      <c r="AD42" s="19"/>
      <c r="AE42" s="19"/>
      <c r="AF42" s="19"/>
      <c r="AG42" s="19"/>
      <c r="AH42" s="64"/>
      <c r="AI42" s="19"/>
      <c r="AJ42" s="19"/>
      <c r="AK42" s="19"/>
      <c r="AL42" s="13"/>
    </row>
    <row r="43" ht="12.75" customHeight="1">
      <c r="A43" s="46" t="s">
        <v>34</v>
      </c>
      <c r="B43" s="14" t="s">
        <v>35</v>
      </c>
      <c r="C43" s="15"/>
      <c r="D43" s="16"/>
      <c r="E43" s="39" t="s">
        <v>50</v>
      </c>
      <c r="F43" s="39" t="s">
        <v>51</v>
      </c>
      <c r="G43" s="39" t="s">
        <v>52</v>
      </c>
      <c r="H43" s="39" t="s">
        <v>53</v>
      </c>
      <c r="I43" s="39" t="s">
        <v>54</v>
      </c>
      <c r="J43" s="39" t="s">
        <v>55</v>
      </c>
      <c r="K43" s="39" t="s">
        <v>56</v>
      </c>
      <c r="L43" s="39" t="s">
        <v>57</v>
      </c>
      <c r="M43" s="39" t="s">
        <v>58</v>
      </c>
      <c r="N43" s="39" t="s">
        <v>59</v>
      </c>
      <c r="O43" s="39" t="s">
        <v>60</v>
      </c>
      <c r="P43" s="39" t="s">
        <v>61</v>
      </c>
      <c r="Q43" s="39" t="s">
        <v>62</v>
      </c>
      <c r="R43" s="39" t="s">
        <v>63</v>
      </c>
      <c r="S43" s="39" t="s">
        <v>64</v>
      </c>
      <c r="T43" s="39" t="s">
        <v>65</v>
      </c>
      <c r="U43" s="39" t="s">
        <v>66</v>
      </c>
      <c r="V43" s="39" t="s">
        <v>67</v>
      </c>
      <c r="W43" s="39" t="s">
        <v>68</v>
      </c>
      <c r="X43" s="39" t="s">
        <v>69</v>
      </c>
      <c r="Y43" s="39" t="s">
        <v>70</v>
      </c>
      <c r="Z43" s="39" t="s">
        <v>71</v>
      </c>
      <c r="AA43" s="39" t="s">
        <v>72</v>
      </c>
      <c r="AB43" s="39" t="s">
        <v>73</v>
      </c>
      <c r="AC43" s="39" t="s">
        <v>75</v>
      </c>
      <c r="AD43" s="39" t="s">
        <v>76</v>
      </c>
      <c r="AE43" s="39" t="s">
        <v>77</v>
      </c>
      <c r="AF43" s="39" t="s">
        <v>78</v>
      </c>
      <c r="AG43" s="39" t="s">
        <v>79</v>
      </c>
      <c r="AH43" s="39" t="s">
        <v>80</v>
      </c>
      <c r="AI43" s="39" t="s">
        <v>81</v>
      </c>
      <c r="AJ43" s="39" t="s">
        <v>82</v>
      </c>
      <c r="AK43" s="39" t="s">
        <v>83</v>
      </c>
      <c r="AL43" s="13"/>
    </row>
    <row r="44" ht="12.75" customHeight="1">
      <c r="A44" s="47" t="s">
        <v>36</v>
      </c>
      <c r="B44" s="50"/>
      <c r="C44" s="50"/>
      <c r="D44" s="23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13"/>
    </row>
    <row r="45" ht="12.75" customHeight="1">
      <c r="A45" s="67"/>
      <c r="B45" s="51">
        <v>1.0</v>
      </c>
      <c r="C45" s="52" t="s">
        <v>37</v>
      </c>
      <c r="D45" s="16"/>
      <c r="E45" s="38">
        <v>20.0</v>
      </c>
      <c r="F45" s="38">
        <v>20.0</v>
      </c>
      <c r="G45" s="38">
        <v>13.0</v>
      </c>
      <c r="H45" s="38">
        <v>33.0</v>
      </c>
      <c r="I45" s="38">
        <v>9.0</v>
      </c>
      <c r="J45" s="38">
        <v>6.0</v>
      </c>
      <c r="K45" s="38">
        <v>46.0</v>
      </c>
      <c r="L45" s="38">
        <v>10.0</v>
      </c>
      <c r="M45" s="38">
        <v>11.0</v>
      </c>
      <c r="N45" s="38">
        <v>15.0</v>
      </c>
      <c r="O45" s="38">
        <v>16.0</v>
      </c>
      <c r="P45" s="38">
        <v>14.0</v>
      </c>
      <c r="Q45" s="38">
        <v>27.0</v>
      </c>
      <c r="R45" s="38">
        <v>13.0</v>
      </c>
      <c r="S45" s="38">
        <v>25.0</v>
      </c>
      <c r="T45" s="38">
        <v>23.0</v>
      </c>
      <c r="U45" s="38">
        <v>14.0</v>
      </c>
      <c r="V45" s="38">
        <v>9.0</v>
      </c>
      <c r="W45" s="38">
        <v>17.0</v>
      </c>
      <c r="X45" s="38">
        <v>18.0</v>
      </c>
      <c r="Y45" s="38">
        <v>11.0</v>
      </c>
      <c r="Z45" s="38">
        <v>6.0</v>
      </c>
      <c r="AA45" s="38">
        <v>16.0</v>
      </c>
      <c r="AB45" s="38">
        <v>10.0</v>
      </c>
      <c r="AC45" s="38">
        <v>19.0</v>
      </c>
      <c r="AD45" s="38">
        <v>18.0</v>
      </c>
      <c r="AE45" s="38">
        <v>20.0</v>
      </c>
      <c r="AF45" s="38">
        <v>9.0</v>
      </c>
      <c r="AG45" s="38">
        <v>8.0</v>
      </c>
      <c r="AH45" s="38">
        <v>3.0</v>
      </c>
      <c r="AI45" s="38">
        <v>2.0</v>
      </c>
      <c r="AJ45" s="38">
        <v>7.0</v>
      </c>
      <c r="AK45" s="38">
        <v>9.0</v>
      </c>
      <c r="AL45" s="13">
        <f t="shared" ref="AL45:AL47" si="14">SUM(E45:AK45)</f>
        <v>497</v>
      </c>
    </row>
    <row r="46" ht="12.75" customHeight="1">
      <c r="A46" s="18"/>
      <c r="B46" s="51">
        <v>2.0</v>
      </c>
      <c r="C46" s="52" t="s">
        <v>38</v>
      </c>
      <c r="D46" s="16"/>
      <c r="E46" s="38">
        <v>158.0</v>
      </c>
      <c r="F46" s="38">
        <v>146.0</v>
      </c>
      <c r="G46" s="38">
        <v>96.0</v>
      </c>
      <c r="H46" s="38">
        <v>131.0</v>
      </c>
      <c r="I46" s="38">
        <v>155.0</v>
      </c>
      <c r="J46" s="38">
        <v>174.0</v>
      </c>
      <c r="K46" s="38">
        <v>158.0</v>
      </c>
      <c r="L46" s="38">
        <v>183.0</v>
      </c>
      <c r="M46" s="38">
        <v>165.0</v>
      </c>
      <c r="N46" s="38">
        <v>151.0</v>
      </c>
      <c r="O46" s="38">
        <v>160.0</v>
      </c>
      <c r="P46" s="38">
        <v>120.0</v>
      </c>
      <c r="Q46" s="38">
        <v>166.0</v>
      </c>
      <c r="R46" s="38">
        <v>162.0</v>
      </c>
      <c r="S46" s="38">
        <v>159.0</v>
      </c>
      <c r="T46" s="38">
        <v>146.0</v>
      </c>
      <c r="U46" s="38">
        <v>176.0</v>
      </c>
      <c r="V46" s="38">
        <v>160.0</v>
      </c>
      <c r="W46" s="38">
        <v>172.0</v>
      </c>
      <c r="X46" s="38">
        <v>129.0</v>
      </c>
      <c r="Y46" s="38">
        <v>180.0</v>
      </c>
      <c r="Z46" s="38">
        <v>159.0</v>
      </c>
      <c r="AA46" s="38">
        <v>154.0</v>
      </c>
      <c r="AB46" s="38">
        <v>159.0</v>
      </c>
      <c r="AC46" s="38">
        <v>125.0</v>
      </c>
      <c r="AD46" s="38">
        <v>129.0</v>
      </c>
      <c r="AE46" s="38">
        <v>117.0</v>
      </c>
      <c r="AF46" s="38">
        <v>130.0</v>
      </c>
      <c r="AG46" s="38">
        <v>134.0</v>
      </c>
      <c r="AH46" s="38">
        <v>100.0</v>
      </c>
      <c r="AI46" s="38">
        <v>159.0</v>
      </c>
      <c r="AJ46" s="38">
        <v>144.0</v>
      </c>
      <c r="AK46" s="38">
        <v>167.0</v>
      </c>
      <c r="AL46" s="13">
        <f t="shared" si="14"/>
        <v>4924</v>
      </c>
    </row>
    <row r="47" ht="12.75" customHeight="1">
      <c r="A47" s="49"/>
      <c r="B47" s="51">
        <v>3.0</v>
      </c>
      <c r="C47" s="52" t="s">
        <v>39</v>
      </c>
      <c r="D47" s="16"/>
      <c r="E47" s="38">
        <v>20.0</v>
      </c>
      <c r="F47" s="38">
        <v>32.0</v>
      </c>
      <c r="G47" s="38">
        <v>24.0</v>
      </c>
      <c r="H47" s="38">
        <v>32.0</v>
      </c>
      <c r="I47" s="38">
        <v>25.0</v>
      </c>
      <c r="J47" s="38">
        <v>30.0</v>
      </c>
      <c r="K47" s="38">
        <v>31.0</v>
      </c>
      <c r="L47" s="38">
        <v>30.0</v>
      </c>
      <c r="M47" s="38">
        <v>30.0</v>
      </c>
      <c r="N47" s="38">
        <v>45.0</v>
      </c>
      <c r="O47" s="38">
        <v>47.0</v>
      </c>
      <c r="P47" s="38">
        <v>66.0</v>
      </c>
      <c r="Q47" s="38">
        <v>24.0</v>
      </c>
      <c r="R47" s="38">
        <v>36.0</v>
      </c>
      <c r="S47" s="38">
        <v>23.0</v>
      </c>
      <c r="T47" s="38">
        <v>17.0</v>
      </c>
      <c r="U47" s="38">
        <v>27.0</v>
      </c>
      <c r="V47" s="38">
        <v>34.0</v>
      </c>
      <c r="W47" s="38">
        <v>16.0</v>
      </c>
      <c r="X47" s="38">
        <v>22.0</v>
      </c>
      <c r="Y47" s="38">
        <v>21.0</v>
      </c>
      <c r="Z47" s="38">
        <v>27.0</v>
      </c>
      <c r="AA47" s="38">
        <v>28.0</v>
      </c>
      <c r="AB47" s="38">
        <v>30.0</v>
      </c>
      <c r="AC47" s="38">
        <v>47.0</v>
      </c>
      <c r="AD47" s="38">
        <v>33.0</v>
      </c>
      <c r="AE47" s="38">
        <v>36.0</v>
      </c>
      <c r="AF47" s="38">
        <v>45.0</v>
      </c>
      <c r="AG47" s="38">
        <v>26.0</v>
      </c>
      <c r="AH47" s="38">
        <v>31.0</v>
      </c>
      <c r="AI47" s="38">
        <v>49.0</v>
      </c>
      <c r="AJ47" s="38">
        <v>35.0</v>
      </c>
      <c r="AK47" s="38">
        <v>39.0</v>
      </c>
      <c r="AL47" s="13">
        <f t="shared" si="14"/>
        <v>1058</v>
      </c>
    </row>
    <row r="48" ht="12.75" customHeight="1">
      <c r="AL48" s="13"/>
    </row>
    <row r="49" ht="12.75" customHeight="1">
      <c r="A49" s="46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56</v>
      </c>
      <c r="L49" s="13" t="s">
        <v>57</v>
      </c>
      <c r="M49" s="13" t="s">
        <v>58</v>
      </c>
      <c r="N49" s="13" t="s">
        <v>59</v>
      </c>
      <c r="O49" s="13" t="s">
        <v>60</v>
      </c>
      <c r="P49" s="13" t="s">
        <v>61</v>
      </c>
      <c r="Q49" s="13" t="s">
        <v>62</v>
      </c>
      <c r="R49" s="13" t="s">
        <v>63</v>
      </c>
      <c r="S49" s="13" t="s">
        <v>64</v>
      </c>
      <c r="T49" s="13" t="s">
        <v>65</v>
      </c>
      <c r="U49" s="13" t="s">
        <v>66</v>
      </c>
      <c r="V49" s="13" t="s">
        <v>67</v>
      </c>
      <c r="W49" s="13" t="s">
        <v>68</v>
      </c>
      <c r="X49" s="13" t="s">
        <v>69</v>
      </c>
      <c r="Y49" s="13" t="s">
        <v>70</v>
      </c>
      <c r="Z49" s="13" t="s">
        <v>71</v>
      </c>
      <c r="AA49" s="13" t="s">
        <v>72</v>
      </c>
      <c r="AB49" s="13" t="s">
        <v>73</v>
      </c>
      <c r="AC49" s="13" t="s">
        <v>75</v>
      </c>
      <c r="AD49" s="13" t="s">
        <v>76</v>
      </c>
      <c r="AE49" s="13" t="s">
        <v>77</v>
      </c>
      <c r="AF49" s="13" t="s">
        <v>78</v>
      </c>
      <c r="AG49" s="13" t="s">
        <v>79</v>
      </c>
      <c r="AH49" s="13" t="s">
        <v>80</v>
      </c>
      <c r="AI49" s="13" t="s">
        <v>81</v>
      </c>
      <c r="AJ49" s="13" t="s">
        <v>82</v>
      </c>
      <c r="AK49" s="13" t="s">
        <v>83</v>
      </c>
      <c r="AL49" s="13"/>
    </row>
    <row r="50" ht="12.75" customHeight="1">
      <c r="A50" s="46"/>
      <c r="B50" s="58" t="s">
        <v>42</v>
      </c>
      <c r="C50" s="59" t="s">
        <v>43</v>
      </c>
      <c r="D50" s="16"/>
      <c r="E50" s="19">
        <f t="shared" ref="E50:AK50" si="15">SUM(E45:E47)</f>
        <v>198</v>
      </c>
      <c r="F50" s="19">
        <f t="shared" si="15"/>
        <v>198</v>
      </c>
      <c r="G50" s="19">
        <f t="shared" si="15"/>
        <v>133</v>
      </c>
      <c r="H50" s="19">
        <f t="shared" si="15"/>
        <v>196</v>
      </c>
      <c r="I50" s="19">
        <f t="shared" si="15"/>
        <v>189</v>
      </c>
      <c r="J50" s="19">
        <f t="shared" si="15"/>
        <v>210</v>
      </c>
      <c r="K50" s="19">
        <f t="shared" si="15"/>
        <v>235</v>
      </c>
      <c r="L50" s="19">
        <f t="shared" si="15"/>
        <v>223</v>
      </c>
      <c r="M50" s="19">
        <f t="shared" si="15"/>
        <v>206</v>
      </c>
      <c r="N50" s="19">
        <f t="shared" si="15"/>
        <v>211</v>
      </c>
      <c r="O50" s="19">
        <f t="shared" si="15"/>
        <v>223</v>
      </c>
      <c r="P50" s="19">
        <f t="shared" si="15"/>
        <v>200</v>
      </c>
      <c r="Q50" s="19">
        <f t="shared" si="15"/>
        <v>217</v>
      </c>
      <c r="R50" s="19">
        <f t="shared" si="15"/>
        <v>211</v>
      </c>
      <c r="S50" s="19">
        <f t="shared" si="15"/>
        <v>207</v>
      </c>
      <c r="T50" s="19">
        <f t="shared" si="15"/>
        <v>186</v>
      </c>
      <c r="U50" s="19">
        <f t="shared" si="15"/>
        <v>217</v>
      </c>
      <c r="V50" s="19">
        <f t="shared" si="15"/>
        <v>203</v>
      </c>
      <c r="W50" s="19">
        <f t="shared" si="15"/>
        <v>205</v>
      </c>
      <c r="X50" s="19">
        <f t="shared" si="15"/>
        <v>169</v>
      </c>
      <c r="Y50" s="19">
        <f t="shared" si="15"/>
        <v>212</v>
      </c>
      <c r="Z50" s="19">
        <f t="shared" si="15"/>
        <v>192</v>
      </c>
      <c r="AA50" s="19">
        <f t="shared" si="15"/>
        <v>198</v>
      </c>
      <c r="AB50" s="19">
        <f t="shared" si="15"/>
        <v>199</v>
      </c>
      <c r="AC50" s="19">
        <f t="shared" si="15"/>
        <v>191</v>
      </c>
      <c r="AD50" s="19">
        <f t="shared" si="15"/>
        <v>180</v>
      </c>
      <c r="AE50" s="19">
        <f t="shared" si="15"/>
        <v>173</v>
      </c>
      <c r="AF50" s="19">
        <f t="shared" si="15"/>
        <v>184</v>
      </c>
      <c r="AG50" s="19">
        <f t="shared" si="15"/>
        <v>168</v>
      </c>
      <c r="AH50" s="19">
        <f t="shared" si="15"/>
        <v>134</v>
      </c>
      <c r="AI50" s="19">
        <f t="shared" si="15"/>
        <v>210</v>
      </c>
      <c r="AJ50" s="19">
        <f t="shared" si="15"/>
        <v>186</v>
      </c>
      <c r="AK50" s="19">
        <f t="shared" si="15"/>
        <v>215</v>
      </c>
      <c r="AL50" s="13">
        <f t="shared" ref="AL50:AL52" si="16">SUM(E50:AK50)</f>
        <v>6479</v>
      </c>
    </row>
    <row r="51" ht="12.75" customHeight="1">
      <c r="A51" s="36"/>
      <c r="B51" s="58" t="s">
        <v>44</v>
      </c>
      <c r="C51" s="59" t="s">
        <v>45</v>
      </c>
      <c r="D51" s="16"/>
      <c r="E51" s="38">
        <v>2.0</v>
      </c>
      <c r="F51" s="38">
        <v>5.0</v>
      </c>
      <c r="G51" s="38">
        <v>2.0</v>
      </c>
      <c r="H51" s="38">
        <v>1.0</v>
      </c>
      <c r="I51" s="38">
        <v>2.0</v>
      </c>
      <c r="J51" s="38">
        <v>2.0</v>
      </c>
      <c r="K51" s="38">
        <v>2.0</v>
      </c>
      <c r="L51" s="38">
        <v>8.0</v>
      </c>
      <c r="M51" s="38">
        <v>4.0</v>
      </c>
      <c r="N51" s="38">
        <v>3.0</v>
      </c>
      <c r="O51" s="38">
        <v>4.0</v>
      </c>
      <c r="P51" s="38">
        <v>6.0</v>
      </c>
      <c r="Q51" s="38">
        <v>2.0</v>
      </c>
      <c r="R51" s="38">
        <v>2.0</v>
      </c>
      <c r="S51" s="38">
        <v>2.0</v>
      </c>
      <c r="T51" s="38">
        <v>2.0</v>
      </c>
      <c r="U51" s="38">
        <v>1.0</v>
      </c>
      <c r="V51" s="38">
        <v>4.0</v>
      </c>
      <c r="W51" s="38">
        <v>2.0</v>
      </c>
      <c r="X51" s="38">
        <v>3.0</v>
      </c>
      <c r="Y51" s="38">
        <v>3.0</v>
      </c>
      <c r="Z51" s="38">
        <v>2.0</v>
      </c>
      <c r="AA51" s="38">
        <v>2.0</v>
      </c>
      <c r="AB51" s="38">
        <v>2.0</v>
      </c>
      <c r="AC51" s="38">
        <v>4.0</v>
      </c>
      <c r="AD51" s="38">
        <v>5.0</v>
      </c>
      <c r="AE51" s="38">
        <v>11.0</v>
      </c>
      <c r="AF51" s="38">
        <v>6.0</v>
      </c>
      <c r="AG51" s="38">
        <v>3.0</v>
      </c>
      <c r="AH51" s="38">
        <v>9.0</v>
      </c>
      <c r="AI51" s="19">
        <v>1.0</v>
      </c>
      <c r="AJ51" s="19">
        <v>5.0</v>
      </c>
      <c r="AK51" s="19">
        <v>3.0</v>
      </c>
      <c r="AL51" s="13">
        <f t="shared" si="16"/>
        <v>115</v>
      </c>
    </row>
    <row r="52" ht="12.75" customHeight="1">
      <c r="A52" s="44"/>
      <c r="B52" s="58" t="s">
        <v>46</v>
      </c>
      <c r="C52" s="59" t="s">
        <v>47</v>
      </c>
      <c r="D52" s="16"/>
      <c r="E52" s="13">
        <f t="shared" ref="E52:AK52" si="17">SUM(E50:E51)</f>
        <v>200</v>
      </c>
      <c r="F52" s="13">
        <f t="shared" si="17"/>
        <v>203</v>
      </c>
      <c r="G52" s="13">
        <f t="shared" si="17"/>
        <v>135</v>
      </c>
      <c r="H52" s="13">
        <f t="shared" si="17"/>
        <v>197</v>
      </c>
      <c r="I52" s="13">
        <f t="shared" si="17"/>
        <v>191</v>
      </c>
      <c r="J52" s="13">
        <f t="shared" si="17"/>
        <v>212</v>
      </c>
      <c r="K52" s="13">
        <f t="shared" si="17"/>
        <v>237</v>
      </c>
      <c r="L52" s="13">
        <f t="shared" si="17"/>
        <v>231</v>
      </c>
      <c r="M52" s="13">
        <f t="shared" si="17"/>
        <v>210</v>
      </c>
      <c r="N52" s="13">
        <f t="shared" si="17"/>
        <v>214</v>
      </c>
      <c r="O52" s="13">
        <f t="shared" si="17"/>
        <v>227</v>
      </c>
      <c r="P52" s="13">
        <f t="shared" si="17"/>
        <v>206</v>
      </c>
      <c r="Q52" s="13">
        <f t="shared" si="17"/>
        <v>219</v>
      </c>
      <c r="R52" s="13">
        <f t="shared" si="17"/>
        <v>213</v>
      </c>
      <c r="S52" s="13">
        <f t="shared" si="17"/>
        <v>209</v>
      </c>
      <c r="T52" s="13">
        <f t="shared" si="17"/>
        <v>188</v>
      </c>
      <c r="U52" s="13">
        <f t="shared" si="17"/>
        <v>218</v>
      </c>
      <c r="V52" s="13">
        <f t="shared" si="17"/>
        <v>207</v>
      </c>
      <c r="W52" s="13">
        <f t="shared" si="17"/>
        <v>207</v>
      </c>
      <c r="X52" s="13">
        <f t="shared" si="17"/>
        <v>172</v>
      </c>
      <c r="Y52" s="13">
        <f t="shared" si="17"/>
        <v>215</v>
      </c>
      <c r="Z52" s="13">
        <f t="shared" si="17"/>
        <v>194</v>
      </c>
      <c r="AA52" s="13">
        <f t="shared" si="17"/>
        <v>200</v>
      </c>
      <c r="AB52" s="13">
        <f t="shared" si="17"/>
        <v>201</v>
      </c>
      <c r="AC52" s="13">
        <f t="shared" si="17"/>
        <v>195</v>
      </c>
      <c r="AD52" s="13">
        <f t="shared" si="17"/>
        <v>185</v>
      </c>
      <c r="AE52" s="13">
        <f t="shared" si="17"/>
        <v>184</v>
      </c>
      <c r="AF52" s="13">
        <f t="shared" si="17"/>
        <v>190</v>
      </c>
      <c r="AG52" s="13">
        <f t="shared" si="17"/>
        <v>171</v>
      </c>
      <c r="AH52" s="13">
        <f t="shared" si="17"/>
        <v>143</v>
      </c>
      <c r="AI52" s="13">
        <f t="shared" si="17"/>
        <v>211</v>
      </c>
      <c r="AJ52" s="13">
        <f t="shared" si="17"/>
        <v>191</v>
      </c>
      <c r="AK52" s="13">
        <f t="shared" si="17"/>
        <v>218</v>
      </c>
      <c r="AL52" s="13">
        <f t="shared" si="16"/>
        <v>6594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M117" s="5"/>
      <c r="AN117" s="5"/>
    </row>
    <row r="118" ht="12.75" customHeight="1">
      <c r="AM118" s="5"/>
      <c r="AN118" s="5"/>
    </row>
    <row r="119" ht="12.75" customHeight="1">
      <c r="AM119" s="5"/>
      <c r="AN119" s="5"/>
    </row>
    <row r="120" ht="12.75" customHeight="1">
      <c r="AM120" s="5"/>
      <c r="AN120" s="5"/>
    </row>
    <row r="121" ht="12.75" customHeight="1">
      <c r="AM121" s="5"/>
      <c r="AN121" s="5"/>
    </row>
    <row r="122" ht="12.75" customHeight="1">
      <c r="AM122" s="5"/>
      <c r="AN122" s="5"/>
    </row>
    <row r="123" ht="12.75" customHeight="1">
      <c r="AM123" s="5"/>
      <c r="AN123" s="5"/>
    </row>
    <row r="124" ht="12.75" customHeight="1">
      <c r="AM124" s="5"/>
      <c r="AN124" s="5"/>
    </row>
    <row r="125" ht="12.75" customHeight="1">
      <c r="AM125" s="5"/>
      <c r="AN125" s="5"/>
    </row>
    <row r="126" ht="12.75" customHeight="1">
      <c r="AM126" s="5"/>
      <c r="AN126" s="5"/>
    </row>
    <row r="127" ht="12.75" customHeight="1">
      <c r="AM127" s="5"/>
      <c r="AN127" s="5"/>
    </row>
    <row r="128" ht="12.75" customHeight="1">
      <c r="AM128" s="5"/>
      <c r="AN128" s="5"/>
    </row>
    <row r="129" ht="12.75" customHeight="1">
      <c r="AM129" s="5"/>
      <c r="AN129" s="5"/>
    </row>
    <row r="130" ht="12.75" customHeight="1">
      <c r="AM130" s="1"/>
      <c r="AN130" s="1"/>
    </row>
    <row r="131" ht="12.75" customHeight="1">
      <c r="AM131" s="54"/>
      <c r="AN131" s="54"/>
    </row>
    <row r="132" ht="12.75" customHeight="1">
      <c r="AM132" s="5"/>
      <c r="AN132" s="5"/>
    </row>
    <row r="133" ht="12.75" customHeight="1">
      <c r="AM133" s="5"/>
      <c r="AN133" s="5"/>
    </row>
    <row r="134" ht="12.75" customHeight="1">
      <c r="AM134" s="5"/>
      <c r="AN134" s="5"/>
    </row>
    <row r="135" ht="12.75" customHeight="1">
      <c r="AM135" s="5"/>
      <c r="AN135" s="5"/>
    </row>
    <row r="136" ht="12.75" customHeight="1">
      <c r="AM136" s="5"/>
      <c r="AN136" s="5"/>
    </row>
    <row r="137" ht="12.75" customHeight="1">
      <c r="AM137" s="5"/>
      <c r="AN137" s="5"/>
    </row>
    <row r="138" ht="12.75" customHeight="1">
      <c r="AM138" s="5"/>
      <c r="AN138" s="5"/>
    </row>
    <row r="139" ht="12.75" customHeight="1">
      <c r="AM139" s="5"/>
      <c r="AN139" s="5"/>
    </row>
    <row r="140" ht="12.75" customHeight="1">
      <c r="AM140" s="5"/>
      <c r="AN140" s="5"/>
    </row>
    <row r="141" ht="12.75" customHeight="1">
      <c r="AM141" s="1"/>
      <c r="AN141" s="1"/>
    </row>
    <row r="142" ht="12.75" customHeight="1">
      <c r="AM142" s="54"/>
      <c r="AN142" s="54"/>
    </row>
    <row r="143" ht="12.75" customHeight="1">
      <c r="AM143" s="5"/>
      <c r="AN143" s="5"/>
    </row>
    <row r="144" ht="12.75" customHeight="1">
      <c r="AM144" s="5"/>
      <c r="AN144" s="5"/>
    </row>
    <row r="145" ht="12.75" customHeight="1">
      <c r="AM145" s="5"/>
      <c r="AN145" s="5"/>
    </row>
    <row r="146" ht="12.75" customHeight="1">
      <c r="AM146" s="5"/>
      <c r="AN146" s="5"/>
    </row>
    <row r="147" ht="12.75" customHeight="1">
      <c r="AM147" s="5"/>
      <c r="AN147" s="5"/>
    </row>
    <row r="148" ht="12.75" customHeight="1">
      <c r="AM148" s="5"/>
      <c r="AN148" s="5"/>
    </row>
    <row r="149" ht="12.75" customHeight="1">
      <c r="AM149" s="5"/>
      <c r="AN149" s="5"/>
    </row>
    <row r="150" ht="12.75" customHeight="1">
      <c r="AM150" s="5"/>
      <c r="AN150" s="5"/>
    </row>
    <row r="151" ht="12.75" customHeight="1">
      <c r="AM151" s="1"/>
      <c r="AN151" s="1"/>
    </row>
    <row r="152" ht="12.75" customHeight="1">
      <c r="AM152" s="54"/>
      <c r="AN152" s="54"/>
    </row>
    <row r="153" ht="12.75" customHeight="1">
      <c r="AM153" s="5"/>
      <c r="AN153" s="5"/>
    </row>
    <row r="154" ht="12.75" customHeight="1">
      <c r="AM154" s="5"/>
      <c r="AN154" s="5"/>
    </row>
    <row r="155" ht="12.75" customHeight="1">
      <c r="AM155" s="5"/>
      <c r="AN155" s="5"/>
    </row>
    <row r="156" ht="12.75" customHeight="1">
      <c r="AM156" s="5"/>
      <c r="AN156" s="5"/>
    </row>
    <row r="157" ht="12.75" customHeight="1">
      <c r="AM157" s="5"/>
      <c r="AN157" s="5"/>
    </row>
    <row r="158" ht="12.75" customHeight="1">
      <c r="AM158" s="5"/>
      <c r="AN158" s="5"/>
    </row>
    <row r="159" ht="12.75" customHeight="1">
      <c r="AM159" s="5"/>
      <c r="AN159" s="5"/>
    </row>
    <row r="160" ht="12.75" customHeight="1">
      <c r="AM160" s="5"/>
      <c r="AN160" s="5"/>
    </row>
    <row r="161" ht="12.75" customHeight="1">
      <c r="AM161" s="5"/>
      <c r="AN161" s="5"/>
    </row>
    <row r="162" ht="12.75" customHeight="1">
      <c r="AM162" s="5"/>
      <c r="AN162" s="5"/>
    </row>
    <row r="163" ht="12.75" customHeight="1">
      <c r="AM163" s="5"/>
      <c r="AN163" s="5"/>
    </row>
    <row r="164" ht="12.75" customHeight="1">
      <c r="AM164" s="5"/>
      <c r="AN164" s="5"/>
    </row>
    <row r="165" ht="12.75" customHeight="1">
      <c r="AM165" s="1"/>
      <c r="AN165" s="1"/>
    </row>
    <row r="166" ht="12.75" customHeight="1">
      <c r="AM166" s="54"/>
      <c r="AN166" s="54"/>
    </row>
    <row r="167" ht="12.75" customHeight="1">
      <c r="AM167" s="5"/>
      <c r="AN167" s="5"/>
    </row>
    <row r="168" ht="12.75" customHeight="1">
      <c r="AM168" s="5"/>
      <c r="AN168" s="5"/>
    </row>
    <row r="169" ht="12.75" customHeight="1">
      <c r="AM169" s="5"/>
      <c r="AN169" s="5"/>
    </row>
    <row r="170" ht="12.75" customHeight="1">
      <c r="AM170" s="5"/>
      <c r="AN170" s="5"/>
    </row>
    <row r="171" ht="12.75" customHeight="1">
      <c r="AM171" s="5"/>
      <c r="AN171" s="5"/>
    </row>
    <row r="172" ht="12.75" customHeight="1">
      <c r="AM172" s="5"/>
      <c r="AN172" s="5"/>
    </row>
    <row r="173" ht="12.75" customHeight="1">
      <c r="AM173" s="5"/>
      <c r="AN173" s="5"/>
    </row>
    <row r="174" ht="12.75" customHeight="1">
      <c r="AM174" s="5"/>
      <c r="AN174" s="5"/>
    </row>
    <row r="175" ht="12.75" customHeight="1">
      <c r="AM175" s="5"/>
      <c r="AN175" s="5"/>
    </row>
    <row r="176" ht="12.75" customHeight="1">
      <c r="AM176" s="1"/>
      <c r="AN176" s="1"/>
    </row>
    <row r="177" ht="12.75" customHeight="1"/>
    <row r="178" ht="12.75" customHeight="1">
      <c r="AM178" s="5"/>
      <c r="AN178" s="5"/>
    </row>
    <row r="179" ht="12.75" customHeight="1">
      <c r="AM179" s="5"/>
      <c r="AN179" s="5"/>
    </row>
    <row r="180" ht="12.75" customHeight="1">
      <c r="AM180" s="5"/>
      <c r="AN180" s="5"/>
    </row>
    <row r="181" ht="12.75" customHeight="1">
      <c r="AM181" s="5"/>
      <c r="AN181" s="5"/>
    </row>
    <row r="182" ht="12.75" customHeight="1">
      <c r="AM182" s="5"/>
      <c r="AN182" s="5"/>
    </row>
    <row r="183" ht="12.75" customHeight="1">
      <c r="AM183" s="5"/>
      <c r="AN183" s="5"/>
    </row>
    <row r="184" ht="12.75" customHeight="1">
      <c r="AM184" s="5"/>
      <c r="AN184" s="5"/>
    </row>
    <row r="185" ht="12.75" customHeight="1">
      <c r="AM185" s="5"/>
      <c r="AN185" s="5"/>
    </row>
    <row r="186" ht="12.75" customHeight="1">
      <c r="AM186" s="5"/>
      <c r="AN186" s="5"/>
    </row>
    <row r="187" ht="12.75" customHeight="1">
      <c r="AM187" s="1"/>
      <c r="AN187" s="1"/>
    </row>
    <row r="188" ht="12.75" customHeight="1"/>
    <row r="189" ht="12.75" customHeight="1">
      <c r="AM189" s="5"/>
      <c r="AN189" s="5"/>
    </row>
    <row r="190" ht="12.75" customHeight="1">
      <c r="AM190" s="5"/>
      <c r="AN190" s="5"/>
    </row>
    <row r="191" ht="12.75" customHeight="1">
      <c r="AM191" s="5"/>
      <c r="AN191" s="5"/>
    </row>
    <row r="192" ht="12.75" customHeight="1">
      <c r="AM192" s="5"/>
      <c r="AN192" s="5"/>
    </row>
    <row r="193" ht="12.75" customHeight="1">
      <c r="AM193" s="5"/>
      <c r="AN193" s="5"/>
    </row>
    <row r="194" ht="12.75" customHeight="1">
      <c r="AM194" s="5"/>
      <c r="AN194" s="5"/>
    </row>
    <row r="195" ht="12.75" customHeight="1">
      <c r="AM195" s="5"/>
      <c r="AN195" s="5"/>
    </row>
    <row r="196" ht="12.75" customHeight="1">
      <c r="AM196" s="1"/>
      <c r="AN196" s="1"/>
    </row>
    <row r="197" ht="12.75" customHeight="1">
      <c r="AM197" s="1"/>
      <c r="AN197" s="1"/>
    </row>
    <row r="198" ht="12.75" customHeight="1">
      <c r="AM198" s="1"/>
      <c r="AN198" s="1"/>
    </row>
    <row r="199" ht="12.75" customHeight="1">
      <c r="AM199" s="54"/>
      <c r="AN199" s="54"/>
    </row>
    <row r="200" ht="12.75" customHeight="1">
      <c r="AM200" s="5"/>
      <c r="AN200" s="5"/>
    </row>
    <row r="201" ht="12.75" customHeight="1">
      <c r="AM201" s="5"/>
      <c r="AN201" s="5"/>
    </row>
    <row r="202" ht="12.75" customHeight="1">
      <c r="AM202" s="5"/>
      <c r="AN202" s="5"/>
    </row>
    <row r="203" ht="12.75" customHeight="1">
      <c r="AM203" s="5"/>
      <c r="AN203" s="5"/>
    </row>
    <row r="204" ht="12.75" customHeight="1">
      <c r="AM204" s="5"/>
      <c r="AN204" s="5"/>
    </row>
    <row r="205" ht="12.75" customHeight="1">
      <c r="AM205" s="5"/>
      <c r="AN205" s="5"/>
    </row>
    <row r="206" ht="12.75" customHeight="1">
      <c r="AM206" s="5"/>
      <c r="AN206" s="5"/>
    </row>
    <row r="207" ht="12.75" customHeight="1">
      <c r="AM207" s="1"/>
      <c r="AN207" s="1"/>
    </row>
    <row r="208" ht="12.75" customHeight="1">
      <c r="AM208" s="54"/>
      <c r="AN208" s="54"/>
    </row>
    <row r="209" ht="12.75" customHeight="1">
      <c r="AM209" s="54"/>
      <c r="AN209" s="54"/>
    </row>
    <row r="210" ht="12.75" customHeight="1">
      <c r="AM210" s="54"/>
      <c r="AN210" s="54"/>
    </row>
    <row r="211" ht="12.75" customHeight="1">
      <c r="AM211" s="5"/>
      <c r="AN211" s="5"/>
    </row>
    <row r="212" ht="12.75" customHeight="1">
      <c r="AM212" s="5"/>
      <c r="AN212" s="5"/>
    </row>
    <row r="213" ht="12.75" customHeight="1">
      <c r="AM213" s="5"/>
      <c r="AN213" s="5"/>
    </row>
    <row r="214" ht="12.75" customHeight="1">
      <c r="AM214" s="5"/>
      <c r="AN214" s="5"/>
    </row>
    <row r="215" ht="12.75" customHeight="1">
      <c r="AM215" s="5"/>
      <c r="AN215" s="5"/>
    </row>
    <row r="216" ht="12.75" customHeight="1">
      <c r="AM216" s="5"/>
      <c r="AN216" s="5"/>
    </row>
    <row r="217" ht="12.75" customHeight="1">
      <c r="AM217" s="5"/>
      <c r="AN217" s="5"/>
    </row>
    <row r="218" ht="12.75" customHeight="1">
      <c r="AM218" s="1"/>
      <c r="AN218" s="1"/>
    </row>
    <row r="219" ht="12.75" customHeight="1">
      <c r="AM219" s="54"/>
      <c r="AN219" s="54"/>
    </row>
    <row r="220" ht="12.75" customHeight="1">
      <c r="AM220" s="5"/>
      <c r="AN220" s="5"/>
    </row>
    <row r="221" ht="12.75" customHeight="1">
      <c r="AM221" s="5"/>
      <c r="AN221" s="5"/>
    </row>
    <row r="222" ht="12.75" customHeight="1">
      <c r="AM222" s="5"/>
      <c r="AN222" s="5"/>
    </row>
    <row r="223" ht="12.75" customHeight="1">
      <c r="AM223" s="5"/>
      <c r="AN223" s="5"/>
    </row>
    <row r="224" ht="12.75" customHeight="1">
      <c r="AM224" s="5"/>
      <c r="AN224" s="5"/>
    </row>
    <row r="225" ht="12.75" customHeight="1">
      <c r="AM225" s="5"/>
      <c r="AN225" s="5"/>
    </row>
    <row r="226" ht="12.75" customHeight="1">
      <c r="AM226" s="5"/>
      <c r="AN226" s="5"/>
    </row>
    <row r="227" ht="12.75" customHeight="1">
      <c r="AM227" s="5"/>
      <c r="AN227" s="5"/>
    </row>
    <row r="228" ht="12.75" customHeight="1">
      <c r="AM228" s="5"/>
      <c r="AN228" s="5"/>
    </row>
    <row r="229" ht="12.75" customHeight="1">
      <c r="AM229" s="1"/>
      <c r="AN229" s="1"/>
    </row>
    <row r="230" ht="12.75" customHeight="1">
      <c r="AM230" s="54"/>
      <c r="AN230" s="54"/>
    </row>
    <row r="231" ht="12.75" customHeight="1">
      <c r="AM231" s="5"/>
      <c r="AN231" s="5"/>
    </row>
    <row r="232" ht="12.75" customHeight="1">
      <c r="AM232" s="5"/>
      <c r="AN232" s="5"/>
    </row>
    <row r="233" ht="12.75" customHeight="1">
      <c r="AM233" s="5"/>
      <c r="AN233" s="5"/>
    </row>
    <row r="234" ht="12.75" customHeight="1">
      <c r="AM234" s="5"/>
      <c r="AN234" s="5"/>
    </row>
    <row r="235" ht="12.75" customHeight="1">
      <c r="AM235" s="5"/>
      <c r="AN235" s="5"/>
    </row>
    <row r="236" ht="12.75" customHeight="1">
      <c r="AM236" s="5"/>
      <c r="AN236" s="5"/>
    </row>
    <row r="237" ht="12.75" customHeight="1">
      <c r="AM237" s="5"/>
      <c r="AN237" s="5"/>
    </row>
    <row r="238" ht="12.75" customHeight="1">
      <c r="AM238" s="5"/>
      <c r="AN238" s="5"/>
    </row>
    <row r="239" ht="12.75" customHeight="1">
      <c r="AM239" s="5"/>
      <c r="AN239" s="5"/>
    </row>
    <row r="240" ht="12.75" customHeight="1">
      <c r="AM240" s="1"/>
      <c r="AN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K15">
    <cfRule type="containsBlanks" dxfId="1" priority="1">
      <formula>LEN(TRIM(E14))=0</formula>
    </cfRule>
  </conditionalFormatting>
  <conditionalFormatting sqref="E19:AK20">
    <cfRule type="containsBlanks" dxfId="1" priority="2">
      <formula>LEN(TRIM(E19))=0</formula>
    </cfRule>
  </conditionalFormatting>
  <conditionalFormatting sqref="E22:AK23 E25:AK26 E33:AK33 E35:AK35 E39:AK40">
    <cfRule type="containsBlanks" dxfId="1" priority="3">
      <formula>LEN(TRIM(E22))=0</formula>
    </cfRule>
  </conditionalFormatting>
  <conditionalFormatting sqref="E30:AK30">
    <cfRule type="expression" dxfId="0" priority="4">
      <formula>E30&lt;&gt;E47</formula>
    </cfRule>
  </conditionalFormatting>
  <conditionalFormatting sqref="E30:AK30">
    <cfRule type="expression" dxfId="0" priority="5">
      <formula>E30&lt;&gt;E34</formula>
    </cfRule>
  </conditionalFormatting>
  <conditionalFormatting sqref="E34:AK34">
    <cfRule type="expression" dxfId="2" priority="6">
      <formula>E30&lt;&gt;E34</formula>
    </cfRule>
  </conditionalFormatting>
  <conditionalFormatting sqref="E34:AK34">
    <cfRule type="expression" dxfId="3" priority="7">
      <formula>E30=E34</formula>
    </cfRule>
  </conditionalFormatting>
  <conditionalFormatting sqref="E34:AK34">
    <cfRule type="expression" dxfId="0" priority="8">
      <formula>E34&lt;&gt;E30</formula>
    </cfRule>
  </conditionalFormatting>
  <conditionalFormatting sqref="E34:AK34">
    <cfRule type="expression" dxfId="0" priority="9">
      <formula>E34&lt;&gt;#REF!</formula>
    </cfRule>
  </conditionalFormatting>
  <conditionalFormatting sqref="E45:AK47">
    <cfRule type="containsBlanks" dxfId="1" priority="10">
      <formula>LEN(TRIM(E45))=0</formula>
    </cfRule>
  </conditionalFormatting>
  <conditionalFormatting sqref="E50:AK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130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37"/>
    </row>
    <row r="14" ht="12.75" customHeight="1">
      <c r="A14" s="18"/>
      <c r="B14" s="22" t="s">
        <v>11</v>
      </c>
      <c r="C14" s="23"/>
      <c r="D14" s="19" t="s">
        <v>12</v>
      </c>
      <c r="E14" s="19">
        <v>97.0</v>
      </c>
      <c r="F14" s="19">
        <v>120.0</v>
      </c>
      <c r="G14" s="19">
        <v>126.0</v>
      </c>
      <c r="H14" s="19">
        <v>99.0</v>
      </c>
      <c r="I14" s="19">
        <v>122.0</v>
      </c>
      <c r="J14" s="19">
        <v>136.0</v>
      </c>
      <c r="K14" s="19">
        <v>124.0</v>
      </c>
      <c r="L14" s="19">
        <v>151.0</v>
      </c>
      <c r="M14" s="19">
        <v>100.0</v>
      </c>
      <c r="N14" s="19">
        <v>98.0</v>
      </c>
      <c r="O14" s="19">
        <v>135.0</v>
      </c>
      <c r="P14" s="19">
        <v>136.0</v>
      </c>
      <c r="Q14" s="19">
        <v>137.0</v>
      </c>
      <c r="R14" s="19">
        <v>138.0</v>
      </c>
      <c r="S14" s="19">
        <v>135.0</v>
      </c>
      <c r="T14" s="19">
        <v>138.0</v>
      </c>
      <c r="U14" s="19">
        <v>144.0</v>
      </c>
      <c r="V14" s="19">
        <v>148.0</v>
      </c>
      <c r="W14" s="19">
        <v>118.0</v>
      </c>
      <c r="X14" s="19">
        <v>149.0</v>
      </c>
      <c r="Y14" s="19">
        <v>80.0</v>
      </c>
      <c r="Z14" s="19">
        <v>127.0</v>
      </c>
      <c r="AA14" s="13">
        <f t="shared" ref="AA14:AA16" si="1">SUM(E14:Z14)</f>
        <v>2758</v>
      </c>
    </row>
    <row r="15" ht="12.75" customHeight="1">
      <c r="A15" s="18"/>
      <c r="B15" s="26"/>
      <c r="C15" s="27"/>
      <c r="D15" s="19" t="s">
        <v>13</v>
      </c>
      <c r="E15" s="19">
        <v>100.0</v>
      </c>
      <c r="F15" s="19">
        <v>118.0</v>
      </c>
      <c r="G15" s="19">
        <v>123.0</v>
      </c>
      <c r="H15" s="19">
        <v>93.0</v>
      </c>
      <c r="I15" s="19">
        <v>136.0</v>
      </c>
      <c r="J15" s="19">
        <v>141.0</v>
      </c>
      <c r="K15" s="19">
        <v>127.0</v>
      </c>
      <c r="L15" s="19">
        <v>136.0</v>
      </c>
      <c r="M15" s="19">
        <v>92.0</v>
      </c>
      <c r="N15" s="19">
        <v>101.0</v>
      </c>
      <c r="O15" s="19">
        <v>122.0</v>
      </c>
      <c r="P15" s="19">
        <v>137.0</v>
      </c>
      <c r="Q15" s="19">
        <v>146.0</v>
      </c>
      <c r="R15" s="19">
        <v>132.0</v>
      </c>
      <c r="S15" s="19">
        <v>153.0</v>
      </c>
      <c r="T15" s="19">
        <v>144.0</v>
      </c>
      <c r="U15" s="19">
        <v>148.0</v>
      </c>
      <c r="V15" s="19">
        <v>140.0</v>
      </c>
      <c r="W15" s="19">
        <v>137.0</v>
      </c>
      <c r="X15" s="19">
        <v>132.0</v>
      </c>
      <c r="Y15" s="19">
        <v>79.0</v>
      </c>
      <c r="Z15" s="19">
        <v>115.0</v>
      </c>
      <c r="AA15" s="13">
        <f t="shared" si="1"/>
        <v>2752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197</v>
      </c>
      <c r="F16" s="13">
        <f t="shared" si="2"/>
        <v>238</v>
      </c>
      <c r="G16" s="13">
        <f t="shared" si="2"/>
        <v>249</v>
      </c>
      <c r="H16" s="13">
        <f t="shared" si="2"/>
        <v>192</v>
      </c>
      <c r="I16" s="13">
        <f t="shared" si="2"/>
        <v>258</v>
      </c>
      <c r="J16" s="13">
        <f t="shared" si="2"/>
        <v>277</v>
      </c>
      <c r="K16" s="13">
        <f t="shared" si="2"/>
        <v>251</v>
      </c>
      <c r="L16" s="13">
        <f t="shared" si="2"/>
        <v>287</v>
      </c>
      <c r="M16" s="13">
        <f t="shared" si="2"/>
        <v>192</v>
      </c>
      <c r="N16" s="13">
        <f t="shared" si="2"/>
        <v>199</v>
      </c>
      <c r="O16" s="13">
        <f t="shared" si="2"/>
        <v>257</v>
      </c>
      <c r="P16" s="13">
        <f t="shared" si="2"/>
        <v>273</v>
      </c>
      <c r="Q16" s="13">
        <f t="shared" si="2"/>
        <v>283</v>
      </c>
      <c r="R16" s="13">
        <f t="shared" si="2"/>
        <v>270</v>
      </c>
      <c r="S16" s="13">
        <f t="shared" si="2"/>
        <v>288</v>
      </c>
      <c r="T16" s="13">
        <f t="shared" si="2"/>
        <v>282</v>
      </c>
      <c r="U16" s="13">
        <f t="shared" si="2"/>
        <v>292</v>
      </c>
      <c r="V16" s="13">
        <f t="shared" si="2"/>
        <v>288</v>
      </c>
      <c r="W16" s="13">
        <f t="shared" si="2"/>
        <v>255</v>
      </c>
      <c r="X16" s="13">
        <f t="shared" si="2"/>
        <v>281</v>
      </c>
      <c r="Y16" s="13">
        <f t="shared" si="2"/>
        <v>159</v>
      </c>
      <c r="Z16" s="13">
        <f t="shared" si="2"/>
        <v>242</v>
      </c>
      <c r="AA16" s="13">
        <f t="shared" si="1"/>
        <v>5510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19"/>
      <c r="Z17" s="19"/>
      <c r="AA17" s="65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56</v>
      </c>
      <c r="L18" s="13" t="s">
        <v>57</v>
      </c>
      <c r="M18" s="13" t="s">
        <v>58</v>
      </c>
      <c r="N18" s="13" t="s">
        <v>59</v>
      </c>
      <c r="O18" s="13" t="s">
        <v>60</v>
      </c>
      <c r="P18" s="13" t="s">
        <v>61</v>
      </c>
      <c r="Q18" s="13" t="s">
        <v>62</v>
      </c>
      <c r="R18" s="13" t="s">
        <v>63</v>
      </c>
      <c r="S18" s="13" t="s">
        <v>64</v>
      </c>
      <c r="T18" s="13" t="s">
        <v>65</v>
      </c>
      <c r="U18" s="13" t="s">
        <v>66</v>
      </c>
      <c r="V18" s="13" t="s">
        <v>67</v>
      </c>
      <c r="W18" s="13" t="s">
        <v>68</v>
      </c>
      <c r="X18" s="13" t="s">
        <v>69</v>
      </c>
      <c r="Y18" s="13" t="s">
        <v>70</v>
      </c>
      <c r="Z18" s="13" t="s">
        <v>71</v>
      </c>
      <c r="AA18" s="65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62.0</v>
      </c>
      <c r="F19" s="19">
        <v>91.0</v>
      </c>
      <c r="G19" s="19">
        <v>97.0</v>
      </c>
      <c r="H19" s="19">
        <v>74.0</v>
      </c>
      <c r="I19" s="19">
        <v>93.0</v>
      </c>
      <c r="J19" s="19">
        <v>110.0</v>
      </c>
      <c r="K19" s="19">
        <v>101.0</v>
      </c>
      <c r="L19" s="19">
        <v>115.0</v>
      </c>
      <c r="M19" s="19">
        <v>79.0</v>
      </c>
      <c r="N19" s="19">
        <v>80.0</v>
      </c>
      <c r="O19" s="19">
        <v>98.0</v>
      </c>
      <c r="P19" s="19">
        <v>118.0</v>
      </c>
      <c r="Q19" s="19">
        <v>101.0</v>
      </c>
      <c r="R19" s="19">
        <v>115.0</v>
      </c>
      <c r="S19" s="19">
        <v>109.0</v>
      </c>
      <c r="T19" s="19">
        <v>109.0</v>
      </c>
      <c r="U19" s="19">
        <v>110.0</v>
      </c>
      <c r="V19" s="19">
        <v>106.0</v>
      </c>
      <c r="W19" s="19">
        <v>103.0</v>
      </c>
      <c r="X19" s="19">
        <v>116.0</v>
      </c>
      <c r="Y19" s="19">
        <v>63.0</v>
      </c>
      <c r="Z19" s="19">
        <v>105.0</v>
      </c>
      <c r="AA19" s="13">
        <f t="shared" ref="AA19:AA30" si="3">SUM(E19:Z19)</f>
        <v>2155</v>
      </c>
    </row>
    <row r="20" ht="12.75" customHeight="1">
      <c r="A20" s="34"/>
      <c r="B20" s="27"/>
      <c r="C20" s="35"/>
      <c r="D20" s="19" t="s">
        <v>13</v>
      </c>
      <c r="E20" s="19">
        <v>75.0</v>
      </c>
      <c r="F20" s="19">
        <v>98.0</v>
      </c>
      <c r="G20" s="19">
        <v>103.0</v>
      </c>
      <c r="H20" s="19">
        <v>81.0</v>
      </c>
      <c r="I20" s="19">
        <v>106.0</v>
      </c>
      <c r="J20" s="19">
        <v>114.0</v>
      </c>
      <c r="K20" s="19">
        <v>104.0</v>
      </c>
      <c r="L20" s="19">
        <v>111.0</v>
      </c>
      <c r="M20" s="19">
        <v>75.0</v>
      </c>
      <c r="N20" s="19">
        <v>91.0</v>
      </c>
      <c r="O20" s="19">
        <v>103.0</v>
      </c>
      <c r="P20" s="19">
        <v>111.0</v>
      </c>
      <c r="Q20" s="19">
        <v>108.0</v>
      </c>
      <c r="R20" s="19">
        <v>109.0</v>
      </c>
      <c r="S20" s="19">
        <v>128.0</v>
      </c>
      <c r="T20" s="19">
        <v>113.0</v>
      </c>
      <c r="U20" s="19">
        <v>132.0</v>
      </c>
      <c r="V20" s="19">
        <v>123.0</v>
      </c>
      <c r="W20" s="19">
        <v>117.0</v>
      </c>
      <c r="X20" s="19">
        <v>109.0</v>
      </c>
      <c r="Y20" s="19">
        <v>64.0</v>
      </c>
      <c r="Z20" s="19">
        <v>97.0</v>
      </c>
      <c r="AA20" s="13">
        <f t="shared" si="3"/>
        <v>2272</v>
      </c>
    </row>
    <row r="21" ht="12.75" customHeight="1">
      <c r="A21" s="36"/>
      <c r="B21" s="28"/>
      <c r="C21" s="37"/>
      <c r="D21" s="13" t="s">
        <v>14</v>
      </c>
      <c r="E21" s="13">
        <f t="shared" ref="E21:Z21" si="4">SUM(E19:E20)</f>
        <v>137</v>
      </c>
      <c r="F21" s="13">
        <f t="shared" si="4"/>
        <v>189</v>
      </c>
      <c r="G21" s="13">
        <f t="shared" si="4"/>
        <v>200</v>
      </c>
      <c r="H21" s="13">
        <f t="shared" si="4"/>
        <v>155</v>
      </c>
      <c r="I21" s="13">
        <f t="shared" si="4"/>
        <v>199</v>
      </c>
      <c r="J21" s="13">
        <f t="shared" si="4"/>
        <v>224</v>
      </c>
      <c r="K21" s="13">
        <f t="shared" si="4"/>
        <v>205</v>
      </c>
      <c r="L21" s="13">
        <f t="shared" si="4"/>
        <v>226</v>
      </c>
      <c r="M21" s="13">
        <f t="shared" si="4"/>
        <v>154</v>
      </c>
      <c r="N21" s="13">
        <f t="shared" si="4"/>
        <v>171</v>
      </c>
      <c r="O21" s="13">
        <f t="shared" si="4"/>
        <v>201</v>
      </c>
      <c r="P21" s="13">
        <f t="shared" si="4"/>
        <v>229</v>
      </c>
      <c r="Q21" s="13">
        <f t="shared" si="4"/>
        <v>209</v>
      </c>
      <c r="R21" s="13">
        <f t="shared" si="4"/>
        <v>224</v>
      </c>
      <c r="S21" s="13">
        <f t="shared" si="4"/>
        <v>237</v>
      </c>
      <c r="T21" s="13">
        <f t="shared" si="4"/>
        <v>222</v>
      </c>
      <c r="U21" s="13">
        <f t="shared" si="4"/>
        <v>242</v>
      </c>
      <c r="V21" s="13">
        <f t="shared" si="4"/>
        <v>229</v>
      </c>
      <c r="W21" s="13">
        <f t="shared" si="4"/>
        <v>220</v>
      </c>
      <c r="X21" s="13">
        <f t="shared" si="4"/>
        <v>225</v>
      </c>
      <c r="Y21" s="13">
        <f t="shared" si="4"/>
        <v>127</v>
      </c>
      <c r="Z21" s="13">
        <f t="shared" si="4"/>
        <v>202</v>
      </c>
      <c r="AA21" s="13">
        <f t="shared" si="3"/>
        <v>4427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2.0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Z24" si="5">SUM(E22:E23)</f>
        <v>2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4.0</v>
      </c>
      <c r="F25" s="19">
        <v>1.0</v>
      </c>
      <c r="G25" s="19">
        <v>0.0</v>
      </c>
      <c r="H25" s="19">
        <v>3.0</v>
      </c>
      <c r="I25" s="19">
        <v>1.0</v>
      </c>
      <c r="J25" s="19">
        <v>2.0</v>
      </c>
      <c r="K25" s="19">
        <v>0.0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2.0</v>
      </c>
      <c r="R25" s="19">
        <v>3.0</v>
      </c>
      <c r="S25" s="19">
        <v>5.0</v>
      </c>
      <c r="T25" s="19">
        <v>2.0</v>
      </c>
      <c r="U25" s="19">
        <v>1.0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3">
        <f t="shared" si="3"/>
        <v>25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1.0</v>
      </c>
      <c r="J26" s="19">
        <v>2.0</v>
      </c>
      <c r="K26" s="19">
        <v>0.0</v>
      </c>
      <c r="L26" s="19">
        <v>1.0</v>
      </c>
      <c r="M26" s="19">
        <v>3.0</v>
      </c>
      <c r="N26" s="19">
        <v>0.0</v>
      </c>
      <c r="O26" s="19">
        <v>0.0</v>
      </c>
      <c r="P26" s="19">
        <v>0.0</v>
      </c>
      <c r="Q26" s="19">
        <v>3.0</v>
      </c>
      <c r="R26" s="19">
        <v>1.0</v>
      </c>
      <c r="S26" s="19">
        <v>2.0</v>
      </c>
      <c r="T26" s="19">
        <v>6.0</v>
      </c>
      <c r="U26" s="19">
        <v>3.0</v>
      </c>
      <c r="V26" s="19">
        <v>0.0</v>
      </c>
      <c r="W26" s="19">
        <v>0.0</v>
      </c>
      <c r="X26" s="19">
        <v>1.0</v>
      </c>
      <c r="Y26" s="19">
        <v>0.0</v>
      </c>
      <c r="Z26" s="19">
        <v>4.0</v>
      </c>
      <c r="AA26" s="13">
        <f t="shared" si="3"/>
        <v>29</v>
      </c>
    </row>
    <row r="27" ht="12.75" customHeight="1">
      <c r="A27" s="36"/>
      <c r="B27" s="28"/>
      <c r="C27" s="37"/>
      <c r="D27" s="13" t="s">
        <v>14</v>
      </c>
      <c r="E27" s="13">
        <f t="shared" ref="E27:Z27" si="6">SUM(E25:E26)</f>
        <v>4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5</v>
      </c>
      <c r="R27" s="13">
        <f t="shared" si="6"/>
        <v>4</v>
      </c>
      <c r="S27" s="13">
        <f t="shared" si="6"/>
        <v>7</v>
      </c>
      <c r="T27" s="13">
        <f t="shared" si="6"/>
        <v>8</v>
      </c>
      <c r="U27" s="13">
        <f t="shared" si="6"/>
        <v>4</v>
      </c>
      <c r="V27" s="13">
        <f t="shared" si="6"/>
        <v>0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6"/>
        <v>4</v>
      </c>
      <c r="AA27" s="13">
        <f t="shared" si="3"/>
        <v>54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Z28" si="7">SUM(E19,E22,E25)</f>
        <v>68</v>
      </c>
      <c r="F28" s="13">
        <f t="shared" si="7"/>
        <v>92</v>
      </c>
      <c r="G28" s="13">
        <f t="shared" si="7"/>
        <v>97</v>
      </c>
      <c r="H28" s="13">
        <f t="shared" si="7"/>
        <v>77</v>
      </c>
      <c r="I28" s="13">
        <f t="shared" si="7"/>
        <v>94</v>
      </c>
      <c r="J28" s="13">
        <f t="shared" si="7"/>
        <v>112</v>
      </c>
      <c r="K28" s="13">
        <f t="shared" si="7"/>
        <v>101</v>
      </c>
      <c r="L28" s="13">
        <f t="shared" si="7"/>
        <v>116</v>
      </c>
      <c r="M28" s="13">
        <f t="shared" si="7"/>
        <v>79</v>
      </c>
      <c r="N28" s="13">
        <f t="shared" si="7"/>
        <v>80</v>
      </c>
      <c r="O28" s="13">
        <f t="shared" si="7"/>
        <v>98</v>
      </c>
      <c r="P28" s="13">
        <f t="shared" si="7"/>
        <v>118</v>
      </c>
      <c r="Q28" s="13">
        <f t="shared" si="7"/>
        <v>103</v>
      </c>
      <c r="R28" s="13">
        <f t="shared" si="7"/>
        <v>118</v>
      </c>
      <c r="S28" s="13">
        <f t="shared" si="7"/>
        <v>114</v>
      </c>
      <c r="T28" s="13">
        <f t="shared" si="7"/>
        <v>112</v>
      </c>
      <c r="U28" s="13">
        <f t="shared" si="7"/>
        <v>111</v>
      </c>
      <c r="V28" s="13">
        <f t="shared" si="7"/>
        <v>106</v>
      </c>
      <c r="W28" s="13">
        <f t="shared" si="7"/>
        <v>103</v>
      </c>
      <c r="X28" s="13">
        <f t="shared" si="7"/>
        <v>116</v>
      </c>
      <c r="Y28" s="13">
        <f t="shared" si="7"/>
        <v>63</v>
      </c>
      <c r="Z28" s="13">
        <f t="shared" si="7"/>
        <v>105</v>
      </c>
      <c r="AA28" s="13">
        <f t="shared" si="3"/>
        <v>2183</v>
      </c>
    </row>
    <row r="29" ht="12.75" customHeight="1">
      <c r="A29" s="36"/>
      <c r="B29" s="27"/>
      <c r="C29" s="35"/>
      <c r="D29" s="13" t="s">
        <v>13</v>
      </c>
      <c r="E29" s="13">
        <f t="shared" ref="E29:Z29" si="8">SUM(E20,E23,E26)</f>
        <v>75</v>
      </c>
      <c r="F29" s="13">
        <f t="shared" si="8"/>
        <v>101</v>
      </c>
      <c r="G29" s="13">
        <f t="shared" si="8"/>
        <v>103</v>
      </c>
      <c r="H29" s="13">
        <f t="shared" si="8"/>
        <v>81</v>
      </c>
      <c r="I29" s="13">
        <f t="shared" si="8"/>
        <v>107</v>
      </c>
      <c r="J29" s="13">
        <f t="shared" si="8"/>
        <v>116</v>
      </c>
      <c r="K29" s="13">
        <f t="shared" si="8"/>
        <v>104</v>
      </c>
      <c r="L29" s="13">
        <f t="shared" si="8"/>
        <v>112</v>
      </c>
      <c r="M29" s="13">
        <f t="shared" si="8"/>
        <v>78</v>
      </c>
      <c r="N29" s="13">
        <f t="shared" si="8"/>
        <v>91</v>
      </c>
      <c r="O29" s="13">
        <f t="shared" si="8"/>
        <v>103</v>
      </c>
      <c r="P29" s="13">
        <f t="shared" si="8"/>
        <v>112</v>
      </c>
      <c r="Q29" s="13">
        <f t="shared" si="8"/>
        <v>111</v>
      </c>
      <c r="R29" s="13">
        <f t="shared" si="8"/>
        <v>110</v>
      </c>
      <c r="S29" s="13">
        <f t="shared" si="8"/>
        <v>130</v>
      </c>
      <c r="T29" s="13">
        <f t="shared" si="8"/>
        <v>119</v>
      </c>
      <c r="U29" s="13">
        <f t="shared" si="8"/>
        <v>135</v>
      </c>
      <c r="V29" s="13">
        <f t="shared" si="8"/>
        <v>124</v>
      </c>
      <c r="W29" s="13">
        <f t="shared" si="8"/>
        <v>117</v>
      </c>
      <c r="X29" s="13">
        <f t="shared" si="8"/>
        <v>110</v>
      </c>
      <c r="Y29" s="13">
        <f t="shared" si="8"/>
        <v>64</v>
      </c>
      <c r="Z29" s="13">
        <f t="shared" si="8"/>
        <v>101</v>
      </c>
      <c r="AA29" s="13">
        <f t="shared" si="3"/>
        <v>2304</v>
      </c>
    </row>
    <row r="30" ht="12.75" customHeight="1">
      <c r="A30" s="36"/>
      <c r="B30" s="28"/>
      <c r="C30" s="37"/>
      <c r="D30" s="13" t="s">
        <v>14</v>
      </c>
      <c r="E30" s="13">
        <f t="shared" ref="E30:Z30" si="9">SUM(E28:E29)</f>
        <v>143</v>
      </c>
      <c r="F30" s="13">
        <f t="shared" si="9"/>
        <v>193</v>
      </c>
      <c r="G30" s="13">
        <f t="shared" si="9"/>
        <v>200</v>
      </c>
      <c r="H30" s="13">
        <f t="shared" si="9"/>
        <v>158</v>
      </c>
      <c r="I30" s="13">
        <f t="shared" si="9"/>
        <v>201</v>
      </c>
      <c r="J30" s="13">
        <f t="shared" si="9"/>
        <v>228</v>
      </c>
      <c r="K30" s="13">
        <f t="shared" si="9"/>
        <v>205</v>
      </c>
      <c r="L30" s="13">
        <f t="shared" si="9"/>
        <v>228</v>
      </c>
      <c r="M30" s="13">
        <f t="shared" si="9"/>
        <v>157</v>
      </c>
      <c r="N30" s="13">
        <f t="shared" si="9"/>
        <v>171</v>
      </c>
      <c r="O30" s="13">
        <f t="shared" si="9"/>
        <v>201</v>
      </c>
      <c r="P30" s="13">
        <f t="shared" si="9"/>
        <v>230</v>
      </c>
      <c r="Q30" s="13">
        <f t="shared" si="9"/>
        <v>214</v>
      </c>
      <c r="R30" s="13">
        <f t="shared" si="9"/>
        <v>228</v>
      </c>
      <c r="S30" s="13">
        <f t="shared" si="9"/>
        <v>244</v>
      </c>
      <c r="T30" s="13">
        <f t="shared" si="9"/>
        <v>231</v>
      </c>
      <c r="U30" s="13">
        <f t="shared" si="9"/>
        <v>246</v>
      </c>
      <c r="V30" s="13">
        <f t="shared" si="9"/>
        <v>230</v>
      </c>
      <c r="W30" s="13">
        <f t="shared" si="9"/>
        <v>220</v>
      </c>
      <c r="X30" s="13">
        <f t="shared" si="9"/>
        <v>226</v>
      </c>
      <c r="Y30" s="13">
        <f t="shared" si="9"/>
        <v>127</v>
      </c>
      <c r="Z30" s="13">
        <f t="shared" si="9"/>
        <v>206</v>
      </c>
      <c r="AA30" s="13">
        <f t="shared" si="3"/>
        <v>4487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19"/>
      <c r="Z31" s="19"/>
      <c r="AA31" s="65"/>
    </row>
    <row r="32" ht="12.75" customHeight="1">
      <c r="A32" s="44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56</v>
      </c>
      <c r="L32" s="13" t="s">
        <v>57</v>
      </c>
      <c r="M32" s="13" t="s">
        <v>58</v>
      </c>
      <c r="N32" s="13" t="s">
        <v>59</v>
      </c>
      <c r="O32" s="13" t="s">
        <v>60</v>
      </c>
      <c r="P32" s="13" t="s">
        <v>61</v>
      </c>
      <c r="Q32" s="13" t="s">
        <v>62</v>
      </c>
      <c r="R32" s="13" t="s">
        <v>63</v>
      </c>
      <c r="S32" s="13" t="s">
        <v>64</v>
      </c>
      <c r="T32" s="13" t="s">
        <v>65</v>
      </c>
      <c r="U32" s="13" t="s">
        <v>66</v>
      </c>
      <c r="V32" s="13" t="s">
        <v>67</v>
      </c>
      <c r="W32" s="13" t="s">
        <v>68</v>
      </c>
      <c r="X32" s="13" t="s">
        <v>69</v>
      </c>
      <c r="Y32" s="13" t="s">
        <v>70</v>
      </c>
      <c r="Z32" s="13" t="s">
        <v>71</v>
      </c>
      <c r="AA32" s="65"/>
    </row>
    <row r="33" ht="12.75" customHeight="1">
      <c r="A33" s="19">
        <v>1.0</v>
      </c>
      <c r="B33" s="20" t="s">
        <v>27</v>
      </c>
      <c r="C33" s="15"/>
      <c r="D33" s="16"/>
      <c r="E33" s="19">
        <v>201.0</v>
      </c>
      <c r="F33" s="19">
        <v>245.0</v>
      </c>
      <c r="G33" s="19">
        <v>256.0</v>
      </c>
      <c r="H33" s="19">
        <v>196.0</v>
      </c>
      <c r="I33" s="19">
        <v>267.0</v>
      </c>
      <c r="J33" s="19">
        <v>281.0</v>
      </c>
      <c r="K33" s="19">
        <v>259.0</v>
      </c>
      <c r="L33" s="19">
        <v>293.0</v>
      </c>
      <c r="M33" s="19">
        <v>195.0</v>
      </c>
      <c r="N33" s="19">
        <v>203.0</v>
      </c>
      <c r="O33" s="19">
        <v>263.0</v>
      </c>
      <c r="P33" s="19">
        <v>283.0</v>
      </c>
      <c r="Q33" s="19">
        <v>291.0</v>
      </c>
      <c r="R33" s="19">
        <v>276.0</v>
      </c>
      <c r="S33" s="19">
        <v>294.0</v>
      </c>
      <c r="T33" s="19">
        <v>288.0</v>
      </c>
      <c r="U33" s="19">
        <v>303.0</v>
      </c>
      <c r="V33" s="19">
        <v>294.0</v>
      </c>
      <c r="W33" s="19">
        <v>260.0</v>
      </c>
      <c r="X33" s="19">
        <v>287.0</v>
      </c>
      <c r="Y33" s="19">
        <v>163.0</v>
      </c>
      <c r="Z33" s="19">
        <v>249.0</v>
      </c>
      <c r="AA33" s="13">
        <f t="shared" ref="AA33:AA36" si="10">SUM(E33:Z33)</f>
        <v>5647</v>
      </c>
    </row>
    <row r="34" ht="12.75" customHeight="1">
      <c r="A34" s="19">
        <v>2.0</v>
      </c>
      <c r="B34" s="20" t="s">
        <v>28</v>
      </c>
      <c r="C34" s="15"/>
      <c r="D34" s="16"/>
      <c r="E34" s="13">
        <v>143.0</v>
      </c>
      <c r="F34" s="13">
        <v>193.0</v>
      </c>
      <c r="G34" s="13">
        <v>200.0</v>
      </c>
      <c r="H34" s="13">
        <v>158.0</v>
      </c>
      <c r="I34" s="13">
        <v>201.0</v>
      </c>
      <c r="J34" s="13">
        <v>228.0</v>
      </c>
      <c r="K34" s="13">
        <v>205.0</v>
      </c>
      <c r="L34" s="13">
        <v>228.0</v>
      </c>
      <c r="M34" s="13">
        <v>157.0</v>
      </c>
      <c r="N34" s="13">
        <v>171.0</v>
      </c>
      <c r="O34" s="13">
        <v>201.0</v>
      </c>
      <c r="P34" s="13">
        <v>230.0</v>
      </c>
      <c r="Q34" s="13">
        <v>214.0</v>
      </c>
      <c r="R34" s="13">
        <v>228.0</v>
      </c>
      <c r="S34" s="13">
        <v>244.0</v>
      </c>
      <c r="T34" s="13">
        <v>231.0</v>
      </c>
      <c r="U34" s="13">
        <v>246.0</v>
      </c>
      <c r="V34" s="13">
        <v>230.0</v>
      </c>
      <c r="W34" s="13">
        <v>220.0</v>
      </c>
      <c r="X34" s="13">
        <v>226.0</v>
      </c>
      <c r="Y34" s="13">
        <v>127.0</v>
      </c>
      <c r="Z34" s="13">
        <v>206.0</v>
      </c>
      <c r="AA34" s="13">
        <f t="shared" si="10"/>
        <v>4487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6.0</v>
      </c>
      <c r="J35" s="19">
        <v>7.0</v>
      </c>
      <c r="K35" s="19">
        <v>0.0</v>
      </c>
      <c r="L35" s="19">
        <v>0.0</v>
      </c>
      <c r="M35" s="19">
        <v>3.0</v>
      </c>
      <c r="N35" s="19">
        <v>0.0</v>
      </c>
      <c r="O35" s="19">
        <v>2.0</v>
      </c>
      <c r="P35" s="19">
        <v>0.0</v>
      </c>
      <c r="Q35" s="19">
        <v>0.0</v>
      </c>
      <c r="R35" s="19">
        <v>7.0</v>
      </c>
      <c r="S35" s="19">
        <v>0.0</v>
      </c>
      <c r="T35" s="19">
        <v>7.0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4.0</v>
      </c>
      <c r="AA35" s="13">
        <f t="shared" si="10"/>
        <v>36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58</v>
      </c>
      <c r="F36" s="13">
        <f t="shared" si="11"/>
        <v>52</v>
      </c>
      <c r="G36" s="13">
        <f t="shared" si="11"/>
        <v>56</v>
      </c>
      <c r="H36" s="13">
        <f t="shared" si="11"/>
        <v>38</v>
      </c>
      <c r="I36" s="13">
        <f t="shared" si="11"/>
        <v>60</v>
      </c>
      <c r="J36" s="13">
        <f t="shared" si="11"/>
        <v>46</v>
      </c>
      <c r="K36" s="13">
        <f t="shared" si="11"/>
        <v>54</v>
      </c>
      <c r="L36" s="13">
        <f t="shared" si="11"/>
        <v>65</v>
      </c>
      <c r="M36" s="13">
        <f t="shared" si="11"/>
        <v>35</v>
      </c>
      <c r="N36" s="13">
        <f t="shared" si="11"/>
        <v>32</v>
      </c>
      <c r="O36" s="13">
        <f t="shared" si="11"/>
        <v>60</v>
      </c>
      <c r="P36" s="13">
        <f t="shared" si="11"/>
        <v>53</v>
      </c>
      <c r="Q36" s="13">
        <f t="shared" si="11"/>
        <v>77</v>
      </c>
      <c r="R36" s="13">
        <f t="shared" si="11"/>
        <v>41</v>
      </c>
      <c r="S36" s="13">
        <f t="shared" si="11"/>
        <v>50</v>
      </c>
      <c r="T36" s="13">
        <f t="shared" si="11"/>
        <v>50</v>
      </c>
      <c r="U36" s="13">
        <f t="shared" si="11"/>
        <v>57</v>
      </c>
      <c r="V36" s="13">
        <f t="shared" si="11"/>
        <v>64</v>
      </c>
      <c r="W36" s="13">
        <f t="shared" si="11"/>
        <v>40</v>
      </c>
      <c r="X36" s="13">
        <f t="shared" si="11"/>
        <v>61</v>
      </c>
      <c r="Y36" s="13">
        <f t="shared" si="11"/>
        <v>36</v>
      </c>
      <c r="Z36" s="13">
        <f t="shared" si="11"/>
        <v>39</v>
      </c>
      <c r="AA36" s="13">
        <f t="shared" si="10"/>
        <v>1124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19"/>
      <c r="Z37" s="19"/>
      <c r="AA37" s="65"/>
    </row>
    <row r="38" ht="12.75" customHeight="1">
      <c r="A38" s="46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56</v>
      </c>
      <c r="L38" s="13" t="s">
        <v>57</v>
      </c>
      <c r="M38" s="13" t="s">
        <v>58</v>
      </c>
      <c r="N38" s="13" t="s">
        <v>59</v>
      </c>
      <c r="O38" s="13" t="s">
        <v>60</v>
      </c>
      <c r="P38" s="13" t="s">
        <v>61</v>
      </c>
      <c r="Q38" s="13" t="s">
        <v>62</v>
      </c>
      <c r="R38" s="13" t="s">
        <v>63</v>
      </c>
      <c r="S38" s="13" t="s">
        <v>64</v>
      </c>
      <c r="T38" s="13" t="s">
        <v>65</v>
      </c>
      <c r="U38" s="13" t="s">
        <v>66</v>
      </c>
      <c r="V38" s="13" t="s">
        <v>67</v>
      </c>
      <c r="W38" s="13" t="s">
        <v>68</v>
      </c>
      <c r="X38" s="13" t="s">
        <v>69</v>
      </c>
      <c r="Y38" s="13" t="s">
        <v>70</v>
      </c>
      <c r="Z38" s="13" t="s">
        <v>71</v>
      </c>
      <c r="AA38" s="65"/>
    </row>
    <row r="39" ht="12.75" customHeight="1">
      <c r="A39" s="31"/>
      <c r="B39" s="47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2.0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2</v>
      </c>
    </row>
    <row r="41" ht="12.75" customHeight="1">
      <c r="A41" s="44"/>
      <c r="B41" s="48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3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9"/>
      <c r="Z42" s="19"/>
      <c r="AA42" s="13"/>
    </row>
    <row r="43" ht="12.75" customHeight="1">
      <c r="A43" s="46" t="s">
        <v>34</v>
      </c>
      <c r="B43" s="14" t="s">
        <v>35</v>
      </c>
      <c r="C43" s="15"/>
      <c r="D43" s="16"/>
      <c r="E43" s="13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56</v>
      </c>
      <c r="L43" s="13" t="s">
        <v>57</v>
      </c>
      <c r="M43" s="13" t="s">
        <v>58</v>
      </c>
      <c r="N43" s="13" t="s">
        <v>59</v>
      </c>
      <c r="O43" s="13" t="s">
        <v>60</v>
      </c>
      <c r="P43" s="13" t="s">
        <v>61</v>
      </c>
      <c r="Q43" s="13" t="s">
        <v>62</v>
      </c>
      <c r="R43" s="13" t="s">
        <v>63</v>
      </c>
      <c r="S43" s="13" t="s">
        <v>64</v>
      </c>
      <c r="T43" s="13" t="s">
        <v>65</v>
      </c>
      <c r="U43" s="13" t="s">
        <v>66</v>
      </c>
      <c r="V43" s="13" t="s">
        <v>67</v>
      </c>
      <c r="W43" s="13" t="s">
        <v>68</v>
      </c>
      <c r="X43" s="13" t="s">
        <v>69</v>
      </c>
      <c r="Y43" s="13" t="s">
        <v>70</v>
      </c>
      <c r="Z43" s="13" t="s">
        <v>71</v>
      </c>
      <c r="AA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64"/>
      <c r="Y44" s="19"/>
      <c r="Z44" s="19"/>
      <c r="AA44" s="13"/>
    </row>
    <row r="45" ht="12.75" customHeight="1">
      <c r="A45" s="67"/>
      <c r="B45" s="51">
        <v>1.0</v>
      </c>
      <c r="C45" s="52" t="s">
        <v>37</v>
      </c>
      <c r="D45" s="16"/>
      <c r="E45" s="19">
        <v>8.0</v>
      </c>
      <c r="F45" s="19">
        <v>13.0</v>
      </c>
      <c r="G45" s="19">
        <v>11.0</v>
      </c>
      <c r="H45" s="19">
        <v>4.0</v>
      </c>
      <c r="I45" s="19">
        <v>13.0</v>
      </c>
      <c r="J45" s="19">
        <v>13.0</v>
      </c>
      <c r="K45" s="19">
        <v>9.0</v>
      </c>
      <c r="L45" s="19">
        <v>21.0</v>
      </c>
      <c r="M45" s="19">
        <v>9.0</v>
      </c>
      <c r="N45" s="19">
        <v>9.0</v>
      </c>
      <c r="O45" s="19">
        <v>13.0</v>
      </c>
      <c r="P45" s="19">
        <v>17.0</v>
      </c>
      <c r="Q45" s="19">
        <v>30.0</v>
      </c>
      <c r="R45" s="19">
        <v>9.0</v>
      </c>
      <c r="S45" s="19">
        <v>4.0</v>
      </c>
      <c r="T45" s="19">
        <v>11.0</v>
      </c>
      <c r="U45" s="19">
        <v>6.0</v>
      </c>
      <c r="V45" s="19">
        <v>16.0</v>
      </c>
      <c r="W45" s="19">
        <v>14.0</v>
      </c>
      <c r="X45" s="19">
        <v>5.0</v>
      </c>
      <c r="Y45" s="19">
        <v>7.0</v>
      </c>
      <c r="Z45" s="19">
        <v>9.0</v>
      </c>
      <c r="AA45" s="13">
        <f t="shared" ref="AA45:AA47" si="14">SUM(E45:Z45)</f>
        <v>251</v>
      </c>
    </row>
    <row r="46" ht="12.75" customHeight="1">
      <c r="A46" s="18"/>
      <c r="B46" s="51">
        <v>2.0</v>
      </c>
      <c r="C46" s="52" t="s">
        <v>38</v>
      </c>
      <c r="D46" s="16"/>
      <c r="E46" s="19">
        <v>94.0</v>
      </c>
      <c r="F46" s="19">
        <v>125.0</v>
      </c>
      <c r="G46" s="19">
        <v>124.0</v>
      </c>
      <c r="H46" s="19">
        <v>106.0</v>
      </c>
      <c r="I46" s="19">
        <v>146.0</v>
      </c>
      <c r="J46" s="19">
        <v>155.0</v>
      </c>
      <c r="K46" s="19">
        <v>128.0</v>
      </c>
      <c r="L46" s="19">
        <v>158.0</v>
      </c>
      <c r="M46" s="19">
        <v>129.0</v>
      </c>
      <c r="N46" s="19">
        <v>128.0</v>
      </c>
      <c r="O46" s="19">
        <v>118.0</v>
      </c>
      <c r="P46" s="19">
        <v>121.0</v>
      </c>
      <c r="Q46" s="19">
        <v>124.0</v>
      </c>
      <c r="R46" s="19">
        <v>133.0</v>
      </c>
      <c r="S46" s="19">
        <v>143.0</v>
      </c>
      <c r="T46" s="19">
        <v>146.0</v>
      </c>
      <c r="U46" s="19">
        <v>164.0</v>
      </c>
      <c r="V46" s="19">
        <v>166.0</v>
      </c>
      <c r="W46" s="19">
        <v>157.0</v>
      </c>
      <c r="X46" s="19">
        <v>142.0</v>
      </c>
      <c r="Y46" s="19">
        <v>90.0</v>
      </c>
      <c r="Z46" s="19">
        <v>148.0</v>
      </c>
      <c r="AA46" s="13">
        <f t="shared" si="14"/>
        <v>2945</v>
      </c>
    </row>
    <row r="47" ht="12.75" customHeight="1">
      <c r="A47" s="49"/>
      <c r="B47" s="51">
        <v>3.0</v>
      </c>
      <c r="C47" s="52" t="s">
        <v>39</v>
      </c>
      <c r="D47" s="16"/>
      <c r="E47" s="19">
        <v>40.0</v>
      </c>
      <c r="F47" s="19">
        <v>52.0</v>
      </c>
      <c r="G47" s="19">
        <v>60.0</v>
      </c>
      <c r="H47" s="19">
        <v>47.0</v>
      </c>
      <c r="I47" s="19">
        <v>36.0</v>
      </c>
      <c r="J47" s="19">
        <v>56.0</v>
      </c>
      <c r="K47" s="19">
        <v>67.0</v>
      </c>
      <c r="L47" s="19">
        <v>44.0</v>
      </c>
      <c r="M47" s="19">
        <v>18.0</v>
      </c>
      <c r="N47" s="19">
        <v>31.0</v>
      </c>
      <c r="O47" s="19">
        <v>65.0</v>
      </c>
      <c r="P47" s="19">
        <v>85.0</v>
      </c>
      <c r="Q47" s="19">
        <v>58.0</v>
      </c>
      <c r="R47" s="19">
        <v>82.0</v>
      </c>
      <c r="S47" s="19">
        <v>94.0</v>
      </c>
      <c r="T47" s="19">
        <v>72.0</v>
      </c>
      <c r="U47" s="19">
        <v>73.0</v>
      </c>
      <c r="V47" s="19">
        <v>45.0</v>
      </c>
      <c r="W47" s="19">
        <v>42.0</v>
      </c>
      <c r="X47" s="19">
        <v>74.0</v>
      </c>
      <c r="Y47" s="19">
        <v>26.0</v>
      </c>
      <c r="Z47" s="19">
        <v>44.0</v>
      </c>
      <c r="AA47" s="13">
        <f t="shared" si="14"/>
        <v>1211</v>
      </c>
    </row>
    <row r="48" ht="12.75" customHeight="1">
      <c r="AA48" s="13"/>
    </row>
    <row r="49" ht="12.75" customHeight="1">
      <c r="A49" s="46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56</v>
      </c>
      <c r="L49" s="13" t="s">
        <v>57</v>
      </c>
      <c r="M49" s="13" t="s">
        <v>58</v>
      </c>
      <c r="N49" s="13" t="s">
        <v>59</v>
      </c>
      <c r="O49" s="13" t="s">
        <v>60</v>
      </c>
      <c r="P49" s="13" t="s">
        <v>61</v>
      </c>
      <c r="Q49" s="13" t="s">
        <v>62</v>
      </c>
      <c r="R49" s="13" t="s">
        <v>63</v>
      </c>
      <c r="S49" s="13" t="s">
        <v>64</v>
      </c>
      <c r="T49" s="13" t="s">
        <v>65</v>
      </c>
      <c r="U49" s="13" t="s">
        <v>66</v>
      </c>
      <c r="V49" s="13" t="s">
        <v>67</v>
      </c>
      <c r="W49" s="13" t="s">
        <v>68</v>
      </c>
      <c r="X49" s="13" t="s">
        <v>69</v>
      </c>
      <c r="Y49" s="13" t="s">
        <v>70</v>
      </c>
      <c r="Z49" s="13" t="s">
        <v>71</v>
      </c>
      <c r="AA49" s="13"/>
    </row>
    <row r="50" ht="12.75" customHeight="1">
      <c r="A50" s="46"/>
      <c r="B50" s="58" t="s">
        <v>42</v>
      </c>
      <c r="C50" s="59" t="s">
        <v>43</v>
      </c>
      <c r="D50" s="16"/>
      <c r="E50" s="19">
        <f t="shared" ref="E50:Z50" si="15">SUM(E45:E47)</f>
        <v>142</v>
      </c>
      <c r="F50" s="19">
        <f t="shared" si="15"/>
        <v>190</v>
      </c>
      <c r="G50" s="19">
        <f t="shared" si="15"/>
        <v>195</v>
      </c>
      <c r="H50" s="19">
        <f t="shared" si="15"/>
        <v>157</v>
      </c>
      <c r="I50" s="19">
        <f t="shared" si="15"/>
        <v>195</v>
      </c>
      <c r="J50" s="19">
        <f t="shared" si="15"/>
        <v>224</v>
      </c>
      <c r="K50" s="19">
        <f t="shared" si="15"/>
        <v>204</v>
      </c>
      <c r="L50" s="19">
        <f t="shared" si="15"/>
        <v>223</v>
      </c>
      <c r="M50" s="19">
        <f t="shared" si="15"/>
        <v>156</v>
      </c>
      <c r="N50" s="19">
        <f t="shared" si="15"/>
        <v>168</v>
      </c>
      <c r="O50" s="19">
        <f t="shared" si="15"/>
        <v>196</v>
      </c>
      <c r="P50" s="19">
        <f t="shared" si="15"/>
        <v>223</v>
      </c>
      <c r="Q50" s="19">
        <f t="shared" si="15"/>
        <v>212</v>
      </c>
      <c r="R50" s="19">
        <f t="shared" si="15"/>
        <v>224</v>
      </c>
      <c r="S50" s="19">
        <f t="shared" si="15"/>
        <v>241</v>
      </c>
      <c r="T50" s="19">
        <f t="shared" si="15"/>
        <v>229</v>
      </c>
      <c r="U50" s="19">
        <f t="shared" si="15"/>
        <v>243</v>
      </c>
      <c r="V50" s="19">
        <f t="shared" si="15"/>
        <v>227</v>
      </c>
      <c r="W50" s="19">
        <f t="shared" si="15"/>
        <v>213</v>
      </c>
      <c r="X50" s="19">
        <f t="shared" si="15"/>
        <v>221</v>
      </c>
      <c r="Y50" s="19">
        <f t="shared" si="15"/>
        <v>123</v>
      </c>
      <c r="Z50" s="19">
        <f t="shared" si="15"/>
        <v>201</v>
      </c>
      <c r="AA50" s="13">
        <f t="shared" ref="AA50:AA52" si="16">SUM(E50:Z50)</f>
        <v>4407</v>
      </c>
    </row>
    <row r="51" ht="12.75" customHeight="1">
      <c r="A51" s="36"/>
      <c r="B51" s="58" t="s">
        <v>44</v>
      </c>
      <c r="C51" s="59" t="s">
        <v>45</v>
      </c>
      <c r="D51" s="16"/>
      <c r="E51" s="19">
        <v>1.0</v>
      </c>
      <c r="F51" s="19">
        <v>3.0</v>
      </c>
      <c r="G51" s="19">
        <v>5.0</v>
      </c>
      <c r="H51" s="19">
        <v>1.0</v>
      </c>
      <c r="I51" s="19">
        <v>6.0</v>
      </c>
      <c r="J51" s="19">
        <v>4.0</v>
      </c>
      <c r="K51" s="19">
        <v>1.0</v>
      </c>
      <c r="L51" s="19">
        <v>5.0</v>
      </c>
      <c r="M51" s="19">
        <v>1.0</v>
      </c>
      <c r="N51" s="19">
        <v>3.0</v>
      </c>
      <c r="O51" s="19">
        <v>5.0</v>
      </c>
      <c r="P51" s="19">
        <v>7.0</v>
      </c>
      <c r="Q51" s="19">
        <v>2.0</v>
      </c>
      <c r="R51" s="19">
        <v>4.0</v>
      </c>
      <c r="S51" s="19">
        <v>3.0</v>
      </c>
      <c r="T51" s="19">
        <v>2.0</v>
      </c>
      <c r="U51" s="19">
        <v>3.0</v>
      </c>
      <c r="V51" s="19">
        <v>3.0</v>
      </c>
      <c r="W51" s="19">
        <v>7.0</v>
      </c>
      <c r="X51" s="19">
        <v>5.0</v>
      </c>
      <c r="Y51" s="19">
        <v>4.0</v>
      </c>
      <c r="Z51" s="19">
        <v>5.0</v>
      </c>
      <c r="AA51" s="13">
        <f t="shared" si="16"/>
        <v>80</v>
      </c>
    </row>
    <row r="52" ht="12.75" customHeight="1">
      <c r="A52" s="44"/>
      <c r="B52" s="58" t="s">
        <v>46</v>
      </c>
      <c r="C52" s="59" t="s">
        <v>47</v>
      </c>
      <c r="D52" s="16"/>
      <c r="E52" s="13">
        <f t="shared" ref="E52:Z52" si="17">SUM(E50:E51)</f>
        <v>143</v>
      </c>
      <c r="F52" s="13">
        <f t="shared" si="17"/>
        <v>193</v>
      </c>
      <c r="G52" s="13">
        <f t="shared" si="17"/>
        <v>200</v>
      </c>
      <c r="H52" s="13">
        <f t="shared" si="17"/>
        <v>158</v>
      </c>
      <c r="I52" s="13">
        <f t="shared" si="17"/>
        <v>201</v>
      </c>
      <c r="J52" s="13">
        <f t="shared" si="17"/>
        <v>228</v>
      </c>
      <c r="K52" s="13">
        <f t="shared" si="17"/>
        <v>205</v>
      </c>
      <c r="L52" s="13">
        <f t="shared" si="17"/>
        <v>228</v>
      </c>
      <c r="M52" s="13">
        <f t="shared" si="17"/>
        <v>157</v>
      </c>
      <c r="N52" s="13">
        <f t="shared" si="17"/>
        <v>171</v>
      </c>
      <c r="O52" s="13">
        <f t="shared" si="17"/>
        <v>201</v>
      </c>
      <c r="P52" s="13">
        <f t="shared" si="17"/>
        <v>230</v>
      </c>
      <c r="Q52" s="13">
        <f t="shared" si="17"/>
        <v>214</v>
      </c>
      <c r="R52" s="13">
        <f t="shared" si="17"/>
        <v>228</v>
      </c>
      <c r="S52" s="13">
        <f t="shared" si="17"/>
        <v>244</v>
      </c>
      <c r="T52" s="13">
        <f t="shared" si="17"/>
        <v>231</v>
      </c>
      <c r="U52" s="13">
        <f t="shared" si="17"/>
        <v>246</v>
      </c>
      <c r="V52" s="13">
        <f t="shared" si="17"/>
        <v>230</v>
      </c>
      <c r="W52" s="13">
        <f t="shared" si="17"/>
        <v>220</v>
      </c>
      <c r="X52" s="13">
        <f t="shared" si="17"/>
        <v>226</v>
      </c>
      <c r="Y52" s="13">
        <f t="shared" si="17"/>
        <v>127</v>
      </c>
      <c r="Z52" s="13">
        <f t="shared" si="17"/>
        <v>206</v>
      </c>
      <c r="AA52" s="13">
        <f t="shared" si="16"/>
        <v>4487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B117" s="5"/>
      <c r="AC117" s="5"/>
    </row>
    <row r="118" ht="12.75" customHeight="1">
      <c r="AB118" s="5"/>
      <c r="AC118" s="5"/>
    </row>
    <row r="119" ht="12.75" customHeight="1">
      <c r="AB119" s="5"/>
      <c r="AC119" s="5"/>
    </row>
    <row r="120" ht="12.75" customHeight="1">
      <c r="AB120" s="5"/>
      <c r="AC120" s="5"/>
    </row>
    <row r="121" ht="12.75" customHeight="1">
      <c r="AB121" s="5"/>
      <c r="AC121" s="5"/>
    </row>
    <row r="122" ht="12.75" customHeight="1">
      <c r="AB122" s="5"/>
      <c r="AC122" s="5"/>
    </row>
    <row r="123" ht="12.75" customHeight="1">
      <c r="AB123" s="5"/>
      <c r="AC123" s="5"/>
    </row>
    <row r="124" ht="12.75" customHeight="1">
      <c r="AB124" s="5"/>
      <c r="AC124" s="5"/>
    </row>
    <row r="125" ht="12.75" customHeight="1">
      <c r="AB125" s="5"/>
      <c r="AC125" s="5"/>
    </row>
    <row r="126" ht="12.75" customHeight="1">
      <c r="AB126" s="5"/>
      <c r="AC126" s="5"/>
    </row>
    <row r="127" ht="12.75" customHeight="1">
      <c r="AB127" s="5"/>
      <c r="AC127" s="5"/>
    </row>
    <row r="128" ht="12.75" customHeight="1">
      <c r="AB128" s="5"/>
      <c r="AC128" s="5"/>
    </row>
    <row r="129" ht="12.75" customHeight="1">
      <c r="AB129" s="5"/>
      <c r="AC129" s="5"/>
    </row>
    <row r="130" ht="12.75" customHeight="1">
      <c r="AB130" s="1"/>
      <c r="AC130" s="1"/>
    </row>
    <row r="131" ht="12.75" customHeight="1">
      <c r="AB131" s="54"/>
      <c r="AC131" s="54"/>
    </row>
    <row r="132" ht="12.75" customHeight="1">
      <c r="AB132" s="5"/>
      <c r="AC132" s="5"/>
    </row>
    <row r="133" ht="12.75" customHeight="1">
      <c r="AB133" s="5"/>
      <c r="AC133" s="5"/>
    </row>
    <row r="134" ht="12.75" customHeight="1">
      <c r="AB134" s="5"/>
      <c r="AC134" s="5"/>
    </row>
    <row r="135" ht="12.75" customHeight="1">
      <c r="AB135" s="5"/>
      <c r="AC135" s="5"/>
    </row>
    <row r="136" ht="12.75" customHeight="1">
      <c r="AB136" s="5"/>
      <c r="AC136" s="5"/>
    </row>
    <row r="137" ht="12.75" customHeight="1">
      <c r="AB137" s="5"/>
      <c r="AC137" s="5"/>
    </row>
    <row r="138" ht="12.75" customHeight="1">
      <c r="AB138" s="5"/>
      <c r="AC138" s="5"/>
    </row>
    <row r="139" ht="12.75" customHeight="1">
      <c r="AB139" s="5"/>
      <c r="AC139" s="5"/>
    </row>
    <row r="140" ht="12.75" customHeight="1">
      <c r="AB140" s="5"/>
      <c r="AC140" s="5"/>
    </row>
    <row r="141" ht="12.75" customHeight="1">
      <c r="AB141" s="1"/>
      <c r="AC141" s="1"/>
    </row>
    <row r="142" ht="12.75" customHeight="1">
      <c r="AB142" s="54"/>
      <c r="AC142" s="54"/>
    </row>
    <row r="143" ht="12.75" customHeight="1">
      <c r="AB143" s="5"/>
      <c r="AC143" s="5"/>
    </row>
    <row r="144" ht="12.75" customHeight="1">
      <c r="AB144" s="5"/>
      <c r="AC144" s="5"/>
    </row>
    <row r="145" ht="12.75" customHeight="1">
      <c r="AB145" s="5"/>
      <c r="AC145" s="5"/>
    </row>
    <row r="146" ht="12.75" customHeight="1">
      <c r="AB146" s="5"/>
      <c r="AC146" s="5"/>
    </row>
    <row r="147" ht="12.75" customHeight="1">
      <c r="AB147" s="5"/>
      <c r="AC147" s="5"/>
    </row>
    <row r="148" ht="12.75" customHeight="1">
      <c r="AB148" s="5"/>
      <c r="AC148" s="5"/>
    </row>
    <row r="149" ht="12.75" customHeight="1">
      <c r="AB149" s="5"/>
      <c r="AC149" s="5"/>
    </row>
    <row r="150" ht="12.75" customHeight="1">
      <c r="AB150" s="5"/>
      <c r="AC150" s="5"/>
    </row>
    <row r="151" ht="12.75" customHeight="1">
      <c r="AB151" s="1"/>
      <c r="AC151" s="1"/>
    </row>
    <row r="152" ht="12.75" customHeight="1">
      <c r="AB152" s="54"/>
      <c r="AC152" s="54"/>
    </row>
    <row r="153" ht="12.75" customHeight="1">
      <c r="AB153" s="5"/>
      <c r="AC153" s="5"/>
    </row>
    <row r="154" ht="12.75" customHeight="1">
      <c r="AB154" s="5"/>
      <c r="AC154" s="5"/>
    </row>
    <row r="155" ht="12.75" customHeight="1">
      <c r="AB155" s="5"/>
      <c r="AC155" s="5"/>
    </row>
    <row r="156" ht="12.75" customHeight="1">
      <c r="AB156" s="5"/>
      <c r="AC156" s="5"/>
    </row>
    <row r="157" ht="12.75" customHeight="1">
      <c r="AB157" s="5"/>
      <c r="AC157" s="5"/>
    </row>
    <row r="158" ht="12.75" customHeight="1">
      <c r="AB158" s="5"/>
      <c r="AC158" s="5"/>
    </row>
    <row r="159" ht="12.75" customHeight="1">
      <c r="AB159" s="5"/>
      <c r="AC159" s="5"/>
    </row>
    <row r="160" ht="12.75" customHeight="1">
      <c r="AB160" s="5"/>
      <c r="AC160" s="5"/>
    </row>
    <row r="161" ht="12.75" customHeight="1">
      <c r="AB161" s="5"/>
      <c r="AC161" s="5"/>
    </row>
    <row r="162" ht="12.75" customHeight="1">
      <c r="AB162" s="5"/>
      <c r="AC162" s="5"/>
    </row>
    <row r="163" ht="12.75" customHeight="1">
      <c r="AB163" s="5"/>
      <c r="AC163" s="5"/>
    </row>
    <row r="164" ht="12.75" customHeight="1">
      <c r="AB164" s="5"/>
      <c r="AC164" s="5"/>
    </row>
    <row r="165" ht="12.75" customHeight="1">
      <c r="AB165" s="1"/>
      <c r="AC165" s="1"/>
    </row>
    <row r="166" ht="12.75" customHeight="1">
      <c r="AB166" s="54"/>
      <c r="AC166" s="54"/>
    </row>
    <row r="167" ht="12.75" customHeight="1">
      <c r="AB167" s="5"/>
      <c r="AC167" s="5"/>
    </row>
    <row r="168" ht="12.75" customHeight="1">
      <c r="AB168" s="5"/>
      <c r="AC168" s="5"/>
    </row>
    <row r="169" ht="12.75" customHeight="1">
      <c r="AB169" s="5"/>
      <c r="AC169" s="5"/>
    </row>
    <row r="170" ht="12.75" customHeight="1">
      <c r="AB170" s="5"/>
      <c r="AC170" s="5"/>
    </row>
    <row r="171" ht="12.75" customHeight="1">
      <c r="AB171" s="5"/>
      <c r="AC171" s="5"/>
    </row>
    <row r="172" ht="12.75" customHeight="1">
      <c r="AB172" s="5"/>
      <c r="AC172" s="5"/>
    </row>
    <row r="173" ht="12.75" customHeight="1">
      <c r="AB173" s="5"/>
      <c r="AC173" s="5"/>
    </row>
    <row r="174" ht="12.75" customHeight="1">
      <c r="AB174" s="5"/>
      <c r="AC174" s="5"/>
    </row>
    <row r="175" ht="12.75" customHeight="1">
      <c r="AB175" s="5"/>
      <c r="AC175" s="5"/>
    </row>
    <row r="176" ht="12.75" customHeight="1">
      <c r="AB176" s="1"/>
      <c r="AC176" s="1"/>
    </row>
    <row r="177" ht="12.75" customHeight="1"/>
    <row r="178" ht="12.75" customHeight="1">
      <c r="AB178" s="5"/>
      <c r="AC178" s="5"/>
    </row>
    <row r="179" ht="12.75" customHeight="1">
      <c r="AB179" s="5"/>
      <c r="AC179" s="5"/>
    </row>
    <row r="180" ht="12.75" customHeight="1">
      <c r="AB180" s="5"/>
      <c r="AC180" s="5"/>
    </row>
    <row r="181" ht="12.75" customHeight="1">
      <c r="AB181" s="5"/>
      <c r="AC181" s="5"/>
    </row>
    <row r="182" ht="12.75" customHeight="1">
      <c r="AB182" s="5"/>
      <c r="AC182" s="5"/>
    </row>
    <row r="183" ht="12.75" customHeight="1">
      <c r="AB183" s="5"/>
      <c r="AC183" s="5"/>
    </row>
    <row r="184" ht="12.75" customHeight="1">
      <c r="AB184" s="5"/>
      <c r="AC184" s="5"/>
    </row>
    <row r="185" ht="12.75" customHeight="1">
      <c r="AB185" s="5"/>
      <c r="AC185" s="5"/>
    </row>
    <row r="186" ht="12.75" customHeight="1">
      <c r="AB186" s="5"/>
      <c r="AC186" s="5"/>
    </row>
    <row r="187" ht="12.75" customHeight="1">
      <c r="AB187" s="1"/>
      <c r="AC187" s="1"/>
    </row>
    <row r="188" ht="12.75" customHeight="1"/>
    <row r="189" ht="12.75" customHeight="1">
      <c r="AB189" s="5"/>
      <c r="AC189" s="5"/>
    </row>
    <row r="190" ht="12.75" customHeight="1">
      <c r="AB190" s="5"/>
      <c r="AC190" s="5"/>
    </row>
    <row r="191" ht="12.75" customHeight="1">
      <c r="AB191" s="5"/>
      <c r="AC191" s="5"/>
    </row>
    <row r="192" ht="12.75" customHeight="1">
      <c r="AB192" s="5"/>
      <c r="AC192" s="5"/>
    </row>
    <row r="193" ht="12.75" customHeight="1">
      <c r="AB193" s="5"/>
      <c r="AC193" s="5"/>
    </row>
    <row r="194" ht="12.75" customHeight="1">
      <c r="AB194" s="5"/>
      <c r="AC194" s="5"/>
    </row>
    <row r="195" ht="12.75" customHeight="1">
      <c r="AB195" s="5"/>
      <c r="AC195" s="5"/>
    </row>
    <row r="196" ht="12.75" customHeight="1">
      <c r="AB196" s="1"/>
      <c r="AC196" s="1"/>
    </row>
    <row r="197" ht="12.75" customHeight="1">
      <c r="AB197" s="1"/>
      <c r="AC197" s="1"/>
    </row>
    <row r="198" ht="12.75" customHeight="1">
      <c r="AB198" s="1"/>
      <c r="AC198" s="1"/>
    </row>
    <row r="199" ht="12.75" customHeight="1">
      <c r="AB199" s="54"/>
      <c r="AC199" s="54"/>
    </row>
    <row r="200" ht="12.75" customHeight="1">
      <c r="AB200" s="5"/>
      <c r="AC200" s="5"/>
    </row>
    <row r="201" ht="12.75" customHeight="1">
      <c r="AB201" s="5"/>
      <c r="AC201" s="5"/>
    </row>
    <row r="202" ht="12.75" customHeight="1">
      <c r="AB202" s="5"/>
      <c r="AC202" s="5"/>
    </row>
    <row r="203" ht="12.75" customHeight="1">
      <c r="AB203" s="5"/>
      <c r="AC203" s="5"/>
    </row>
    <row r="204" ht="12.75" customHeight="1">
      <c r="AB204" s="5"/>
      <c r="AC204" s="5"/>
    </row>
    <row r="205" ht="12.75" customHeight="1">
      <c r="AB205" s="5"/>
      <c r="AC205" s="5"/>
    </row>
    <row r="206" ht="12.75" customHeight="1">
      <c r="AB206" s="5"/>
      <c r="AC206" s="5"/>
    </row>
    <row r="207" ht="12.75" customHeight="1">
      <c r="AB207" s="1"/>
      <c r="AC207" s="1"/>
    </row>
    <row r="208" ht="12.75" customHeight="1">
      <c r="AB208" s="54"/>
      <c r="AC208" s="54"/>
    </row>
    <row r="209" ht="12.75" customHeight="1">
      <c r="AB209" s="54"/>
      <c r="AC209" s="54"/>
    </row>
    <row r="210" ht="12.75" customHeight="1">
      <c r="AB210" s="54"/>
      <c r="AC210" s="54"/>
    </row>
    <row r="211" ht="12.75" customHeight="1">
      <c r="AB211" s="5"/>
      <c r="AC211" s="5"/>
    </row>
    <row r="212" ht="12.75" customHeight="1">
      <c r="AB212" s="5"/>
      <c r="AC212" s="5"/>
    </row>
    <row r="213" ht="12.75" customHeight="1">
      <c r="AB213" s="5"/>
      <c r="AC213" s="5"/>
    </row>
    <row r="214" ht="12.75" customHeight="1">
      <c r="AB214" s="5"/>
      <c r="AC214" s="5"/>
    </row>
    <row r="215" ht="12.75" customHeight="1">
      <c r="AB215" s="5"/>
      <c r="AC215" s="5"/>
    </row>
    <row r="216" ht="12.75" customHeight="1">
      <c r="AB216" s="5"/>
      <c r="AC216" s="5"/>
    </row>
    <row r="217" ht="12.75" customHeight="1">
      <c r="AB217" s="5"/>
      <c r="AC217" s="5"/>
    </row>
    <row r="218" ht="12.75" customHeight="1">
      <c r="AB218" s="1"/>
      <c r="AC218" s="1"/>
    </row>
    <row r="219" ht="12.75" customHeight="1">
      <c r="AB219" s="54"/>
      <c r="AC219" s="54"/>
    </row>
    <row r="220" ht="12.75" customHeight="1">
      <c r="AB220" s="5"/>
      <c r="AC220" s="5"/>
    </row>
    <row r="221" ht="12.75" customHeight="1">
      <c r="AB221" s="5"/>
      <c r="AC221" s="5"/>
    </row>
    <row r="222" ht="12.75" customHeight="1">
      <c r="AB222" s="5"/>
      <c r="AC222" s="5"/>
    </row>
    <row r="223" ht="12.75" customHeight="1">
      <c r="AB223" s="5"/>
      <c r="AC223" s="5"/>
    </row>
    <row r="224" ht="12.75" customHeight="1">
      <c r="AB224" s="5"/>
      <c r="AC224" s="5"/>
    </row>
    <row r="225" ht="12.75" customHeight="1">
      <c r="AB225" s="5"/>
      <c r="AC225" s="5"/>
    </row>
    <row r="226" ht="12.75" customHeight="1">
      <c r="AB226" s="5"/>
      <c r="AC226" s="5"/>
    </row>
    <row r="227" ht="12.75" customHeight="1">
      <c r="AB227" s="5"/>
      <c r="AC227" s="5"/>
    </row>
    <row r="228" ht="12.75" customHeight="1">
      <c r="AB228" s="5"/>
      <c r="AC228" s="5"/>
    </row>
    <row r="229" ht="12.75" customHeight="1">
      <c r="AB229" s="1"/>
      <c r="AC229" s="1"/>
    </row>
    <row r="230" ht="12.75" customHeight="1">
      <c r="AB230" s="54"/>
      <c r="AC230" s="54"/>
    </row>
    <row r="231" ht="12.75" customHeight="1">
      <c r="AB231" s="5"/>
      <c r="AC231" s="5"/>
    </row>
    <row r="232" ht="12.75" customHeight="1">
      <c r="AB232" s="5"/>
      <c r="AC232" s="5"/>
    </row>
    <row r="233" ht="12.75" customHeight="1">
      <c r="AB233" s="5"/>
      <c r="AC233" s="5"/>
    </row>
    <row r="234" ht="12.75" customHeight="1">
      <c r="AB234" s="5"/>
      <c r="AC234" s="5"/>
    </row>
    <row r="235" ht="12.75" customHeight="1">
      <c r="AB235" s="5"/>
      <c r="AC235" s="5"/>
    </row>
    <row r="236" ht="12.75" customHeight="1">
      <c r="AB236" s="5"/>
      <c r="AC236" s="5"/>
    </row>
    <row r="237" ht="12.75" customHeight="1">
      <c r="AB237" s="5"/>
      <c r="AC237" s="5"/>
    </row>
    <row r="238" ht="12.75" customHeight="1">
      <c r="AB238" s="5"/>
      <c r="AC238" s="5"/>
    </row>
    <row r="239" ht="12.75" customHeight="1">
      <c r="AB239" s="5"/>
      <c r="AC239" s="5"/>
    </row>
    <row r="240" ht="12.75" customHeight="1">
      <c r="AB240" s="1"/>
      <c r="AC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E34&lt;&gt;#REF!</formula>
    </cfRule>
  </conditionalFormatting>
  <conditionalFormatting sqref="E45:Z47">
    <cfRule type="containsBlanks" dxfId="1" priority="10">
      <formula>LEN(TRIM(E45))=0</formula>
    </cfRule>
  </conditionalFormatting>
  <conditionalFormatting sqref="E50:Z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7" width="8.71"/>
    <col customWidth="1" min="58" max="58" width="13.29"/>
    <col customWidth="1" min="59" max="6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131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6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75</v>
      </c>
      <c r="AD13" s="13" t="s">
        <v>76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13" t="s">
        <v>90</v>
      </c>
      <c r="AS13" s="13" t="s">
        <v>91</v>
      </c>
      <c r="AT13" s="13" t="s">
        <v>92</v>
      </c>
      <c r="AU13" s="13" t="s">
        <v>93</v>
      </c>
      <c r="AV13" s="13" t="s">
        <v>94</v>
      </c>
      <c r="AW13" s="13" t="s">
        <v>95</v>
      </c>
      <c r="AX13" s="13" t="s">
        <v>96</v>
      </c>
      <c r="AY13" s="13" t="s">
        <v>97</v>
      </c>
      <c r="AZ13" s="13" t="s">
        <v>98</v>
      </c>
      <c r="BA13" s="13" t="s">
        <v>99</v>
      </c>
      <c r="BB13" s="13" t="s">
        <v>100</v>
      </c>
      <c r="BC13" s="13" t="s">
        <v>101</v>
      </c>
      <c r="BD13" s="13" t="s">
        <v>102</v>
      </c>
      <c r="BE13" s="13" t="s">
        <v>103</v>
      </c>
      <c r="BF13" s="37"/>
    </row>
    <row r="14" ht="12.75" customHeight="1">
      <c r="A14" s="18"/>
      <c r="B14" s="22" t="s">
        <v>11</v>
      </c>
      <c r="C14" s="23"/>
      <c r="D14" s="19" t="s">
        <v>12</v>
      </c>
      <c r="E14" s="19">
        <v>145.0</v>
      </c>
      <c r="F14" s="19">
        <v>140.0</v>
      </c>
      <c r="G14" s="19">
        <v>84.0</v>
      </c>
      <c r="H14" s="19">
        <v>91.0</v>
      </c>
      <c r="I14" s="19">
        <v>152.0</v>
      </c>
      <c r="J14" s="19">
        <v>129.0</v>
      </c>
      <c r="K14" s="19">
        <v>136.0</v>
      </c>
      <c r="L14" s="19">
        <v>142.0</v>
      </c>
      <c r="M14" s="19">
        <v>137.0</v>
      </c>
      <c r="N14" s="19">
        <v>146.0</v>
      </c>
      <c r="O14" s="19">
        <v>134.0</v>
      </c>
      <c r="P14" s="19">
        <v>134.0</v>
      </c>
      <c r="Q14" s="19">
        <v>141.0</v>
      </c>
      <c r="R14" s="19">
        <v>141.0</v>
      </c>
      <c r="S14" s="19">
        <v>128.0</v>
      </c>
      <c r="T14" s="19">
        <v>147.0</v>
      </c>
      <c r="U14" s="19">
        <v>137.0</v>
      </c>
      <c r="V14" s="19">
        <v>133.0</v>
      </c>
      <c r="W14" s="19">
        <v>117.0</v>
      </c>
      <c r="X14" s="19">
        <v>136.0</v>
      </c>
      <c r="Y14" s="19">
        <v>142.0</v>
      </c>
      <c r="Z14" s="19">
        <v>126.0</v>
      </c>
      <c r="AA14" s="19">
        <v>138.0</v>
      </c>
      <c r="AB14" s="19">
        <v>138.0</v>
      </c>
      <c r="AC14" s="19">
        <v>142.0</v>
      </c>
      <c r="AD14" s="19">
        <v>132.0</v>
      </c>
      <c r="AE14" s="19">
        <v>148.0</v>
      </c>
      <c r="AF14" s="19">
        <v>139.0</v>
      </c>
      <c r="AG14" s="19">
        <v>147.0</v>
      </c>
      <c r="AH14" s="19">
        <v>140.0</v>
      </c>
      <c r="AI14" s="19">
        <v>132.0</v>
      </c>
      <c r="AJ14" s="19">
        <v>134.0</v>
      </c>
      <c r="AK14" s="19">
        <v>128.0</v>
      </c>
      <c r="AL14" s="19">
        <v>142.0</v>
      </c>
      <c r="AM14" s="19">
        <v>132.0</v>
      </c>
      <c r="AN14" s="19">
        <v>130.0</v>
      </c>
      <c r="AO14" s="19">
        <v>127.0</v>
      </c>
      <c r="AP14" s="19">
        <v>144.0</v>
      </c>
      <c r="AQ14" s="19">
        <v>134.0</v>
      </c>
      <c r="AR14" s="19">
        <v>136.0</v>
      </c>
      <c r="AS14" s="19">
        <v>136.0</v>
      </c>
      <c r="AT14" s="19">
        <v>144.0</v>
      </c>
      <c r="AU14" s="19">
        <v>132.0</v>
      </c>
      <c r="AV14" s="19">
        <v>135.0</v>
      </c>
      <c r="AW14" s="19">
        <v>140.0</v>
      </c>
      <c r="AX14" s="19">
        <v>144.0</v>
      </c>
      <c r="AY14" s="19">
        <v>142.0</v>
      </c>
      <c r="AZ14" s="19">
        <v>152.0</v>
      </c>
      <c r="BA14" s="19">
        <v>143.0</v>
      </c>
      <c r="BB14" s="19">
        <v>135.0</v>
      </c>
      <c r="BC14" s="19">
        <v>125.0</v>
      </c>
      <c r="BD14" s="19">
        <v>135.0</v>
      </c>
      <c r="BE14" s="19">
        <v>132.0</v>
      </c>
      <c r="BF14" s="13">
        <f t="shared" ref="BF14:BF16" si="1">SUM(E14:BE14)</f>
        <v>7176</v>
      </c>
    </row>
    <row r="15" ht="12.75" customHeight="1">
      <c r="A15" s="18"/>
      <c r="B15" s="26"/>
      <c r="C15" s="27"/>
      <c r="D15" s="19" t="s">
        <v>13</v>
      </c>
      <c r="E15" s="19">
        <v>135.0</v>
      </c>
      <c r="F15" s="19">
        <v>128.0</v>
      </c>
      <c r="G15" s="19">
        <v>96.0</v>
      </c>
      <c r="H15" s="19">
        <v>86.0</v>
      </c>
      <c r="I15" s="19">
        <v>142.0</v>
      </c>
      <c r="J15" s="19">
        <v>145.0</v>
      </c>
      <c r="K15" s="19">
        <v>135.0</v>
      </c>
      <c r="L15" s="19">
        <v>136.0</v>
      </c>
      <c r="M15" s="19">
        <v>131.0</v>
      </c>
      <c r="N15" s="19">
        <v>137.0</v>
      </c>
      <c r="O15" s="19">
        <v>146.0</v>
      </c>
      <c r="P15" s="19">
        <v>140.0</v>
      </c>
      <c r="Q15" s="19">
        <v>136.0</v>
      </c>
      <c r="R15" s="19">
        <v>134.0</v>
      </c>
      <c r="S15" s="19">
        <v>110.0</v>
      </c>
      <c r="T15" s="19">
        <v>136.0</v>
      </c>
      <c r="U15" s="19">
        <v>137.0</v>
      </c>
      <c r="V15" s="19">
        <v>140.0</v>
      </c>
      <c r="W15" s="19">
        <v>122.0</v>
      </c>
      <c r="X15" s="19">
        <v>144.0</v>
      </c>
      <c r="Y15" s="19">
        <v>142.0</v>
      </c>
      <c r="Z15" s="19">
        <v>129.0</v>
      </c>
      <c r="AA15" s="19">
        <v>143.0</v>
      </c>
      <c r="AB15" s="19">
        <v>131.0</v>
      </c>
      <c r="AC15" s="19">
        <v>141.0</v>
      </c>
      <c r="AD15" s="19">
        <v>146.0</v>
      </c>
      <c r="AE15" s="19">
        <v>121.0</v>
      </c>
      <c r="AF15" s="19">
        <v>137.0</v>
      </c>
      <c r="AG15" s="19">
        <v>142.0</v>
      </c>
      <c r="AH15" s="19">
        <v>141.0</v>
      </c>
      <c r="AI15" s="19">
        <v>143.0</v>
      </c>
      <c r="AJ15" s="19">
        <v>142.0</v>
      </c>
      <c r="AK15" s="19">
        <v>143.0</v>
      </c>
      <c r="AL15" s="19">
        <v>126.0</v>
      </c>
      <c r="AM15" s="19">
        <v>148.0</v>
      </c>
      <c r="AN15" s="19">
        <v>121.0</v>
      </c>
      <c r="AO15" s="19">
        <v>151.0</v>
      </c>
      <c r="AP15" s="19">
        <v>136.0</v>
      </c>
      <c r="AQ15" s="19">
        <v>150.0</v>
      </c>
      <c r="AR15" s="19">
        <v>138.0</v>
      </c>
      <c r="AS15" s="19">
        <v>139.0</v>
      </c>
      <c r="AT15" s="19">
        <v>135.0</v>
      </c>
      <c r="AU15" s="19">
        <v>131.0</v>
      </c>
      <c r="AV15" s="19">
        <v>135.0</v>
      </c>
      <c r="AW15" s="19">
        <v>136.0</v>
      </c>
      <c r="AX15" s="19">
        <v>143.0</v>
      </c>
      <c r="AY15" s="19">
        <v>151.0</v>
      </c>
      <c r="AZ15" s="19">
        <v>137.0</v>
      </c>
      <c r="BA15" s="19">
        <v>140.0</v>
      </c>
      <c r="BB15" s="19">
        <v>148.0</v>
      </c>
      <c r="BC15" s="19">
        <v>145.0</v>
      </c>
      <c r="BD15" s="19">
        <v>131.0</v>
      </c>
      <c r="BE15" s="19">
        <v>160.0</v>
      </c>
      <c r="BF15" s="13">
        <f t="shared" si="1"/>
        <v>7218</v>
      </c>
    </row>
    <row r="16" ht="12.75" customHeight="1">
      <c r="A16" s="25"/>
      <c r="B16" s="21"/>
      <c r="C16" s="28"/>
      <c r="D16" s="13" t="s">
        <v>14</v>
      </c>
      <c r="E16" s="13">
        <f t="shared" ref="E16:BE16" si="2">SUM(E14:E15)</f>
        <v>280</v>
      </c>
      <c r="F16" s="13">
        <f t="shared" si="2"/>
        <v>268</v>
      </c>
      <c r="G16" s="13">
        <f t="shared" si="2"/>
        <v>180</v>
      </c>
      <c r="H16" s="13">
        <f t="shared" si="2"/>
        <v>177</v>
      </c>
      <c r="I16" s="13">
        <f t="shared" si="2"/>
        <v>294</v>
      </c>
      <c r="J16" s="13">
        <f t="shared" si="2"/>
        <v>274</v>
      </c>
      <c r="K16" s="13">
        <f t="shared" si="2"/>
        <v>271</v>
      </c>
      <c r="L16" s="13">
        <f t="shared" si="2"/>
        <v>278</v>
      </c>
      <c r="M16" s="13">
        <f t="shared" si="2"/>
        <v>268</v>
      </c>
      <c r="N16" s="13">
        <f t="shared" si="2"/>
        <v>283</v>
      </c>
      <c r="O16" s="13">
        <f t="shared" si="2"/>
        <v>280</v>
      </c>
      <c r="P16" s="13">
        <f t="shared" si="2"/>
        <v>274</v>
      </c>
      <c r="Q16" s="13">
        <f t="shared" si="2"/>
        <v>277</v>
      </c>
      <c r="R16" s="13">
        <f t="shared" si="2"/>
        <v>275</v>
      </c>
      <c r="S16" s="13">
        <f t="shared" si="2"/>
        <v>238</v>
      </c>
      <c r="T16" s="13">
        <f t="shared" si="2"/>
        <v>283</v>
      </c>
      <c r="U16" s="13">
        <f t="shared" si="2"/>
        <v>274</v>
      </c>
      <c r="V16" s="13">
        <f t="shared" si="2"/>
        <v>273</v>
      </c>
      <c r="W16" s="13">
        <f t="shared" si="2"/>
        <v>239</v>
      </c>
      <c r="X16" s="13">
        <f t="shared" si="2"/>
        <v>280</v>
      </c>
      <c r="Y16" s="13">
        <f t="shared" si="2"/>
        <v>284</v>
      </c>
      <c r="Z16" s="13">
        <f t="shared" si="2"/>
        <v>255</v>
      </c>
      <c r="AA16" s="13">
        <f t="shared" si="2"/>
        <v>281</v>
      </c>
      <c r="AB16" s="13">
        <f t="shared" si="2"/>
        <v>269</v>
      </c>
      <c r="AC16" s="13">
        <f t="shared" si="2"/>
        <v>283</v>
      </c>
      <c r="AD16" s="13">
        <f t="shared" si="2"/>
        <v>278</v>
      </c>
      <c r="AE16" s="13">
        <f t="shared" si="2"/>
        <v>269</v>
      </c>
      <c r="AF16" s="13">
        <f t="shared" si="2"/>
        <v>276</v>
      </c>
      <c r="AG16" s="13">
        <f t="shared" si="2"/>
        <v>289</v>
      </c>
      <c r="AH16" s="13">
        <f t="shared" si="2"/>
        <v>281</v>
      </c>
      <c r="AI16" s="13">
        <f t="shared" si="2"/>
        <v>275</v>
      </c>
      <c r="AJ16" s="13">
        <f t="shared" si="2"/>
        <v>276</v>
      </c>
      <c r="AK16" s="13">
        <f t="shared" si="2"/>
        <v>271</v>
      </c>
      <c r="AL16" s="13">
        <f t="shared" si="2"/>
        <v>268</v>
      </c>
      <c r="AM16" s="13">
        <f t="shared" si="2"/>
        <v>280</v>
      </c>
      <c r="AN16" s="13">
        <f t="shared" si="2"/>
        <v>251</v>
      </c>
      <c r="AO16" s="13">
        <f t="shared" si="2"/>
        <v>278</v>
      </c>
      <c r="AP16" s="13">
        <f t="shared" si="2"/>
        <v>280</v>
      </c>
      <c r="AQ16" s="13">
        <f t="shared" si="2"/>
        <v>284</v>
      </c>
      <c r="AR16" s="13">
        <f t="shared" si="2"/>
        <v>274</v>
      </c>
      <c r="AS16" s="13">
        <f t="shared" si="2"/>
        <v>275</v>
      </c>
      <c r="AT16" s="13">
        <f t="shared" si="2"/>
        <v>279</v>
      </c>
      <c r="AU16" s="13">
        <f t="shared" si="2"/>
        <v>263</v>
      </c>
      <c r="AV16" s="13">
        <f t="shared" si="2"/>
        <v>270</v>
      </c>
      <c r="AW16" s="13">
        <f t="shared" si="2"/>
        <v>276</v>
      </c>
      <c r="AX16" s="13">
        <f t="shared" si="2"/>
        <v>287</v>
      </c>
      <c r="AY16" s="13">
        <f t="shared" si="2"/>
        <v>293</v>
      </c>
      <c r="AZ16" s="13">
        <f t="shared" si="2"/>
        <v>289</v>
      </c>
      <c r="BA16" s="13">
        <f t="shared" si="2"/>
        <v>283</v>
      </c>
      <c r="BB16" s="13">
        <f t="shared" si="2"/>
        <v>283</v>
      </c>
      <c r="BC16" s="13">
        <f t="shared" si="2"/>
        <v>270</v>
      </c>
      <c r="BD16" s="13">
        <f t="shared" si="2"/>
        <v>266</v>
      </c>
      <c r="BE16" s="13">
        <f t="shared" si="2"/>
        <v>292</v>
      </c>
      <c r="BF16" s="13">
        <f t="shared" si="1"/>
        <v>14394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19"/>
      <c r="Z17" s="19"/>
      <c r="AA17" s="19"/>
      <c r="AB17" s="19"/>
      <c r="AC17" s="64"/>
      <c r="AD17" s="19"/>
      <c r="AE17" s="19"/>
      <c r="AF17" s="19"/>
      <c r="AG17" s="19"/>
      <c r="AH17" s="64"/>
      <c r="AI17" s="19"/>
      <c r="AJ17" s="19"/>
      <c r="AK17" s="19"/>
      <c r="AL17" s="19"/>
      <c r="AM17" s="64"/>
      <c r="AN17" s="19"/>
      <c r="AO17" s="19"/>
      <c r="AP17" s="19"/>
      <c r="AQ17" s="19"/>
      <c r="AR17" s="64"/>
      <c r="AS17" s="19"/>
      <c r="AT17" s="19"/>
      <c r="AU17" s="19"/>
      <c r="AV17" s="19"/>
      <c r="AW17" s="64"/>
      <c r="AX17" s="19"/>
      <c r="AY17" s="19"/>
      <c r="AZ17" s="19"/>
      <c r="BA17" s="19"/>
      <c r="BB17" s="64"/>
      <c r="BC17" s="19"/>
      <c r="BD17" s="19"/>
      <c r="BE17" s="19"/>
      <c r="BF17" s="65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56</v>
      </c>
      <c r="L18" s="13" t="s">
        <v>57</v>
      </c>
      <c r="M18" s="13" t="s">
        <v>58</v>
      </c>
      <c r="N18" s="13" t="s">
        <v>59</v>
      </c>
      <c r="O18" s="13" t="s">
        <v>60</v>
      </c>
      <c r="P18" s="13" t="s">
        <v>61</v>
      </c>
      <c r="Q18" s="13" t="s">
        <v>62</v>
      </c>
      <c r="R18" s="13" t="s">
        <v>63</v>
      </c>
      <c r="S18" s="13" t="s">
        <v>64</v>
      </c>
      <c r="T18" s="13" t="s">
        <v>65</v>
      </c>
      <c r="U18" s="13" t="s">
        <v>66</v>
      </c>
      <c r="V18" s="13" t="s">
        <v>67</v>
      </c>
      <c r="W18" s="13" t="s">
        <v>68</v>
      </c>
      <c r="X18" s="13" t="s">
        <v>69</v>
      </c>
      <c r="Y18" s="13" t="s">
        <v>70</v>
      </c>
      <c r="Z18" s="13" t="s">
        <v>71</v>
      </c>
      <c r="AA18" s="13" t="s">
        <v>72</v>
      </c>
      <c r="AB18" s="13" t="s">
        <v>73</v>
      </c>
      <c r="AC18" s="13" t="s">
        <v>75</v>
      </c>
      <c r="AD18" s="13" t="s">
        <v>76</v>
      </c>
      <c r="AE18" s="13" t="s">
        <v>77</v>
      </c>
      <c r="AF18" s="13" t="s">
        <v>78</v>
      </c>
      <c r="AG18" s="13" t="s">
        <v>79</v>
      </c>
      <c r="AH18" s="13" t="s">
        <v>80</v>
      </c>
      <c r="AI18" s="13" t="s">
        <v>81</v>
      </c>
      <c r="AJ18" s="13" t="s">
        <v>82</v>
      </c>
      <c r="AK18" s="13" t="s">
        <v>83</v>
      </c>
      <c r="AL18" s="13" t="s">
        <v>84</v>
      </c>
      <c r="AM18" s="13" t="s">
        <v>85</v>
      </c>
      <c r="AN18" s="13" t="s">
        <v>86</v>
      </c>
      <c r="AO18" s="13" t="s">
        <v>87</v>
      </c>
      <c r="AP18" s="13" t="s">
        <v>88</v>
      </c>
      <c r="AQ18" s="13" t="s">
        <v>89</v>
      </c>
      <c r="AR18" s="13" t="s">
        <v>90</v>
      </c>
      <c r="AS18" s="13" t="s">
        <v>91</v>
      </c>
      <c r="AT18" s="13" t="s">
        <v>92</v>
      </c>
      <c r="AU18" s="13" t="s">
        <v>93</v>
      </c>
      <c r="AV18" s="13" t="s">
        <v>94</v>
      </c>
      <c r="AW18" s="13" t="s">
        <v>95</v>
      </c>
      <c r="AX18" s="13" t="s">
        <v>96</v>
      </c>
      <c r="AY18" s="13" t="s">
        <v>97</v>
      </c>
      <c r="AZ18" s="13" t="s">
        <v>98</v>
      </c>
      <c r="BA18" s="13" t="s">
        <v>99</v>
      </c>
      <c r="BB18" s="13" t="s">
        <v>100</v>
      </c>
      <c r="BC18" s="13" t="s">
        <v>101</v>
      </c>
      <c r="BD18" s="13" t="s">
        <v>102</v>
      </c>
      <c r="BE18" s="13" t="s">
        <v>103</v>
      </c>
      <c r="BF18" s="65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93.0</v>
      </c>
      <c r="F19" s="19">
        <v>99.0</v>
      </c>
      <c r="G19" s="19">
        <v>58.0</v>
      </c>
      <c r="H19" s="19">
        <v>66.0</v>
      </c>
      <c r="I19" s="19">
        <v>113.0</v>
      </c>
      <c r="J19" s="19">
        <v>89.0</v>
      </c>
      <c r="K19" s="19">
        <v>103.0</v>
      </c>
      <c r="L19" s="19">
        <v>92.0</v>
      </c>
      <c r="M19" s="19">
        <v>91.0</v>
      </c>
      <c r="N19" s="19">
        <v>103.0</v>
      </c>
      <c r="O19" s="19">
        <v>109.0</v>
      </c>
      <c r="P19" s="19">
        <v>100.0</v>
      </c>
      <c r="Q19" s="19">
        <v>105.0</v>
      </c>
      <c r="R19" s="19">
        <v>109.0</v>
      </c>
      <c r="S19" s="19">
        <v>88.0</v>
      </c>
      <c r="T19" s="19">
        <v>101.0</v>
      </c>
      <c r="U19" s="19">
        <v>110.0</v>
      </c>
      <c r="V19" s="19">
        <v>102.0</v>
      </c>
      <c r="W19" s="19">
        <v>92.0</v>
      </c>
      <c r="X19" s="19">
        <v>97.0</v>
      </c>
      <c r="Y19" s="19">
        <v>99.0</v>
      </c>
      <c r="Z19" s="19">
        <v>85.0</v>
      </c>
      <c r="AA19" s="19">
        <v>103.0</v>
      </c>
      <c r="AB19" s="19">
        <v>95.0</v>
      </c>
      <c r="AC19" s="19">
        <v>93.0</v>
      </c>
      <c r="AD19" s="19">
        <v>82.0</v>
      </c>
      <c r="AE19" s="19">
        <v>102.0</v>
      </c>
      <c r="AF19" s="19">
        <v>97.0</v>
      </c>
      <c r="AG19" s="19">
        <v>115.0</v>
      </c>
      <c r="AH19" s="19">
        <v>104.0</v>
      </c>
      <c r="AI19" s="19">
        <v>99.0</v>
      </c>
      <c r="AJ19" s="19">
        <v>92.0</v>
      </c>
      <c r="AK19" s="19">
        <v>90.0</v>
      </c>
      <c r="AL19" s="19">
        <v>103.0</v>
      </c>
      <c r="AM19" s="19">
        <v>95.0</v>
      </c>
      <c r="AN19" s="19">
        <v>95.0</v>
      </c>
      <c r="AO19" s="19">
        <v>82.0</v>
      </c>
      <c r="AP19" s="19">
        <v>104.0</v>
      </c>
      <c r="AQ19" s="19">
        <v>95.0</v>
      </c>
      <c r="AR19" s="19">
        <v>93.0</v>
      </c>
      <c r="AS19" s="19">
        <v>95.0</v>
      </c>
      <c r="AT19" s="19">
        <v>115.0</v>
      </c>
      <c r="AU19" s="19">
        <v>95.0</v>
      </c>
      <c r="AV19" s="19">
        <v>87.0</v>
      </c>
      <c r="AW19" s="19">
        <v>111.0</v>
      </c>
      <c r="AX19" s="19">
        <v>116.0</v>
      </c>
      <c r="AY19" s="19">
        <v>108.0</v>
      </c>
      <c r="AZ19" s="19">
        <v>109.0</v>
      </c>
      <c r="BA19" s="19">
        <v>89.0</v>
      </c>
      <c r="BB19" s="19">
        <v>86.0</v>
      </c>
      <c r="BC19" s="19">
        <v>90.0</v>
      </c>
      <c r="BD19" s="19">
        <v>103.0</v>
      </c>
      <c r="BE19" s="19">
        <v>95.0</v>
      </c>
      <c r="BF19" s="13">
        <f t="shared" ref="BF19:BF30" si="3">SUM(E19:BE19)</f>
        <v>5142</v>
      </c>
    </row>
    <row r="20" ht="12.75" customHeight="1">
      <c r="A20" s="34"/>
      <c r="B20" s="27"/>
      <c r="C20" s="35"/>
      <c r="D20" s="19" t="s">
        <v>13</v>
      </c>
      <c r="E20" s="19">
        <v>96.0</v>
      </c>
      <c r="F20" s="19">
        <v>101.0</v>
      </c>
      <c r="G20" s="19">
        <v>71.0</v>
      </c>
      <c r="H20" s="19">
        <v>74.0</v>
      </c>
      <c r="I20" s="19">
        <v>121.0</v>
      </c>
      <c r="J20" s="19">
        <v>111.0</v>
      </c>
      <c r="K20" s="19">
        <v>109.0</v>
      </c>
      <c r="L20" s="19">
        <v>98.0</v>
      </c>
      <c r="M20" s="19">
        <v>97.0</v>
      </c>
      <c r="N20" s="19">
        <v>99.0</v>
      </c>
      <c r="O20" s="19">
        <v>118.0</v>
      </c>
      <c r="P20" s="19">
        <v>112.0</v>
      </c>
      <c r="Q20" s="19">
        <v>110.0</v>
      </c>
      <c r="R20" s="19">
        <v>94.0</v>
      </c>
      <c r="S20" s="19">
        <v>92.0</v>
      </c>
      <c r="T20" s="19">
        <v>104.0</v>
      </c>
      <c r="U20" s="19">
        <v>111.0</v>
      </c>
      <c r="V20" s="19">
        <v>114.0</v>
      </c>
      <c r="W20" s="19">
        <v>91.0</v>
      </c>
      <c r="X20" s="19">
        <v>102.0</v>
      </c>
      <c r="Y20" s="19">
        <v>101.0</v>
      </c>
      <c r="Z20" s="19">
        <v>94.0</v>
      </c>
      <c r="AA20" s="19">
        <v>109.0</v>
      </c>
      <c r="AB20" s="19">
        <v>98.0</v>
      </c>
      <c r="AC20" s="19">
        <v>103.0</v>
      </c>
      <c r="AD20" s="19">
        <v>103.0</v>
      </c>
      <c r="AE20" s="19">
        <v>93.0</v>
      </c>
      <c r="AF20" s="19">
        <v>114.0</v>
      </c>
      <c r="AG20" s="19">
        <v>112.0</v>
      </c>
      <c r="AH20" s="19">
        <v>111.0</v>
      </c>
      <c r="AI20" s="19">
        <v>115.0</v>
      </c>
      <c r="AJ20" s="19">
        <v>113.0</v>
      </c>
      <c r="AK20" s="19">
        <v>105.0</v>
      </c>
      <c r="AL20" s="19">
        <v>102.0</v>
      </c>
      <c r="AM20" s="19">
        <v>112.0</v>
      </c>
      <c r="AN20" s="19">
        <v>91.0</v>
      </c>
      <c r="AO20" s="19">
        <v>115.0</v>
      </c>
      <c r="AP20" s="19">
        <v>102.0</v>
      </c>
      <c r="AQ20" s="19">
        <v>111.0</v>
      </c>
      <c r="AR20" s="19">
        <v>101.0</v>
      </c>
      <c r="AS20" s="19">
        <v>113.0</v>
      </c>
      <c r="AT20" s="19">
        <v>113.0</v>
      </c>
      <c r="AU20" s="19">
        <v>109.0</v>
      </c>
      <c r="AV20" s="19">
        <v>109.0</v>
      </c>
      <c r="AW20" s="19">
        <v>117.0</v>
      </c>
      <c r="AX20" s="19">
        <v>116.0</v>
      </c>
      <c r="AY20" s="19">
        <v>125.0</v>
      </c>
      <c r="AZ20" s="19">
        <v>109.0</v>
      </c>
      <c r="BA20" s="19">
        <v>100.0</v>
      </c>
      <c r="BB20" s="19">
        <v>121.0</v>
      </c>
      <c r="BC20" s="19">
        <v>104.0</v>
      </c>
      <c r="BD20" s="19">
        <v>100.0</v>
      </c>
      <c r="BE20" s="19">
        <v>130.0</v>
      </c>
      <c r="BF20" s="13">
        <f t="shared" si="3"/>
        <v>5596</v>
      </c>
    </row>
    <row r="21" ht="12.75" customHeight="1">
      <c r="A21" s="36"/>
      <c r="B21" s="28"/>
      <c r="C21" s="37"/>
      <c r="D21" s="13" t="s">
        <v>14</v>
      </c>
      <c r="E21" s="13">
        <f t="shared" ref="E21:BE21" si="4">SUM(E19:E20)</f>
        <v>189</v>
      </c>
      <c r="F21" s="13">
        <f t="shared" si="4"/>
        <v>200</v>
      </c>
      <c r="G21" s="13">
        <f t="shared" si="4"/>
        <v>129</v>
      </c>
      <c r="H21" s="13">
        <f t="shared" si="4"/>
        <v>140</v>
      </c>
      <c r="I21" s="13">
        <f t="shared" si="4"/>
        <v>234</v>
      </c>
      <c r="J21" s="13">
        <f t="shared" si="4"/>
        <v>200</v>
      </c>
      <c r="K21" s="13">
        <f t="shared" si="4"/>
        <v>212</v>
      </c>
      <c r="L21" s="13">
        <f t="shared" si="4"/>
        <v>190</v>
      </c>
      <c r="M21" s="13">
        <f t="shared" si="4"/>
        <v>188</v>
      </c>
      <c r="N21" s="13">
        <f t="shared" si="4"/>
        <v>202</v>
      </c>
      <c r="O21" s="13">
        <f t="shared" si="4"/>
        <v>227</v>
      </c>
      <c r="P21" s="13">
        <f t="shared" si="4"/>
        <v>212</v>
      </c>
      <c r="Q21" s="13">
        <f t="shared" si="4"/>
        <v>215</v>
      </c>
      <c r="R21" s="13">
        <f t="shared" si="4"/>
        <v>203</v>
      </c>
      <c r="S21" s="13">
        <f t="shared" si="4"/>
        <v>180</v>
      </c>
      <c r="T21" s="13">
        <f t="shared" si="4"/>
        <v>205</v>
      </c>
      <c r="U21" s="13">
        <f t="shared" si="4"/>
        <v>221</v>
      </c>
      <c r="V21" s="13">
        <f t="shared" si="4"/>
        <v>216</v>
      </c>
      <c r="W21" s="13">
        <f t="shared" si="4"/>
        <v>183</v>
      </c>
      <c r="X21" s="13">
        <f t="shared" si="4"/>
        <v>199</v>
      </c>
      <c r="Y21" s="13">
        <f t="shared" si="4"/>
        <v>200</v>
      </c>
      <c r="Z21" s="13">
        <f t="shared" si="4"/>
        <v>179</v>
      </c>
      <c r="AA21" s="13">
        <f t="shared" si="4"/>
        <v>212</v>
      </c>
      <c r="AB21" s="13">
        <f t="shared" si="4"/>
        <v>193</v>
      </c>
      <c r="AC21" s="13">
        <f t="shared" si="4"/>
        <v>196</v>
      </c>
      <c r="AD21" s="13">
        <f t="shared" si="4"/>
        <v>185</v>
      </c>
      <c r="AE21" s="13">
        <f t="shared" si="4"/>
        <v>195</v>
      </c>
      <c r="AF21" s="13">
        <f t="shared" si="4"/>
        <v>211</v>
      </c>
      <c r="AG21" s="13">
        <f t="shared" si="4"/>
        <v>227</v>
      </c>
      <c r="AH21" s="13">
        <f t="shared" si="4"/>
        <v>215</v>
      </c>
      <c r="AI21" s="13">
        <f t="shared" si="4"/>
        <v>214</v>
      </c>
      <c r="AJ21" s="13">
        <f t="shared" si="4"/>
        <v>205</v>
      </c>
      <c r="AK21" s="13">
        <f t="shared" si="4"/>
        <v>195</v>
      </c>
      <c r="AL21" s="13">
        <f t="shared" si="4"/>
        <v>205</v>
      </c>
      <c r="AM21" s="13">
        <f t="shared" si="4"/>
        <v>207</v>
      </c>
      <c r="AN21" s="13">
        <f t="shared" si="4"/>
        <v>186</v>
      </c>
      <c r="AO21" s="13">
        <f t="shared" si="4"/>
        <v>197</v>
      </c>
      <c r="AP21" s="13">
        <f t="shared" si="4"/>
        <v>206</v>
      </c>
      <c r="AQ21" s="13">
        <f t="shared" si="4"/>
        <v>206</v>
      </c>
      <c r="AR21" s="13">
        <f t="shared" si="4"/>
        <v>194</v>
      </c>
      <c r="AS21" s="13">
        <f t="shared" si="4"/>
        <v>208</v>
      </c>
      <c r="AT21" s="13">
        <f t="shared" si="4"/>
        <v>228</v>
      </c>
      <c r="AU21" s="13">
        <f t="shared" si="4"/>
        <v>204</v>
      </c>
      <c r="AV21" s="13">
        <f t="shared" si="4"/>
        <v>196</v>
      </c>
      <c r="AW21" s="13">
        <f t="shared" si="4"/>
        <v>228</v>
      </c>
      <c r="AX21" s="13">
        <f t="shared" si="4"/>
        <v>232</v>
      </c>
      <c r="AY21" s="13">
        <f t="shared" si="4"/>
        <v>233</v>
      </c>
      <c r="AZ21" s="13">
        <f t="shared" si="4"/>
        <v>218</v>
      </c>
      <c r="BA21" s="13">
        <f t="shared" si="4"/>
        <v>189</v>
      </c>
      <c r="BB21" s="13">
        <f t="shared" si="4"/>
        <v>207</v>
      </c>
      <c r="BC21" s="13">
        <f t="shared" si="4"/>
        <v>194</v>
      </c>
      <c r="BD21" s="13">
        <f t="shared" si="4"/>
        <v>203</v>
      </c>
      <c r="BE21" s="13">
        <f t="shared" si="4"/>
        <v>225</v>
      </c>
      <c r="BF21" s="13">
        <f t="shared" si="3"/>
        <v>10738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1.0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2.0</v>
      </c>
      <c r="AT22" s="19">
        <v>0.0</v>
      </c>
      <c r="AU22" s="19">
        <v>0.0</v>
      </c>
      <c r="AV22" s="19">
        <v>0.0</v>
      </c>
      <c r="AW22" s="19">
        <v>0.0</v>
      </c>
      <c r="AX22" s="19">
        <v>2.0</v>
      </c>
      <c r="AY22" s="19">
        <v>1.0</v>
      </c>
      <c r="AZ22" s="19">
        <v>0.0</v>
      </c>
      <c r="BA22" s="19">
        <v>0.0</v>
      </c>
      <c r="BB22" s="19">
        <v>0.0</v>
      </c>
      <c r="BC22" s="19">
        <v>1.0</v>
      </c>
      <c r="BD22" s="19">
        <v>0.0</v>
      </c>
      <c r="BE22" s="19">
        <v>0.0</v>
      </c>
      <c r="BF22" s="13">
        <f t="shared" si="3"/>
        <v>10</v>
      </c>
    </row>
    <row r="23" ht="12.75" customHeight="1">
      <c r="A23" s="34"/>
      <c r="B23" s="27"/>
      <c r="C23" s="35"/>
      <c r="D23" s="19" t="s">
        <v>13</v>
      </c>
      <c r="E23" s="19">
        <v>4.0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3.0</v>
      </c>
      <c r="AY23" s="19">
        <v>0.0</v>
      </c>
      <c r="AZ23" s="19">
        <v>0.0</v>
      </c>
      <c r="BA23" s="19">
        <v>0.0</v>
      </c>
      <c r="BB23" s="19">
        <v>0.0</v>
      </c>
      <c r="BC23" s="19">
        <v>1.0</v>
      </c>
      <c r="BD23" s="19">
        <v>0.0</v>
      </c>
      <c r="BE23" s="19">
        <v>0.0</v>
      </c>
      <c r="BF23" s="13">
        <f t="shared" si="3"/>
        <v>10</v>
      </c>
    </row>
    <row r="24" ht="12.75" customHeight="1">
      <c r="A24" s="36"/>
      <c r="B24" s="28"/>
      <c r="C24" s="37"/>
      <c r="D24" s="13" t="s">
        <v>14</v>
      </c>
      <c r="E24" s="13">
        <f t="shared" ref="E24:BE24" si="5">SUM(E22:E23)</f>
        <v>4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2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5</v>
      </c>
      <c r="AY24" s="13">
        <f t="shared" si="5"/>
        <v>1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2</v>
      </c>
      <c r="BD24" s="13">
        <f t="shared" si="5"/>
        <v>0</v>
      </c>
      <c r="BE24" s="13">
        <f t="shared" si="5"/>
        <v>0</v>
      </c>
      <c r="BF24" s="13">
        <f t="shared" si="3"/>
        <v>20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3.0</v>
      </c>
      <c r="I25" s="19">
        <v>0.0</v>
      </c>
      <c r="J25" s="19">
        <v>0.0</v>
      </c>
      <c r="K25" s="19">
        <v>1.0</v>
      </c>
      <c r="L25" s="19">
        <v>2.0</v>
      </c>
      <c r="M25" s="19">
        <v>3.0</v>
      </c>
      <c r="N25" s="19">
        <v>1.0</v>
      </c>
      <c r="O25" s="19">
        <v>3.0</v>
      </c>
      <c r="P25" s="19">
        <v>0.0</v>
      </c>
      <c r="Q25" s="19">
        <v>0.0</v>
      </c>
      <c r="R25" s="19">
        <v>0.0</v>
      </c>
      <c r="S25" s="19">
        <v>1.0</v>
      </c>
      <c r="T25" s="19">
        <v>0.0</v>
      </c>
      <c r="U25" s="19">
        <v>4.0</v>
      </c>
      <c r="V25" s="19">
        <v>0.0</v>
      </c>
      <c r="W25" s="19">
        <v>0.0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9">
        <v>1.0</v>
      </c>
      <c r="AE25" s="19">
        <v>1.0</v>
      </c>
      <c r="AF25" s="19">
        <v>3.0</v>
      </c>
      <c r="AG25" s="19">
        <v>0.0</v>
      </c>
      <c r="AH25" s="19">
        <v>2.0</v>
      </c>
      <c r="AI25" s="19">
        <v>0.0</v>
      </c>
      <c r="AJ25" s="19">
        <v>0.0</v>
      </c>
      <c r="AK25" s="19">
        <v>4.0</v>
      </c>
      <c r="AL25" s="19">
        <v>0.0</v>
      </c>
      <c r="AM25" s="19">
        <v>0.0</v>
      </c>
      <c r="AN25" s="19">
        <v>0.0</v>
      </c>
      <c r="AO25" s="19">
        <v>4.0</v>
      </c>
      <c r="AP25" s="19">
        <v>0.0</v>
      </c>
      <c r="AQ25" s="19">
        <v>0.0</v>
      </c>
      <c r="AR25" s="19">
        <v>3.0</v>
      </c>
      <c r="AS25" s="19">
        <v>0.0</v>
      </c>
      <c r="AT25" s="19">
        <v>4.0</v>
      </c>
      <c r="AU25" s="19">
        <v>1.0</v>
      </c>
      <c r="AV25" s="19">
        <v>0.0</v>
      </c>
      <c r="AW25" s="19">
        <v>2.0</v>
      </c>
      <c r="AX25" s="19">
        <v>0.0</v>
      </c>
      <c r="AY25" s="19">
        <v>0.0</v>
      </c>
      <c r="AZ25" s="19">
        <v>1.0</v>
      </c>
      <c r="BA25" s="19">
        <v>3.0</v>
      </c>
      <c r="BB25" s="19">
        <v>2.0</v>
      </c>
      <c r="BC25" s="19">
        <v>1.0</v>
      </c>
      <c r="BD25" s="19">
        <v>0.0</v>
      </c>
      <c r="BE25" s="19">
        <v>1.0</v>
      </c>
      <c r="BF25" s="13">
        <f t="shared" si="3"/>
        <v>52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1.0</v>
      </c>
      <c r="O26" s="19">
        <v>1.0</v>
      </c>
      <c r="P26" s="19">
        <v>1.0</v>
      </c>
      <c r="Q26" s="19">
        <v>1.0</v>
      </c>
      <c r="R26" s="19">
        <v>0.0</v>
      </c>
      <c r="S26" s="19">
        <v>2.0</v>
      </c>
      <c r="T26" s="19">
        <v>0.0</v>
      </c>
      <c r="U26" s="19">
        <v>3.0</v>
      </c>
      <c r="V26" s="19">
        <v>0.0</v>
      </c>
      <c r="W26" s="19">
        <v>0.0</v>
      </c>
      <c r="X26" s="19">
        <v>0.0</v>
      </c>
      <c r="Y26" s="19">
        <v>0.0</v>
      </c>
      <c r="Z26" s="19">
        <v>3.0</v>
      </c>
      <c r="AA26" s="19">
        <v>0.0</v>
      </c>
      <c r="AB26" s="19">
        <v>0.0</v>
      </c>
      <c r="AC26" s="19">
        <v>3.0</v>
      </c>
      <c r="AD26" s="19">
        <v>2.0</v>
      </c>
      <c r="AE26" s="19">
        <v>0.0</v>
      </c>
      <c r="AF26" s="19">
        <v>2.0</v>
      </c>
      <c r="AG26" s="19">
        <v>1.0</v>
      </c>
      <c r="AH26" s="19">
        <v>2.0</v>
      </c>
      <c r="AI26" s="19">
        <v>0.0</v>
      </c>
      <c r="AJ26" s="19">
        <v>0.0</v>
      </c>
      <c r="AK26" s="19">
        <v>4.0</v>
      </c>
      <c r="AL26" s="19">
        <v>1.0</v>
      </c>
      <c r="AM26" s="19">
        <v>0.0</v>
      </c>
      <c r="AN26" s="19">
        <v>0.0</v>
      </c>
      <c r="AO26" s="19">
        <v>3.0</v>
      </c>
      <c r="AP26" s="19">
        <v>0.0</v>
      </c>
      <c r="AQ26" s="19">
        <v>0.0</v>
      </c>
      <c r="AR26" s="19">
        <v>2.0</v>
      </c>
      <c r="AS26" s="19">
        <v>0.0</v>
      </c>
      <c r="AT26" s="19">
        <v>3.0</v>
      </c>
      <c r="AU26" s="19">
        <v>0.0</v>
      </c>
      <c r="AV26" s="19">
        <v>0.0</v>
      </c>
      <c r="AW26" s="19">
        <v>1.0</v>
      </c>
      <c r="AX26" s="19">
        <v>1.0</v>
      </c>
      <c r="AY26" s="19">
        <v>1.0</v>
      </c>
      <c r="AZ26" s="19">
        <v>1.0</v>
      </c>
      <c r="BA26" s="19">
        <v>1.0</v>
      </c>
      <c r="BB26" s="19">
        <v>0.0</v>
      </c>
      <c r="BC26" s="19">
        <v>0.0</v>
      </c>
      <c r="BD26" s="19">
        <v>0.0</v>
      </c>
      <c r="BE26" s="19">
        <v>1.0</v>
      </c>
      <c r="BF26" s="13">
        <f t="shared" si="3"/>
        <v>41</v>
      </c>
    </row>
    <row r="27" ht="12.75" customHeight="1">
      <c r="A27" s="36"/>
      <c r="B27" s="28"/>
      <c r="C27" s="37"/>
      <c r="D27" s="13" t="s">
        <v>14</v>
      </c>
      <c r="E27" s="13">
        <f t="shared" ref="E27:B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2</v>
      </c>
      <c r="M27" s="13">
        <f t="shared" si="6"/>
        <v>3</v>
      </c>
      <c r="N27" s="13">
        <f t="shared" si="6"/>
        <v>2</v>
      </c>
      <c r="O27" s="13">
        <f t="shared" si="6"/>
        <v>4</v>
      </c>
      <c r="P27" s="13">
        <f t="shared" si="6"/>
        <v>1</v>
      </c>
      <c r="Q27" s="13">
        <f t="shared" si="6"/>
        <v>1</v>
      </c>
      <c r="R27" s="13">
        <f t="shared" si="6"/>
        <v>0</v>
      </c>
      <c r="S27" s="13">
        <f t="shared" si="6"/>
        <v>3</v>
      </c>
      <c r="T27" s="13">
        <f t="shared" si="6"/>
        <v>0</v>
      </c>
      <c r="U27" s="13">
        <f t="shared" si="6"/>
        <v>7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3</v>
      </c>
      <c r="AD27" s="13">
        <f t="shared" si="6"/>
        <v>3</v>
      </c>
      <c r="AE27" s="13">
        <f t="shared" si="6"/>
        <v>1</v>
      </c>
      <c r="AF27" s="13">
        <f t="shared" si="6"/>
        <v>5</v>
      </c>
      <c r="AG27" s="13">
        <f t="shared" si="6"/>
        <v>1</v>
      </c>
      <c r="AH27" s="13">
        <f t="shared" si="6"/>
        <v>4</v>
      </c>
      <c r="AI27" s="13">
        <f t="shared" si="6"/>
        <v>0</v>
      </c>
      <c r="AJ27" s="13">
        <f t="shared" si="6"/>
        <v>0</v>
      </c>
      <c r="AK27" s="13">
        <f t="shared" si="6"/>
        <v>8</v>
      </c>
      <c r="AL27" s="13">
        <f t="shared" si="6"/>
        <v>1</v>
      </c>
      <c r="AM27" s="13">
        <f t="shared" si="6"/>
        <v>0</v>
      </c>
      <c r="AN27" s="13">
        <f t="shared" si="6"/>
        <v>0</v>
      </c>
      <c r="AO27" s="13">
        <f t="shared" si="6"/>
        <v>7</v>
      </c>
      <c r="AP27" s="13">
        <f t="shared" si="6"/>
        <v>0</v>
      </c>
      <c r="AQ27" s="13">
        <f t="shared" si="6"/>
        <v>0</v>
      </c>
      <c r="AR27" s="13">
        <f t="shared" si="6"/>
        <v>5</v>
      </c>
      <c r="AS27" s="13">
        <f t="shared" si="6"/>
        <v>0</v>
      </c>
      <c r="AT27" s="13">
        <f t="shared" si="6"/>
        <v>7</v>
      </c>
      <c r="AU27" s="13">
        <f t="shared" si="6"/>
        <v>1</v>
      </c>
      <c r="AV27" s="13">
        <f t="shared" si="6"/>
        <v>0</v>
      </c>
      <c r="AW27" s="13">
        <f t="shared" si="6"/>
        <v>3</v>
      </c>
      <c r="AX27" s="13">
        <f t="shared" si="6"/>
        <v>1</v>
      </c>
      <c r="AY27" s="13">
        <f t="shared" si="6"/>
        <v>1</v>
      </c>
      <c r="AZ27" s="13">
        <f t="shared" si="6"/>
        <v>2</v>
      </c>
      <c r="BA27" s="13">
        <f t="shared" si="6"/>
        <v>4</v>
      </c>
      <c r="BB27" s="13">
        <f t="shared" si="6"/>
        <v>2</v>
      </c>
      <c r="BC27" s="13">
        <f t="shared" si="6"/>
        <v>1</v>
      </c>
      <c r="BD27" s="13">
        <f t="shared" si="6"/>
        <v>0</v>
      </c>
      <c r="BE27" s="13">
        <f t="shared" si="6"/>
        <v>2</v>
      </c>
      <c r="BF27" s="13">
        <f t="shared" si="3"/>
        <v>93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BE28" si="7">SUM(E19,E22,E25)</f>
        <v>93</v>
      </c>
      <c r="F28" s="13">
        <f t="shared" si="7"/>
        <v>100</v>
      </c>
      <c r="G28" s="13">
        <f t="shared" si="7"/>
        <v>58</v>
      </c>
      <c r="H28" s="13">
        <f t="shared" si="7"/>
        <v>69</v>
      </c>
      <c r="I28" s="13">
        <f t="shared" si="7"/>
        <v>113</v>
      </c>
      <c r="J28" s="13">
        <f t="shared" si="7"/>
        <v>89</v>
      </c>
      <c r="K28" s="13">
        <f t="shared" si="7"/>
        <v>104</v>
      </c>
      <c r="L28" s="13">
        <f t="shared" si="7"/>
        <v>94</v>
      </c>
      <c r="M28" s="13">
        <f t="shared" si="7"/>
        <v>95</v>
      </c>
      <c r="N28" s="13">
        <f t="shared" si="7"/>
        <v>105</v>
      </c>
      <c r="O28" s="13">
        <f t="shared" si="7"/>
        <v>112</v>
      </c>
      <c r="P28" s="13">
        <f t="shared" si="7"/>
        <v>100</v>
      </c>
      <c r="Q28" s="13">
        <f t="shared" si="7"/>
        <v>106</v>
      </c>
      <c r="R28" s="13">
        <f t="shared" si="7"/>
        <v>109</v>
      </c>
      <c r="S28" s="13">
        <f t="shared" si="7"/>
        <v>89</v>
      </c>
      <c r="T28" s="13">
        <f t="shared" si="7"/>
        <v>101</v>
      </c>
      <c r="U28" s="13">
        <f t="shared" si="7"/>
        <v>114</v>
      </c>
      <c r="V28" s="13">
        <f t="shared" si="7"/>
        <v>102</v>
      </c>
      <c r="W28" s="13">
        <f t="shared" si="7"/>
        <v>92</v>
      </c>
      <c r="X28" s="13">
        <f t="shared" si="7"/>
        <v>97</v>
      </c>
      <c r="Y28" s="13">
        <f t="shared" si="7"/>
        <v>99</v>
      </c>
      <c r="Z28" s="13">
        <f t="shared" si="7"/>
        <v>86</v>
      </c>
      <c r="AA28" s="13">
        <f t="shared" si="7"/>
        <v>103</v>
      </c>
      <c r="AB28" s="13">
        <f t="shared" si="7"/>
        <v>95</v>
      </c>
      <c r="AC28" s="13">
        <f t="shared" si="7"/>
        <v>93</v>
      </c>
      <c r="AD28" s="13">
        <f t="shared" si="7"/>
        <v>83</v>
      </c>
      <c r="AE28" s="13">
        <f t="shared" si="7"/>
        <v>103</v>
      </c>
      <c r="AF28" s="13">
        <f t="shared" si="7"/>
        <v>100</v>
      </c>
      <c r="AG28" s="13">
        <f t="shared" si="7"/>
        <v>115</v>
      </c>
      <c r="AH28" s="13">
        <f t="shared" si="7"/>
        <v>106</v>
      </c>
      <c r="AI28" s="13">
        <f t="shared" si="7"/>
        <v>99</v>
      </c>
      <c r="AJ28" s="13">
        <f t="shared" si="7"/>
        <v>92</v>
      </c>
      <c r="AK28" s="13">
        <f t="shared" si="7"/>
        <v>94</v>
      </c>
      <c r="AL28" s="13">
        <f t="shared" si="7"/>
        <v>103</v>
      </c>
      <c r="AM28" s="13">
        <f t="shared" si="7"/>
        <v>95</v>
      </c>
      <c r="AN28" s="13">
        <f t="shared" si="7"/>
        <v>95</v>
      </c>
      <c r="AO28" s="13">
        <f t="shared" si="7"/>
        <v>86</v>
      </c>
      <c r="AP28" s="13">
        <f t="shared" si="7"/>
        <v>104</v>
      </c>
      <c r="AQ28" s="13">
        <f t="shared" si="7"/>
        <v>95</v>
      </c>
      <c r="AR28" s="13">
        <f t="shared" si="7"/>
        <v>96</v>
      </c>
      <c r="AS28" s="13">
        <f t="shared" si="7"/>
        <v>97</v>
      </c>
      <c r="AT28" s="13">
        <f t="shared" si="7"/>
        <v>119</v>
      </c>
      <c r="AU28" s="13">
        <f t="shared" si="7"/>
        <v>96</v>
      </c>
      <c r="AV28" s="13">
        <f t="shared" si="7"/>
        <v>87</v>
      </c>
      <c r="AW28" s="13">
        <f t="shared" si="7"/>
        <v>113</v>
      </c>
      <c r="AX28" s="13">
        <f t="shared" si="7"/>
        <v>118</v>
      </c>
      <c r="AY28" s="13">
        <f t="shared" si="7"/>
        <v>109</v>
      </c>
      <c r="AZ28" s="13">
        <f t="shared" si="7"/>
        <v>110</v>
      </c>
      <c r="BA28" s="13">
        <f t="shared" si="7"/>
        <v>92</v>
      </c>
      <c r="BB28" s="13">
        <f t="shared" si="7"/>
        <v>88</v>
      </c>
      <c r="BC28" s="13">
        <f t="shared" si="7"/>
        <v>92</v>
      </c>
      <c r="BD28" s="13">
        <f t="shared" si="7"/>
        <v>103</v>
      </c>
      <c r="BE28" s="13">
        <f t="shared" si="7"/>
        <v>96</v>
      </c>
      <c r="BF28" s="13">
        <f t="shared" si="3"/>
        <v>5204</v>
      </c>
    </row>
    <row r="29" ht="12.75" customHeight="1">
      <c r="A29" s="36"/>
      <c r="B29" s="27"/>
      <c r="C29" s="35"/>
      <c r="D29" s="13" t="s">
        <v>13</v>
      </c>
      <c r="E29" s="13">
        <f t="shared" ref="E29:BE29" si="8">SUM(E20,E23,E26)</f>
        <v>100</v>
      </c>
      <c r="F29" s="13">
        <f t="shared" si="8"/>
        <v>103</v>
      </c>
      <c r="G29" s="13">
        <f t="shared" si="8"/>
        <v>71</v>
      </c>
      <c r="H29" s="13">
        <f t="shared" si="8"/>
        <v>74</v>
      </c>
      <c r="I29" s="13">
        <f t="shared" si="8"/>
        <v>121</v>
      </c>
      <c r="J29" s="13">
        <f t="shared" si="8"/>
        <v>111</v>
      </c>
      <c r="K29" s="13">
        <f t="shared" si="8"/>
        <v>109</v>
      </c>
      <c r="L29" s="13">
        <f t="shared" si="8"/>
        <v>98</v>
      </c>
      <c r="M29" s="13">
        <f t="shared" si="8"/>
        <v>97</v>
      </c>
      <c r="N29" s="13">
        <f t="shared" si="8"/>
        <v>100</v>
      </c>
      <c r="O29" s="13">
        <f t="shared" si="8"/>
        <v>119</v>
      </c>
      <c r="P29" s="13">
        <f t="shared" si="8"/>
        <v>113</v>
      </c>
      <c r="Q29" s="13">
        <f t="shared" si="8"/>
        <v>111</v>
      </c>
      <c r="R29" s="13">
        <f t="shared" si="8"/>
        <v>94</v>
      </c>
      <c r="S29" s="13">
        <f t="shared" si="8"/>
        <v>94</v>
      </c>
      <c r="T29" s="13">
        <f t="shared" si="8"/>
        <v>104</v>
      </c>
      <c r="U29" s="13">
        <f t="shared" si="8"/>
        <v>114</v>
      </c>
      <c r="V29" s="13">
        <f t="shared" si="8"/>
        <v>114</v>
      </c>
      <c r="W29" s="13">
        <f t="shared" si="8"/>
        <v>91</v>
      </c>
      <c r="X29" s="13">
        <f t="shared" si="8"/>
        <v>102</v>
      </c>
      <c r="Y29" s="13">
        <f t="shared" si="8"/>
        <v>101</v>
      </c>
      <c r="Z29" s="13">
        <f t="shared" si="8"/>
        <v>97</v>
      </c>
      <c r="AA29" s="13">
        <f t="shared" si="8"/>
        <v>109</v>
      </c>
      <c r="AB29" s="13">
        <f t="shared" si="8"/>
        <v>98</v>
      </c>
      <c r="AC29" s="13">
        <f t="shared" si="8"/>
        <v>106</v>
      </c>
      <c r="AD29" s="13">
        <f t="shared" si="8"/>
        <v>105</v>
      </c>
      <c r="AE29" s="13">
        <f t="shared" si="8"/>
        <v>93</v>
      </c>
      <c r="AF29" s="13">
        <f t="shared" si="8"/>
        <v>116</v>
      </c>
      <c r="AG29" s="13">
        <f t="shared" si="8"/>
        <v>113</v>
      </c>
      <c r="AH29" s="13">
        <f t="shared" si="8"/>
        <v>113</v>
      </c>
      <c r="AI29" s="13">
        <f t="shared" si="8"/>
        <v>115</v>
      </c>
      <c r="AJ29" s="13">
        <f t="shared" si="8"/>
        <v>113</v>
      </c>
      <c r="AK29" s="13">
        <f t="shared" si="8"/>
        <v>109</v>
      </c>
      <c r="AL29" s="13">
        <f t="shared" si="8"/>
        <v>103</v>
      </c>
      <c r="AM29" s="13">
        <f t="shared" si="8"/>
        <v>112</v>
      </c>
      <c r="AN29" s="13">
        <f t="shared" si="8"/>
        <v>91</v>
      </c>
      <c r="AO29" s="13">
        <f t="shared" si="8"/>
        <v>118</v>
      </c>
      <c r="AP29" s="13">
        <f t="shared" si="8"/>
        <v>102</v>
      </c>
      <c r="AQ29" s="13">
        <f t="shared" si="8"/>
        <v>111</v>
      </c>
      <c r="AR29" s="13">
        <f t="shared" si="8"/>
        <v>103</v>
      </c>
      <c r="AS29" s="13">
        <f t="shared" si="8"/>
        <v>113</v>
      </c>
      <c r="AT29" s="13">
        <f t="shared" si="8"/>
        <v>116</v>
      </c>
      <c r="AU29" s="13">
        <f t="shared" si="8"/>
        <v>109</v>
      </c>
      <c r="AV29" s="13">
        <f t="shared" si="8"/>
        <v>109</v>
      </c>
      <c r="AW29" s="13">
        <f t="shared" si="8"/>
        <v>118</v>
      </c>
      <c r="AX29" s="13">
        <f t="shared" si="8"/>
        <v>120</v>
      </c>
      <c r="AY29" s="13">
        <f t="shared" si="8"/>
        <v>126</v>
      </c>
      <c r="AZ29" s="13">
        <f t="shared" si="8"/>
        <v>110</v>
      </c>
      <c r="BA29" s="13">
        <f t="shared" si="8"/>
        <v>101</v>
      </c>
      <c r="BB29" s="13">
        <f t="shared" si="8"/>
        <v>121</v>
      </c>
      <c r="BC29" s="13">
        <f t="shared" si="8"/>
        <v>105</v>
      </c>
      <c r="BD29" s="13">
        <f t="shared" si="8"/>
        <v>100</v>
      </c>
      <c r="BE29" s="13">
        <f t="shared" si="8"/>
        <v>131</v>
      </c>
      <c r="BF29" s="13">
        <f t="shared" si="3"/>
        <v>5647</v>
      </c>
    </row>
    <row r="30" ht="12.75" customHeight="1">
      <c r="A30" s="36"/>
      <c r="B30" s="28"/>
      <c r="C30" s="37"/>
      <c r="D30" s="13" t="s">
        <v>14</v>
      </c>
      <c r="E30" s="13">
        <f t="shared" ref="E30:BE30" si="9">SUM(E28:E29)</f>
        <v>193</v>
      </c>
      <c r="F30" s="13">
        <f t="shared" si="9"/>
        <v>203</v>
      </c>
      <c r="G30" s="13">
        <f t="shared" si="9"/>
        <v>129</v>
      </c>
      <c r="H30" s="13">
        <f t="shared" si="9"/>
        <v>143</v>
      </c>
      <c r="I30" s="13">
        <f t="shared" si="9"/>
        <v>234</v>
      </c>
      <c r="J30" s="13">
        <f t="shared" si="9"/>
        <v>200</v>
      </c>
      <c r="K30" s="13">
        <f t="shared" si="9"/>
        <v>213</v>
      </c>
      <c r="L30" s="13">
        <f t="shared" si="9"/>
        <v>192</v>
      </c>
      <c r="M30" s="13">
        <f t="shared" si="9"/>
        <v>192</v>
      </c>
      <c r="N30" s="13">
        <f t="shared" si="9"/>
        <v>205</v>
      </c>
      <c r="O30" s="13">
        <f t="shared" si="9"/>
        <v>231</v>
      </c>
      <c r="P30" s="13">
        <f t="shared" si="9"/>
        <v>213</v>
      </c>
      <c r="Q30" s="13">
        <f t="shared" si="9"/>
        <v>217</v>
      </c>
      <c r="R30" s="13">
        <f t="shared" si="9"/>
        <v>203</v>
      </c>
      <c r="S30" s="13">
        <f t="shared" si="9"/>
        <v>183</v>
      </c>
      <c r="T30" s="13">
        <f t="shared" si="9"/>
        <v>205</v>
      </c>
      <c r="U30" s="13">
        <f t="shared" si="9"/>
        <v>228</v>
      </c>
      <c r="V30" s="13">
        <f t="shared" si="9"/>
        <v>216</v>
      </c>
      <c r="W30" s="13">
        <f t="shared" si="9"/>
        <v>183</v>
      </c>
      <c r="X30" s="13">
        <f t="shared" si="9"/>
        <v>199</v>
      </c>
      <c r="Y30" s="13">
        <f t="shared" si="9"/>
        <v>200</v>
      </c>
      <c r="Z30" s="13">
        <f t="shared" si="9"/>
        <v>183</v>
      </c>
      <c r="AA30" s="13">
        <f t="shared" si="9"/>
        <v>212</v>
      </c>
      <c r="AB30" s="13">
        <f t="shared" si="9"/>
        <v>193</v>
      </c>
      <c r="AC30" s="13">
        <f t="shared" si="9"/>
        <v>199</v>
      </c>
      <c r="AD30" s="13">
        <f t="shared" si="9"/>
        <v>188</v>
      </c>
      <c r="AE30" s="13">
        <f t="shared" si="9"/>
        <v>196</v>
      </c>
      <c r="AF30" s="13">
        <f t="shared" si="9"/>
        <v>216</v>
      </c>
      <c r="AG30" s="13">
        <f t="shared" si="9"/>
        <v>228</v>
      </c>
      <c r="AH30" s="13">
        <f t="shared" si="9"/>
        <v>219</v>
      </c>
      <c r="AI30" s="13">
        <f t="shared" si="9"/>
        <v>214</v>
      </c>
      <c r="AJ30" s="13">
        <f t="shared" si="9"/>
        <v>205</v>
      </c>
      <c r="AK30" s="13">
        <f t="shared" si="9"/>
        <v>203</v>
      </c>
      <c r="AL30" s="13">
        <f t="shared" si="9"/>
        <v>206</v>
      </c>
      <c r="AM30" s="13">
        <f t="shared" si="9"/>
        <v>207</v>
      </c>
      <c r="AN30" s="13">
        <f t="shared" si="9"/>
        <v>186</v>
      </c>
      <c r="AO30" s="13">
        <f t="shared" si="9"/>
        <v>204</v>
      </c>
      <c r="AP30" s="13">
        <f t="shared" si="9"/>
        <v>206</v>
      </c>
      <c r="AQ30" s="13">
        <f t="shared" si="9"/>
        <v>206</v>
      </c>
      <c r="AR30" s="13">
        <f t="shared" si="9"/>
        <v>199</v>
      </c>
      <c r="AS30" s="13">
        <f t="shared" si="9"/>
        <v>210</v>
      </c>
      <c r="AT30" s="13">
        <f t="shared" si="9"/>
        <v>235</v>
      </c>
      <c r="AU30" s="13">
        <f t="shared" si="9"/>
        <v>205</v>
      </c>
      <c r="AV30" s="13">
        <f t="shared" si="9"/>
        <v>196</v>
      </c>
      <c r="AW30" s="13">
        <f t="shared" si="9"/>
        <v>231</v>
      </c>
      <c r="AX30" s="13">
        <f t="shared" si="9"/>
        <v>238</v>
      </c>
      <c r="AY30" s="13">
        <f t="shared" si="9"/>
        <v>235</v>
      </c>
      <c r="AZ30" s="13">
        <f t="shared" si="9"/>
        <v>220</v>
      </c>
      <c r="BA30" s="13">
        <f t="shared" si="9"/>
        <v>193</v>
      </c>
      <c r="BB30" s="13">
        <f t="shared" si="9"/>
        <v>209</v>
      </c>
      <c r="BC30" s="13">
        <f t="shared" si="9"/>
        <v>197</v>
      </c>
      <c r="BD30" s="13">
        <f t="shared" si="9"/>
        <v>203</v>
      </c>
      <c r="BE30" s="13">
        <f t="shared" si="9"/>
        <v>227</v>
      </c>
      <c r="BF30" s="13">
        <f t="shared" si="3"/>
        <v>10851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19"/>
      <c r="Z31" s="19"/>
      <c r="AA31" s="19"/>
      <c r="AB31" s="19"/>
      <c r="AC31" s="64"/>
      <c r="AD31" s="19"/>
      <c r="AE31" s="19"/>
      <c r="AF31" s="19"/>
      <c r="AG31" s="19"/>
      <c r="AH31" s="64"/>
      <c r="AI31" s="19"/>
      <c r="AJ31" s="19"/>
      <c r="AK31" s="19"/>
      <c r="AL31" s="19"/>
      <c r="AM31" s="64"/>
      <c r="AN31" s="19"/>
      <c r="AO31" s="19"/>
      <c r="AP31" s="19"/>
      <c r="AQ31" s="19"/>
      <c r="AR31" s="64"/>
      <c r="AS31" s="19"/>
      <c r="AT31" s="19"/>
      <c r="AU31" s="19"/>
      <c r="AV31" s="19"/>
      <c r="AW31" s="64"/>
      <c r="AX31" s="19"/>
      <c r="AY31" s="19"/>
      <c r="AZ31" s="19"/>
      <c r="BA31" s="19"/>
      <c r="BB31" s="64"/>
      <c r="BC31" s="19"/>
      <c r="BD31" s="19"/>
      <c r="BE31" s="19"/>
      <c r="BF31" s="65"/>
    </row>
    <row r="32" ht="12.75" customHeight="1">
      <c r="A32" s="44" t="s">
        <v>25</v>
      </c>
      <c r="B32" s="14" t="s">
        <v>26</v>
      </c>
      <c r="C32" s="15"/>
      <c r="D32" s="16"/>
      <c r="E32" s="70" t="s">
        <v>50</v>
      </c>
      <c r="F32" s="70" t="s">
        <v>51</v>
      </c>
      <c r="G32" s="70" t="s">
        <v>52</v>
      </c>
      <c r="H32" s="70" t="s">
        <v>53</v>
      </c>
      <c r="I32" s="70" t="s">
        <v>54</v>
      </c>
      <c r="J32" s="70" t="s">
        <v>55</v>
      </c>
      <c r="K32" s="70" t="s">
        <v>56</v>
      </c>
      <c r="L32" s="70" t="s">
        <v>57</v>
      </c>
      <c r="M32" s="70" t="s">
        <v>58</v>
      </c>
      <c r="N32" s="70" t="s">
        <v>59</v>
      </c>
      <c r="O32" s="70" t="s">
        <v>60</v>
      </c>
      <c r="P32" s="70" t="s">
        <v>61</v>
      </c>
      <c r="Q32" s="70" t="s">
        <v>62</v>
      </c>
      <c r="R32" s="70" t="s">
        <v>63</v>
      </c>
      <c r="S32" s="70" t="s">
        <v>64</v>
      </c>
      <c r="T32" s="70" t="s">
        <v>65</v>
      </c>
      <c r="U32" s="70" t="s">
        <v>66</v>
      </c>
      <c r="V32" s="70" t="s">
        <v>67</v>
      </c>
      <c r="W32" s="70" t="s">
        <v>68</v>
      </c>
      <c r="X32" s="70" t="s">
        <v>69</v>
      </c>
      <c r="Y32" s="70" t="s">
        <v>70</v>
      </c>
      <c r="Z32" s="70" t="s">
        <v>71</v>
      </c>
      <c r="AA32" s="70" t="s">
        <v>72</v>
      </c>
      <c r="AB32" s="70" t="s">
        <v>73</v>
      </c>
      <c r="AC32" s="70" t="s">
        <v>75</v>
      </c>
      <c r="AD32" s="70" t="s">
        <v>76</v>
      </c>
      <c r="AE32" s="70" t="s">
        <v>77</v>
      </c>
      <c r="AF32" s="70" t="s">
        <v>78</v>
      </c>
      <c r="AG32" s="70" t="s">
        <v>79</v>
      </c>
      <c r="AH32" s="70" t="s">
        <v>80</v>
      </c>
      <c r="AI32" s="70" t="s">
        <v>81</v>
      </c>
      <c r="AJ32" s="70" t="s">
        <v>82</v>
      </c>
      <c r="AK32" s="70" t="s">
        <v>83</v>
      </c>
      <c r="AL32" s="70" t="s">
        <v>84</v>
      </c>
      <c r="AM32" s="70" t="s">
        <v>85</v>
      </c>
      <c r="AN32" s="70" t="s">
        <v>86</v>
      </c>
      <c r="AO32" s="70" t="s">
        <v>87</v>
      </c>
      <c r="AP32" s="70" t="s">
        <v>88</v>
      </c>
      <c r="AQ32" s="70" t="s">
        <v>89</v>
      </c>
      <c r="AR32" s="70" t="s">
        <v>90</v>
      </c>
      <c r="AS32" s="70" t="s">
        <v>91</v>
      </c>
      <c r="AT32" s="70" t="s">
        <v>92</v>
      </c>
      <c r="AU32" s="70" t="s">
        <v>93</v>
      </c>
      <c r="AV32" s="70" t="s">
        <v>94</v>
      </c>
      <c r="AW32" s="70" t="s">
        <v>95</v>
      </c>
      <c r="AX32" s="70" t="s">
        <v>96</v>
      </c>
      <c r="AY32" s="70" t="s">
        <v>97</v>
      </c>
      <c r="AZ32" s="70" t="s">
        <v>98</v>
      </c>
      <c r="BA32" s="70" t="s">
        <v>99</v>
      </c>
      <c r="BB32" s="70" t="s">
        <v>100</v>
      </c>
      <c r="BC32" s="70" t="s">
        <v>101</v>
      </c>
      <c r="BD32" s="70" t="s">
        <v>102</v>
      </c>
      <c r="BE32" s="70" t="s">
        <v>103</v>
      </c>
      <c r="BF32" s="65"/>
    </row>
    <row r="33" ht="12.75" customHeight="1">
      <c r="A33" s="19">
        <v>1.0</v>
      </c>
      <c r="B33" s="20" t="s">
        <v>27</v>
      </c>
      <c r="C33" s="15"/>
      <c r="D33" s="16"/>
      <c r="E33" s="19">
        <v>290.0</v>
      </c>
      <c r="F33" s="19">
        <v>276.0</v>
      </c>
      <c r="G33" s="19">
        <v>181.0</v>
      </c>
      <c r="H33" s="19">
        <v>181.0</v>
      </c>
      <c r="I33" s="19">
        <v>300.0</v>
      </c>
      <c r="J33" s="19">
        <v>280.0</v>
      </c>
      <c r="K33" s="19">
        <v>276.0</v>
      </c>
      <c r="L33" s="19">
        <v>282.0</v>
      </c>
      <c r="M33" s="19">
        <v>275.0</v>
      </c>
      <c r="N33" s="19">
        <v>289.0</v>
      </c>
      <c r="O33" s="19">
        <v>284.0</v>
      </c>
      <c r="P33" s="19">
        <v>278.0</v>
      </c>
      <c r="Q33" s="19">
        <v>283.0</v>
      </c>
      <c r="R33" s="19">
        <v>280.0</v>
      </c>
      <c r="S33" s="19">
        <v>241.0</v>
      </c>
      <c r="T33" s="19">
        <v>287.0</v>
      </c>
      <c r="U33" s="19">
        <v>278.0</v>
      </c>
      <c r="V33" s="19">
        <v>277.0</v>
      </c>
      <c r="W33" s="19">
        <v>236.0</v>
      </c>
      <c r="X33" s="19">
        <v>291.0</v>
      </c>
      <c r="Y33" s="19">
        <v>288.0</v>
      </c>
      <c r="Z33" s="19">
        <v>259.0</v>
      </c>
      <c r="AA33" s="19">
        <v>289.0</v>
      </c>
      <c r="AB33" s="19">
        <v>276.0</v>
      </c>
      <c r="AC33" s="19">
        <v>289.0</v>
      </c>
      <c r="AD33" s="19">
        <v>283.0</v>
      </c>
      <c r="AE33" s="19">
        <v>273.0</v>
      </c>
      <c r="AF33" s="19">
        <v>284.0</v>
      </c>
      <c r="AG33" s="19">
        <v>296.0</v>
      </c>
      <c r="AH33" s="19">
        <v>285.0</v>
      </c>
      <c r="AI33" s="38">
        <v>279.0</v>
      </c>
      <c r="AJ33" s="38">
        <v>276.0</v>
      </c>
      <c r="AK33" s="38">
        <v>273.0</v>
      </c>
      <c r="AL33" s="38">
        <v>274.0</v>
      </c>
      <c r="AM33" s="38">
        <v>285.0</v>
      </c>
      <c r="AN33" s="38">
        <v>256.0</v>
      </c>
      <c r="AO33" s="38">
        <v>284.0</v>
      </c>
      <c r="AP33" s="38">
        <v>284.0</v>
      </c>
      <c r="AQ33" s="38">
        <v>289.0</v>
      </c>
      <c r="AR33" s="38">
        <v>279.0</v>
      </c>
      <c r="AS33" s="38">
        <v>279.0</v>
      </c>
      <c r="AT33" s="38">
        <v>284.0</v>
      </c>
      <c r="AU33" s="38">
        <v>267.0</v>
      </c>
      <c r="AV33" s="38">
        <v>276.0</v>
      </c>
      <c r="AW33" s="38">
        <v>287.0</v>
      </c>
      <c r="AX33" s="19">
        <v>300.0</v>
      </c>
      <c r="AY33" s="19">
        <v>304.0</v>
      </c>
      <c r="AZ33" s="19">
        <v>296.0</v>
      </c>
      <c r="BA33" s="19">
        <v>287.0</v>
      </c>
      <c r="BB33" s="19">
        <v>287.0</v>
      </c>
      <c r="BC33" s="19">
        <v>278.0</v>
      </c>
      <c r="BD33" s="19">
        <v>270.0</v>
      </c>
      <c r="BE33" s="19">
        <v>303.0</v>
      </c>
      <c r="BF33" s="13">
        <f t="shared" ref="BF33:BF36" si="10">SUM(E33:BE33)</f>
        <v>14684</v>
      </c>
    </row>
    <row r="34" ht="12.75" customHeight="1">
      <c r="A34" s="19">
        <v>2.0</v>
      </c>
      <c r="B34" s="20" t="s">
        <v>28</v>
      </c>
      <c r="C34" s="15"/>
      <c r="D34" s="16"/>
      <c r="E34" s="13">
        <v>193.0</v>
      </c>
      <c r="F34" s="13">
        <v>203.0</v>
      </c>
      <c r="G34" s="13">
        <v>129.0</v>
      </c>
      <c r="H34" s="13">
        <v>143.0</v>
      </c>
      <c r="I34" s="13">
        <v>234.0</v>
      </c>
      <c r="J34" s="13">
        <v>200.0</v>
      </c>
      <c r="K34" s="13">
        <v>213.0</v>
      </c>
      <c r="L34" s="13">
        <v>192.0</v>
      </c>
      <c r="M34" s="13">
        <v>192.0</v>
      </c>
      <c r="N34" s="13">
        <v>205.0</v>
      </c>
      <c r="O34" s="13">
        <v>231.0</v>
      </c>
      <c r="P34" s="13">
        <v>213.0</v>
      </c>
      <c r="Q34" s="13">
        <v>217.0</v>
      </c>
      <c r="R34" s="13">
        <v>203.0</v>
      </c>
      <c r="S34" s="13">
        <v>183.0</v>
      </c>
      <c r="T34" s="13">
        <v>205.0</v>
      </c>
      <c r="U34" s="13">
        <v>228.0</v>
      </c>
      <c r="V34" s="13">
        <v>216.0</v>
      </c>
      <c r="W34" s="13">
        <v>183.0</v>
      </c>
      <c r="X34" s="13">
        <v>199.0</v>
      </c>
      <c r="Y34" s="13">
        <v>200.0</v>
      </c>
      <c r="Z34" s="13">
        <v>183.0</v>
      </c>
      <c r="AA34" s="13">
        <v>212.0</v>
      </c>
      <c r="AB34" s="13">
        <v>193.0</v>
      </c>
      <c r="AC34" s="13">
        <v>199.0</v>
      </c>
      <c r="AD34" s="13">
        <v>188.0</v>
      </c>
      <c r="AE34" s="13">
        <v>196.0</v>
      </c>
      <c r="AF34" s="13">
        <v>216.0</v>
      </c>
      <c r="AG34" s="13">
        <v>228.0</v>
      </c>
      <c r="AH34" s="13">
        <v>219.0</v>
      </c>
      <c r="AI34" s="38">
        <v>214.0</v>
      </c>
      <c r="AJ34" s="38">
        <v>205.0</v>
      </c>
      <c r="AK34" s="38">
        <v>203.0</v>
      </c>
      <c r="AL34" s="38">
        <v>206.0</v>
      </c>
      <c r="AM34" s="38">
        <v>207.0</v>
      </c>
      <c r="AN34" s="38">
        <v>186.0</v>
      </c>
      <c r="AO34" s="38">
        <v>204.0</v>
      </c>
      <c r="AP34" s="38">
        <v>206.0</v>
      </c>
      <c r="AQ34" s="38">
        <v>206.0</v>
      </c>
      <c r="AR34" s="38">
        <v>199.0</v>
      </c>
      <c r="AS34" s="38">
        <v>210.0</v>
      </c>
      <c r="AT34" s="38">
        <v>235.0</v>
      </c>
      <c r="AU34" s="38">
        <v>205.0</v>
      </c>
      <c r="AV34" s="38">
        <v>196.0</v>
      </c>
      <c r="AW34" s="38">
        <v>231.0</v>
      </c>
      <c r="AX34" s="13">
        <v>238.0</v>
      </c>
      <c r="AY34" s="13">
        <v>235.0</v>
      </c>
      <c r="AZ34" s="13">
        <v>220.0</v>
      </c>
      <c r="BA34" s="13">
        <v>193.0</v>
      </c>
      <c r="BB34" s="13">
        <v>209.0</v>
      </c>
      <c r="BC34" s="13">
        <v>197.0</v>
      </c>
      <c r="BD34" s="13">
        <v>203.0</v>
      </c>
      <c r="BE34" s="13">
        <v>227.0</v>
      </c>
      <c r="BF34" s="13">
        <f t="shared" si="10"/>
        <v>10851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38">
        <v>0.0</v>
      </c>
      <c r="AJ35" s="38">
        <v>0.0</v>
      </c>
      <c r="AK35" s="38">
        <v>0.0</v>
      </c>
      <c r="AL35" s="38">
        <v>0.0</v>
      </c>
      <c r="AM35" s="38">
        <v>1.0</v>
      </c>
      <c r="AN35" s="38">
        <v>0.0</v>
      </c>
      <c r="AO35" s="38">
        <v>0.0</v>
      </c>
      <c r="AP35" s="38">
        <v>0.0</v>
      </c>
      <c r="AQ35" s="38">
        <v>0.0</v>
      </c>
      <c r="AR35" s="38">
        <v>0.0</v>
      </c>
      <c r="AS35" s="38">
        <v>0.0</v>
      </c>
      <c r="AT35" s="38">
        <v>1.0</v>
      </c>
      <c r="AU35" s="38">
        <v>0.0</v>
      </c>
      <c r="AV35" s="38">
        <v>0.0</v>
      </c>
      <c r="AW35" s="38">
        <v>0.0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0.0</v>
      </c>
      <c r="BD35" s="19">
        <v>0.0</v>
      </c>
      <c r="BE35" s="19">
        <v>0.0</v>
      </c>
      <c r="BF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E36" si="11">E33-(E34+E35)</f>
        <v>97</v>
      </c>
      <c r="F36" s="13">
        <f t="shared" si="11"/>
        <v>72</v>
      </c>
      <c r="G36" s="13">
        <f t="shared" si="11"/>
        <v>52</v>
      </c>
      <c r="H36" s="13">
        <f t="shared" si="11"/>
        <v>38</v>
      </c>
      <c r="I36" s="13">
        <f t="shared" si="11"/>
        <v>66</v>
      </c>
      <c r="J36" s="13">
        <f t="shared" si="11"/>
        <v>80</v>
      </c>
      <c r="K36" s="13">
        <f t="shared" si="11"/>
        <v>63</v>
      </c>
      <c r="L36" s="13">
        <f t="shared" si="11"/>
        <v>90</v>
      </c>
      <c r="M36" s="13">
        <f t="shared" si="11"/>
        <v>83</v>
      </c>
      <c r="N36" s="13">
        <f t="shared" si="11"/>
        <v>84</v>
      </c>
      <c r="O36" s="13">
        <f t="shared" si="11"/>
        <v>53</v>
      </c>
      <c r="P36" s="13">
        <f t="shared" si="11"/>
        <v>65</v>
      </c>
      <c r="Q36" s="13">
        <f t="shared" si="11"/>
        <v>66</v>
      </c>
      <c r="R36" s="13">
        <f t="shared" si="11"/>
        <v>77</v>
      </c>
      <c r="S36" s="13">
        <f t="shared" si="11"/>
        <v>58</v>
      </c>
      <c r="T36" s="13">
        <f t="shared" si="11"/>
        <v>82</v>
      </c>
      <c r="U36" s="13">
        <f t="shared" si="11"/>
        <v>50</v>
      </c>
      <c r="V36" s="13">
        <f t="shared" si="11"/>
        <v>61</v>
      </c>
      <c r="W36" s="13">
        <f t="shared" si="11"/>
        <v>53</v>
      </c>
      <c r="X36" s="13">
        <f t="shared" si="11"/>
        <v>92</v>
      </c>
      <c r="Y36" s="13">
        <f t="shared" si="11"/>
        <v>88</v>
      </c>
      <c r="Z36" s="13">
        <f t="shared" si="11"/>
        <v>76</v>
      </c>
      <c r="AA36" s="13">
        <f t="shared" si="11"/>
        <v>77</v>
      </c>
      <c r="AB36" s="13">
        <f t="shared" si="11"/>
        <v>82</v>
      </c>
      <c r="AC36" s="13">
        <f t="shared" si="11"/>
        <v>89</v>
      </c>
      <c r="AD36" s="13">
        <f t="shared" si="11"/>
        <v>95</v>
      </c>
      <c r="AE36" s="13">
        <f t="shared" si="11"/>
        <v>77</v>
      </c>
      <c r="AF36" s="13">
        <f t="shared" si="11"/>
        <v>68</v>
      </c>
      <c r="AG36" s="13">
        <f t="shared" si="11"/>
        <v>68</v>
      </c>
      <c r="AH36" s="13">
        <f t="shared" si="11"/>
        <v>66</v>
      </c>
      <c r="AI36" s="13">
        <f t="shared" si="11"/>
        <v>65</v>
      </c>
      <c r="AJ36" s="13">
        <f t="shared" si="11"/>
        <v>71</v>
      </c>
      <c r="AK36" s="13">
        <f t="shared" si="11"/>
        <v>70</v>
      </c>
      <c r="AL36" s="13">
        <f t="shared" si="11"/>
        <v>68</v>
      </c>
      <c r="AM36" s="13">
        <f t="shared" si="11"/>
        <v>77</v>
      </c>
      <c r="AN36" s="13">
        <f t="shared" si="11"/>
        <v>70</v>
      </c>
      <c r="AO36" s="13">
        <f t="shared" si="11"/>
        <v>80</v>
      </c>
      <c r="AP36" s="13">
        <f t="shared" si="11"/>
        <v>78</v>
      </c>
      <c r="AQ36" s="13">
        <f t="shared" si="11"/>
        <v>83</v>
      </c>
      <c r="AR36" s="13">
        <f t="shared" si="11"/>
        <v>80</v>
      </c>
      <c r="AS36" s="13">
        <f t="shared" si="11"/>
        <v>69</v>
      </c>
      <c r="AT36" s="13">
        <f t="shared" si="11"/>
        <v>48</v>
      </c>
      <c r="AU36" s="13">
        <f t="shared" si="11"/>
        <v>62</v>
      </c>
      <c r="AV36" s="13">
        <f t="shared" si="11"/>
        <v>80</v>
      </c>
      <c r="AW36" s="13">
        <f t="shared" si="11"/>
        <v>56</v>
      </c>
      <c r="AX36" s="13">
        <f t="shared" si="11"/>
        <v>62</v>
      </c>
      <c r="AY36" s="13">
        <f t="shared" si="11"/>
        <v>69</v>
      </c>
      <c r="AZ36" s="13">
        <f t="shared" si="11"/>
        <v>76</v>
      </c>
      <c r="BA36" s="13">
        <f t="shared" si="11"/>
        <v>94</v>
      </c>
      <c r="BB36" s="13">
        <f t="shared" si="11"/>
        <v>78</v>
      </c>
      <c r="BC36" s="13">
        <f t="shared" si="11"/>
        <v>81</v>
      </c>
      <c r="BD36" s="13">
        <f t="shared" si="11"/>
        <v>67</v>
      </c>
      <c r="BE36" s="13">
        <f t="shared" si="11"/>
        <v>76</v>
      </c>
      <c r="BF36" s="13">
        <f t="shared" si="10"/>
        <v>3828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19"/>
      <c r="Z37" s="19"/>
      <c r="AA37" s="19"/>
      <c r="AB37" s="19"/>
      <c r="AC37" s="64"/>
      <c r="AD37" s="19"/>
      <c r="AE37" s="19"/>
      <c r="AF37" s="19"/>
      <c r="AG37" s="19"/>
      <c r="AH37" s="64"/>
      <c r="AI37" s="19"/>
      <c r="AJ37" s="19"/>
      <c r="AK37" s="19"/>
      <c r="AL37" s="19"/>
      <c r="AM37" s="64"/>
      <c r="AN37" s="19"/>
      <c r="AO37" s="19"/>
      <c r="AP37" s="19"/>
      <c r="AQ37" s="19"/>
      <c r="AR37" s="64"/>
      <c r="AS37" s="19"/>
      <c r="AT37" s="19"/>
      <c r="AU37" s="19"/>
      <c r="AV37" s="19"/>
      <c r="AW37" s="64"/>
      <c r="AX37" s="19"/>
      <c r="AY37" s="19"/>
      <c r="AZ37" s="19"/>
      <c r="BA37" s="19"/>
      <c r="BB37" s="64"/>
      <c r="BC37" s="19"/>
      <c r="BD37" s="19"/>
      <c r="BE37" s="19"/>
      <c r="BF37" s="65"/>
    </row>
    <row r="38" ht="12.75" customHeight="1">
      <c r="A38" s="46" t="s">
        <v>31</v>
      </c>
      <c r="B38" s="14" t="s">
        <v>32</v>
      </c>
      <c r="C38" s="15"/>
      <c r="D38" s="16"/>
      <c r="E38" s="70" t="s">
        <v>50</v>
      </c>
      <c r="F38" s="70" t="s">
        <v>51</v>
      </c>
      <c r="G38" s="70" t="s">
        <v>52</v>
      </c>
      <c r="H38" s="70" t="s">
        <v>53</v>
      </c>
      <c r="I38" s="70" t="s">
        <v>54</v>
      </c>
      <c r="J38" s="70" t="s">
        <v>55</v>
      </c>
      <c r="K38" s="70" t="s">
        <v>56</v>
      </c>
      <c r="L38" s="70" t="s">
        <v>57</v>
      </c>
      <c r="M38" s="70" t="s">
        <v>58</v>
      </c>
      <c r="N38" s="70" t="s">
        <v>59</v>
      </c>
      <c r="O38" s="70" t="s">
        <v>60</v>
      </c>
      <c r="P38" s="70" t="s">
        <v>61</v>
      </c>
      <c r="Q38" s="70" t="s">
        <v>62</v>
      </c>
      <c r="R38" s="70" t="s">
        <v>63</v>
      </c>
      <c r="S38" s="70" t="s">
        <v>64</v>
      </c>
      <c r="T38" s="70" t="s">
        <v>65</v>
      </c>
      <c r="U38" s="70" t="s">
        <v>66</v>
      </c>
      <c r="V38" s="70" t="s">
        <v>67</v>
      </c>
      <c r="W38" s="70" t="s">
        <v>68</v>
      </c>
      <c r="X38" s="70" t="s">
        <v>69</v>
      </c>
      <c r="Y38" s="70" t="s">
        <v>70</v>
      </c>
      <c r="Z38" s="70" t="s">
        <v>71</v>
      </c>
      <c r="AA38" s="70" t="s">
        <v>72</v>
      </c>
      <c r="AB38" s="70" t="s">
        <v>73</v>
      </c>
      <c r="AC38" s="70" t="s">
        <v>75</v>
      </c>
      <c r="AD38" s="70" t="s">
        <v>76</v>
      </c>
      <c r="AE38" s="70" t="s">
        <v>77</v>
      </c>
      <c r="AF38" s="70" t="s">
        <v>78</v>
      </c>
      <c r="AG38" s="70" t="s">
        <v>79</v>
      </c>
      <c r="AH38" s="70" t="s">
        <v>80</v>
      </c>
      <c r="AI38" s="70" t="s">
        <v>81</v>
      </c>
      <c r="AJ38" s="70" t="s">
        <v>82</v>
      </c>
      <c r="AK38" s="70" t="s">
        <v>83</v>
      </c>
      <c r="AL38" s="70" t="s">
        <v>84</v>
      </c>
      <c r="AM38" s="70" t="s">
        <v>85</v>
      </c>
      <c r="AN38" s="70" t="s">
        <v>86</v>
      </c>
      <c r="AO38" s="70" t="s">
        <v>87</v>
      </c>
      <c r="AP38" s="70" t="s">
        <v>88</v>
      </c>
      <c r="AQ38" s="70" t="s">
        <v>89</v>
      </c>
      <c r="AR38" s="70" t="s">
        <v>90</v>
      </c>
      <c r="AS38" s="70" t="s">
        <v>91</v>
      </c>
      <c r="AT38" s="70" t="s">
        <v>92</v>
      </c>
      <c r="AU38" s="70" t="s">
        <v>93</v>
      </c>
      <c r="AV38" s="70" t="s">
        <v>94</v>
      </c>
      <c r="AW38" s="70" t="s">
        <v>95</v>
      </c>
      <c r="AX38" s="70" t="s">
        <v>96</v>
      </c>
      <c r="AY38" s="70" t="s">
        <v>97</v>
      </c>
      <c r="AZ38" s="70" t="s">
        <v>98</v>
      </c>
      <c r="BA38" s="70" t="s">
        <v>99</v>
      </c>
      <c r="BB38" s="70" t="s">
        <v>100</v>
      </c>
      <c r="BC38" s="70" t="s">
        <v>101</v>
      </c>
      <c r="BD38" s="70" t="s">
        <v>102</v>
      </c>
      <c r="BE38" s="70" t="s">
        <v>103</v>
      </c>
      <c r="BF38" s="65"/>
    </row>
    <row r="39" ht="12.75" customHeight="1">
      <c r="A39" s="31"/>
      <c r="B39" s="47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0.0</v>
      </c>
      <c r="BE39" s="19">
        <v>0.0</v>
      </c>
      <c r="BF39" s="13">
        <f t="shared" ref="BF39:BF41" si="12">SUM(E39:BE39)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0.0</v>
      </c>
      <c r="BE40" s="19">
        <v>0.0</v>
      </c>
      <c r="BF40" s="13">
        <f t="shared" si="12"/>
        <v>1</v>
      </c>
    </row>
    <row r="41" ht="12.75" customHeight="1">
      <c r="A41" s="44"/>
      <c r="B41" s="48"/>
      <c r="C41" s="28"/>
      <c r="D41" s="13" t="s">
        <v>14</v>
      </c>
      <c r="E41" s="13">
        <f t="shared" ref="E41:B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2"/>
        <v>2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9"/>
      <c r="Z42" s="19"/>
      <c r="AA42" s="19"/>
      <c r="AB42" s="19"/>
      <c r="AC42" s="64"/>
      <c r="AD42" s="19"/>
      <c r="AE42" s="19"/>
      <c r="AF42" s="19"/>
      <c r="AG42" s="19"/>
      <c r="AH42" s="64"/>
      <c r="AI42" s="19"/>
      <c r="AJ42" s="19"/>
      <c r="AK42" s="19"/>
      <c r="AL42" s="19"/>
      <c r="AM42" s="64"/>
      <c r="AN42" s="19"/>
      <c r="AO42" s="19"/>
      <c r="AP42" s="19"/>
      <c r="AQ42" s="19"/>
      <c r="AR42" s="64"/>
      <c r="AS42" s="19"/>
      <c r="AT42" s="19"/>
      <c r="AU42" s="19"/>
      <c r="AV42" s="19"/>
      <c r="AW42" s="64"/>
      <c r="AX42" s="19"/>
      <c r="AY42" s="19"/>
      <c r="AZ42" s="19"/>
      <c r="BA42" s="19"/>
      <c r="BB42" s="64"/>
      <c r="BC42" s="19"/>
      <c r="BD42" s="19"/>
      <c r="BE42" s="19"/>
      <c r="BF42" s="13"/>
    </row>
    <row r="43" ht="12.75" customHeight="1">
      <c r="A43" s="46" t="s">
        <v>34</v>
      </c>
      <c r="B43" s="14" t="s">
        <v>35</v>
      </c>
      <c r="C43" s="15"/>
      <c r="D43" s="16"/>
      <c r="E43" s="70" t="s">
        <v>50</v>
      </c>
      <c r="F43" s="70" t="s">
        <v>51</v>
      </c>
      <c r="G43" s="70" t="s">
        <v>52</v>
      </c>
      <c r="H43" s="70" t="s">
        <v>53</v>
      </c>
      <c r="I43" s="70" t="s">
        <v>54</v>
      </c>
      <c r="J43" s="70" t="s">
        <v>55</v>
      </c>
      <c r="K43" s="70" t="s">
        <v>56</v>
      </c>
      <c r="L43" s="70" t="s">
        <v>57</v>
      </c>
      <c r="M43" s="70" t="s">
        <v>58</v>
      </c>
      <c r="N43" s="70" t="s">
        <v>59</v>
      </c>
      <c r="O43" s="70" t="s">
        <v>60</v>
      </c>
      <c r="P43" s="70" t="s">
        <v>61</v>
      </c>
      <c r="Q43" s="70" t="s">
        <v>62</v>
      </c>
      <c r="R43" s="70" t="s">
        <v>63</v>
      </c>
      <c r="S43" s="70" t="s">
        <v>64</v>
      </c>
      <c r="T43" s="70" t="s">
        <v>65</v>
      </c>
      <c r="U43" s="70" t="s">
        <v>66</v>
      </c>
      <c r="V43" s="70" t="s">
        <v>67</v>
      </c>
      <c r="W43" s="70" t="s">
        <v>68</v>
      </c>
      <c r="X43" s="70" t="s">
        <v>69</v>
      </c>
      <c r="Y43" s="70" t="s">
        <v>70</v>
      </c>
      <c r="Z43" s="70" t="s">
        <v>71</v>
      </c>
      <c r="AA43" s="70" t="s">
        <v>72</v>
      </c>
      <c r="AB43" s="70" t="s">
        <v>73</v>
      </c>
      <c r="AC43" s="70" t="s">
        <v>75</v>
      </c>
      <c r="AD43" s="70" t="s">
        <v>76</v>
      </c>
      <c r="AE43" s="70" t="s">
        <v>77</v>
      </c>
      <c r="AF43" s="70" t="s">
        <v>78</v>
      </c>
      <c r="AG43" s="70" t="s">
        <v>79</v>
      </c>
      <c r="AH43" s="70" t="s">
        <v>80</v>
      </c>
      <c r="AI43" s="70" t="s">
        <v>81</v>
      </c>
      <c r="AJ43" s="70" t="s">
        <v>82</v>
      </c>
      <c r="AK43" s="70" t="s">
        <v>83</v>
      </c>
      <c r="AL43" s="70" t="s">
        <v>84</v>
      </c>
      <c r="AM43" s="70" t="s">
        <v>85</v>
      </c>
      <c r="AN43" s="70" t="s">
        <v>86</v>
      </c>
      <c r="AO43" s="70" t="s">
        <v>87</v>
      </c>
      <c r="AP43" s="70" t="s">
        <v>88</v>
      </c>
      <c r="AQ43" s="70" t="s">
        <v>89</v>
      </c>
      <c r="AR43" s="70" t="s">
        <v>90</v>
      </c>
      <c r="AS43" s="70" t="s">
        <v>91</v>
      </c>
      <c r="AT43" s="70" t="s">
        <v>92</v>
      </c>
      <c r="AU43" s="70" t="s">
        <v>93</v>
      </c>
      <c r="AV43" s="70" t="s">
        <v>94</v>
      </c>
      <c r="AW43" s="70" t="s">
        <v>95</v>
      </c>
      <c r="AX43" s="70" t="s">
        <v>96</v>
      </c>
      <c r="AY43" s="70" t="s">
        <v>97</v>
      </c>
      <c r="AZ43" s="70" t="s">
        <v>98</v>
      </c>
      <c r="BA43" s="70" t="s">
        <v>99</v>
      </c>
      <c r="BB43" s="70" t="s">
        <v>100</v>
      </c>
      <c r="BC43" s="70" t="s">
        <v>101</v>
      </c>
      <c r="BD43" s="70" t="s">
        <v>102</v>
      </c>
      <c r="BE43" s="70" t="s">
        <v>103</v>
      </c>
      <c r="BF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64"/>
      <c r="Y44" s="19"/>
      <c r="Z44" s="19"/>
      <c r="AA44" s="19"/>
      <c r="AB44" s="19"/>
      <c r="AC44" s="64"/>
      <c r="AD44" s="19"/>
      <c r="AE44" s="19"/>
      <c r="AF44" s="19"/>
      <c r="AG44" s="19"/>
      <c r="AH44" s="64"/>
      <c r="AI44" s="19"/>
      <c r="AJ44" s="19"/>
      <c r="AK44" s="19"/>
      <c r="AL44" s="19"/>
      <c r="AM44" s="64"/>
      <c r="AN44" s="19"/>
      <c r="AO44" s="19"/>
      <c r="AP44" s="19"/>
      <c r="AQ44" s="19"/>
      <c r="AR44" s="64"/>
      <c r="AS44" s="19"/>
      <c r="AT44" s="19"/>
      <c r="AU44" s="19"/>
      <c r="AV44" s="19"/>
      <c r="AW44" s="64"/>
      <c r="AX44" s="19"/>
      <c r="AY44" s="19"/>
      <c r="AZ44" s="19"/>
      <c r="BA44" s="19"/>
      <c r="BB44" s="64"/>
      <c r="BC44" s="19"/>
      <c r="BD44" s="19"/>
      <c r="BE44" s="19"/>
      <c r="BF44" s="13"/>
    </row>
    <row r="45" ht="12.75" customHeight="1">
      <c r="A45" s="67"/>
      <c r="B45" s="51">
        <v>1.0</v>
      </c>
      <c r="C45" s="52" t="s">
        <v>37</v>
      </c>
      <c r="D45" s="16"/>
      <c r="E45" s="19">
        <v>1.0</v>
      </c>
      <c r="F45" s="19">
        <v>9.0</v>
      </c>
      <c r="G45" s="19">
        <v>7.0</v>
      </c>
      <c r="H45" s="19">
        <v>18.0</v>
      </c>
      <c r="I45" s="19">
        <v>15.0</v>
      </c>
      <c r="J45" s="19">
        <v>16.0</v>
      </c>
      <c r="K45" s="19">
        <v>17.0</v>
      </c>
      <c r="L45" s="19">
        <v>8.0</v>
      </c>
      <c r="M45" s="19">
        <v>24.0</v>
      </c>
      <c r="N45" s="19">
        <v>10.0</v>
      </c>
      <c r="O45" s="19">
        <v>21.0</v>
      </c>
      <c r="P45" s="19">
        <v>6.0</v>
      </c>
      <c r="Q45" s="19">
        <v>9.0</v>
      </c>
      <c r="R45" s="19">
        <v>13.0</v>
      </c>
      <c r="S45" s="19">
        <v>32.0</v>
      </c>
      <c r="T45" s="19">
        <v>6.0</v>
      </c>
      <c r="U45" s="19">
        <v>28.0</v>
      </c>
      <c r="V45" s="19">
        <v>17.0</v>
      </c>
      <c r="W45" s="19">
        <v>11.0</v>
      </c>
      <c r="X45" s="19">
        <v>15.0</v>
      </c>
      <c r="Y45" s="19">
        <v>17.0</v>
      </c>
      <c r="Z45" s="19">
        <v>10.0</v>
      </c>
      <c r="AA45" s="19">
        <v>9.0</v>
      </c>
      <c r="AB45" s="19">
        <v>14.0</v>
      </c>
      <c r="AC45" s="19">
        <v>20.0</v>
      </c>
      <c r="AD45" s="19">
        <v>20.0</v>
      </c>
      <c r="AE45" s="19">
        <v>26.0</v>
      </c>
      <c r="AF45" s="19">
        <v>27.0</v>
      </c>
      <c r="AG45" s="19">
        <v>29.0</v>
      </c>
      <c r="AH45" s="19">
        <v>11.0</v>
      </c>
      <c r="AI45" s="19">
        <v>6.0</v>
      </c>
      <c r="AJ45" s="19">
        <v>12.0</v>
      </c>
      <c r="AK45" s="19">
        <v>9.0</v>
      </c>
      <c r="AL45" s="19">
        <v>10.0</v>
      </c>
      <c r="AM45" s="19">
        <v>17.0</v>
      </c>
      <c r="AN45" s="19">
        <v>6.0</v>
      </c>
      <c r="AO45" s="19">
        <v>13.0</v>
      </c>
      <c r="AP45" s="19">
        <v>18.0</v>
      </c>
      <c r="AQ45" s="19">
        <v>8.0</v>
      </c>
      <c r="AR45" s="19">
        <v>19.0</v>
      </c>
      <c r="AS45" s="19">
        <v>29.0</v>
      </c>
      <c r="AT45" s="19">
        <v>57.0</v>
      </c>
      <c r="AU45" s="19">
        <v>27.0</v>
      </c>
      <c r="AV45" s="19">
        <v>14.0</v>
      </c>
      <c r="AW45" s="19">
        <v>17.0</v>
      </c>
      <c r="AX45" s="19">
        <v>33.0</v>
      </c>
      <c r="AY45" s="19">
        <v>11.0</v>
      </c>
      <c r="AZ45" s="19">
        <v>16.0</v>
      </c>
      <c r="BA45" s="19">
        <v>7.0</v>
      </c>
      <c r="BB45" s="19">
        <v>25.0</v>
      </c>
      <c r="BC45" s="19">
        <v>27.0</v>
      </c>
      <c r="BD45" s="19">
        <v>16.0</v>
      </c>
      <c r="BE45" s="19">
        <v>26.0</v>
      </c>
      <c r="BF45" s="13">
        <f t="shared" ref="BF45:BF47" si="14">SUM(E45:BE45)</f>
        <v>889</v>
      </c>
    </row>
    <row r="46" ht="12.75" customHeight="1">
      <c r="A46" s="18"/>
      <c r="B46" s="51">
        <v>2.0</v>
      </c>
      <c r="C46" s="52" t="s">
        <v>38</v>
      </c>
      <c r="D46" s="16"/>
      <c r="E46" s="19">
        <v>142.0</v>
      </c>
      <c r="F46" s="19">
        <v>159.0</v>
      </c>
      <c r="G46" s="19">
        <v>83.0</v>
      </c>
      <c r="H46" s="19">
        <v>100.0</v>
      </c>
      <c r="I46" s="19">
        <v>186.0</v>
      </c>
      <c r="J46" s="19">
        <v>132.0</v>
      </c>
      <c r="K46" s="19">
        <v>140.0</v>
      </c>
      <c r="L46" s="19">
        <v>143.0</v>
      </c>
      <c r="M46" s="19">
        <v>129.0</v>
      </c>
      <c r="N46" s="19">
        <v>151.0</v>
      </c>
      <c r="O46" s="19">
        <v>175.0</v>
      </c>
      <c r="P46" s="19">
        <v>154.0</v>
      </c>
      <c r="Q46" s="19">
        <v>146.0</v>
      </c>
      <c r="R46" s="19">
        <v>135.0</v>
      </c>
      <c r="S46" s="19">
        <v>108.0</v>
      </c>
      <c r="T46" s="19">
        <v>161.0</v>
      </c>
      <c r="U46" s="19">
        <v>160.0</v>
      </c>
      <c r="V46" s="19">
        <v>166.0</v>
      </c>
      <c r="W46" s="19">
        <v>149.0</v>
      </c>
      <c r="X46" s="19">
        <v>143.0</v>
      </c>
      <c r="Y46" s="19">
        <v>141.0</v>
      </c>
      <c r="Z46" s="19">
        <v>148.0</v>
      </c>
      <c r="AA46" s="19">
        <v>163.0</v>
      </c>
      <c r="AB46" s="19">
        <v>146.0</v>
      </c>
      <c r="AC46" s="19">
        <v>138.0</v>
      </c>
      <c r="AD46" s="19">
        <v>118.0</v>
      </c>
      <c r="AE46" s="19">
        <v>143.0</v>
      </c>
      <c r="AF46" s="19">
        <v>148.0</v>
      </c>
      <c r="AG46" s="19">
        <v>160.0</v>
      </c>
      <c r="AH46" s="19">
        <v>166.0</v>
      </c>
      <c r="AI46" s="19">
        <v>166.0</v>
      </c>
      <c r="AJ46" s="19">
        <v>159.0</v>
      </c>
      <c r="AK46" s="19">
        <v>168.0</v>
      </c>
      <c r="AL46" s="19">
        <v>153.0</v>
      </c>
      <c r="AM46" s="19">
        <v>155.0</v>
      </c>
      <c r="AN46" s="19">
        <v>142.0</v>
      </c>
      <c r="AO46" s="19">
        <v>151.0</v>
      </c>
      <c r="AP46" s="19">
        <v>103.0</v>
      </c>
      <c r="AQ46" s="19">
        <v>141.0</v>
      </c>
      <c r="AR46" s="19">
        <v>141.0</v>
      </c>
      <c r="AS46" s="19">
        <v>138.0</v>
      </c>
      <c r="AT46" s="19">
        <v>137.0</v>
      </c>
      <c r="AU46" s="19">
        <v>124.0</v>
      </c>
      <c r="AV46" s="19">
        <v>126.0</v>
      </c>
      <c r="AW46" s="19">
        <v>145.0</v>
      </c>
      <c r="AX46" s="19">
        <v>143.0</v>
      </c>
      <c r="AY46" s="19">
        <v>176.0</v>
      </c>
      <c r="AZ46" s="19">
        <v>155.0</v>
      </c>
      <c r="BA46" s="19">
        <v>156.0</v>
      </c>
      <c r="BB46" s="19">
        <v>139.0</v>
      </c>
      <c r="BC46" s="19">
        <v>138.0</v>
      </c>
      <c r="BD46" s="19">
        <v>136.0</v>
      </c>
      <c r="BE46" s="19">
        <v>154.0</v>
      </c>
      <c r="BF46" s="13">
        <f t="shared" si="14"/>
        <v>7679</v>
      </c>
    </row>
    <row r="47" ht="12.75" customHeight="1">
      <c r="A47" s="49"/>
      <c r="B47" s="51">
        <v>3.0</v>
      </c>
      <c r="C47" s="52" t="s">
        <v>39</v>
      </c>
      <c r="D47" s="16"/>
      <c r="E47" s="19">
        <v>46.0</v>
      </c>
      <c r="F47" s="19">
        <v>33.0</v>
      </c>
      <c r="G47" s="19">
        <v>37.0</v>
      </c>
      <c r="H47" s="19">
        <v>24.0</v>
      </c>
      <c r="I47" s="19">
        <v>30.0</v>
      </c>
      <c r="J47" s="19">
        <v>48.0</v>
      </c>
      <c r="K47" s="19">
        <v>54.0</v>
      </c>
      <c r="L47" s="19">
        <v>39.0</v>
      </c>
      <c r="M47" s="19">
        <v>37.0</v>
      </c>
      <c r="N47" s="19">
        <v>41.0</v>
      </c>
      <c r="O47" s="19">
        <v>34.0</v>
      </c>
      <c r="P47" s="19">
        <v>52.0</v>
      </c>
      <c r="Q47" s="19">
        <v>57.0</v>
      </c>
      <c r="R47" s="19">
        <v>50.0</v>
      </c>
      <c r="S47" s="19">
        <v>41.0</v>
      </c>
      <c r="T47" s="19">
        <v>35.0</v>
      </c>
      <c r="U47" s="19">
        <v>37.0</v>
      </c>
      <c r="V47" s="19">
        <v>33.0</v>
      </c>
      <c r="W47" s="19">
        <v>22.0</v>
      </c>
      <c r="X47" s="19">
        <v>37.0</v>
      </c>
      <c r="Y47" s="19">
        <v>39.0</v>
      </c>
      <c r="Z47" s="19">
        <v>19.0</v>
      </c>
      <c r="AA47" s="19">
        <v>37.0</v>
      </c>
      <c r="AB47" s="19">
        <v>33.0</v>
      </c>
      <c r="AC47" s="19">
        <v>38.0</v>
      </c>
      <c r="AD47" s="19">
        <v>45.0</v>
      </c>
      <c r="AE47" s="19">
        <v>27.0</v>
      </c>
      <c r="AF47" s="19">
        <v>39.0</v>
      </c>
      <c r="AG47" s="19">
        <v>36.0</v>
      </c>
      <c r="AH47" s="19">
        <v>41.0</v>
      </c>
      <c r="AI47" s="19">
        <v>38.0</v>
      </c>
      <c r="AJ47" s="19">
        <v>32.0</v>
      </c>
      <c r="AK47" s="19">
        <v>20.0</v>
      </c>
      <c r="AL47" s="19">
        <v>41.0</v>
      </c>
      <c r="AM47" s="19">
        <v>32.0</v>
      </c>
      <c r="AN47" s="19">
        <v>34.0</v>
      </c>
      <c r="AO47" s="19">
        <v>38.0</v>
      </c>
      <c r="AP47" s="19">
        <v>82.0</v>
      </c>
      <c r="AQ47" s="19">
        <v>54.0</v>
      </c>
      <c r="AR47" s="19">
        <v>32.0</v>
      </c>
      <c r="AS47" s="19">
        <v>43.0</v>
      </c>
      <c r="AT47" s="19">
        <v>41.0</v>
      </c>
      <c r="AU47" s="19">
        <v>54.0</v>
      </c>
      <c r="AV47" s="19">
        <v>50.0</v>
      </c>
      <c r="AW47" s="19">
        <v>62.0</v>
      </c>
      <c r="AX47" s="19">
        <v>61.0</v>
      </c>
      <c r="AY47" s="19">
        <v>46.0</v>
      </c>
      <c r="AZ47" s="19">
        <v>46.0</v>
      </c>
      <c r="BA47" s="19">
        <v>29.0</v>
      </c>
      <c r="BB47" s="19">
        <v>45.0</v>
      </c>
      <c r="BC47" s="19">
        <v>32.0</v>
      </c>
      <c r="BD47" s="19">
        <v>50.0</v>
      </c>
      <c r="BE47" s="19">
        <v>42.0</v>
      </c>
      <c r="BF47" s="13">
        <f t="shared" si="14"/>
        <v>2145</v>
      </c>
    </row>
    <row r="48" ht="12.75" customHeight="1">
      <c r="BF48" s="13"/>
    </row>
    <row r="49" ht="12.75" customHeight="1">
      <c r="A49" s="46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</row>
    <row r="50" ht="12.75" customHeight="1">
      <c r="A50" s="46"/>
      <c r="B50" s="58" t="s">
        <v>42</v>
      </c>
      <c r="C50" s="59" t="s">
        <v>43</v>
      </c>
      <c r="D50" s="16"/>
      <c r="E50" s="19">
        <f t="shared" ref="E50:BE50" si="15">SUM(E45:E47)</f>
        <v>189</v>
      </c>
      <c r="F50" s="19">
        <f t="shared" si="15"/>
        <v>201</v>
      </c>
      <c r="G50" s="19">
        <f t="shared" si="15"/>
        <v>127</v>
      </c>
      <c r="H50" s="19">
        <f t="shared" si="15"/>
        <v>142</v>
      </c>
      <c r="I50" s="19">
        <f t="shared" si="15"/>
        <v>231</v>
      </c>
      <c r="J50" s="19">
        <f t="shared" si="15"/>
        <v>196</v>
      </c>
      <c r="K50" s="19">
        <f t="shared" si="15"/>
        <v>211</v>
      </c>
      <c r="L50" s="19">
        <f t="shared" si="15"/>
        <v>190</v>
      </c>
      <c r="M50" s="19">
        <f t="shared" si="15"/>
        <v>190</v>
      </c>
      <c r="N50" s="19">
        <f t="shared" si="15"/>
        <v>202</v>
      </c>
      <c r="O50" s="19">
        <f t="shared" si="15"/>
        <v>230</v>
      </c>
      <c r="P50" s="19">
        <f t="shared" si="15"/>
        <v>212</v>
      </c>
      <c r="Q50" s="19">
        <f t="shared" si="15"/>
        <v>212</v>
      </c>
      <c r="R50" s="19">
        <f t="shared" si="15"/>
        <v>198</v>
      </c>
      <c r="S50" s="19">
        <f t="shared" si="15"/>
        <v>181</v>
      </c>
      <c r="T50" s="19">
        <f t="shared" si="15"/>
        <v>202</v>
      </c>
      <c r="U50" s="19">
        <f t="shared" si="15"/>
        <v>225</v>
      </c>
      <c r="V50" s="19">
        <f t="shared" si="15"/>
        <v>216</v>
      </c>
      <c r="W50" s="19">
        <f t="shared" si="15"/>
        <v>182</v>
      </c>
      <c r="X50" s="19">
        <f t="shared" si="15"/>
        <v>195</v>
      </c>
      <c r="Y50" s="19">
        <f t="shared" si="15"/>
        <v>197</v>
      </c>
      <c r="Z50" s="19">
        <f t="shared" si="15"/>
        <v>177</v>
      </c>
      <c r="AA50" s="19">
        <f t="shared" si="15"/>
        <v>209</v>
      </c>
      <c r="AB50" s="19">
        <f t="shared" si="15"/>
        <v>193</v>
      </c>
      <c r="AC50" s="19">
        <f t="shared" si="15"/>
        <v>196</v>
      </c>
      <c r="AD50" s="19">
        <f t="shared" si="15"/>
        <v>183</v>
      </c>
      <c r="AE50" s="19">
        <f t="shared" si="15"/>
        <v>196</v>
      </c>
      <c r="AF50" s="19">
        <f t="shared" si="15"/>
        <v>214</v>
      </c>
      <c r="AG50" s="19">
        <f t="shared" si="15"/>
        <v>225</v>
      </c>
      <c r="AH50" s="19">
        <f t="shared" si="15"/>
        <v>218</v>
      </c>
      <c r="AI50" s="19">
        <f t="shared" si="15"/>
        <v>210</v>
      </c>
      <c r="AJ50" s="19">
        <f t="shared" si="15"/>
        <v>203</v>
      </c>
      <c r="AK50" s="19">
        <f t="shared" si="15"/>
        <v>197</v>
      </c>
      <c r="AL50" s="19">
        <f t="shared" si="15"/>
        <v>204</v>
      </c>
      <c r="AM50" s="19">
        <f t="shared" si="15"/>
        <v>204</v>
      </c>
      <c r="AN50" s="19">
        <f t="shared" si="15"/>
        <v>182</v>
      </c>
      <c r="AO50" s="19">
        <f t="shared" si="15"/>
        <v>202</v>
      </c>
      <c r="AP50" s="19">
        <f t="shared" si="15"/>
        <v>203</v>
      </c>
      <c r="AQ50" s="19">
        <f t="shared" si="15"/>
        <v>203</v>
      </c>
      <c r="AR50" s="19">
        <f t="shared" si="15"/>
        <v>192</v>
      </c>
      <c r="AS50" s="19">
        <f t="shared" si="15"/>
        <v>210</v>
      </c>
      <c r="AT50" s="19">
        <f t="shared" si="15"/>
        <v>235</v>
      </c>
      <c r="AU50" s="19">
        <f t="shared" si="15"/>
        <v>205</v>
      </c>
      <c r="AV50" s="19">
        <f t="shared" si="15"/>
        <v>190</v>
      </c>
      <c r="AW50" s="19">
        <f t="shared" si="15"/>
        <v>224</v>
      </c>
      <c r="AX50" s="19">
        <f t="shared" si="15"/>
        <v>237</v>
      </c>
      <c r="AY50" s="19">
        <f t="shared" si="15"/>
        <v>233</v>
      </c>
      <c r="AZ50" s="19">
        <f t="shared" si="15"/>
        <v>217</v>
      </c>
      <c r="BA50" s="19">
        <f t="shared" si="15"/>
        <v>192</v>
      </c>
      <c r="BB50" s="19">
        <f t="shared" si="15"/>
        <v>209</v>
      </c>
      <c r="BC50" s="19">
        <f t="shared" si="15"/>
        <v>197</v>
      </c>
      <c r="BD50" s="19">
        <f t="shared" si="15"/>
        <v>202</v>
      </c>
      <c r="BE50" s="19">
        <f t="shared" si="15"/>
        <v>222</v>
      </c>
      <c r="BF50" s="13">
        <f t="shared" ref="BF50:BF52" si="16">SUM(E50:BE50)</f>
        <v>10713</v>
      </c>
    </row>
    <row r="51" ht="12.75" customHeight="1">
      <c r="A51" s="36"/>
      <c r="B51" s="58" t="s">
        <v>44</v>
      </c>
      <c r="C51" s="59" t="s">
        <v>45</v>
      </c>
      <c r="D51" s="16"/>
      <c r="E51" s="19">
        <v>4.0</v>
      </c>
      <c r="F51" s="19">
        <v>2.0</v>
      </c>
      <c r="G51" s="19">
        <v>2.0</v>
      </c>
      <c r="H51" s="19">
        <v>1.0</v>
      </c>
      <c r="I51" s="19">
        <v>3.0</v>
      </c>
      <c r="J51" s="19">
        <v>4.0</v>
      </c>
      <c r="K51" s="19">
        <v>2.0</v>
      </c>
      <c r="L51" s="19">
        <v>2.0</v>
      </c>
      <c r="M51" s="19">
        <v>2.0</v>
      </c>
      <c r="N51" s="19">
        <v>3.0</v>
      </c>
      <c r="O51" s="19">
        <v>1.0</v>
      </c>
      <c r="P51" s="19">
        <v>1.0</v>
      </c>
      <c r="Q51" s="19">
        <v>5.0</v>
      </c>
      <c r="R51" s="19">
        <v>5.0</v>
      </c>
      <c r="S51" s="19">
        <v>2.0</v>
      </c>
      <c r="T51" s="19">
        <v>3.0</v>
      </c>
      <c r="U51" s="19">
        <v>3.0</v>
      </c>
      <c r="V51" s="19">
        <v>0.0</v>
      </c>
      <c r="W51" s="19">
        <v>1.0</v>
      </c>
      <c r="X51" s="19">
        <v>4.0</v>
      </c>
      <c r="Y51" s="19">
        <v>3.0</v>
      </c>
      <c r="Z51" s="19">
        <v>6.0</v>
      </c>
      <c r="AA51" s="19">
        <v>3.0</v>
      </c>
      <c r="AB51" s="19">
        <v>0.0</v>
      </c>
      <c r="AC51" s="19">
        <v>3.0</v>
      </c>
      <c r="AD51" s="19">
        <v>5.0</v>
      </c>
      <c r="AE51" s="19">
        <v>0.0</v>
      </c>
      <c r="AF51" s="19">
        <v>2.0</v>
      </c>
      <c r="AG51" s="19">
        <v>3.0</v>
      </c>
      <c r="AH51" s="19">
        <v>1.0</v>
      </c>
      <c r="AI51" s="19">
        <v>4.0</v>
      </c>
      <c r="AJ51" s="19">
        <v>2.0</v>
      </c>
      <c r="AK51" s="19">
        <v>6.0</v>
      </c>
      <c r="AL51" s="19">
        <v>2.0</v>
      </c>
      <c r="AM51" s="19">
        <v>3.0</v>
      </c>
      <c r="AN51" s="19">
        <v>4.0</v>
      </c>
      <c r="AO51" s="19">
        <v>2.0</v>
      </c>
      <c r="AP51" s="19">
        <v>3.0</v>
      </c>
      <c r="AQ51" s="19">
        <v>3.0</v>
      </c>
      <c r="AR51" s="19">
        <v>7.0</v>
      </c>
      <c r="AS51" s="19">
        <v>0.0</v>
      </c>
      <c r="AT51" s="19">
        <v>0.0</v>
      </c>
      <c r="AU51" s="19">
        <v>0.0</v>
      </c>
      <c r="AV51" s="19">
        <v>6.0</v>
      </c>
      <c r="AW51" s="19">
        <v>7.0</v>
      </c>
      <c r="AX51" s="19">
        <v>1.0</v>
      </c>
      <c r="AY51" s="19">
        <v>2.0</v>
      </c>
      <c r="AZ51" s="19">
        <v>3.0</v>
      </c>
      <c r="BA51" s="19">
        <v>1.0</v>
      </c>
      <c r="BB51" s="19">
        <v>0.0</v>
      </c>
      <c r="BC51" s="19">
        <v>0.0</v>
      </c>
      <c r="BD51" s="19">
        <v>1.0</v>
      </c>
      <c r="BE51" s="19">
        <v>5.0</v>
      </c>
      <c r="BF51" s="13">
        <f t="shared" si="16"/>
        <v>138</v>
      </c>
    </row>
    <row r="52" ht="12.75" customHeight="1">
      <c r="A52" s="44"/>
      <c r="B52" s="58" t="s">
        <v>46</v>
      </c>
      <c r="C52" s="59" t="s">
        <v>47</v>
      </c>
      <c r="D52" s="16"/>
      <c r="E52" s="13">
        <f t="shared" ref="E52:BE52" si="17">SUM(E50:E51)</f>
        <v>193</v>
      </c>
      <c r="F52" s="13">
        <f t="shared" si="17"/>
        <v>203</v>
      </c>
      <c r="G52" s="13">
        <f t="shared" si="17"/>
        <v>129</v>
      </c>
      <c r="H52" s="13">
        <f t="shared" si="17"/>
        <v>143</v>
      </c>
      <c r="I52" s="13">
        <f t="shared" si="17"/>
        <v>234</v>
      </c>
      <c r="J52" s="13">
        <f t="shared" si="17"/>
        <v>200</v>
      </c>
      <c r="K52" s="13">
        <f t="shared" si="17"/>
        <v>213</v>
      </c>
      <c r="L52" s="13">
        <f t="shared" si="17"/>
        <v>192</v>
      </c>
      <c r="M52" s="13">
        <f t="shared" si="17"/>
        <v>192</v>
      </c>
      <c r="N52" s="13">
        <f t="shared" si="17"/>
        <v>205</v>
      </c>
      <c r="O52" s="13">
        <f t="shared" si="17"/>
        <v>231</v>
      </c>
      <c r="P52" s="13">
        <f t="shared" si="17"/>
        <v>213</v>
      </c>
      <c r="Q52" s="13">
        <f t="shared" si="17"/>
        <v>217</v>
      </c>
      <c r="R52" s="13">
        <f t="shared" si="17"/>
        <v>203</v>
      </c>
      <c r="S52" s="13">
        <f t="shared" si="17"/>
        <v>183</v>
      </c>
      <c r="T52" s="13">
        <f t="shared" si="17"/>
        <v>205</v>
      </c>
      <c r="U52" s="13">
        <f t="shared" si="17"/>
        <v>228</v>
      </c>
      <c r="V52" s="13">
        <f t="shared" si="17"/>
        <v>216</v>
      </c>
      <c r="W52" s="13">
        <f t="shared" si="17"/>
        <v>183</v>
      </c>
      <c r="X52" s="13">
        <f t="shared" si="17"/>
        <v>199</v>
      </c>
      <c r="Y52" s="13">
        <f t="shared" si="17"/>
        <v>200</v>
      </c>
      <c r="Z52" s="13">
        <f t="shared" si="17"/>
        <v>183</v>
      </c>
      <c r="AA52" s="13">
        <f t="shared" si="17"/>
        <v>212</v>
      </c>
      <c r="AB52" s="13">
        <f t="shared" si="17"/>
        <v>193</v>
      </c>
      <c r="AC52" s="13">
        <f t="shared" si="17"/>
        <v>199</v>
      </c>
      <c r="AD52" s="13">
        <f t="shared" si="17"/>
        <v>188</v>
      </c>
      <c r="AE52" s="13">
        <f t="shared" si="17"/>
        <v>196</v>
      </c>
      <c r="AF52" s="13">
        <f t="shared" si="17"/>
        <v>216</v>
      </c>
      <c r="AG52" s="13">
        <f t="shared" si="17"/>
        <v>228</v>
      </c>
      <c r="AH52" s="13">
        <f t="shared" si="17"/>
        <v>219</v>
      </c>
      <c r="AI52" s="13">
        <f t="shared" si="17"/>
        <v>214</v>
      </c>
      <c r="AJ52" s="13">
        <f t="shared" si="17"/>
        <v>205</v>
      </c>
      <c r="AK52" s="13">
        <f t="shared" si="17"/>
        <v>203</v>
      </c>
      <c r="AL52" s="13">
        <f t="shared" si="17"/>
        <v>206</v>
      </c>
      <c r="AM52" s="13">
        <f t="shared" si="17"/>
        <v>207</v>
      </c>
      <c r="AN52" s="13">
        <f t="shared" si="17"/>
        <v>186</v>
      </c>
      <c r="AO52" s="13">
        <f t="shared" si="17"/>
        <v>204</v>
      </c>
      <c r="AP52" s="13">
        <f t="shared" si="17"/>
        <v>206</v>
      </c>
      <c r="AQ52" s="13">
        <f t="shared" si="17"/>
        <v>206</v>
      </c>
      <c r="AR52" s="13">
        <f t="shared" si="17"/>
        <v>199</v>
      </c>
      <c r="AS52" s="13">
        <f t="shared" si="17"/>
        <v>210</v>
      </c>
      <c r="AT52" s="13">
        <f t="shared" si="17"/>
        <v>235</v>
      </c>
      <c r="AU52" s="13">
        <f t="shared" si="17"/>
        <v>205</v>
      </c>
      <c r="AV52" s="13">
        <f t="shared" si="17"/>
        <v>196</v>
      </c>
      <c r="AW52" s="13">
        <f t="shared" si="17"/>
        <v>231</v>
      </c>
      <c r="AX52" s="13">
        <f t="shared" si="17"/>
        <v>238</v>
      </c>
      <c r="AY52" s="13">
        <f t="shared" si="17"/>
        <v>235</v>
      </c>
      <c r="AZ52" s="13">
        <f t="shared" si="17"/>
        <v>220</v>
      </c>
      <c r="BA52" s="13">
        <f t="shared" si="17"/>
        <v>193</v>
      </c>
      <c r="BB52" s="13">
        <f t="shared" si="17"/>
        <v>209</v>
      </c>
      <c r="BC52" s="13">
        <f t="shared" si="17"/>
        <v>197</v>
      </c>
      <c r="BD52" s="13">
        <f t="shared" si="17"/>
        <v>203</v>
      </c>
      <c r="BE52" s="13">
        <f t="shared" si="17"/>
        <v>227</v>
      </c>
      <c r="BF52" s="13">
        <f t="shared" si="16"/>
        <v>10851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>
      <c r="BG105" s="5"/>
    </row>
    <row r="106" ht="12.75" customHeight="1">
      <c r="BG106" s="5"/>
    </row>
    <row r="107" ht="12.75" customHeight="1">
      <c r="BG107" s="5"/>
    </row>
    <row r="108" ht="12.75" customHeight="1">
      <c r="BG108" s="5"/>
    </row>
    <row r="109" ht="12.75" customHeight="1">
      <c r="BG109" s="5"/>
    </row>
    <row r="110" ht="12.75" customHeight="1">
      <c r="BG110" s="5"/>
    </row>
    <row r="111" ht="12.75" customHeight="1">
      <c r="BG111" s="5"/>
    </row>
    <row r="112" ht="12.75" customHeight="1">
      <c r="BG112" s="5"/>
    </row>
    <row r="113" ht="12.75" customHeight="1">
      <c r="BG113" s="5"/>
    </row>
    <row r="114" ht="12.75" customHeight="1">
      <c r="BG114" s="5"/>
    </row>
    <row r="115" ht="12.75" customHeight="1">
      <c r="BG115" s="5"/>
    </row>
    <row r="116" ht="12.75" customHeight="1">
      <c r="BG116" s="5"/>
    </row>
    <row r="117" ht="12.75" customHeight="1">
      <c r="BG117" s="5"/>
      <c r="BH117" s="5"/>
    </row>
    <row r="118" ht="12.75" customHeight="1">
      <c r="BG118" s="1"/>
      <c r="BH118" s="5"/>
    </row>
    <row r="119" ht="12.75" customHeight="1">
      <c r="BG119" s="54"/>
      <c r="BH119" s="5"/>
    </row>
    <row r="120" ht="12.75" customHeight="1">
      <c r="BG120" s="5"/>
      <c r="BH120" s="5"/>
    </row>
    <row r="121" ht="12.75" customHeight="1">
      <c r="BG121" s="5"/>
      <c r="BH121" s="5"/>
    </row>
    <row r="122" ht="12.75" customHeight="1">
      <c r="BG122" s="5"/>
      <c r="BH122" s="5"/>
    </row>
    <row r="123" ht="12.75" customHeight="1">
      <c r="BG123" s="5"/>
      <c r="BH123" s="5"/>
    </row>
    <row r="124" ht="12.75" customHeight="1">
      <c r="BG124" s="5"/>
      <c r="BH124" s="5"/>
    </row>
    <row r="125" ht="12.75" customHeight="1">
      <c r="BG125" s="5"/>
      <c r="BH125" s="5"/>
    </row>
    <row r="126" ht="12.75" customHeight="1">
      <c r="BG126" s="5"/>
      <c r="BH126" s="5"/>
    </row>
    <row r="127" ht="12.75" customHeight="1">
      <c r="BG127" s="5"/>
      <c r="BH127" s="5"/>
    </row>
    <row r="128" ht="12.75" customHeight="1">
      <c r="BG128" s="5"/>
      <c r="BH128" s="5"/>
    </row>
    <row r="129" ht="12.75" customHeight="1">
      <c r="BG129" s="1"/>
      <c r="BH129" s="5"/>
    </row>
    <row r="130" ht="12.75" customHeight="1">
      <c r="BG130" s="54"/>
      <c r="BH130" s="1"/>
    </row>
    <row r="131" ht="12.75" customHeight="1">
      <c r="BG131" s="5"/>
      <c r="BH131" s="54"/>
    </row>
    <row r="132" ht="12.75" customHeight="1">
      <c r="BG132" s="5"/>
      <c r="BH132" s="5"/>
    </row>
    <row r="133" ht="12.75" customHeight="1">
      <c r="BG133" s="5"/>
      <c r="BH133" s="5"/>
    </row>
    <row r="134" ht="12.75" customHeight="1">
      <c r="BG134" s="5"/>
      <c r="BH134" s="5"/>
    </row>
    <row r="135" ht="12.75" customHeight="1">
      <c r="BG135" s="5"/>
      <c r="BH135" s="5"/>
    </row>
    <row r="136" ht="12.75" customHeight="1">
      <c r="BG136" s="5"/>
      <c r="BH136" s="5"/>
    </row>
    <row r="137" ht="12.75" customHeight="1">
      <c r="BG137" s="5"/>
      <c r="BH137" s="5"/>
    </row>
    <row r="138" ht="12.75" customHeight="1">
      <c r="BG138" s="5"/>
      <c r="BH138" s="5"/>
    </row>
    <row r="139" ht="12.75" customHeight="1">
      <c r="BG139" s="1"/>
      <c r="BH139" s="5"/>
    </row>
    <row r="140" ht="12.75" customHeight="1">
      <c r="BG140" s="54"/>
      <c r="BH140" s="5"/>
    </row>
    <row r="141" ht="12.75" customHeight="1">
      <c r="BG141" s="5"/>
      <c r="BH141" s="1"/>
    </row>
    <row r="142" ht="12.75" customHeight="1">
      <c r="BG142" s="5"/>
      <c r="BH142" s="54"/>
    </row>
    <row r="143" ht="12.75" customHeight="1">
      <c r="BG143" s="5"/>
      <c r="BH143" s="5"/>
    </row>
    <row r="144" ht="12.75" customHeight="1">
      <c r="BG144" s="5"/>
      <c r="BH144" s="5"/>
    </row>
    <row r="145" ht="12.75" customHeight="1">
      <c r="BG145" s="5"/>
      <c r="BH145" s="5"/>
    </row>
    <row r="146" ht="12.75" customHeight="1">
      <c r="BG146" s="5"/>
      <c r="BH146" s="5"/>
    </row>
    <row r="147" ht="12.75" customHeight="1">
      <c r="BG147" s="5"/>
      <c r="BH147" s="5"/>
    </row>
    <row r="148" ht="12.75" customHeight="1">
      <c r="BG148" s="5"/>
      <c r="BH148" s="5"/>
    </row>
    <row r="149" ht="12.75" customHeight="1">
      <c r="BG149" s="5"/>
      <c r="BH149" s="5"/>
    </row>
    <row r="150" ht="12.75" customHeight="1">
      <c r="BG150" s="5"/>
      <c r="BH150" s="5"/>
    </row>
    <row r="151" ht="12.75" customHeight="1">
      <c r="BG151" s="5"/>
      <c r="BH151" s="1"/>
    </row>
    <row r="152" ht="12.75" customHeight="1">
      <c r="BG152" s="5"/>
      <c r="BH152" s="54"/>
    </row>
    <row r="153" ht="12.75" customHeight="1">
      <c r="BG153" s="1"/>
      <c r="BH153" s="5"/>
    </row>
    <row r="154" ht="12.75" customHeight="1">
      <c r="BG154" s="54"/>
      <c r="BH154" s="5"/>
    </row>
    <row r="155" ht="12.75" customHeight="1">
      <c r="BG155" s="5"/>
      <c r="BH155" s="5"/>
    </row>
    <row r="156" ht="12.75" customHeight="1">
      <c r="BG156" s="5"/>
      <c r="BH156" s="5"/>
    </row>
    <row r="157" ht="12.75" customHeight="1">
      <c r="BG157" s="5"/>
      <c r="BH157" s="5"/>
    </row>
    <row r="158" ht="12.75" customHeight="1">
      <c r="BG158" s="5"/>
      <c r="BH158" s="5"/>
    </row>
    <row r="159" ht="12.75" customHeight="1">
      <c r="BG159" s="5"/>
      <c r="BH159" s="5"/>
    </row>
    <row r="160" ht="12.75" customHeight="1">
      <c r="BG160" s="5"/>
      <c r="BH160" s="5"/>
    </row>
    <row r="161" ht="12.75" customHeight="1">
      <c r="BG161" s="5"/>
      <c r="BH161" s="5"/>
    </row>
    <row r="162" ht="12.75" customHeight="1">
      <c r="BG162" s="5"/>
      <c r="BH162" s="5"/>
    </row>
    <row r="163" ht="12.75" customHeight="1">
      <c r="BG163" s="5"/>
      <c r="BH163" s="5"/>
    </row>
    <row r="164" ht="12.75" customHeight="1">
      <c r="BG164" s="1"/>
      <c r="BH164" s="5"/>
    </row>
    <row r="165" ht="12.75" customHeight="1">
      <c r="BH165" s="1"/>
    </row>
    <row r="166" ht="12.75" customHeight="1">
      <c r="BG166" s="5"/>
      <c r="BH166" s="54"/>
    </row>
    <row r="167" ht="12.75" customHeight="1">
      <c r="BG167" s="5"/>
      <c r="BH167" s="5"/>
    </row>
    <row r="168" ht="12.75" customHeight="1">
      <c r="BG168" s="5"/>
      <c r="BH168" s="5"/>
    </row>
    <row r="169" ht="12.75" customHeight="1">
      <c r="BG169" s="5"/>
      <c r="BH169" s="5"/>
    </row>
    <row r="170" ht="12.75" customHeight="1">
      <c r="BG170" s="5"/>
      <c r="BH170" s="5"/>
    </row>
    <row r="171" ht="12.75" customHeight="1">
      <c r="BG171" s="5"/>
      <c r="BH171" s="5"/>
    </row>
    <row r="172" ht="12.75" customHeight="1">
      <c r="BG172" s="5"/>
      <c r="BH172" s="5"/>
    </row>
    <row r="173" ht="12.75" customHeight="1">
      <c r="BG173" s="5"/>
      <c r="BH173" s="5"/>
    </row>
    <row r="174" ht="12.75" customHeight="1">
      <c r="BG174" s="5"/>
      <c r="BH174" s="5"/>
    </row>
    <row r="175" ht="12.75" customHeight="1">
      <c r="BG175" s="1"/>
      <c r="BH175" s="5"/>
    </row>
    <row r="176" ht="12.75" customHeight="1">
      <c r="BH176" s="1"/>
    </row>
    <row r="177" ht="12.75" customHeight="1">
      <c r="BG177" s="5"/>
    </row>
    <row r="178" ht="12.75" customHeight="1">
      <c r="BG178" s="5"/>
      <c r="BH178" s="5"/>
    </row>
    <row r="179" ht="12.75" customHeight="1">
      <c r="BG179" s="5"/>
      <c r="BH179" s="5"/>
    </row>
    <row r="180" ht="12.75" customHeight="1">
      <c r="BG180" s="5"/>
      <c r="BH180" s="5"/>
    </row>
    <row r="181" ht="12.75" customHeight="1">
      <c r="BG181" s="5"/>
      <c r="BH181" s="5"/>
    </row>
    <row r="182" ht="12.75" customHeight="1">
      <c r="BG182" s="5"/>
      <c r="BH182" s="5"/>
    </row>
    <row r="183" ht="12.75" customHeight="1">
      <c r="BG183" s="5"/>
      <c r="BH183" s="5"/>
    </row>
    <row r="184" ht="12.75" customHeight="1">
      <c r="BG184" s="1"/>
      <c r="BH184" s="5"/>
    </row>
    <row r="185" ht="12.75" customHeight="1">
      <c r="BG185" s="1"/>
      <c r="BH185" s="5"/>
    </row>
    <row r="186" ht="12.75" customHeight="1">
      <c r="BG186" s="1"/>
      <c r="BH186" s="5"/>
    </row>
    <row r="187" ht="12.75" customHeight="1">
      <c r="BG187" s="54"/>
      <c r="BH187" s="1"/>
    </row>
    <row r="188" ht="12.75" customHeight="1">
      <c r="BG188" s="5"/>
    </row>
    <row r="189" ht="12.75" customHeight="1">
      <c r="BG189" s="5"/>
      <c r="BH189" s="5"/>
    </row>
    <row r="190" ht="12.75" customHeight="1">
      <c r="BG190" s="5"/>
      <c r="BH190" s="5"/>
    </row>
    <row r="191" ht="12.75" customHeight="1">
      <c r="BG191" s="5"/>
      <c r="BH191" s="5"/>
    </row>
    <row r="192" ht="12.75" customHeight="1">
      <c r="BG192" s="5"/>
      <c r="BH192" s="5"/>
    </row>
    <row r="193" ht="12.75" customHeight="1">
      <c r="BG193" s="5"/>
      <c r="BH193" s="5"/>
    </row>
    <row r="194" ht="12.75" customHeight="1">
      <c r="BG194" s="5"/>
      <c r="BH194" s="5"/>
    </row>
    <row r="195" ht="12.75" customHeight="1">
      <c r="BG195" s="1"/>
      <c r="BH195" s="5"/>
    </row>
    <row r="196" ht="12.75" customHeight="1">
      <c r="BG196" s="54"/>
      <c r="BH196" s="1"/>
    </row>
    <row r="197" ht="12.75" customHeight="1">
      <c r="BG197" s="54"/>
      <c r="BH197" s="1"/>
    </row>
    <row r="198" ht="12.75" customHeight="1">
      <c r="BG198" s="54"/>
      <c r="BH198" s="1"/>
    </row>
    <row r="199" ht="12.75" customHeight="1">
      <c r="BG199" s="5"/>
      <c r="BH199" s="54"/>
    </row>
    <row r="200" ht="12.75" customHeight="1">
      <c r="BG200" s="5"/>
      <c r="BH200" s="5"/>
    </row>
    <row r="201" ht="12.75" customHeight="1">
      <c r="BG201" s="5"/>
      <c r="BH201" s="5"/>
    </row>
    <row r="202" ht="12.75" customHeight="1">
      <c r="BG202" s="5"/>
      <c r="BH202" s="5"/>
    </row>
    <row r="203" ht="12.75" customHeight="1">
      <c r="BG203" s="5"/>
      <c r="BH203" s="5"/>
    </row>
    <row r="204" ht="12.75" customHeight="1">
      <c r="BG204" s="5"/>
      <c r="BH204" s="5"/>
    </row>
    <row r="205" ht="12.75" customHeight="1">
      <c r="BG205" s="5"/>
      <c r="BH205" s="5"/>
    </row>
    <row r="206" ht="12.75" customHeight="1">
      <c r="BG206" s="1"/>
      <c r="BH206" s="5"/>
    </row>
    <row r="207" ht="12.75" customHeight="1">
      <c r="BG207" s="54"/>
      <c r="BH207" s="1"/>
    </row>
    <row r="208" ht="12.75" customHeight="1">
      <c r="BG208" s="5"/>
      <c r="BH208" s="54"/>
    </row>
    <row r="209" ht="12.75" customHeight="1">
      <c r="BG209" s="5"/>
      <c r="BH209" s="54"/>
    </row>
    <row r="210" ht="12.75" customHeight="1">
      <c r="BG210" s="5"/>
      <c r="BH210" s="54"/>
    </row>
    <row r="211" ht="12.75" customHeight="1">
      <c r="BG211" s="5"/>
      <c r="BH211" s="5"/>
    </row>
    <row r="212" ht="12.75" customHeight="1">
      <c r="BG212" s="5"/>
      <c r="BH212" s="5"/>
    </row>
    <row r="213" ht="12.75" customHeight="1">
      <c r="BG213" s="5"/>
      <c r="BH213" s="5"/>
    </row>
    <row r="214" ht="12.75" customHeight="1">
      <c r="BG214" s="5"/>
      <c r="BH214" s="5"/>
    </row>
    <row r="215" ht="12.75" customHeight="1">
      <c r="BG215" s="5"/>
      <c r="BH215" s="5"/>
    </row>
    <row r="216" ht="12.75" customHeight="1">
      <c r="BG216" s="5"/>
      <c r="BH216" s="5"/>
    </row>
    <row r="217" ht="12.75" customHeight="1">
      <c r="BG217" s="1"/>
      <c r="BH217" s="5"/>
    </row>
    <row r="218" ht="12.75" customHeight="1">
      <c r="BG218" s="54"/>
      <c r="BH218" s="1"/>
    </row>
    <row r="219" ht="12.75" customHeight="1">
      <c r="BG219" s="5"/>
      <c r="BH219" s="54"/>
    </row>
    <row r="220" ht="12.75" customHeight="1">
      <c r="BG220" s="5"/>
      <c r="BH220" s="5"/>
    </row>
    <row r="221" ht="12.75" customHeight="1">
      <c r="BG221" s="5"/>
      <c r="BH221" s="5"/>
    </row>
    <row r="222" ht="12.75" customHeight="1">
      <c r="BG222" s="5"/>
      <c r="BH222" s="5"/>
    </row>
    <row r="223" ht="12.75" customHeight="1">
      <c r="BG223" s="5"/>
      <c r="BH223" s="5"/>
    </row>
    <row r="224" ht="12.75" customHeight="1">
      <c r="BG224" s="5"/>
      <c r="BH224" s="5"/>
    </row>
    <row r="225" ht="12.75" customHeight="1">
      <c r="BG225" s="5"/>
      <c r="BH225" s="5"/>
    </row>
    <row r="226" ht="12.75" customHeight="1">
      <c r="BG226" s="5"/>
      <c r="BH226" s="5"/>
    </row>
    <row r="227" ht="12.75" customHeight="1">
      <c r="BG227" s="5"/>
      <c r="BH227" s="5"/>
    </row>
    <row r="228" ht="12.75" customHeight="1">
      <c r="BG228" s="1"/>
      <c r="BH228" s="5"/>
    </row>
    <row r="229" ht="12.75" customHeight="1">
      <c r="BH229" s="1"/>
    </row>
    <row r="230" ht="12.75" customHeight="1">
      <c r="BH230" s="54"/>
    </row>
    <row r="231" ht="12.75" customHeight="1">
      <c r="BH231" s="5"/>
    </row>
    <row r="232" ht="12.75" customHeight="1">
      <c r="BH232" s="5"/>
    </row>
    <row r="233" ht="12.75" customHeight="1">
      <c r="BH233" s="5"/>
    </row>
    <row r="234" ht="12.75" customHeight="1">
      <c r="BH234" s="5"/>
    </row>
    <row r="235" ht="12.75" customHeight="1">
      <c r="BH235" s="5"/>
    </row>
    <row r="236" ht="12.75" customHeight="1">
      <c r="BH236" s="5"/>
    </row>
    <row r="237" ht="12.75" customHeight="1">
      <c r="BH237" s="5"/>
    </row>
    <row r="238" ht="12.75" customHeight="1">
      <c r="BH238" s="5"/>
    </row>
    <row r="239" ht="12.75" customHeight="1">
      <c r="BH239" s="5"/>
    </row>
    <row r="240" ht="12.75" customHeight="1">
      <c r="BH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BE12"/>
    <mergeCell ref="BF12:B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BE15">
    <cfRule type="containsBlanks" dxfId="1" priority="1">
      <formula>LEN(TRIM(E14))=0</formula>
    </cfRule>
  </conditionalFormatting>
  <conditionalFormatting sqref="E19:BE20">
    <cfRule type="containsBlanks" dxfId="1" priority="2">
      <formula>LEN(TRIM(E19))=0</formula>
    </cfRule>
  </conditionalFormatting>
  <conditionalFormatting sqref="E22:BE23 E25:BE26 E33:BE33 E35:BE35 E39:BE40">
    <cfRule type="containsBlanks" dxfId="1" priority="3">
      <formula>LEN(TRIM(E22))=0</formula>
    </cfRule>
  </conditionalFormatting>
  <conditionalFormatting sqref="E30:BE30">
    <cfRule type="expression" dxfId="0" priority="4">
      <formula>E30&lt;&gt;E47</formula>
    </cfRule>
  </conditionalFormatting>
  <conditionalFormatting sqref="E30:BE30">
    <cfRule type="expression" dxfId="0" priority="5">
      <formula>E30&lt;&gt;E34</formula>
    </cfRule>
  </conditionalFormatting>
  <conditionalFormatting sqref="E34:BE34">
    <cfRule type="expression" dxfId="2" priority="6">
      <formula>E30&lt;&gt;E34</formula>
    </cfRule>
  </conditionalFormatting>
  <conditionalFormatting sqref="E34:BE34">
    <cfRule type="expression" dxfId="3" priority="7">
      <formula>E30=E34</formula>
    </cfRule>
  </conditionalFormatting>
  <conditionalFormatting sqref="E34:BE34">
    <cfRule type="expression" dxfId="0" priority="8">
      <formula>E34&lt;&gt;E30</formula>
    </cfRule>
  </conditionalFormatting>
  <conditionalFormatting sqref="E34:BE34">
    <cfRule type="expression" dxfId="0" priority="9">
      <formula>E34&lt;&gt;#REF!</formula>
    </cfRule>
  </conditionalFormatting>
  <conditionalFormatting sqref="E45:BE47">
    <cfRule type="containsBlanks" dxfId="1" priority="10">
      <formula>LEN(TRIM(E45))=0</formula>
    </cfRule>
  </conditionalFormatting>
  <conditionalFormatting sqref="E50:BE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  <col customWidth="1" min="27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132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6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37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139.0</v>
      </c>
      <c r="G14" s="19">
        <v>118.0</v>
      </c>
      <c r="H14" s="19">
        <v>132.0</v>
      </c>
      <c r="I14" s="19">
        <v>138.0</v>
      </c>
      <c r="J14" s="19">
        <v>136.0</v>
      </c>
      <c r="K14" s="19">
        <v>118.0</v>
      </c>
      <c r="L14" s="19">
        <v>142.0</v>
      </c>
      <c r="M14" s="19">
        <v>136.0</v>
      </c>
      <c r="N14" s="19">
        <v>142.0</v>
      </c>
      <c r="O14" s="19">
        <v>122.0</v>
      </c>
      <c r="P14" s="19">
        <v>132.0</v>
      </c>
      <c r="Q14" s="19">
        <v>133.0</v>
      </c>
      <c r="R14" s="19">
        <v>122.0</v>
      </c>
      <c r="S14" s="19">
        <v>130.0</v>
      </c>
      <c r="T14" s="19">
        <v>135.0</v>
      </c>
      <c r="U14" s="19">
        <v>144.0</v>
      </c>
      <c r="V14" s="19">
        <v>128.0</v>
      </c>
      <c r="W14" s="19">
        <v>152.0</v>
      </c>
      <c r="X14" s="19">
        <v>129.0</v>
      </c>
      <c r="Y14" s="19">
        <v>130.0</v>
      </c>
      <c r="Z14" s="13">
        <f t="shared" ref="Z14:Z16" si="1">SUM(E14:Y14)</f>
        <v>2793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147.0</v>
      </c>
      <c r="G15" s="19">
        <v>137.0</v>
      </c>
      <c r="H15" s="19">
        <v>133.0</v>
      </c>
      <c r="I15" s="19">
        <v>133.0</v>
      </c>
      <c r="J15" s="19">
        <v>138.0</v>
      </c>
      <c r="K15" s="19">
        <v>124.0</v>
      </c>
      <c r="L15" s="19">
        <v>137.0</v>
      </c>
      <c r="M15" s="19">
        <v>148.0</v>
      </c>
      <c r="N15" s="19">
        <v>135.0</v>
      </c>
      <c r="O15" s="19">
        <v>130.0</v>
      </c>
      <c r="P15" s="19">
        <v>141.0</v>
      </c>
      <c r="Q15" s="19">
        <v>140.0</v>
      </c>
      <c r="R15" s="19">
        <v>133.0</v>
      </c>
      <c r="S15" s="19">
        <v>136.0</v>
      </c>
      <c r="T15" s="19">
        <v>135.0</v>
      </c>
      <c r="U15" s="19">
        <v>127.0</v>
      </c>
      <c r="V15" s="19">
        <v>135.0</v>
      </c>
      <c r="W15" s="19">
        <v>137.0</v>
      </c>
      <c r="X15" s="19">
        <v>142.0</v>
      </c>
      <c r="Y15" s="19">
        <v>132.0</v>
      </c>
      <c r="Z15" s="13">
        <f t="shared" si="1"/>
        <v>2851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266</v>
      </c>
      <c r="F16" s="13">
        <f t="shared" si="2"/>
        <v>286</v>
      </c>
      <c r="G16" s="13">
        <f t="shared" si="2"/>
        <v>255</v>
      </c>
      <c r="H16" s="13">
        <f t="shared" si="2"/>
        <v>265</v>
      </c>
      <c r="I16" s="13">
        <f t="shared" si="2"/>
        <v>271</v>
      </c>
      <c r="J16" s="13">
        <f t="shared" si="2"/>
        <v>274</v>
      </c>
      <c r="K16" s="13">
        <f t="shared" si="2"/>
        <v>242</v>
      </c>
      <c r="L16" s="13">
        <f t="shared" si="2"/>
        <v>279</v>
      </c>
      <c r="M16" s="13">
        <f t="shared" si="2"/>
        <v>284</v>
      </c>
      <c r="N16" s="13">
        <f t="shared" si="2"/>
        <v>277</v>
      </c>
      <c r="O16" s="13">
        <f t="shared" si="2"/>
        <v>252</v>
      </c>
      <c r="P16" s="13">
        <f t="shared" si="2"/>
        <v>273</v>
      </c>
      <c r="Q16" s="13">
        <f t="shared" si="2"/>
        <v>273</v>
      </c>
      <c r="R16" s="13">
        <f t="shared" si="2"/>
        <v>255</v>
      </c>
      <c r="S16" s="13">
        <f t="shared" si="2"/>
        <v>266</v>
      </c>
      <c r="T16" s="13">
        <f t="shared" si="2"/>
        <v>270</v>
      </c>
      <c r="U16" s="13">
        <f t="shared" si="2"/>
        <v>271</v>
      </c>
      <c r="V16" s="13">
        <f t="shared" si="2"/>
        <v>263</v>
      </c>
      <c r="W16" s="13">
        <f t="shared" si="2"/>
        <v>289</v>
      </c>
      <c r="X16" s="13">
        <f t="shared" si="2"/>
        <v>271</v>
      </c>
      <c r="Y16" s="13">
        <f t="shared" si="2"/>
        <v>262</v>
      </c>
      <c r="Z16" s="13">
        <f t="shared" si="1"/>
        <v>5644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19"/>
      <c r="Z17" s="65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56</v>
      </c>
      <c r="L18" s="13" t="s">
        <v>57</v>
      </c>
      <c r="M18" s="13" t="s">
        <v>58</v>
      </c>
      <c r="N18" s="13" t="s">
        <v>59</v>
      </c>
      <c r="O18" s="13" t="s">
        <v>60</v>
      </c>
      <c r="P18" s="13" t="s">
        <v>61</v>
      </c>
      <c r="Q18" s="13" t="s">
        <v>62</v>
      </c>
      <c r="R18" s="13" t="s">
        <v>63</v>
      </c>
      <c r="S18" s="13" t="s">
        <v>64</v>
      </c>
      <c r="T18" s="13" t="s">
        <v>65</v>
      </c>
      <c r="U18" s="13" t="s">
        <v>66</v>
      </c>
      <c r="V18" s="13" t="s">
        <v>67</v>
      </c>
      <c r="W18" s="13" t="s">
        <v>68</v>
      </c>
      <c r="X18" s="13" t="s">
        <v>69</v>
      </c>
      <c r="Y18" s="13" t="s">
        <v>70</v>
      </c>
      <c r="Z18" s="65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100.0</v>
      </c>
      <c r="F19" s="19">
        <v>102.0</v>
      </c>
      <c r="G19" s="19">
        <v>93.0</v>
      </c>
      <c r="H19" s="19">
        <v>110.0</v>
      </c>
      <c r="I19" s="19">
        <v>117.0</v>
      </c>
      <c r="J19" s="19">
        <v>105.0</v>
      </c>
      <c r="K19" s="19">
        <v>95.0</v>
      </c>
      <c r="L19" s="19">
        <v>115.0</v>
      </c>
      <c r="M19" s="19">
        <v>100.0</v>
      </c>
      <c r="N19" s="19">
        <v>109.0</v>
      </c>
      <c r="O19" s="19">
        <v>102.0</v>
      </c>
      <c r="P19" s="19">
        <v>107.0</v>
      </c>
      <c r="Q19" s="19">
        <v>98.0</v>
      </c>
      <c r="R19" s="19">
        <v>96.0</v>
      </c>
      <c r="S19" s="19">
        <v>102.0</v>
      </c>
      <c r="T19" s="19">
        <v>99.0</v>
      </c>
      <c r="U19" s="19">
        <v>114.0</v>
      </c>
      <c r="V19" s="19">
        <v>107.0</v>
      </c>
      <c r="W19" s="19">
        <v>112.0</v>
      </c>
      <c r="X19" s="19">
        <v>99.0</v>
      </c>
      <c r="Y19" s="19">
        <v>113.0</v>
      </c>
      <c r="Z19" s="13">
        <f t="shared" ref="Z19:Z30" si="3">SUM(E19:Y19)</f>
        <v>2195</v>
      </c>
    </row>
    <row r="20" ht="12.75" customHeight="1">
      <c r="A20" s="34"/>
      <c r="B20" s="27"/>
      <c r="C20" s="35"/>
      <c r="D20" s="19" t="s">
        <v>13</v>
      </c>
      <c r="E20" s="19">
        <v>97.0</v>
      </c>
      <c r="F20" s="19">
        <v>105.0</v>
      </c>
      <c r="G20" s="19">
        <v>112.0</v>
      </c>
      <c r="H20" s="19">
        <v>106.0</v>
      </c>
      <c r="I20" s="19">
        <v>114.0</v>
      </c>
      <c r="J20" s="19">
        <v>114.0</v>
      </c>
      <c r="K20" s="19">
        <v>104.0</v>
      </c>
      <c r="L20" s="19">
        <v>113.0</v>
      </c>
      <c r="M20" s="19">
        <v>114.0</v>
      </c>
      <c r="N20" s="19">
        <v>108.0</v>
      </c>
      <c r="O20" s="19">
        <v>111.0</v>
      </c>
      <c r="P20" s="19">
        <v>118.0</v>
      </c>
      <c r="Q20" s="19">
        <v>114.0</v>
      </c>
      <c r="R20" s="19">
        <v>105.0</v>
      </c>
      <c r="S20" s="19">
        <v>113.0</v>
      </c>
      <c r="T20" s="19">
        <v>116.0</v>
      </c>
      <c r="U20" s="19">
        <v>111.0</v>
      </c>
      <c r="V20" s="19">
        <v>117.0</v>
      </c>
      <c r="W20" s="19">
        <v>105.0</v>
      </c>
      <c r="X20" s="19">
        <v>105.0</v>
      </c>
      <c r="Y20" s="19">
        <v>102.0</v>
      </c>
      <c r="Z20" s="13">
        <f t="shared" si="3"/>
        <v>2304</v>
      </c>
    </row>
    <row r="21" ht="12.75" customHeight="1">
      <c r="A21" s="36"/>
      <c r="B21" s="28"/>
      <c r="C21" s="37"/>
      <c r="D21" s="13" t="s">
        <v>14</v>
      </c>
      <c r="E21" s="13">
        <f t="shared" ref="E21:Y21" si="4">SUM(E19:E20)</f>
        <v>197</v>
      </c>
      <c r="F21" s="13">
        <f t="shared" si="4"/>
        <v>207</v>
      </c>
      <c r="G21" s="13">
        <f t="shared" si="4"/>
        <v>205</v>
      </c>
      <c r="H21" s="13">
        <f t="shared" si="4"/>
        <v>216</v>
      </c>
      <c r="I21" s="13">
        <f t="shared" si="4"/>
        <v>231</v>
      </c>
      <c r="J21" s="13">
        <f t="shared" si="4"/>
        <v>219</v>
      </c>
      <c r="K21" s="13">
        <f t="shared" si="4"/>
        <v>199</v>
      </c>
      <c r="L21" s="13">
        <f t="shared" si="4"/>
        <v>228</v>
      </c>
      <c r="M21" s="13">
        <f t="shared" si="4"/>
        <v>214</v>
      </c>
      <c r="N21" s="13">
        <f t="shared" si="4"/>
        <v>217</v>
      </c>
      <c r="O21" s="13">
        <f t="shared" si="4"/>
        <v>213</v>
      </c>
      <c r="P21" s="13">
        <f t="shared" si="4"/>
        <v>225</v>
      </c>
      <c r="Q21" s="13">
        <f t="shared" si="4"/>
        <v>212</v>
      </c>
      <c r="R21" s="13">
        <f t="shared" si="4"/>
        <v>201</v>
      </c>
      <c r="S21" s="13">
        <f t="shared" si="4"/>
        <v>215</v>
      </c>
      <c r="T21" s="13">
        <f t="shared" si="4"/>
        <v>215</v>
      </c>
      <c r="U21" s="13">
        <f t="shared" si="4"/>
        <v>225</v>
      </c>
      <c r="V21" s="13">
        <f t="shared" si="4"/>
        <v>224</v>
      </c>
      <c r="W21" s="13">
        <f t="shared" si="4"/>
        <v>217</v>
      </c>
      <c r="X21" s="13">
        <f t="shared" si="4"/>
        <v>204</v>
      </c>
      <c r="Y21" s="13">
        <f t="shared" si="4"/>
        <v>215</v>
      </c>
      <c r="Z21" s="13">
        <f t="shared" si="3"/>
        <v>4499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3.0</v>
      </c>
      <c r="I25" s="19">
        <v>1.0</v>
      </c>
      <c r="J25" s="19">
        <v>0.0</v>
      </c>
      <c r="K25" s="19">
        <v>0.0</v>
      </c>
      <c r="L25" s="19">
        <v>2.0</v>
      </c>
      <c r="M25" s="19">
        <v>0.0</v>
      </c>
      <c r="N25" s="19">
        <v>1.0</v>
      </c>
      <c r="O25" s="19">
        <v>1.0</v>
      </c>
      <c r="P25" s="19">
        <v>1.0</v>
      </c>
      <c r="Q25" s="19">
        <v>1.0</v>
      </c>
      <c r="R25" s="19">
        <v>2.0</v>
      </c>
      <c r="S25" s="19">
        <v>0.0</v>
      </c>
      <c r="T25" s="19">
        <v>0.0</v>
      </c>
      <c r="U25" s="19">
        <v>1.0</v>
      </c>
      <c r="V25" s="19">
        <v>2.0</v>
      </c>
      <c r="W25" s="19">
        <v>1.0</v>
      </c>
      <c r="X25" s="19">
        <v>1.0</v>
      </c>
      <c r="Y25" s="19">
        <v>0.0</v>
      </c>
      <c r="Z25" s="13">
        <f t="shared" si="3"/>
        <v>19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1.0</v>
      </c>
      <c r="G26" s="19">
        <v>0.0</v>
      </c>
      <c r="H26" s="19">
        <v>2.0</v>
      </c>
      <c r="I26" s="19">
        <v>1.0</v>
      </c>
      <c r="J26" s="19">
        <v>0.0</v>
      </c>
      <c r="K26" s="19">
        <v>0.0</v>
      </c>
      <c r="L26" s="19">
        <v>1.0</v>
      </c>
      <c r="M26" s="19">
        <v>0.0</v>
      </c>
      <c r="N26" s="19">
        <v>3.0</v>
      </c>
      <c r="O26" s="19">
        <v>0.0</v>
      </c>
      <c r="P26" s="19">
        <v>5.0</v>
      </c>
      <c r="Q26" s="19">
        <v>0.0</v>
      </c>
      <c r="R26" s="19">
        <v>2.0</v>
      </c>
      <c r="S26" s="19">
        <v>0.0</v>
      </c>
      <c r="T26" s="19">
        <v>2.0</v>
      </c>
      <c r="U26" s="19">
        <v>0.0</v>
      </c>
      <c r="V26" s="19">
        <v>3.0</v>
      </c>
      <c r="W26" s="19">
        <v>0.0</v>
      </c>
      <c r="X26" s="19">
        <v>0.0</v>
      </c>
      <c r="Y26" s="19">
        <v>1.0</v>
      </c>
      <c r="Z26" s="13">
        <f t="shared" si="3"/>
        <v>21</v>
      </c>
    </row>
    <row r="27" ht="12.75" customHeight="1">
      <c r="A27" s="36"/>
      <c r="B27" s="28"/>
      <c r="C27" s="37"/>
      <c r="D27" s="13" t="s">
        <v>14</v>
      </c>
      <c r="E27" s="13">
        <f t="shared" ref="E27:Y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3</v>
      </c>
      <c r="M27" s="13">
        <f t="shared" si="6"/>
        <v>0</v>
      </c>
      <c r="N27" s="13">
        <f t="shared" si="6"/>
        <v>4</v>
      </c>
      <c r="O27" s="13">
        <f t="shared" si="6"/>
        <v>1</v>
      </c>
      <c r="P27" s="13">
        <f t="shared" si="6"/>
        <v>6</v>
      </c>
      <c r="Q27" s="13">
        <f t="shared" si="6"/>
        <v>1</v>
      </c>
      <c r="R27" s="13">
        <f t="shared" si="6"/>
        <v>4</v>
      </c>
      <c r="S27" s="13">
        <f t="shared" si="6"/>
        <v>0</v>
      </c>
      <c r="T27" s="13">
        <f t="shared" si="6"/>
        <v>2</v>
      </c>
      <c r="U27" s="13">
        <f t="shared" si="6"/>
        <v>1</v>
      </c>
      <c r="V27" s="13">
        <f t="shared" si="6"/>
        <v>5</v>
      </c>
      <c r="W27" s="13">
        <f t="shared" si="6"/>
        <v>1</v>
      </c>
      <c r="X27" s="13">
        <f t="shared" si="6"/>
        <v>1</v>
      </c>
      <c r="Y27" s="13">
        <f t="shared" si="6"/>
        <v>1</v>
      </c>
      <c r="Z27" s="13">
        <f t="shared" si="3"/>
        <v>40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Y28" si="7">SUM(E19,E22,E25)</f>
        <v>100</v>
      </c>
      <c r="F28" s="13">
        <f t="shared" si="7"/>
        <v>104</v>
      </c>
      <c r="G28" s="13">
        <f t="shared" si="7"/>
        <v>93</v>
      </c>
      <c r="H28" s="13">
        <f t="shared" si="7"/>
        <v>113</v>
      </c>
      <c r="I28" s="13">
        <f t="shared" si="7"/>
        <v>118</v>
      </c>
      <c r="J28" s="13">
        <f t="shared" si="7"/>
        <v>105</v>
      </c>
      <c r="K28" s="13">
        <f t="shared" si="7"/>
        <v>95</v>
      </c>
      <c r="L28" s="13">
        <f t="shared" si="7"/>
        <v>117</v>
      </c>
      <c r="M28" s="13">
        <f t="shared" si="7"/>
        <v>100</v>
      </c>
      <c r="N28" s="13">
        <f t="shared" si="7"/>
        <v>110</v>
      </c>
      <c r="O28" s="13">
        <f t="shared" si="7"/>
        <v>103</v>
      </c>
      <c r="P28" s="13">
        <f t="shared" si="7"/>
        <v>108</v>
      </c>
      <c r="Q28" s="13">
        <f t="shared" si="7"/>
        <v>99</v>
      </c>
      <c r="R28" s="13">
        <f t="shared" si="7"/>
        <v>98</v>
      </c>
      <c r="S28" s="13">
        <f t="shared" si="7"/>
        <v>102</v>
      </c>
      <c r="T28" s="13">
        <f t="shared" si="7"/>
        <v>99</v>
      </c>
      <c r="U28" s="13">
        <f t="shared" si="7"/>
        <v>115</v>
      </c>
      <c r="V28" s="13">
        <f t="shared" si="7"/>
        <v>109</v>
      </c>
      <c r="W28" s="13">
        <f t="shared" si="7"/>
        <v>113</v>
      </c>
      <c r="X28" s="13">
        <f t="shared" si="7"/>
        <v>100</v>
      </c>
      <c r="Y28" s="13">
        <f t="shared" si="7"/>
        <v>113</v>
      </c>
      <c r="Z28" s="13">
        <f t="shared" si="3"/>
        <v>2214</v>
      </c>
    </row>
    <row r="29" ht="12.75" customHeight="1">
      <c r="A29" s="36"/>
      <c r="B29" s="27"/>
      <c r="C29" s="35"/>
      <c r="D29" s="13" t="s">
        <v>13</v>
      </c>
      <c r="E29" s="13">
        <f t="shared" ref="E29:Y29" si="8">SUM(E20,E23,E26)</f>
        <v>97</v>
      </c>
      <c r="F29" s="13">
        <f t="shared" si="8"/>
        <v>106</v>
      </c>
      <c r="G29" s="13">
        <f t="shared" si="8"/>
        <v>112</v>
      </c>
      <c r="H29" s="13">
        <f t="shared" si="8"/>
        <v>108</v>
      </c>
      <c r="I29" s="13">
        <f t="shared" si="8"/>
        <v>115</v>
      </c>
      <c r="J29" s="13">
        <f t="shared" si="8"/>
        <v>114</v>
      </c>
      <c r="K29" s="13">
        <f t="shared" si="8"/>
        <v>104</v>
      </c>
      <c r="L29" s="13">
        <f t="shared" si="8"/>
        <v>114</v>
      </c>
      <c r="M29" s="13">
        <f t="shared" si="8"/>
        <v>114</v>
      </c>
      <c r="N29" s="13">
        <f t="shared" si="8"/>
        <v>111</v>
      </c>
      <c r="O29" s="13">
        <f t="shared" si="8"/>
        <v>111</v>
      </c>
      <c r="P29" s="13">
        <f t="shared" si="8"/>
        <v>124</v>
      </c>
      <c r="Q29" s="13">
        <f t="shared" si="8"/>
        <v>114</v>
      </c>
      <c r="R29" s="13">
        <f t="shared" si="8"/>
        <v>107</v>
      </c>
      <c r="S29" s="13">
        <f t="shared" si="8"/>
        <v>113</v>
      </c>
      <c r="T29" s="13">
        <f t="shared" si="8"/>
        <v>118</v>
      </c>
      <c r="U29" s="13">
        <f t="shared" si="8"/>
        <v>111</v>
      </c>
      <c r="V29" s="13">
        <f t="shared" si="8"/>
        <v>120</v>
      </c>
      <c r="W29" s="13">
        <f t="shared" si="8"/>
        <v>105</v>
      </c>
      <c r="X29" s="13">
        <f t="shared" si="8"/>
        <v>105</v>
      </c>
      <c r="Y29" s="13">
        <f t="shared" si="8"/>
        <v>103</v>
      </c>
      <c r="Z29" s="13">
        <f t="shared" si="3"/>
        <v>2326</v>
      </c>
    </row>
    <row r="30" ht="12.75" customHeight="1">
      <c r="A30" s="36"/>
      <c r="B30" s="28"/>
      <c r="C30" s="37"/>
      <c r="D30" s="13" t="s">
        <v>14</v>
      </c>
      <c r="E30" s="13">
        <f t="shared" ref="E30:Y30" si="9">SUM(E28:E29)</f>
        <v>197</v>
      </c>
      <c r="F30" s="13">
        <f t="shared" si="9"/>
        <v>210</v>
      </c>
      <c r="G30" s="13">
        <f t="shared" si="9"/>
        <v>205</v>
      </c>
      <c r="H30" s="13">
        <f t="shared" si="9"/>
        <v>221</v>
      </c>
      <c r="I30" s="13">
        <f t="shared" si="9"/>
        <v>233</v>
      </c>
      <c r="J30" s="13">
        <f t="shared" si="9"/>
        <v>219</v>
      </c>
      <c r="K30" s="13">
        <f t="shared" si="9"/>
        <v>199</v>
      </c>
      <c r="L30" s="13">
        <f t="shared" si="9"/>
        <v>231</v>
      </c>
      <c r="M30" s="13">
        <f t="shared" si="9"/>
        <v>214</v>
      </c>
      <c r="N30" s="13">
        <f t="shared" si="9"/>
        <v>221</v>
      </c>
      <c r="O30" s="13">
        <f t="shared" si="9"/>
        <v>214</v>
      </c>
      <c r="P30" s="13">
        <f t="shared" si="9"/>
        <v>232</v>
      </c>
      <c r="Q30" s="13">
        <f t="shared" si="9"/>
        <v>213</v>
      </c>
      <c r="R30" s="13">
        <f t="shared" si="9"/>
        <v>205</v>
      </c>
      <c r="S30" s="13">
        <f t="shared" si="9"/>
        <v>215</v>
      </c>
      <c r="T30" s="13">
        <f t="shared" si="9"/>
        <v>217</v>
      </c>
      <c r="U30" s="13">
        <f t="shared" si="9"/>
        <v>226</v>
      </c>
      <c r="V30" s="13">
        <f t="shared" si="9"/>
        <v>229</v>
      </c>
      <c r="W30" s="13">
        <f t="shared" si="9"/>
        <v>218</v>
      </c>
      <c r="X30" s="13">
        <f t="shared" si="9"/>
        <v>205</v>
      </c>
      <c r="Y30" s="13">
        <f t="shared" si="9"/>
        <v>216</v>
      </c>
      <c r="Z30" s="13">
        <f t="shared" si="3"/>
        <v>4540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19"/>
      <c r="Z31" s="65"/>
    </row>
    <row r="32" ht="12.75" customHeight="1">
      <c r="A32" s="44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56</v>
      </c>
      <c r="L32" s="13" t="s">
        <v>57</v>
      </c>
      <c r="M32" s="13" t="s">
        <v>58</v>
      </c>
      <c r="N32" s="13" t="s">
        <v>59</v>
      </c>
      <c r="O32" s="13" t="s">
        <v>60</v>
      </c>
      <c r="P32" s="13" t="s">
        <v>61</v>
      </c>
      <c r="Q32" s="13" t="s">
        <v>62</v>
      </c>
      <c r="R32" s="13" t="s">
        <v>63</v>
      </c>
      <c r="S32" s="13" t="s">
        <v>64</v>
      </c>
      <c r="T32" s="13" t="s">
        <v>65</v>
      </c>
      <c r="U32" s="13" t="s">
        <v>66</v>
      </c>
      <c r="V32" s="13" t="s">
        <v>67</v>
      </c>
      <c r="W32" s="13" t="s">
        <v>68</v>
      </c>
      <c r="X32" s="13" t="s">
        <v>69</v>
      </c>
      <c r="Y32" s="13" t="s">
        <v>70</v>
      </c>
      <c r="Z32" s="65"/>
    </row>
    <row r="33" ht="12.75" customHeight="1">
      <c r="A33" s="19">
        <v>1.0</v>
      </c>
      <c r="B33" s="20" t="s">
        <v>27</v>
      </c>
      <c r="C33" s="15"/>
      <c r="D33" s="16"/>
      <c r="E33" s="19">
        <v>272.0</v>
      </c>
      <c r="F33" s="19">
        <v>292.0</v>
      </c>
      <c r="G33" s="19">
        <v>261.0</v>
      </c>
      <c r="H33" s="19">
        <v>271.0</v>
      </c>
      <c r="I33" s="19">
        <v>253.0</v>
      </c>
      <c r="J33" s="19">
        <v>280.0</v>
      </c>
      <c r="K33" s="19">
        <v>248.0</v>
      </c>
      <c r="L33" s="19">
        <v>284.0</v>
      </c>
      <c r="M33" s="19">
        <v>290.0</v>
      </c>
      <c r="N33" s="19">
        <v>284.0</v>
      </c>
      <c r="O33" s="19">
        <v>237.0</v>
      </c>
      <c r="P33" s="19">
        <v>279.0</v>
      </c>
      <c r="Q33" s="19">
        <v>280.0</v>
      </c>
      <c r="R33" s="19">
        <v>261.0</v>
      </c>
      <c r="S33" s="19">
        <v>272.0</v>
      </c>
      <c r="T33" s="19">
        <v>276.0</v>
      </c>
      <c r="U33" s="19">
        <v>280.0</v>
      </c>
      <c r="V33" s="19">
        <v>270.0</v>
      </c>
      <c r="W33" s="19">
        <v>296.0</v>
      </c>
      <c r="X33" s="19">
        <v>283.0</v>
      </c>
      <c r="Y33" s="19">
        <v>268.0</v>
      </c>
      <c r="Z33" s="13">
        <f t="shared" ref="Z33:Z36" si="10">SUM(E33:Y33)</f>
        <v>5737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210.0</v>
      </c>
      <c r="G34" s="13">
        <v>205.0</v>
      </c>
      <c r="H34" s="13">
        <v>221.0</v>
      </c>
      <c r="I34" s="13">
        <v>233.0</v>
      </c>
      <c r="J34" s="13">
        <v>219.0</v>
      </c>
      <c r="K34" s="13">
        <v>199.0</v>
      </c>
      <c r="L34" s="13">
        <v>231.0</v>
      </c>
      <c r="M34" s="13">
        <v>214.0</v>
      </c>
      <c r="N34" s="13">
        <v>221.0</v>
      </c>
      <c r="O34" s="13">
        <v>214.0</v>
      </c>
      <c r="P34" s="13">
        <v>232.0</v>
      </c>
      <c r="Q34" s="13">
        <v>213.0</v>
      </c>
      <c r="R34" s="13">
        <v>205.0</v>
      </c>
      <c r="S34" s="13">
        <v>215.0</v>
      </c>
      <c r="T34" s="13">
        <v>217.0</v>
      </c>
      <c r="U34" s="13">
        <v>226.0</v>
      </c>
      <c r="V34" s="13">
        <v>229.0</v>
      </c>
      <c r="W34" s="13">
        <v>218.0</v>
      </c>
      <c r="X34" s="13">
        <v>205.0</v>
      </c>
      <c r="Y34" s="13">
        <v>216.0</v>
      </c>
      <c r="Z34" s="13">
        <f t="shared" si="10"/>
        <v>4540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2.0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75</v>
      </c>
      <c r="F36" s="13">
        <f t="shared" si="11"/>
        <v>82</v>
      </c>
      <c r="G36" s="13">
        <f t="shared" si="11"/>
        <v>56</v>
      </c>
      <c r="H36" s="13">
        <f t="shared" si="11"/>
        <v>50</v>
      </c>
      <c r="I36" s="13">
        <f t="shared" si="11"/>
        <v>20</v>
      </c>
      <c r="J36" s="13">
        <f t="shared" si="11"/>
        <v>61</v>
      </c>
      <c r="K36" s="13">
        <f t="shared" si="11"/>
        <v>49</v>
      </c>
      <c r="L36" s="13">
        <f t="shared" si="11"/>
        <v>53</v>
      </c>
      <c r="M36" s="13">
        <f t="shared" si="11"/>
        <v>76</v>
      </c>
      <c r="N36" s="13">
        <f t="shared" si="11"/>
        <v>61</v>
      </c>
      <c r="O36" s="13">
        <f t="shared" si="11"/>
        <v>23</v>
      </c>
      <c r="P36" s="13">
        <f t="shared" si="11"/>
        <v>47</v>
      </c>
      <c r="Q36" s="13">
        <f t="shared" si="11"/>
        <v>67</v>
      </c>
      <c r="R36" s="13">
        <f t="shared" si="11"/>
        <v>56</v>
      </c>
      <c r="S36" s="13">
        <f t="shared" si="11"/>
        <v>57</v>
      </c>
      <c r="T36" s="13">
        <f t="shared" si="11"/>
        <v>59</v>
      </c>
      <c r="U36" s="13">
        <f t="shared" si="11"/>
        <v>54</v>
      </c>
      <c r="V36" s="13">
        <f t="shared" si="11"/>
        <v>41</v>
      </c>
      <c r="W36" s="13">
        <f t="shared" si="11"/>
        <v>78</v>
      </c>
      <c r="X36" s="13">
        <f t="shared" si="11"/>
        <v>78</v>
      </c>
      <c r="Y36" s="13">
        <f t="shared" si="11"/>
        <v>52</v>
      </c>
      <c r="Z36" s="13">
        <f t="shared" si="10"/>
        <v>1195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19"/>
      <c r="Z37" s="65"/>
    </row>
    <row r="38" ht="12.75" customHeight="1">
      <c r="A38" s="46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56</v>
      </c>
      <c r="L38" s="13" t="s">
        <v>57</v>
      </c>
      <c r="M38" s="13" t="s">
        <v>58</v>
      </c>
      <c r="N38" s="13" t="s">
        <v>59</v>
      </c>
      <c r="O38" s="13" t="s">
        <v>60</v>
      </c>
      <c r="P38" s="13" t="s">
        <v>61</v>
      </c>
      <c r="Q38" s="13" t="s">
        <v>62</v>
      </c>
      <c r="R38" s="13" t="s">
        <v>63</v>
      </c>
      <c r="S38" s="13" t="s">
        <v>64</v>
      </c>
      <c r="T38" s="13" t="s">
        <v>65</v>
      </c>
      <c r="U38" s="13" t="s">
        <v>66</v>
      </c>
      <c r="V38" s="13" t="s">
        <v>67</v>
      </c>
      <c r="W38" s="13" t="s">
        <v>68</v>
      </c>
      <c r="X38" s="13" t="s">
        <v>69</v>
      </c>
      <c r="Y38" s="13" t="s">
        <v>70</v>
      </c>
      <c r="Z38" s="65"/>
    </row>
    <row r="39" ht="12.75" customHeight="1">
      <c r="A39" s="31"/>
      <c r="B39" s="47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2.0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3">
        <f t="shared" ref="Z39:Z41" si="12">SUM(E39:Y39)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3">
        <f t="shared" si="12"/>
        <v>0</v>
      </c>
    </row>
    <row r="41" ht="12.75" customHeight="1">
      <c r="A41" s="44"/>
      <c r="B41" s="48"/>
      <c r="C41" s="28"/>
      <c r="D41" s="13" t="s">
        <v>14</v>
      </c>
      <c r="E41" s="13">
        <f t="shared" ref="E41:Y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2"/>
        <v>4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9"/>
      <c r="Z42" s="13"/>
    </row>
    <row r="43" ht="12.75" customHeight="1">
      <c r="A43" s="46" t="s">
        <v>34</v>
      </c>
      <c r="B43" s="14" t="s">
        <v>35</v>
      </c>
      <c r="C43" s="15"/>
      <c r="D43" s="16"/>
      <c r="E43" s="13" t="s">
        <v>50</v>
      </c>
      <c r="F43" s="13" t="s">
        <v>51</v>
      </c>
      <c r="G43" s="13" t="s">
        <v>52</v>
      </c>
      <c r="H43" s="13" t="s">
        <v>53</v>
      </c>
      <c r="I43" s="13" t="s">
        <v>54</v>
      </c>
      <c r="J43" s="13" t="s">
        <v>55</v>
      </c>
      <c r="K43" s="13" t="s">
        <v>56</v>
      </c>
      <c r="L43" s="13" t="s">
        <v>57</v>
      </c>
      <c r="M43" s="13" t="s">
        <v>58</v>
      </c>
      <c r="N43" s="13" t="s">
        <v>59</v>
      </c>
      <c r="O43" s="13" t="s">
        <v>60</v>
      </c>
      <c r="P43" s="13" t="s">
        <v>61</v>
      </c>
      <c r="Q43" s="13" t="s">
        <v>62</v>
      </c>
      <c r="R43" s="13" t="s">
        <v>63</v>
      </c>
      <c r="S43" s="13" t="s">
        <v>64</v>
      </c>
      <c r="T43" s="13" t="s">
        <v>65</v>
      </c>
      <c r="U43" s="13" t="s">
        <v>66</v>
      </c>
      <c r="V43" s="13" t="s">
        <v>67</v>
      </c>
      <c r="W43" s="13" t="s">
        <v>68</v>
      </c>
      <c r="X43" s="13" t="s">
        <v>69</v>
      </c>
      <c r="Y43" s="13" t="s">
        <v>70</v>
      </c>
      <c r="Z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64"/>
      <c r="Y44" s="19"/>
      <c r="Z44" s="13"/>
    </row>
    <row r="45" ht="12.75" customHeight="1">
      <c r="A45" s="67"/>
      <c r="B45" s="51">
        <v>1.0</v>
      </c>
      <c r="C45" s="52" t="s">
        <v>37</v>
      </c>
      <c r="D45" s="16"/>
      <c r="E45" s="19">
        <v>5.0</v>
      </c>
      <c r="F45" s="19">
        <v>6.0</v>
      </c>
      <c r="G45" s="19">
        <v>17.0</v>
      </c>
      <c r="H45" s="19">
        <v>15.0</v>
      </c>
      <c r="I45" s="19">
        <v>11.0</v>
      </c>
      <c r="J45" s="19">
        <v>11.0</v>
      </c>
      <c r="K45" s="19">
        <v>11.0</v>
      </c>
      <c r="L45" s="19">
        <v>13.0</v>
      </c>
      <c r="M45" s="19">
        <v>19.0</v>
      </c>
      <c r="N45" s="19">
        <v>11.0</v>
      </c>
      <c r="O45" s="19">
        <v>6.0</v>
      </c>
      <c r="P45" s="19">
        <v>19.0</v>
      </c>
      <c r="Q45" s="19">
        <v>6.0</v>
      </c>
      <c r="R45" s="19">
        <v>3.0</v>
      </c>
      <c r="S45" s="19">
        <v>7.0</v>
      </c>
      <c r="T45" s="19">
        <v>17.0</v>
      </c>
      <c r="U45" s="19">
        <v>21.0</v>
      </c>
      <c r="V45" s="19">
        <v>19.0</v>
      </c>
      <c r="W45" s="19">
        <v>12.0</v>
      </c>
      <c r="X45" s="19">
        <v>8.0</v>
      </c>
      <c r="Y45" s="19">
        <v>9.0</v>
      </c>
      <c r="Z45" s="13">
        <f t="shared" ref="Z45:Z47" si="14">SUM(E45:Y45)</f>
        <v>246</v>
      </c>
    </row>
    <row r="46" ht="12.75" customHeight="1">
      <c r="A46" s="18"/>
      <c r="B46" s="51">
        <v>2.0</v>
      </c>
      <c r="C46" s="52" t="s">
        <v>38</v>
      </c>
      <c r="D46" s="16"/>
      <c r="E46" s="19">
        <v>132.0</v>
      </c>
      <c r="F46" s="19">
        <v>165.0</v>
      </c>
      <c r="G46" s="19">
        <v>146.0</v>
      </c>
      <c r="H46" s="19">
        <v>149.0</v>
      </c>
      <c r="I46" s="19">
        <v>172.0</v>
      </c>
      <c r="J46" s="19">
        <v>166.0</v>
      </c>
      <c r="K46" s="19">
        <v>160.0</v>
      </c>
      <c r="L46" s="19">
        <v>182.0</v>
      </c>
      <c r="M46" s="19">
        <v>151.0</v>
      </c>
      <c r="N46" s="19">
        <v>164.0</v>
      </c>
      <c r="O46" s="19">
        <v>166.0</v>
      </c>
      <c r="P46" s="19">
        <v>166.0</v>
      </c>
      <c r="Q46" s="19">
        <v>153.0</v>
      </c>
      <c r="R46" s="19">
        <v>136.0</v>
      </c>
      <c r="S46" s="19">
        <v>142.0</v>
      </c>
      <c r="T46" s="19">
        <v>153.0</v>
      </c>
      <c r="U46" s="19">
        <v>163.0</v>
      </c>
      <c r="V46" s="19">
        <v>165.0</v>
      </c>
      <c r="W46" s="19">
        <v>145.0</v>
      </c>
      <c r="X46" s="19">
        <v>122.0</v>
      </c>
      <c r="Y46" s="19">
        <v>163.0</v>
      </c>
      <c r="Z46" s="13">
        <f t="shared" si="14"/>
        <v>3261</v>
      </c>
    </row>
    <row r="47" ht="12.75" customHeight="1">
      <c r="A47" s="49"/>
      <c r="B47" s="51">
        <v>3.0</v>
      </c>
      <c r="C47" s="52" t="s">
        <v>39</v>
      </c>
      <c r="D47" s="16"/>
      <c r="E47" s="19">
        <v>54.0</v>
      </c>
      <c r="F47" s="19">
        <v>33.0</v>
      </c>
      <c r="G47" s="19">
        <v>36.0</v>
      </c>
      <c r="H47" s="19">
        <v>54.0</v>
      </c>
      <c r="I47" s="19">
        <v>48.0</v>
      </c>
      <c r="J47" s="19">
        <v>40.0</v>
      </c>
      <c r="K47" s="19">
        <v>25.0</v>
      </c>
      <c r="L47" s="19">
        <v>30.0</v>
      </c>
      <c r="M47" s="19">
        <v>41.0</v>
      </c>
      <c r="N47" s="19">
        <v>42.0</v>
      </c>
      <c r="O47" s="19">
        <v>36.0</v>
      </c>
      <c r="P47" s="19">
        <v>45.0</v>
      </c>
      <c r="Q47" s="19">
        <v>51.0</v>
      </c>
      <c r="R47" s="19">
        <v>62.0</v>
      </c>
      <c r="S47" s="19">
        <v>64.0</v>
      </c>
      <c r="T47" s="19">
        <v>42.0</v>
      </c>
      <c r="U47" s="19">
        <v>39.0</v>
      </c>
      <c r="V47" s="19">
        <v>42.0</v>
      </c>
      <c r="W47" s="19">
        <v>57.0</v>
      </c>
      <c r="X47" s="19">
        <v>69.0</v>
      </c>
      <c r="Y47" s="19">
        <v>42.0</v>
      </c>
      <c r="Z47" s="13">
        <f t="shared" si="14"/>
        <v>952</v>
      </c>
    </row>
    <row r="48" ht="12.75" customHeight="1">
      <c r="Z48" s="13"/>
    </row>
    <row r="49" ht="12.75" customHeight="1">
      <c r="A49" s="46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56</v>
      </c>
      <c r="L49" s="13" t="s">
        <v>57</v>
      </c>
      <c r="M49" s="13" t="s">
        <v>58</v>
      </c>
      <c r="N49" s="13" t="s">
        <v>59</v>
      </c>
      <c r="O49" s="13" t="s">
        <v>60</v>
      </c>
      <c r="P49" s="13" t="s">
        <v>61</v>
      </c>
      <c r="Q49" s="13" t="s">
        <v>62</v>
      </c>
      <c r="R49" s="13" t="s">
        <v>63</v>
      </c>
      <c r="S49" s="13" t="s">
        <v>64</v>
      </c>
      <c r="T49" s="13" t="s">
        <v>65</v>
      </c>
      <c r="U49" s="13" t="s">
        <v>66</v>
      </c>
      <c r="V49" s="13" t="s">
        <v>67</v>
      </c>
      <c r="W49" s="13" t="s">
        <v>68</v>
      </c>
      <c r="X49" s="13" t="s">
        <v>69</v>
      </c>
      <c r="Y49" s="13" t="s">
        <v>70</v>
      </c>
      <c r="Z49" s="13"/>
    </row>
    <row r="50" ht="12.75" customHeight="1">
      <c r="A50" s="46"/>
      <c r="B50" s="58" t="s">
        <v>42</v>
      </c>
      <c r="C50" s="59" t="s">
        <v>43</v>
      </c>
      <c r="D50" s="16"/>
      <c r="E50" s="19">
        <f t="shared" ref="E50:Y50" si="15">SUM(E45:E47)</f>
        <v>191</v>
      </c>
      <c r="F50" s="19">
        <f t="shared" si="15"/>
        <v>204</v>
      </c>
      <c r="G50" s="19">
        <f t="shared" si="15"/>
        <v>199</v>
      </c>
      <c r="H50" s="19">
        <f t="shared" si="15"/>
        <v>218</v>
      </c>
      <c r="I50" s="19">
        <f t="shared" si="15"/>
        <v>231</v>
      </c>
      <c r="J50" s="19">
        <f t="shared" si="15"/>
        <v>217</v>
      </c>
      <c r="K50" s="19">
        <f t="shared" si="15"/>
        <v>196</v>
      </c>
      <c r="L50" s="19">
        <f t="shared" si="15"/>
        <v>225</v>
      </c>
      <c r="M50" s="19">
        <f t="shared" si="15"/>
        <v>211</v>
      </c>
      <c r="N50" s="19">
        <f t="shared" si="15"/>
        <v>217</v>
      </c>
      <c r="O50" s="19">
        <f t="shared" si="15"/>
        <v>208</v>
      </c>
      <c r="P50" s="19">
        <f t="shared" si="15"/>
        <v>230</v>
      </c>
      <c r="Q50" s="19">
        <f t="shared" si="15"/>
        <v>210</v>
      </c>
      <c r="R50" s="19">
        <f t="shared" si="15"/>
        <v>201</v>
      </c>
      <c r="S50" s="19">
        <f t="shared" si="15"/>
        <v>213</v>
      </c>
      <c r="T50" s="19">
        <f t="shared" si="15"/>
        <v>212</v>
      </c>
      <c r="U50" s="19">
        <f t="shared" si="15"/>
        <v>223</v>
      </c>
      <c r="V50" s="19">
        <f t="shared" si="15"/>
        <v>226</v>
      </c>
      <c r="W50" s="19">
        <f t="shared" si="15"/>
        <v>214</v>
      </c>
      <c r="X50" s="19">
        <f t="shared" si="15"/>
        <v>199</v>
      </c>
      <c r="Y50" s="19">
        <f t="shared" si="15"/>
        <v>214</v>
      </c>
      <c r="Z50" s="13">
        <f t="shared" ref="Z50:Z52" si="16">SUM(E50:Y50)</f>
        <v>4459</v>
      </c>
    </row>
    <row r="51" ht="12.75" customHeight="1">
      <c r="A51" s="36"/>
      <c r="B51" s="58" t="s">
        <v>44</v>
      </c>
      <c r="C51" s="59" t="s">
        <v>45</v>
      </c>
      <c r="D51" s="16"/>
      <c r="E51" s="19">
        <v>6.0</v>
      </c>
      <c r="F51" s="19">
        <v>6.0</v>
      </c>
      <c r="G51" s="19">
        <v>6.0</v>
      </c>
      <c r="H51" s="19">
        <v>3.0</v>
      </c>
      <c r="I51" s="19">
        <v>2.0</v>
      </c>
      <c r="J51" s="19">
        <v>2.0</v>
      </c>
      <c r="K51" s="19">
        <v>3.0</v>
      </c>
      <c r="L51" s="19">
        <v>6.0</v>
      </c>
      <c r="M51" s="19">
        <v>3.0</v>
      </c>
      <c r="N51" s="19">
        <v>4.0</v>
      </c>
      <c r="O51" s="19">
        <v>6.0</v>
      </c>
      <c r="P51" s="19">
        <v>2.0</v>
      </c>
      <c r="Q51" s="19">
        <v>3.0</v>
      </c>
      <c r="R51" s="19">
        <v>4.0</v>
      </c>
      <c r="S51" s="19">
        <v>2.0</v>
      </c>
      <c r="T51" s="19">
        <v>5.0</v>
      </c>
      <c r="U51" s="19">
        <v>3.0</v>
      </c>
      <c r="V51" s="19">
        <v>3.0</v>
      </c>
      <c r="W51" s="19">
        <v>4.0</v>
      </c>
      <c r="X51" s="19">
        <v>6.0</v>
      </c>
      <c r="Y51" s="19">
        <v>2.0</v>
      </c>
      <c r="Z51" s="13">
        <f t="shared" si="16"/>
        <v>81</v>
      </c>
    </row>
    <row r="52" ht="12.75" customHeight="1">
      <c r="A52" s="44"/>
      <c r="B52" s="58" t="s">
        <v>46</v>
      </c>
      <c r="C52" s="59" t="s">
        <v>47</v>
      </c>
      <c r="D52" s="16"/>
      <c r="E52" s="13">
        <f t="shared" ref="E52:Y52" si="17">SUM(E50:E51)</f>
        <v>197</v>
      </c>
      <c r="F52" s="13">
        <f t="shared" si="17"/>
        <v>210</v>
      </c>
      <c r="G52" s="13">
        <f t="shared" si="17"/>
        <v>205</v>
      </c>
      <c r="H52" s="13">
        <f t="shared" si="17"/>
        <v>221</v>
      </c>
      <c r="I52" s="13">
        <f t="shared" si="17"/>
        <v>233</v>
      </c>
      <c r="J52" s="13">
        <f t="shared" si="17"/>
        <v>219</v>
      </c>
      <c r="K52" s="13">
        <f t="shared" si="17"/>
        <v>199</v>
      </c>
      <c r="L52" s="13">
        <f t="shared" si="17"/>
        <v>231</v>
      </c>
      <c r="M52" s="13">
        <f t="shared" si="17"/>
        <v>214</v>
      </c>
      <c r="N52" s="13">
        <f t="shared" si="17"/>
        <v>221</v>
      </c>
      <c r="O52" s="13">
        <f t="shared" si="17"/>
        <v>214</v>
      </c>
      <c r="P52" s="13">
        <f t="shared" si="17"/>
        <v>232</v>
      </c>
      <c r="Q52" s="13">
        <f t="shared" si="17"/>
        <v>213</v>
      </c>
      <c r="R52" s="13">
        <f t="shared" si="17"/>
        <v>205</v>
      </c>
      <c r="S52" s="13">
        <f t="shared" si="17"/>
        <v>215</v>
      </c>
      <c r="T52" s="13">
        <f t="shared" si="17"/>
        <v>217</v>
      </c>
      <c r="U52" s="13">
        <f t="shared" si="17"/>
        <v>226</v>
      </c>
      <c r="V52" s="13">
        <f t="shared" si="17"/>
        <v>229</v>
      </c>
      <c r="W52" s="13">
        <f t="shared" si="17"/>
        <v>218</v>
      </c>
      <c r="X52" s="13">
        <f t="shared" si="17"/>
        <v>205</v>
      </c>
      <c r="Y52" s="13">
        <f t="shared" si="17"/>
        <v>216</v>
      </c>
      <c r="Z52" s="13">
        <f t="shared" si="16"/>
        <v>4540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>
      <c r="AA134" s="5"/>
      <c r="AB134" s="5"/>
    </row>
    <row r="135" ht="12.75" customHeight="1">
      <c r="AA135" s="5"/>
      <c r="AB135" s="5"/>
    </row>
    <row r="136" ht="12.75" customHeight="1">
      <c r="AA136" s="5"/>
      <c r="AB136" s="5"/>
    </row>
    <row r="137" ht="12.75" customHeight="1">
      <c r="AA137" s="5"/>
      <c r="AB137" s="5"/>
    </row>
    <row r="138" ht="12.75" customHeight="1">
      <c r="AA138" s="5"/>
      <c r="AB138" s="5"/>
    </row>
    <row r="139" ht="12.75" customHeight="1">
      <c r="AA139" s="5"/>
      <c r="AB139" s="5"/>
    </row>
    <row r="140" ht="12.75" customHeight="1">
      <c r="AA140" s="5"/>
      <c r="AB140" s="5"/>
    </row>
    <row r="141" ht="12.75" customHeight="1">
      <c r="AA141" s="1"/>
      <c r="AB141" s="1"/>
    </row>
    <row r="142" ht="12.75" customHeight="1">
      <c r="AA142" s="54"/>
      <c r="AB142" s="54"/>
    </row>
    <row r="143" ht="12.75" customHeight="1">
      <c r="AA143" s="5"/>
      <c r="AB143" s="5"/>
    </row>
    <row r="144" ht="12.75" customHeight="1">
      <c r="AA144" s="5"/>
      <c r="AB144" s="5"/>
    </row>
    <row r="145" ht="12.75" customHeight="1">
      <c r="AA145" s="5"/>
      <c r="AB145" s="5"/>
    </row>
    <row r="146" ht="12.75" customHeight="1">
      <c r="AA146" s="5"/>
      <c r="AB146" s="5"/>
    </row>
    <row r="147" ht="12.75" customHeight="1">
      <c r="AA147" s="5"/>
      <c r="AB147" s="5"/>
    </row>
    <row r="148" ht="12.75" customHeight="1">
      <c r="AA148" s="5"/>
      <c r="AB148" s="5"/>
    </row>
    <row r="149" ht="12.75" customHeight="1">
      <c r="AA149" s="5"/>
      <c r="AB149" s="5"/>
    </row>
    <row r="150" ht="12.75" customHeight="1">
      <c r="AA150" s="5"/>
      <c r="AB150" s="5"/>
    </row>
    <row r="151" ht="12.75" customHeight="1">
      <c r="AA151" s="1"/>
      <c r="AB151" s="1"/>
    </row>
    <row r="152" ht="12.75" customHeight="1">
      <c r="AA152" s="54"/>
      <c r="AB152" s="54"/>
    </row>
    <row r="153" ht="12.75" customHeight="1">
      <c r="AA153" s="5"/>
      <c r="AB153" s="5"/>
    </row>
    <row r="154" ht="12.75" customHeight="1">
      <c r="AA154" s="5"/>
      <c r="AB154" s="5"/>
    </row>
    <row r="155" ht="12.75" customHeight="1">
      <c r="AA155" s="5"/>
      <c r="AB155" s="5"/>
    </row>
    <row r="156" ht="12.75" customHeight="1">
      <c r="AA156" s="5"/>
      <c r="AB156" s="5"/>
    </row>
    <row r="157" ht="12.75" customHeight="1">
      <c r="AA157" s="5"/>
      <c r="AB157" s="5"/>
    </row>
    <row r="158" ht="12.75" customHeight="1">
      <c r="AA158" s="5"/>
      <c r="AB158" s="5"/>
    </row>
    <row r="159" ht="12.75" customHeight="1">
      <c r="AA159" s="5"/>
      <c r="AB159" s="5"/>
    </row>
    <row r="160" ht="12.75" customHeight="1">
      <c r="AA160" s="5"/>
      <c r="AB160" s="5"/>
    </row>
    <row r="161" ht="12.75" customHeight="1">
      <c r="AA161" s="5"/>
      <c r="AB161" s="5"/>
    </row>
    <row r="162" ht="12.75" customHeight="1">
      <c r="AA162" s="5"/>
      <c r="AB162" s="5"/>
    </row>
    <row r="163" ht="12.75" customHeight="1">
      <c r="AA163" s="5"/>
      <c r="AB163" s="5"/>
    </row>
    <row r="164" ht="12.75" customHeight="1">
      <c r="AA164" s="5"/>
      <c r="AB164" s="5"/>
    </row>
    <row r="165" ht="12.75" customHeight="1">
      <c r="AA165" s="1"/>
      <c r="AB165" s="1"/>
    </row>
    <row r="166" ht="12.75" customHeight="1">
      <c r="AA166" s="54"/>
      <c r="AB166" s="54"/>
    </row>
    <row r="167" ht="12.75" customHeight="1">
      <c r="AA167" s="5"/>
      <c r="AB167" s="5"/>
    </row>
    <row r="168" ht="12.75" customHeight="1">
      <c r="AA168" s="5"/>
      <c r="AB168" s="5"/>
    </row>
    <row r="169" ht="12.75" customHeight="1">
      <c r="AA169" s="5"/>
      <c r="AB169" s="5"/>
    </row>
    <row r="170" ht="12.75" customHeight="1">
      <c r="AA170" s="5"/>
      <c r="AB170" s="5"/>
    </row>
    <row r="171" ht="12.75" customHeight="1">
      <c r="AA171" s="5"/>
      <c r="AB171" s="5"/>
    </row>
    <row r="172" ht="12.75" customHeight="1">
      <c r="AA172" s="5"/>
      <c r="AB172" s="5"/>
    </row>
    <row r="173" ht="12.75" customHeight="1">
      <c r="AA173" s="5"/>
      <c r="AB173" s="5"/>
    </row>
    <row r="174" ht="12.75" customHeight="1">
      <c r="AA174" s="5"/>
      <c r="AB174" s="5"/>
    </row>
    <row r="175" ht="12.75" customHeight="1">
      <c r="AA175" s="5"/>
      <c r="AB175" s="5"/>
    </row>
    <row r="176" ht="12.75" customHeight="1">
      <c r="AA176" s="1"/>
      <c r="AB176" s="1"/>
    </row>
    <row r="177" ht="12.75" customHeight="1"/>
    <row r="178" ht="12.75" customHeight="1">
      <c r="AA178" s="5"/>
      <c r="AB178" s="5"/>
    </row>
    <row r="179" ht="12.75" customHeight="1">
      <c r="AA179" s="5"/>
      <c r="AB179" s="5"/>
    </row>
    <row r="180" ht="12.75" customHeight="1">
      <c r="AA180" s="5"/>
      <c r="AB180" s="5"/>
    </row>
    <row r="181" ht="12.75" customHeight="1">
      <c r="AA181" s="5"/>
      <c r="AB181" s="5"/>
    </row>
    <row r="182" ht="12.75" customHeight="1">
      <c r="AA182" s="5"/>
      <c r="AB182" s="5"/>
    </row>
    <row r="183" ht="12.75" customHeight="1">
      <c r="AA183" s="5"/>
      <c r="AB183" s="5"/>
    </row>
    <row r="184" ht="12.75" customHeight="1">
      <c r="AA184" s="5"/>
      <c r="AB184" s="5"/>
    </row>
    <row r="185" ht="12.75" customHeight="1">
      <c r="AA185" s="5"/>
      <c r="AB185" s="5"/>
    </row>
    <row r="186" ht="12.75" customHeight="1">
      <c r="AA186" s="5"/>
      <c r="AB186" s="5"/>
    </row>
    <row r="187" ht="12.75" customHeight="1">
      <c r="AA187" s="1"/>
      <c r="AB187" s="1"/>
    </row>
    <row r="188" ht="12.75" customHeight="1"/>
    <row r="189" ht="12.75" customHeight="1">
      <c r="AA189" s="5"/>
      <c r="AB189" s="5"/>
    </row>
    <row r="190" ht="12.75" customHeight="1">
      <c r="AA190" s="5"/>
      <c r="AB190" s="5"/>
    </row>
    <row r="191" ht="12.75" customHeight="1">
      <c r="AA191" s="5"/>
      <c r="AB191" s="5"/>
    </row>
    <row r="192" ht="12.75" customHeight="1">
      <c r="AA192" s="5"/>
      <c r="AB192" s="5"/>
    </row>
    <row r="193" ht="12.75" customHeight="1">
      <c r="AA193" s="5"/>
      <c r="AB193" s="5"/>
    </row>
    <row r="194" ht="12.75" customHeight="1">
      <c r="AA194" s="5"/>
      <c r="AB194" s="5"/>
    </row>
    <row r="195" ht="12.75" customHeight="1">
      <c r="AA195" s="5"/>
      <c r="AB195" s="5"/>
    </row>
    <row r="196" ht="12.75" customHeight="1">
      <c r="AA196" s="1"/>
      <c r="AB196" s="1"/>
    </row>
    <row r="197" ht="12.75" customHeight="1">
      <c r="AA197" s="1"/>
      <c r="AB197" s="1"/>
    </row>
    <row r="198" ht="12.75" customHeight="1">
      <c r="AA198" s="1"/>
      <c r="AB198" s="1"/>
    </row>
    <row r="199" ht="12.75" customHeight="1">
      <c r="AA199" s="54"/>
      <c r="AB199" s="54"/>
    </row>
    <row r="200" ht="12.75" customHeight="1">
      <c r="AA200" s="5"/>
      <c r="AB200" s="5"/>
    </row>
    <row r="201" ht="12.75" customHeight="1">
      <c r="AA201" s="5"/>
      <c r="AB201" s="5"/>
    </row>
    <row r="202" ht="12.75" customHeight="1">
      <c r="AA202" s="5"/>
      <c r="AB202" s="5"/>
    </row>
    <row r="203" ht="12.75" customHeight="1">
      <c r="AA203" s="5"/>
      <c r="AB203" s="5"/>
    </row>
    <row r="204" ht="12.75" customHeight="1">
      <c r="AA204" s="5"/>
      <c r="AB204" s="5"/>
    </row>
    <row r="205" ht="12.75" customHeight="1">
      <c r="AA205" s="5"/>
      <c r="AB205" s="5"/>
    </row>
    <row r="206" ht="12.75" customHeight="1">
      <c r="AA206" s="5"/>
      <c r="AB206" s="5"/>
    </row>
    <row r="207" ht="12.75" customHeight="1">
      <c r="AA207" s="1"/>
      <c r="AB207" s="1"/>
    </row>
    <row r="208" ht="12.75" customHeight="1">
      <c r="AA208" s="54"/>
      <c r="AB208" s="54"/>
    </row>
    <row r="209" ht="12.75" customHeight="1">
      <c r="AA209" s="54"/>
      <c r="AB209" s="54"/>
    </row>
    <row r="210" ht="12.75" customHeight="1">
      <c r="AA210" s="54"/>
      <c r="AB210" s="54"/>
    </row>
    <row r="211" ht="12.75" customHeight="1">
      <c r="AA211" s="5"/>
      <c r="AB211" s="5"/>
    </row>
    <row r="212" ht="12.75" customHeight="1">
      <c r="AA212" s="5"/>
      <c r="AB212" s="5"/>
    </row>
    <row r="213" ht="12.75" customHeight="1">
      <c r="AA213" s="5"/>
      <c r="AB213" s="5"/>
    </row>
    <row r="214" ht="12.75" customHeight="1">
      <c r="AA214" s="5"/>
      <c r="AB214" s="5"/>
    </row>
    <row r="215" ht="12.75" customHeight="1">
      <c r="AA215" s="5"/>
      <c r="AB215" s="5"/>
    </row>
    <row r="216" ht="12.75" customHeight="1">
      <c r="AA216" s="5"/>
      <c r="AB216" s="5"/>
    </row>
    <row r="217" ht="12.75" customHeight="1">
      <c r="AA217" s="5"/>
      <c r="AB217" s="5"/>
    </row>
    <row r="218" ht="12.75" customHeight="1">
      <c r="AA218" s="1"/>
      <c r="AB218" s="1"/>
    </row>
    <row r="219" ht="12.75" customHeight="1">
      <c r="AA219" s="54"/>
      <c r="AB219" s="54"/>
    </row>
    <row r="220" ht="12.75" customHeight="1">
      <c r="AA220" s="5"/>
      <c r="AB220" s="5"/>
    </row>
    <row r="221" ht="12.75" customHeight="1">
      <c r="AA221" s="5"/>
      <c r="AB221" s="5"/>
    </row>
    <row r="222" ht="12.75" customHeight="1">
      <c r="AA222" s="5"/>
      <c r="AB222" s="5"/>
    </row>
    <row r="223" ht="12.75" customHeight="1">
      <c r="AA223" s="5"/>
      <c r="AB223" s="5"/>
    </row>
    <row r="224" ht="12.75" customHeight="1">
      <c r="AA224" s="5"/>
      <c r="AB224" s="5"/>
    </row>
    <row r="225" ht="12.75" customHeight="1">
      <c r="AA225" s="5"/>
      <c r="AB225" s="5"/>
    </row>
    <row r="226" ht="12.75" customHeight="1">
      <c r="AA226" s="5"/>
      <c r="AB226" s="5"/>
    </row>
    <row r="227" ht="12.75" customHeight="1">
      <c r="AA227" s="5"/>
      <c r="AB227" s="5"/>
    </row>
    <row r="228" ht="12.75" customHeight="1">
      <c r="AA228" s="5"/>
      <c r="AB228" s="5"/>
    </row>
    <row r="229" ht="12.75" customHeight="1">
      <c r="AA229" s="1"/>
      <c r="AB229" s="1"/>
    </row>
    <row r="230" ht="12.75" customHeight="1">
      <c r="AA230" s="54"/>
      <c r="AB230" s="54"/>
    </row>
    <row r="231" ht="12.75" customHeight="1">
      <c r="AA231" s="5"/>
      <c r="AB231" s="5"/>
    </row>
    <row r="232" ht="12.75" customHeight="1">
      <c r="AA232" s="5"/>
      <c r="AB232" s="5"/>
    </row>
    <row r="233" ht="12.75" customHeight="1">
      <c r="AA233" s="5"/>
      <c r="AB233" s="5"/>
    </row>
    <row r="234" ht="12.75" customHeight="1">
      <c r="AA234" s="5"/>
      <c r="AB234" s="5"/>
    </row>
    <row r="235" ht="12.75" customHeight="1">
      <c r="AA235" s="5"/>
      <c r="AB235" s="5"/>
    </row>
    <row r="236" ht="12.75" customHeight="1">
      <c r="AA236" s="5"/>
      <c r="AB236" s="5"/>
    </row>
    <row r="237" ht="12.75" customHeight="1">
      <c r="AA237" s="5"/>
      <c r="AB237" s="5"/>
    </row>
    <row r="238" ht="12.75" customHeight="1">
      <c r="AA238" s="5"/>
      <c r="AB238" s="5"/>
    </row>
    <row r="239" ht="12.75" customHeight="1">
      <c r="AA239" s="5"/>
      <c r="AB239" s="5"/>
    </row>
    <row r="240" ht="12.75" customHeight="1">
      <c r="AA240" s="1"/>
      <c r="AB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Y15">
    <cfRule type="containsBlanks" dxfId="1" priority="1">
      <formula>LEN(TRIM(E14))=0</formula>
    </cfRule>
  </conditionalFormatting>
  <conditionalFormatting sqref="E19:Y20">
    <cfRule type="containsBlanks" dxfId="1" priority="2">
      <formula>LEN(TRIM(E19))=0</formula>
    </cfRule>
  </conditionalFormatting>
  <conditionalFormatting sqref="E22:Y23 E25:Y26 E33:Y33 E35:Y35 E39:Y40">
    <cfRule type="containsBlanks" dxfId="1" priority="3">
      <formula>LEN(TRIM(E22))=0</formula>
    </cfRule>
  </conditionalFormatting>
  <conditionalFormatting sqref="E30:Y30">
    <cfRule type="expression" dxfId="0" priority="4">
      <formula>E30&lt;&gt;E47</formula>
    </cfRule>
  </conditionalFormatting>
  <conditionalFormatting sqref="E30:Y30">
    <cfRule type="expression" dxfId="0" priority="5">
      <formula>E30&lt;&gt;E34</formula>
    </cfRule>
  </conditionalFormatting>
  <conditionalFormatting sqref="E34:Y34">
    <cfRule type="expression" dxfId="2" priority="6">
      <formula>E30&lt;&gt;E34</formula>
    </cfRule>
  </conditionalFormatting>
  <conditionalFormatting sqref="E34:Y34">
    <cfRule type="expression" dxfId="3" priority="7">
      <formula>E30=E34</formula>
    </cfRule>
  </conditionalFormatting>
  <conditionalFormatting sqref="E34:Y34">
    <cfRule type="expression" dxfId="0" priority="8">
      <formula>E34&lt;&gt;E30</formula>
    </cfRule>
  </conditionalFormatting>
  <conditionalFormatting sqref="E34:Y34">
    <cfRule type="expression" dxfId="0" priority="9">
      <formula>E34&lt;&gt;#REF!</formula>
    </cfRule>
  </conditionalFormatting>
  <conditionalFormatting sqref="E45:Y47">
    <cfRule type="containsBlanks" dxfId="1" priority="10">
      <formula>LEN(TRIM(E45))=0</formula>
    </cfRule>
  </conditionalFormatting>
  <conditionalFormatting sqref="E50:Y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133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6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37"/>
    </row>
    <row r="14" ht="12.75" customHeight="1">
      <c r="A14" s="18"/>
      <c r="B14" s="22" t="s">
        <v>11</v>
      </c>
      <c r="C14" s="23"/>
      <c r="D14" s="19" t="s">
        <v>12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3">
        <f t="shared" ref="Y14:Y16" si="1">SUM(E14:X14)</f>
        <v>0</v>
      </c>
    </row>
    <row r="15" ht="12.75" customHeight="1">
      <c r="A15" s="18"/>
      <c r="B15" s="26"/>
      <c r="C15" s="27"/>
      <c r="D15" s="19" t="s">
        <v>13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3">
        <f t="shared" si="1"/>
        <v>0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1"/>
        <v>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65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4"/>
      <c r="O18" s="19"/>
      <c r="P18" s="19"/>
      <c r="Q18" s="19"/>
      <c r="R18" s="19"/>
      <c r="S18" s="64"/>
      <c r="T18" s="19"/>
      <c r="U18" s="19"/>
      <c r="V18" s="19"/>
      <c r="W18" s="19"/>
      <c r="X18" s="64"/>
      <c r="Y18" s="65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3">
        <f t="shared" ref="Y19:Y30" si="3">SUM(E19:X19)</f>
        <v>0</v>
      </c>
    </row>
    <row r="20" ht="12.75" customHeight="1">
      <c r="A20" s="34"/>
      <c r="B20" s="27"/>
      <c r="C20" s="35"/>
      <c r="D20" s="19" t="s">
        <v>13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3">
        <f t="shared" si="3"/>
        <v>0</v>
      </c>
    </row>
    <row r="21" ht="12.75" customHeight="1">
      <c r="A21" s="36"/>
      <c r="B21" s="28"/>
      <c r="C21" s="37"/>
      <c r="D21" s="13" t="s">
        <v>14</v>
      </c>
      <c r="E21" s="13">
        <f t="shared" ref="E21:X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0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4"/>
        <v>0</v>
      </c>
      <c r="Y21" s="13">
        <f t="shared" si="3"/>
        <v>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3">
        <f t="shared" si="3"/>
        <v>0</v>
      </c>
    </row>
    <row r="27" ht="12.75" customHeight="1">
      <c r="A27" s="36"/>
      <c r="B27" s="28"/>
      <c r="C27" s="37"/>
      <c r="D27" s="13" t="s">
        <v>14</v>
      </c>
      <c r="E27" s="13">
        <f t="shared" ref="E27:X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3"/>
        <v>0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X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7"/>
        <v>0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7"/>
        <v>0</v>
      </c>
      <c r="Y28" s="13">
        <f t="shared" si="3"/>
        <v>0</v>
      </c>
    </row>
    <row r="29" ht="12.75" customHeight="1">
      <c r="A29" s="36"/>
      <c r="B29" s="27"/>
      <c r="C29" s="35"/>
      <c r="D29" s="13" t="s">
        <v>13</v>
      </c>
      <c r="E29" s="13">
        <f t="shared" ref="E29:X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8"/>
        <v>0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8"/>
        <v>0</v>
      </c>
      <c r="Y29" s="13">
        <f t="shared" si="3"/>
        <v>0</v>
      </c>
    </row>
    <row r="30" ht="12.75" customHeight="1">
      <c r="A30" s="36"/>
      <c r="B30" s="28"/>
      <c r="C30" s="37"/>
      <c r="D30" s="13" t="s">
        <v>14</v>
      </c>
      <c r="E30" s="13">
        <f t="shared" ref="E30:X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9"/>
        <v>0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  <c r="Y30" s="13">
        <f t="shared" si="3"/>
        <v>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65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13"/>
      <c r="P32" s="13"/>
      <c r="Q32" s="13"/>
      <c r="R32" s="13"/>
      <c r="S32" s="71"/>
      <c r="T32" s="13"/>
      <c r="U32" s="13"/>
      <c r="V32" s="13"/>
      <c r="W32" s="13"/>
      <c r="X32" s="71"/>
      <c r="Y32" s="65"/>
    </row>
    <row r="33" ht="12.75" customHeight="1">
      <c r="A33" s="19">
        <v>1.0</v>
      </c>
      <c r="B33" s="20" t="s">
        <v>27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3">
        <f t="shared" ref="Y33:Y36" si="10">SUM(E33:X33)</f>
        <v>0</v>
      </c>
    </row>
    <row r="34" ht="12.75" customHeight="1">
      <c r="A34" s="19">
        <v>2.0</v>
      </c>
      <c r="B34" s="20" t="s">
        <v>28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>
        <f t="shared" si="10"/>
        <v>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1"/>
        <v>0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0"/>
        <v>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65"/>
    </row>
    <row r="38" ht="12.75" customHeight="1">
      <c r="A38" s="46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13"/>
      <c r="P38" s="13"/>
      <c r="Q38" s="13"/>
      <c r="R38" s="13"/>
      <c r="S38" s="71"/>
      <c r="T38" s="13"/>
      <c r="U38" s="13"/>
      <c r="V38" s="13"/>
      <c r="W38" s="13"/>
      <c r="X38" s="71"/>
      <c r="Y38" s="65"/>
    </row>
    <row r="39" ht="12.75" customHeight="1">
      <c r="A39" s="31"/>
      <c r="B39" s="47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3">
        <f t="shared" ref="Y39:Y41" si="12">SUM(E39:X39)</f>
        <v>0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3">
        <f t="shared" si="12"/>
        <v>0</v>
      </c>
    </row>
    <row r="41" ht="12.75" customHeight="1">
      <c r="A41" s="44"/>
      <c r="B41" s="48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0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3"/>
    </row>
    <row r="43" ht="12.75" customHeight="1">
      <c r="A43" s="46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13"/>
      <c r="Q43" s="13"/>
      <c r="R43" s="13"/>
      <c r="S43" s="71"/>
      <c r="T43" s="13"/>
      <c r="U43" s="13"/>
      <c r="V43" s="13"/>
      <c r="W43" s="13"/>
      <c r="X43" s="71"/>
      <c r="Y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64"/>
      <c r="Y44" s="13"/>
    </row>
    <row r="45" ht="12.75" customHeight="1">
      <c r="A45" s="67"/>
      <c r="B45" s="51">
        <v>1.0</v>
      </c>
      <c r="C45" s="52" t="s">
        <v>37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3">
        <f t="shared" ref="Y45:Y47" si="14">SUM(E45:X45)</f>
        <v>0</v>
      </c>
    </row>
    <row r="46" ht="12.75" customHeight="1">
      <c r="A46" s="18"/>
      <c r="B46" s="51">
        <v>2.0</v>
      </c>
      <c r="C46" s="52" t="s">
        <v>38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3">
        <f t="shared" si="14"/>
        <v>0</v>
      </c>
    </row>
    <row r="47" ht="12.75" customHeight="1">
      <c r="A47" s="49"/>
      <c r="B47" s="51">
        <v>3.0</v>
      </c>
      <c r="C47" s="52" t="s">
        <v>39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3">
        <f t="shared" si="14"/>
        <v>0</v>
      </c>
    </row>
    <row r="48" ht="12.75" customHeight="1">
      <c r="Y48" s="13"/>
    </row>
    <row r="49" ht="12.75" customHeight="1">
      <c r="A49" s="46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2.75" customHeight="1">
      <c r="A50" s="46"/>
      <c r="B50" s="58" t="s">
        <v>42</v>
      </c>
      <c r="C50" s="59" t="s">
        <v>43</v>
      </c>
      <c r="D50" s="16"/>
      <c r="E50" s="19">
        <f t="shared" ref="E50:X50" si="15">SUM(E45:E47)</f>
        <v>0</v>
      </c>
      <c r="F50" s="19">
        <f t="shared" si="15"/>
        <v>0</v>
      </c>
      <c r="G50" s="19">
        <f t="shared" si="15"/>
        <v>0</v>
      </c>
      <c r="H50" s="19">
        <f t="shared" si="15"/>
        <v>0</v>
      </c>
      <c r="I50" s="19">
        <f t="shared" si="15"/>
        <v>0</v>
      </c>
      <c r="J50" s="19">
        <f t="shared" si="15"/>
        <v>0</v>
      </c>
      <c r="K50" s="19">
        <f t="shared" si="15"/>
        <v>0</v>
      </c>
      <c r="L50" s="19">
        <f t="shared" si="15"/>
        <v>0</v>
      </c>
      <c r="M50" s="19">
        <f t="shared" si="15"/>
        <v>0</v>
      </c>
      <c r="N50" s="19">
        <f t="shared" si="15"/>
        <v>0</v>
      </c>
      <c r="O50" s="19">
        <f t="shared" si="15"/>
        <v>0</v>
      </c>
      <c r="P50" s="19">
        <f t="shared" si="15"/>
        <v>0</v>
      </c>
      <c r="Q50" s="19">
        <f t="shared" si="15"/>
        <v>0</v>
      </c>
      <c r="R50" s="19">
        <f t="shared" si="15"/>
        <v>0</v>
      </c>
      <c r="S50" s="19">
        <f t="shared" si="15"/>
        <v>0</v>
      </c>
      <c r="T50" s="19">
        <f t="shared" si="15"/>
        <v>0</v>
      </c>
      <c r="U50" s="19">
        <f t="shared" si="15"/>
        <v>0</v>
      </c>
      <c r="V50" s="19">
        <f t="shared" si="15"/>
        <v>0</v>
      </c>
      <c r="W50" s="19">
        <f t="shared" si="15"/>
        <v>0</v>
      </c>
      <c r="X50" s="19">
        <f t="shared" si="15"/>
        <v>0</v>
      </c>
      <c r="Y50" s="13">
        <f t="shared" ref="Y50:Y52" si="16">SUM(E50:X50)</f>
        <v>0</v>
      </c>
    </row>
    <row r="51" ht="12.75" customHeight="1">
      <c r="A51" s="36"/>
      <c r="B51" s="58" t="s">
        <v>44</v>
      </c>
      <c r="C51" s="59" t="s">
        <v>45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3">
        <f t="shared" si="16"/>
        <v>0</v>
      </c>
    </row>
    <row r="52" ht="12.75" customHeight="1">
      <c r="A52" s="44"/>
      <c r="B52" s="58" t="s">
        <v>46</v>
      </c>
      <c r="C52" s="59" t="s">
        <v>47</v>
      </c>
      <c r="D52" s="16"/>
      <c r="E52" s="13">
        <f t="shared" ref="E52:X52" si="17">SUM(E50:E51)</f>
        <v>0</v>
      </c>
      <c r="F52" s="13">
        <f t="shared" si="17"/>
        <v>0</v>
      </c>
      <c r="G52" s="13">
        <f t="shared" si="17"/>
        <v>0</v>
      </c>
      <c r="H52" s="13">
        <f t="shared" si="17"/>
        <v>0</v>
      </c>
      <c r="I52" s="13">
        <f t="shared" si="17"/>
        <v>0</v>
      </c>
      <c r="J52" s="13">
        <f t="shared" si="17"/>
        <v>0</v>
      </c>
      <c r="K52" s="13">
        <f t="shared" si="17"/>
        <v>0</v>
      </c>
      <c r="L52" s="13">
        <f t="shared" si="17"/>
        <v>0</v>
      </c>
      <c r="M52" s="13">
        <f t="shared" si="17"/>
        <v>0</v>
      </c>
      <c r="N52" s="13">
        <f t="shared" si="17"/>
        <v>0</v>
      </c>
      <c r="O52" s="13">
        <f t="shared" si="17"/>
        <v>0</v>
      </c>
      <c r="P52" s="13">
        <f t="shared" si="17"/>
        <v>0</v>
      </c>
      <c r="Q52" s="13">
        <f t="shared" si="17"/>
        <v>0</v>
      </c>
      <c r="R52" s="13">
        <f t="shared" si="17"/>
        <v>0</v>
      </c>
      <c r="S52" s="13">
        <f t="shared" si="17"/>
        <v>0</v>
      </c>
      <c r="T52" s="13">
        <f t="shared" si="17"/>
        <v>0</v>
      </c>
      <c r="U52" s="13">
        <f t="shared" si="17"/>
        <v>0</v>
      </c>
      <c r="V52" s="13">
        <f t="shared" si="17"/>
        <v>0</v>
      </c>
      <c r="W52" s="13">
        <f t="shared" si="17"/>
        <v>0</v>
      </c>
      <c r="X52" s="13">
        <f t="shared" si="17"/>
        <v>0</v>
      </c>
      <c r="Y52" s="13">
        <f t="shared" si="16"/>
        <v>0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>
      <c r="Z134" s="5"/>
      <c r="AA134" s="5"/>
    </row>
    <row r="135" ht="12.75" customHeight="1">
      <c r="Z135" s="5"/>
      <c r="AA135" s="5"/>
    </row>
    <row r="136" ht="12.75" customHeight="1">
      <c r="Z136" s="5"/>
      <c r="AA136" s="5"/>
    </row>
    <row r="137" ht="12.75" customHeight="1">
      <c r="Z137" s="5"/>
      <c r="AA137" s="5"/>
    </row>
    <row r="138" ht="12.75" customHeight="1">
      <c r="Z138" s="5"/>
      <c r="AA138" s="5"/>
    </row>
    <row r="139" ht="12.75" customHeight="1">
      <c r="Z139" s="5"/>
      <c r="AA139" s="5"/>
    </row>
    <row r="140" ht="12.75" customHeight="1">
      <c r="Z140" s="5"/>
      <c r="AA140" s="5"/>
    </row>
    <row r="141" ht="12.75" customHeight="1">
      <c r="Z141" s="1"/>
      <c r="AA141" s="1"/>
    </row>
    <row r="142" ht="12.75" customHeight="1">
      <c r="Z142" s="54"/>
      <c r="AA142" s="54"/>
    </row>
    <row r="143" ht="12.75" customHeight="1">
      <c r="Z143" s="5"/>
      <c r="AA143" s="5"/>
    </row>
    <row r="144" ht="12.75" customHeight="1">
      <c r="Z144" s="5"/>
      <c r="AA144" s="5"/>
    </row>
    <row r="145" ht="12.75" customHeight="1">
      <c r="Z145" s="5"/>
      <c r="AA145" s="5"/>
    </row>
    <row r="146" ht="12.75" customHeight="1">
      <c r="Z146" s="5"/>
      <c r="AA146" s="5"/>
    </row>
    <row r="147" ht="12.75" customHeight="1">
      <c r="Z147" s="5"/>
      <c r="AA147" s="5"/>
    </row>
    <row r="148" ht="12.75" customHeight="1">
      <c r="Z148" s="5"/>
      <c r="AA148" s="5"/>
    </row>
    <row r="149" ht="12.75" customHeight="1">
      <c r="Z149" s="5"/>
      <c r="AA149" s="5"/>
    </row>
    <row r="150" ht="12.75" customHeight="1">
      <c r="Z150" s="5"/>
      <c r="AA150" s="5"/>
    </row>
    <row r="151" ht="12.75" customHeight="1">
      <c r="Z151" s="1"/>
      <c r="AA151" s="1"/>
    </row>
    <row r="152" ht="12.75" customHeight="1">
      <c r="Z152" s="54"/>
      <c r="AA152" s="54"/>
    </row>
    <row r="153" ht="12.75" customHeight="1">
      <c r="Z153" s="5"/>
      <c r="AA153" s="5"/>
    </row>
    <row r="154" ht="12.75" customHeight="1">
      <c r="Z154" s="5"/>
      <c r="AA154" s="5"/>
    </row>
    <row r="155" ht="12.75" customHeight="1">
      <c r="Z155" s="5"/>
      <c r="AA155" s="5"/>
    </row>
    <row r="156" ht="12.75" customHeight="1">
      <c r="Z156" s="5"/>
      <c r="AA156" s="5"/>
    </row>
    <row r="157" ht="12.75" customHeight="1">
      <c r="Z157" s="5"/>
      <c r="AA157" s="5"/>
    </row>
    <row r="158" ht="12.75" customHeight="1">
      <c r="Z158" s="5"/>
      <c r="AA158" s="5"/>
    </row>
    <row r="159" ht="12.75" customHeight="1">
      <c r="Z159" s="5"/>
      <c r="AA159" s="5"/>
    </row>
    <row r="160" ht="12.75" customHeight="1">
      <c r="Z160" s="5"/>
      <c r="AA160" s="5"/>
    </row>
    <row r="161" ht="12.75" customHeight="1">
      <c r="Z161" s="5"/>
      <c r="AA161" s="5"/>
    </row>
    <row r="162" ht="12.75" customHeight="1">
      <c r="Z162" s="5"/>
      <c r="AA162" s="5"/>
    </row>
    <row r="163" ht="12.75" customHeight="1">
      <c r="Z163" s="5"/>
      <c r="AA163" s="5"/>
    </row>
    <row r="164" ht="12.75" customHeight="1">
      <c r="Z164" s="5"/>
      <c r="AA164" s="5"/>
    </row>
    <row r="165" ht="12.75" customHeight="1">
      <c r="Z165" s="1"/>
      <c r="AA165" s="1"/>
    </row>
    <row r="166" ht="12.75" customHeight="1">
      <c r="Z166" s="54"/>
      <c r="AA166" s="54"/>
    </row>
    <row r="167" ht="12.75" customHeight="1">
      <c r="Z167" s="5"/>
      <c r="AA167" s="5"/>
    </row>
    <row r="168" ht="12.75" customHeight="1">
      <c r="Z168" s="5"/>
      <c r="AA168" s="5"/>
    </row>
    <row r="169" ht="12.75" customHeight="1">
      <c r="Z169" s="5"/>
      <c r="AA169" s="5"/>
    </row>
    <row r="170" ht="12.75" customHeight="1">
      <c r="Z170" s="5"/>
      <c r="AA170" s="5"/>
    </row>
    <row r="171" ht="12.75" customHeight="1">
      <c r="Z171" s="5"/>
      <c r="AA171" s="5"/>
    </row>
    <row r="172" ht="12.75" customHeight="1">
      <c r="Z172" s="5"/>
      <c r="AA172" s="5"/>
    </row>
    <row r="173" ht="12.75" customHeight="1">
      <c r="Z173" s="5"/>
      <c r="AA173" s="5"/>
    </row>
    <row r="174" ht="12.75" customHeight="1">
      <c r="Z174" s="5"/>
      <c r="AA174" s="5"/>
    </row>
    <row r="175" ht="12.75" customHeight="1">
      <c r="Z175" s="5"/>
      <c r="AA175" s="5"/>
    </row>
    <row r="176" ht="12.75" customHeight="1">
      <c r="Z176" s="1"/>
      <c r="AA176" s="1"/>
    </row>
    <row r="177" ht="12.75" customHeight="1"/>
    <row r="178" ht="12.75" customHeight="1">
      <c r="Z178" s="5"/>
      <c r="AA178" s="5"/>
    </row>
    <row r="179" ht="12.75" customHeight="1">
      <c r="Z179" s="5"/>
      <c r="AA179" s="5"/>
    </row>
    <row r="180" ht="12.75" customHeight="1">
      <c r="Z180" s="5"/>
      <c r="AA180" s="5"/>
    </row>
    <row r="181" ht="12.75" customHeight="1">
      <c r="Z181" s="5"/>
      <c r="AA181" s="5"/>
    </row>
    <row r="182" ht="12.75" customHeight="1">
      <c r="Z182" s="5"/>
      <c r="AA182" s="5"/>
    </row>
    <row r="183" ht="12.75" customHeight="1">
      <c r="Z183" s="5"/>
      <c r="AA183" s="5"/>
    </row>
    <row r="184" ht="12.75" customHeight="1">
      <c r="Z184" s="5"/>
      <c r="AA184" s="5"/>
    </row>
    <row r="185" ht="12.75" customHeight="1">
      <c r="Z185" s="5"/>
      <c r="AA185" s="5"/>
    </row>
    <row r="186" ht="12.75" customHeight="1">
      <c r="Z186" s="5"/>
      <c r="AA186" s="5"/>
    </row>
    <row r="187" ht="12.75" customHeight="1">
      <c r="Z187" s="1"/>
      <c r="AA187" s="1"/>
    </row>
    <row r="188" ht="12.75" customHeight="1"/>
    <row r="189" ht="12.75" customHeight="1">
      <c r="Z189" s="5"/>
      <c r="AA189" s="5"/>
    </row>
    <row r="190" ht="12.75" customHeight="1">
      <c r="Z190" s="5"/>
      <c r="AA190" s="5"/>
    </row>
    <row r="191" ht="12.75" customHeight="1">
      <c r="Z191" s="5"/>
      <c r="AA191" s="5"/>
    </row>
    <row r="192" ht="12.75" customHeight="1">
      <c r="Z192" s="5"/>
      <c r="AA192" s="5"/>
    </row>
    <row r="193" ht="12.75" customHeight="1">
      <c r="Z193" s="5"/>
      <c r="AA193" s="5"/>
    </row>
    <row r="194" ht="12.75" customHeight="1">
      <c r="Z194" s="5"/>
      <c r="AA194" s="5"/>
    </row>
    <row r="195" ht="12.75" customHeight="1">
      <c r="Z195" s="5"/>
      <c r="AA195" s="5"/>
    </row>
    <row r="196" ht="12.75" customHeight="1">
      <c r="Z196" s="1"/>
      <c r="AA196" s="1"/>
    </row>
    <row r="197" ht="12.75" customHeight="1">
      <c r="Z197" s="1"/>
      <c r="AA197" s="1"/>
    </row>
    <row r="198" ht="12.75" customHeight="1">
      <c r="Z198" s="1"/>
      <c r="AA198" s="1"/>
    </row>
    <row r="199" ht="12.75" customHeight="1">
      <c r="Z199" s="54"/>
      <c r="AA199" s="54"/>
    </row>
    <row r="200" ht="12.75" customHeight="1">
      <c r="Z200" s="5"/>
      <c r="AA200" s="5"/>
    </row>
    <row r="201" ht="12.75" customHeight="1">
      <c r="Z201" s="5"/>
      <c r="AA201" s="5"/>
    </row>
    <row r="202" ht="12.75" customHeight="1">
      <c r="Z202" s="5"/>
      <c r="AA202" s="5"/>
    </row>
    <row r="203" ht="12.75" customHeight="1">
      <c r="Z203" s="5"/>
      <c r="AA203" s="5"/>
    </row>
    <row r="204" ht="12.75" customHeight="1">
      <c r="Z204" s="5"/>
      <c r="AA204" s="5"/>
    </row>
    <row r="205" ht="12.75" customHeight="1">
      <c r="Z205" s="5"/>
      <c r="AA205" s="5"/>
    </row>
    <row r="206" ht="12.75" customHeight="1">
      <c r="Z206" s="5"/>
      <c r="AA206" s="5"/>
    </row>
    <row r="207" ht="12.75" customHeight="1">
      <c r="Z207" s="1"/>
      <c r="AA207" s="1"/>
    </row>
    <row r="208" ht="12.75" customHeight="1">
      <c r="Z208" s="54"/>
      <c r="AA208" s="54"/>
    </row>
    <row r="209" ht="12.75" customHeight="1">
      <c r="Z209" s="54"/>
      <c r="AA209" s="54"/>
    </row>
    <row r="210" ht="12.75" customHeight="1">
      <c r="Z210" s="54"/>
      <c r="AA210" s="54"/>
    </row>
    <row r="211" ht="12.75" customHeight="1">
      <c r="Z211" s="5"/>
      <c r="AA211" s="5"/>
    </row>
    <row r="212" ht="12.75" customHeight="1">
      <c r="Z212" s="5"/>
      <c r="AA212" s="5"/>
    </row>
    <row r="213" ht="12.75" customHeight="1">
      <c r="Z213" s="5"/>
      <c r="AA213" s="5"/>
    </row>
    <row r="214" ht="12.75" customHeight="1">
      <c r="Z214" s="5"/>
      <c r="AA214" s="5"/>
    </row>
    <row r="215" ht="12.75" customHeight="1">
      <c r="Z215" s="5"/>
      <c r="AA215" s="5"/>
    </row>
    <row r="216" ht="12.75" customHeight="1">
      <c r="Z216" s="5"/>
      <c r="AA216" s="5"/>
    </row>
    <row r="217" ht="12.75" customHeight="1">
      <c r="Z217" s="5"/>
      <c r="AA217" s="5"/>
    </row>
    <row r="218" ht="12.75" customHeight="1">
      <c r="Z218" s="1"/>
      <c r="AA218" s="1"/>
    </row>
    <row r="219" ht="12.75" customHeight="1">
      <c r="Z219" s="54"/>
      <c r="AA219" s="54"/>
    </row>
    <row r="220" ht="12.75" customHeight="1">
      <c r="Z220" s="5"/>
      <c r="AA220" s="5"/>
    </row>
    <row r="221" ht="12.75" customHeight="1">
      <c r="Z221" s="5"/>
      <c r="AA221" s="5"/>
    </row>
    <row r="222" ht="12.75" customHeight="1">
      <c r="Z222" s="5"/>
      <c r="AA222" s="5"/>
    </row>
    <row r="223" ht="12.75" customHeight="1">
      <c r="Z223" s="5"/>
      <c r="AA223" s="5"/>
    </row>
    <row r="224" ht="12.75" customHeight="1">
      <c r="Z224" s="5"/>
      <c r="AA224" s="5"/>
    </row>
    <row r="225" ht="12.75" customHeight="1">
      <c r="Z225" s="5"/>
      <c r="AA225" s="5"/>
    </row>
    <row r="226" ht="12.75" customHeight="1">
      <c r="Z226" s="5"/>
      <c r="AA226" s="5"/>
    </row>
    <row r="227" ht="12.75" customHeight="1">
      <c r="Z227" s="5"/>
      <c r="AA227" s="5"/>
    </row>
    <row r="228" ht="12.75" customHeight="1">
      <c r="Z228" s="5"/>
      <c r="AA228" s="5"/>
    </row>
    <row r="229" ht="12.75" customHeight="1">
      <c r="Z229" s="1"/>
      <c r="AA229" s="1"/>
    </row>
    <row r="230" ht="12.75" customHeight="1">
      <c r="Z230" s="54"/>
      <c r="AA230" s="54"/>
    </row>
    <row r="231" ht="12.75" customHeight="1">
      <c r="Z231" s="5"/>
      <c r="AA231" s="5"/>
    </row>
    <row r="232" ht="12.75" customHeight="1">
      <c r="Z232" s="5"/>
      <c r="AA232" s="5"/>
    </row>
    <row r="233" ht="12.75" customHeight="1">
      <c r="Z233" s="5"/>
      <c r="AA233" s="5"/>
    </row>
    <row r="234" ht="12.75" customHeight="1">
      <c r="Z234" s="5"/>
      <c r="AA234" s="5"/>
    </row>
    <row r="235" ht="12.75" customHeight="1">
      <c r="Z235" s="5"/>
      <c r="AA235" s="5"/>
    </row>
    <row r="236" ht="12.75" customHeight="1">
      <c r="Z236" s="5"/>
      <c r="AA236" s="5"/>
    </row>
    <row r="237" ht="12.75" customHeight="1">
      <c r="Z237" s="5"/>
      <c r="AA237" s="5"/>
    </row>
    <row r="238" ht="12.75" customHeight="1">
      <c r="Z238" s="5"/>
      <c r="AA238" s="5"/>
    </row>
    <row r="239" ht="12.75" customHeight="1">
      <c r="Z239" s="5"/>
      <c r="AA239" s="5"/>
    </row>
    <row r="240" ht="12.75" customHeight="1">
      <c r="Z240" s="1"/>
      <c r="AA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X15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E30&lt;&gt;E47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E34&lt;&gt;#REF!</formula>
    </cfRule>
  </conditionalFormatting>
  <conditionalFormatting sqref="E45:X47">
    <cfRule type="containsBlanks" dxfId="1" priority="10">
      <formula>LEN(TRIM(E45))=0</formula>
    </cfRule>
  </conditionalFormatting>
  <conditionalFormatting sqref="E50:X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134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6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75</v>
      </c>
      <c r="AD13" s="37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143.0</v>
      </c>
      <c r="G14" s="19">
        <v>144.0</v>
      </c>
      <c r="H14" s="19">
        <v>126.0</v>
      </c>
      <c r="I14" s="19">
        <v>134.0</v>
      </c>
      <c r="J14" s="19">
        <v>152.0</v>
      </c>
      <c r="K14" s="19">
        <v>140.0</v>
      </c>
      <c r="L14" s="19">
        <v>143.0</v>
      </c>
      <c r="M14" s="19">
        <v>138.0</v>
      </c>
      <c r="N14" s="19">
        <v>150.0</v>
      </c>
      <c r="O14" s="19">
        <v>139.0</v>
      </c>
      <c r="P14" s="19">
        <v>98.0</v>
      </c>
      <c r="Q14" s="19">
        <v>110.0</v>
      </c>
      <c r="R14" s="19">
        <v>107.0</v>
      </c>
      <c r="S14" s="19">
        <v>123.0</v>
      </c>
      <c r="T14" s="19">
        <v>140.0</v>
      </c>
      <c r="U14" s="19">
        <v>146.0</v>
      </c>
      <c r="V14" s="19">
        <v>150.0</v>
      </c>
      <c r="W14" s="19">
        <v>141.0</v>
      </c>
      <c r="X14" s="19">
        <v>146.0</v>
      </c>
      <c r="Y14" s="19">
        <v>139.0</v>
      </c>
      <c r="Z14" s="19">
        <v>139.0</v>
      </c>
      <c r="AA14" s="19">
        <v>124.0</v>
      </c>
      <c r="AB14" s="19">
        <v>128.0</v>
      </c>
      <c r="AC14" s="19">
        <v>131.0</v>
      </c>
      <c r="AD14" s="13">
        <f t="shared" ref="AD14:AD16" si="1">SUM(E14:AC14)</f>
        <v>3361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144.0</v>
      </c>
      <c r="G15" s="19">
        <v>133.0</v>
      </c>
      <c r="H15" s="19">
        <v>133.0</v>
      </c>
      <c r="I15" s="19">
        <v>144.0</v>
      </c>
      <c r="J15" s="19">
        <v>135.0</v>
      </c>
      <c r="K15" s="19">
        <v>146.0</v>
      </c>
      <c r="L15" s="19">
        <v>142.0</v>
      </c>
      <c r="M15" s="19">
        <v>142.0</v>
      </c>
      <c r="N15" s="19">
        <v>144.0</v>
      </c>
      <c r="O15" s="19">
        <v>150.0</v>
      </c>
      <c r="P15" s="19">
        <v>107.0</v>
      </c>
      <c r="Q15" s="19">
        <v>106.0</v>
      </c>
      <c r="R15" s="19">
        <v>110.0</v>
      </c>
      <c r="S15" s="19">
        <v>116.0</v>
      </c>
      <c r="T15" s="19">
        <v>136.0</v>
      </c>
      <c r="U15" s="19">
        <v>138.0</v>
      </c>
      <c r="V15" s="19">
        <v>124.0</v>
      </c>
      <c r="W15" s="19">
        <v>122.0</v>
      </c>
      <c r="X15" s="19">
        <v>146.0</v>
      </c>
      <c r="Y15" s="19">
        <v>142.0</v>
      </c>
      <c r="Z15" s="19">
        <v>137.0</v>
      </c>
      <c r="AA15" s="19">
        <v>123.0</v>
      </c>
      <c r="AB15" s="19">
        <v>101.0</v>
      </c>
      <c r="AC15" s="19">
        <v>119.0</v>
      </c>
      <c r="AD15" s="13">
        <f t="shared" si="1"/>
        <v>3277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267</v>
      </c>
      <c r="F16" s="13">
        <f t="shared" si="2"/>
        <v>287</v>
      </c>
      <c r="G16" s="13">
        <f t="shared" si="2"/>
        <v>277</v>
      </c>
      <c r="H16" s="13">
        <f t="shared" si="2"/>
        <v>259</v>
      </c>
      <c r="I16" s="13">
        <f t="shared" si="2"/>
        <v>278</v>
      </c>
      <c r="J16" s="13">
        <f t="shared" si="2"/>
        <v>287</v>
      </c>
      <c r="K16" s="13">
        <f t="shared" si="2"/>
        <v>286</v>
      </c>
      <c r="L16" s="13">
        <f t="shared" si="2"/>
        <v>285</v>
      </c>
      <c r="M16" s="13">
        <f t="shared" si="2"/>
        <v>280</v>
      </c>
      <c r="N16" s="13">
        <f t="shared" si="2"/>
        <v>294</v>
      </c>
      <c r="O16" s="13">
        <f t="shared" si="2"/>
        <v>289</v>
      </c>
      <c r="P16" s="13">
        <f t="shared" si="2"/>
        <v>205</v>
      </c>
      <c r="Q16" s="13">
        <f t="shared" si="2"/>
        <v>216</v>
      </c>
      <c r="R16" s="13">
        <f t="shared" si="2"/>
        <v>217</v>
      </c>
      <c r="S16" s="13">
        <f t="shared" si="2"/>
        <v>239</v>
      </c>
      <c r="T16" s="13">
        <f t="shared" si="2"/>
        <v>276</v>
      </c>
      <c r="U16" s="13">
        <f t="shared" si="2"/>
        <v>284</v>
      </c>
      <c r="V16" s="13">
        <f t="shared" si="2"/>
        <v>274</v>
      </c>
      <c r="W16" s="13">
        <f t="shared" si="2"/>
        <v>263</v>
      </c>
      <c r="X16" s="13">
        <f t="shared" si="2"/>
        <v>292</v>
      </c>
      <c r="Y16" s="13">
        <f t="shared" si="2"/>
        <v>281</v>
      </c>
      <c r="Z16" s="13">
        <f t="shared" si="2"/>
        <v>276</v>
      </c>
      <c r="AA16" s="13">
        <f t="shared" si="2"/>
        <v>247</v>
      </c>
      <c r="AB16" s="13">
        <f t="shared" si="2"/>
        <v>229</v>
      </c>
      <c r="AC16" s="13">
        <f t="shared" si="2"/>
        <v>250</v>
      </c>
      <c r="AD16" s="13">
        <f t="shared" si="1"/>
        <v>6638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19"/>
      <c r="Z17" s="19"/>
      <c r="AA17" s="19"/>
      <c r="AB17" s="19"/>
      <c r="AC17" s="64"/>
      <c r="AD17" s="65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56</v>
      </c>
      <c r="L18" s="13" t="s">
        <v>57</v>
      </c>
      <c r="M18" s="13" t="s">
        <v>58</v>
      </c>
      <c r="N18" s="13" t="s">
        <v>59</v>
      </c>
      <c r="O18" s="13" t="s">
        <v>60</v>
      </c>
      <c r="P18" s="13" t="s">
        <v>61</v>
      </c>
      <c r="Q18" s="13" t="s">
        <v>62</v>
      </c>
      <c r="R18" s="13" t="s">
        <v>63</v>
      </c>
      <c r="S18" s="13" t="s">
        <v>64</v>
      </c>
      <c r="T18" s="13" t="s">
        <v>65</v>
      </c>
      <c r="U18" s="13" t="s">
        <v>66</v>
      </c>
      <c r="V18" s="13" t="s">
        <v>67</v>
      </c>
      <c r="W18" s="13" t="s">
        <v>68</v>
      </c>
      <c r="X18" s="13" t="s">
        <v>69</v>
      </c>
      <c r="Y18" s="13" t="s">
        <v>70</v>
      </c>
      <c r="Z18" s="13" t="s">
        <v>71</v>
      </c>
      <c r="AA18" s="13" t="s">
        <v>72</v>
      </c>
      <c r="AB18" s="13" t="s">
        <v>73</v>
      </c>
      <c r="AC18" s="13" t="s">
        <v>75</v>
      </c>
      <c r="AD18" s="65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130.0</v>
      </c>
      <c r="F19" s="19">
        <v>143.0</v>
      </c>
      <c r="G19" s="19">
        <v>144.0</v>
      </c>
      <c r="H19" s="19">
        <v>126.0</v>
      </c>
      <c r="I19" s="19">
        <v>134.0</v>
      </c>
      <c r="J19" s="19">
        <v>152.0</v>
      </c>
      <c r="K19" s="19">
        <v>140.0</v>
      </c>
      <c r="L19" s="19">
        <v>143.0</v>
      </c>
      <c r="M19" s="19">
        <v>138.0</v>
      </c>
      <c r="N19" s="19">
        <v>150.0</v>
      </c>
      <c r="O19" s="19">
        <v>139.0</v>
      </c>
      <c r="P19" s="19">
        <v>98.0</v>
      </c>
      <c r="Q19" s="19">
        <v>110.0</v>
      </c>
      <c r="R19" s="19">
        <v>107.0</v>
      </c>
      <c r="S19" s="19">
        <v>123.0</v>
      </c>
      <c r="T19" s="19">
        <v>117.0</v>
      </c>
      <c r="U19" s="19">
        <v>116.0</v>
      </c>
      <c r="V19" s="19">
        <v>119.0</v>
      </c>
      <c r="W19" s="19">
        <v>108.0</v>
      </c>
      <c r="X19" s="19">
        <v>114.0</v>
      </c>
      <c r="Y19" s="19">
        <v>110.0</v>
      </c>
      <c r="Z19" s="19">
        <v>107.0</v>
      </c>
      <c r="AA19" s="19">
        <v>91.0</v>
      </c>
      <c r="AB19" s="19">
        <v>92.0</v>
      </c>
      <c r="AC19" s="19">
        <v>93.0</v>
      </c>
      <c r="AD19" s="13">
        <f t="shared" ref="AD19:AD30" si="3">SUM(E19:AC19)</f>
        <v>3044</v>
      </c>
    </row>
    <row r="20" ht="12.75" customHeight="1">
      <c r="A20" s="34"/>
      <c r="B20" s="27"/>
      <c r="C20" s="35"/>
      <c r="D20" s="19" t="s">
        <v>13</v>
      </c>
      <c r="E20" s="19">
        <v>137.0</v>
      </c>
      <c r="F20" s="19">
        <v>144.0</v>
      </c>
      <c r="G20" s="19">
        <v>133.0</v>
      </c>
      <c r="H20" s="19">
        <v>133.0</v>
      </c>
      <c r="I20" s="19">
        <v>144.0</v>
      </c>
      <c r="J20" s="19">
        <v>135.0</v>
      </c>
      <c r="K20" s="19">
        <v>146.0</v>
      </c>
      <c r="L20" s="19">
        <v>142.0</v>
      </c>
      <c r="M20" s="19">
        <v>142.0</v>
      </c>
      <c r="N20" s="19">
        <v>144.0</v>
      </c>
      <c r="O20" s="19">
        <v>150.0</v>
      </c>
      <c r="P20" s="19">
        <v>107.0</v>
      </c>
      <c r="Q20" s="19">
        <v>106.0</v>
      </c>
      <c r="R20" s="19">
        <v>110.0</v>
      </c>
      <c r="S20" s="19">
        <v>116.0</v>
      </c>
      <c r="T20" s="19">
        <v>114.0</v>
      </c>
      <c r="U20" s="19">
        <v>106.0</v>
      </c>
      <c r="V20" s="19">
        <v>111.0</v>
      </c>
      <c r="W20" s="19">
        <v>102.0</v>
      </c>
      <c r="X20" s="19">
        <v>121.0</v>
      </c>
      <c r="Y20" s="19">
        <v>117.0</v>
      </c>
      <c r="Z20" s="19">
        <v>117.0</v>
      </c>
      <c r="AA20" s="19">
        <v>105.0</v>
      </c>
      <c r="AB20" s="19">
        <v>81.0</v>
      </c>
      <c r="AC20" s="19">
        <v>100.0</v>
      </c>
      <c r="AD20" s="13">
        <f t="shared" si="3"/>
        <v>3063</v>
      </c>
    </row>
    <row r="21" ht="12.75" customHeight="1">
      <c r="A21" s="36"/>
      <c r="B21" s="28"/>
      <c r="C21" s="37"/>
      <c r="D21" s="13" t="s">
        <v>14</v>
      </c>
      <c r="E21" s="13">
        <f t="shared" ref="E21:AC21" si="4">SUM(E19:E20)</f>
        <v>267</v>
      </c>
      <c r="F21" s="13">
        <f t="shared" si="4"/>
        <v>287</v>
      </c>
      <c r="G21" s="13">
        <f t="shared" si="4"/>
        <v>277</v>
      </c>
      <c r="H21" s="13">
        <f t="shared" si="4"/>
        <v>259</v>
      </c>
      <c r="I21" s="13">
        <f t="shared" si="4"/>
        <v>278</v>
      </c>
      <c r="J21" s="13">
        <f t="shared" si="4"/>
        <v>287</v>
      </c>
      <c r="K21" s="13">
        <f t="shared" si="4"/>
        <v>286</v>
      </c>
      <c r="L21" s="13">
        <f t="shared" si="4"/>
        <v>285</v>
      </c>
      <c r="M21" s="13">
        <f t="shared" si="4"/>
        <v>280</v>
      </c>
      <c r="N21" s="13">
        <f t="shared" si="4"/>
        <v>294</v>
      </c>
      <c r="O21" s="13">
        <f t="shared" si="4"/>
        <v>289</v>
      </c>
      <c r="P21" s="13">
        <f t="shared" si="4"/>
        <v>205</v>
      </c>
      <c r="Q21" s="13">
        <f t="shared" si="4"/>
        <v>216</v>
      </c>
      <c r="R21" s="13">
        <f t="shared" si="4"/>
        <v>217</v>
      </c>
      <c r="S21" s="13">
        <f t="shared" si="4"/>
        <v>239</v>
      </c>
      <c r="T21" s="13">
        <f t="shared" si="4"/>
        <v>231</v>
      </c>
      <c r="U21" s="13">
        <f t="shared" si="4"/>
        <v>222</v>
      </c>
      <c r="V21" s="13">
        <f t="shared" si="4"/>
        <v>230</v>
      </c>
      <c r="W21" s="13">
        <f t="shared" si="4"/>
        <v>210</v>
      </c>
      <c r="X21" s="13">
        <f t="shared" si="4"/>
        <v>235</v>
      </c>
      <c r="Y21" s="13">
        <f t="shared" si="4"/>
        <v>227</v>
      </c>
      <c r="Z21" s="13">
        <f t="shared" si="4"/>
        <v>224</v>
      </c>
      <c r="AA21" s="13">
        <f t="shared" si="4"/>
        <v>196</v>
      </c>
      <c r="AB21" s="13">
        <f t="shared" si="4"/>
        <v>173</v>
      </c>
      <c r="AC21" s="13">
        <f t="shared" si="4"/>
        <v>193</v>
      </c>
      <c r="AD21" s="13">
        <f t="shared" si="3"/>
        <v>6107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0.0</v>
      </c>
      <c r="X22" s="19">
        <v>1.0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3.0</v>
      </c>
      <c r="H25" s="19">
        <v>0.0</v>
      </c>
      <c r="I25" s="19">
        <v>4.0</v>
      </c>
      <c r="J25" s="19">
        <v>0.0</v>
      </c>
      <c r="K25" s="19">
        <v>2.0</v>
      </c>
      <c r="L25" s="19">
        <v>0.0</v>
      </c>
      <c r="M25" s="19">
        <v>0.0</v>
      </c>
      <c r="N25" s="19">
        <v>2.0</v>
      </c>
      <c r="O25" s="19">
        <v>0.0</v>
      </c>
      <c r="P25" s="19">
        <v>1.0</v>
      </c>
      <c r="Q25" s="19">
        <v>1.0</v>
      </c>
      <c r="R25" s="19">
        <v>1.0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19">
        <v>2.0</v>
      </c>
      <c r="F26" s="19">
        <v>0.0</v>
      </c>
      <c r="G26" s="19">
        <v>2.0</v>
      </c>
      <c r="H26" s="19">
        <v>0.0</v>
      </c>
      <c r="I26" s="19">
        <v>4.0</v>
      </c>
      <c r="J26" s="19">
        <v>0.0</v>
      </c>
      <c r="K26" s="19">
        <v>6.0</v>
      </c>
      <c r="L26" s="19">
        <v>1.0</v>
      </c>
      <c r="M26" s="19">
        <v>0.0</v>
      </c>
      <c r="N26" s="19">
        <v>1.0</v>
      </c>
      <c r="O26" s="19">
        <v>0.0</v>
      </c>
      <c r="P26" s="19">
        <v>1.0</v>
      </c>
      <c r="Q26" s="19">
        <v>1.0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1.0</v>
      </c>
      <c r="X26" s="19">
        <v>0.0</v>
      </c>
      <c r="Y26" s="19">
        <v>0.0</v>
      </c>
      <c r="Z26" s="19">
        <v>5.0</v>
      </c>
      <c r="AA26" s="19">
        <v>3.0</v>
      </c>
      <c r="AB26" s="19">
        <v>0.0</v>
      </c>
      <c r="AC26" s="19">
        <v>0.0</v>
      </c>
      <c r="AD26" s="13">
        <f t="shared" si="3"/>
        <v>28</v>
      </c>
    </row>
    <row r="27" ht="12.75" customHeight="1">
      <c r="A27" s="36"/>
      <c r="B27" s="28"/>
      <c r="C27" s="37"/>
      <c r="D27" s="13" t="s">
        <v>14</v>
      </c>
      <c r="E27" s="13">
        <f t="shared" ref="E27:AC27" si="6">SUM(E25:E26)</f>
        <v>4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8</v>
      </c>
      <c r="J27" s="13">
        <f t="shared" si="6"/>
        <v>0</v>
      </c>
      <c r="K27" s="13">
        <f t="shared" si="6"/>
        <v>8</v>
      </c>
      <c r="L27" s="13">
        <f t="shared" si="6"/>
        <v>1</v>
      </c>
      <c r="M27" s="13">
        <f t="shared" si="6"/>
        <v>0</v>
      </c>
      <c r="N27" s="13">
        <f t="shared" si="6"/>
        <v>3</v>
      </c>
      <c r="O27" s="13">
        <f t="shared" si="6"/>
        <v>0</v>
      </c>
      <c r="P27" s="13">
        <f t="shared" si="6"/>
        <v>2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6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3"/>
        <v>45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C28" si="7">SUM(E19,E22,E25)</f>
        <v>132</v>
      </c>
      <c r="F28" s="13">
        <f t="shared" si="7"/>
        <v>143</v>
      </c>
      <c r="G28" s="13">
        <f t="shared" si="7"/>
        <v>148</v>
      </c>
      <c r="H28" s="13">
        <f t="shared" si="7"/>
        <v>126</v>
      </c>
      <c r="I28" s="13">
        <f t="shared" si="7"/>
        <v>138</v>
      </c>
      <c r="J28" s="13">
        <f t="shared" si="7"/>
        <v>152</v>
      </c>
      <c r="K28" s="13">
        <f t="shared" si="7"/>
        <v>142</v>
      </c>
      <c r="L28" s="13">
        <f t="shared" si="7"/>
        <v>143</v>
      </c>
      <c r="M28" s="13">
        <f t="shared" si="7"/>
        <v>138</v>
      </c>
      <c r="N28" s="13">
        <f t="shared" si="7"/>
        <v>152</v>
      </c>
      <c r="O28" s="13">
        <f t="shared" si="7"/>
        <v>139</v>
      </c>
      <c r="P28" s="13">
        <f t="shared" si="7"/>
        <v>99</v>
      </c>
      <c r="Q28" s="13">
        <f t="shared" si="7"/>
        <v>111</v>
      </c>
      <c r="R28" s="13">
        <f t="shared" si="7"/>
        <v>108</v>
      </c>
      <c r="S28" s="13">
        <f t="shared" si="7"/>
        <v>123</v>
      </c>
      <c r="T28" s="13">
        <f t="shared" si="7"/>
        <v>117</v>
      </c>
      <c r="U28" s="13">
        <f t="shared" si="7"/>
        <v>117</v>
      </c>
      <c r="V28" s="13">
        <f t="shared" si="7"/>
        <v>119</v>
      </c>
      <c r="W28" s="13">
        <f t="shared" si="7"/>
        <v>108</v>
      </c>
      <c r="X28" s="13">
        <f t="shared" si="7"/>
        <v>115</v>
      </c>
      <c r="Y28" s="13">
        <f t="shared" si="7"/>
        <v>110</v>
      </c>
      <c r="Z28" s="13">
        <f t="shared" si="7"/>
        <v>108</v>
      </c>
      <c r="AA28" s="13">
        <f t="shared" si="7"/>
        <v>91</v>
      </c>
      <c r="AB28" s="13">
        <f t="shared" si="7"/>
        <v>92</v>
      </c>
      <c r="AC28" s="13">
        <f t="shared" si="7"/>
        <v>93</v>
      </c>
      <c r="AD28" s="13">
        <f t="shared" si="3"/>
        <v>3064</v>
      </c>
    </row>
    <row r="29" ht="12.75" customHeight="1">
      <c r="A29" s="36"/>
      <c r="B29" s="27"/>
      <c r="C29" s="35"/>
      <c r="D29" s="13" t="s">
        <v>13</v>
      </c>
      <c r="E29" s="13">
        <f t="shared" ref="E29:AC29" si="8">SUM(E20,E23,E26)</f>
        <v>139</v>
      </c>
      <c r="F29" s="13">
        <f t="shared" si="8"/>
        <v>144</v>
      </c>
      <c r="G29" s="13">
        <f t="shared" si="8"/>
        <v>135</v>
      </c>
      <c r="H29" s="13">
        <f t="shared" si="8"/>
        <v>133</v>
      </c>
      <c r="I29" s="13">
        <f t="shared" si="8"/>
        <v>148</v>
      </c>
      <c r="J29" s="13">
        <f t="shared" si="8"/>
        <v>135</v>
      </c>
      <c r="K29" s="13">
        <f t="shared" si="8"/>
        <v>152</v>
      </c>
      <c r="L29" s="13">
        <f t="shared" si="8"/>
        <v>143</v>
      </c>
      <c r="M29" s="13">
        <f t="shared" si="8"/>
        <v>142</v>
      </c>
      <c r="N29" s="13">
        <f t="shared" si="8"/>
        <v>146</v>
      </c>
      <c r="O29" s="13">
        <f t="shared" si="8"/>
        <v>150</v>
      </c>
      <c r="P29" s="13">
        <f t="shared" si="8"/>
        <v>108</v>
      </c>
      <c r="Q29" s="13">
        <f t="shared" si="8"/>
        <v>107</v>
      </c>
      <c r="R29" s="13">
        <f t="shared" si="8"/>
        <v>111</v>
      </c>
      <c r="S29" s="13">
        <f t="shared" si="8"/>
        <v>117</v>
      </c>
      <c r="T29" s="13">
        <f t="shared" si="8"/>
        <v>114</v>
      </c>
      <c r="U29" s="13">
        <f t="shared" si="8"/>
        <v>107</v>
      </c>
      <c r="V29" s="13">
        <f t="shared" si="8"/>
        <v>111</v>
      </c>
      <c r="W29" s="13">
        <f t="shared" si="8"/>
        <v>103</v>
      </c>
      <c r="X29" s="13">
        <f t="shared" si="8"/>
        <v>121</v>
      </c>
      <c r="Y29" s="13">
        <f t="shared" si="8"/>
        <v>117</v>
      </c>
      <c r="Z29" s="13">
        <f t="shared" si="8"/>
        <v>122</v>
      </c>
      <c r="AA29" s="13">
        <f t="shared" si="8"/>
        <v>108</v>
      </c>
      <c r="AB29" s="13">
        <f t="shared" si="8"/>
        <v>81</v>
      </c>
      <c r="AC29" s="13">
        <f t="shared" si="8"/>
        <v>100</v>
      </c>
      <c r="AD29" s="13">
        <f t="shared" si="3"/>
        <v>3094</v>
      </c>
    </row>
    <row r="30" ht="12.75" customHeight="1">
      <c r="A30" s="36"/>
      <c r="B30" s="28"/>
      <c r="C30" s="37"/>
      <c r="D30" s="13" t="s">
        <v>14</v>
      </c>
      <c r="E30" s="13">
        <f t="shared" ref="E30:AC30" si="9">SUM(E28:E29)</f>
        <v>271</v>
      </c>
      <c r="F30" s="13">
        <f t="shared" si="9"/>
        <v>287</v>
      </c>
      <c r="G30" s="13">
        <f t="shared" si="9"/>
        <v>283</v>
      </c>
      <c r="H30" s="13">
        <f t="shared" si="9"/>
        <v>259</v>
      </c>
      <c r="I30" s="13">
        <f t="shared" si="9"/>
        <v>286</v>
      </c>
      <c r="J30" s="13">
        <f t="shared" si="9"/>
        <v>287</v>
      </c>
      <c r="K30" s="13">
        <f t="shared" si="9"/>
        <v>294</v>
      </c>
      <c r="L30" s="13">
        <f t="shared" si="9"/>
        <v>286</v>
      </c>
      <c r="M30" s="13">
        <f t="shared" si="9"/>
        <v>280</v>
      </c>
      <c r="N30" s="13">
        <f t="shared" si="9"/>
        <v>298</v>
      </c>
      <c r="O30" s="13">
        <f t="shared" si="9"/>
        <v>289</v>
      </c>
      <c r="P30" s="13">
        <f t="shared" si="9"/>
        <v>207</v>
      </c>
      <c r="Q30" s="13">
        <f t="shared" si="9"/>
        <v>218</v>
      </c>
      <c r="R30" s="13">
        <f t="shared" si="9"/>
        <v>219</v>
      </c>
      <c r="S30" s="13">
        <f t="shared" si="9"/>
        <v>240</v>
      </c>
      <c r="T30" s="13">
        <f t="shared" si="9"/>
        <v>231</v>
      </c>
      <c r="U30" s="13">
        <f t="shared" si="9"/>
        <v>224</v>
      </c>
      <c r="V30" s="13">
        <f t="shared" si="9"/>
        <v>230</v>
      </c>
      <c r="W30" s="13">
        <f t="shared" si="9"/>
        <v>211</v>
      </c>
      <c r="X30" s="13">
        <f t="shared" si="9"/>
        <v>236</v>
      </c>
      <c r="Y30" s="13">
        <f t="shared" si="9"/>
        <v>227</v>
      </c>
      <c r="Z30" s="13">
        <f t="shared" si="9"/>
        <v>230</v>
      </c>
      <c r="AA30" s="13">
        <f t="shared" si="9"/>
        <v>199</v>
      </c>
      <c r="AB30" s="13">
        <f t="shared" si="9"/>
        <v>173</v>
      </c>
      <c r="AC30" s="13">
        <f t="shared" si="9"/>
        <v>193</v>
      </c>
      <c r="AD30" s="13">
        <f t="shared" si="3"/>
        <v>6158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19"/>
      <c r="Z31" s="19"/>
      <c r="AA31" s="19"/>
      <c r="AB31" s="19"/>
      <c r="AC31" s="64"/>
      <c r="AD31" s="65"/>
    </row>
    <row r="32" ht="12.75" customHeight="1">
      <c r="A32" s="44" t="s">
        <v>25</v>
      </c>
      <c r="B32" s="14" t="s">
        <v>26</v>
      </c>
      <c r="C32" s="15"/>
      <c r="D32" s="16"/>
      <c r="E32" s="70" t="s">
        <v>50</v>
      </c>
      <c r="F32" s="70" t="s">
        <v>51</v>
      </c>
      <c r="G32" s="70" t="s">
        <v>52</v>
      </c>
      <c r="H32" s="70" t="s">
        <v>53</v>
      </c>
      <c r="I32" s="70" t="s">
        <v>54</v>
      </c>
      <c r="J32" s="70" t="s">
        <v>55</v>
      </c>
      <c r="K32" s="70" t="s">
        <v>56</v>
      </c>
      <c r="L32" s="70" t="s">
        <v>57</v>
      </c>
      <c r="M32" s="70" t="s">
        <v>58</v>
      </c>
      <c r="N32" s="70" t="s">
        <v>59</v>
      </c>
      <c r="O32" s="70" t="s">
        <v>60</v>
      </c>
      <c r="P32" s="70" t="s">
        <v>61</v>
      </c>
      <c r="Q32" s="70" t="s">
        <v>62</v>
      </c>
      <c r="R32" s="70" t="s">
        <v>63</v>
      </c>
      <c r="S32" s="70" t="s">
        <v>64</v>
      </c>
      <c r="T32" s="70" t="s">
        <v>65</v>
      </c>
      <c r="U32" s="70" t="s">
        <v>66</v>
      </c>
      <c r="V32" s="70" t="s">
        <v>67</v>
      </c>
      <c r="W32" s="70" t="s">
        <v>68</v>
      </c>
      <c r="X32" s="70" t="s">
        <v>69</v>
      </c>
      <c r="Y32" s="70" t="s">
        <v>70</v>
      </c>
      <c r="Z32" s="70" t="s">
        <v>71</v>
      </c>
      <c r="AA32" s="70" t="s">
        <v>72</v>
      </c>
      <c r="AB32" s="70" t="s">
        <v>73</v>
      </c>
      <c r="AC32" s="70" t="s">
        <v>75</v>
      </c>
      <c r="AD32" s="65"/>
    </row>
    <row r="33" ht="12.75" customHeight="1">
      <c r="A33" s="19">
        <v>1.0</v>
      </c>
      <c r="B33" s="20" t="s">
        <v>27</v>
      </c>
      <c r="C33" s="15"/>
      <c r="D33" s="16"/>
      <c r="E33" s="19">
        <v>267.0</v>
      </c>
      <c r="F33" s="19">
        <v>292.0</v>
      </c>
      <c r="G33" s="19">
        <v>284.0</v>
      </c>
      <c r="H33" s="19">
        <v>264.0</v>
      </c>
      <c r="I33" s="19">
        <v>287.0</v>
      </c>
      <c r="J33" s="19">
        <v>293.0</v>
      </c>
      <c r="K33" s="19">
        <v>294.0</v>
      </c>
      <c r="L33" s="19">
        <v>294.0</v>
      </c>
      <c r="M33" s="19">
        <v>286.0</v>
      </c>
      <c r="N33" s="19">
        <v>301.0</v>
      </c>
      <c r="O33" s="19">
        <v>295.0</v>
      </c>
      <c r="P33" s="19">
        <v>210.0</v>
      </c>
      <c r="Q33" s="19">
        <v>225.0</v>
      </c>
      <c r="R33" s="19">
        <v>222.0</v>
      </c>
      <c r="S33" s="19">
        <v>244.0</v>
      </c>
      <c r="T33" s="19">
        <v>284.0</v>
      </c>
      <c r="U33" s="19">
        <v>290.0</v>
      </c>
      <c r="V33" s="19">
        <v>278.0</v>
      </c>
      <c r="W33" s="19">
        <v>269.0</v>
      </c>
      <c r="X33" s="19">
        <v>293.0</v>
      </c>
      <c r="Y33" s="19">
        <v>287.0</v>
      </c>
      <c r="Z33" s="19">
        <v>283.0</v>
      </c>
      <c r="AA33" s="19">
        <v>252.0</v>
      </c>
      <c r="AB33" s="19">
        <v>232.0</v>
      </c>
      <c r="AC33" s="19">
        <v>255.0</v>
      </c>
      <c r="AD33" s="13">
        <f t="shared" ref="AD33:AD36" si="10">SUM(E33:AC33)</f>
        <v>6781</v>
      </c>
    </row>
    <row r="34" ht="12.75" customHeight="1">
      <c r="A34" s="19">
        <v>2.0</v>
      </c>
      <c r="B34" s="20" t="s">
        <v>28</v>
      </c>
      <c r="C34" s="15"/>
      <c r="D34" s="16"/>
      <c r="E34" s="13">
        <v>189.0</v>
      </c>
      <c r="F34" s="13">
        <v>199.0</v>
      </c>
      <c r="G34" s="13">
        <v>206.0</v>
      </c>
      <c r="H34" s="13">
        <v>210.0</v>
      </c>
      <c r="I34" s="13">
        <v>212.0</v>
      </c>
      <c r="J34" s="13">
        <v>225.0</v>
      </c>
      <c r="K34" s="13">
        <v>227.0</v>
      </c>
      <c r="L34" s="13">
        <v>229.0</v>
      </c>
      <c r="M34" s="13">
        <v>195.0</v>
      </c>
      <c r="N34" s="13">
        <v>238.0</v>
      </c>
      <c r="O34" s="13">
        <v>225.0</v>
      </c>
      <c r="P34" s="13">
        <v>162.0</v>
      </c>
      <c r="Q34" s="13">
        <v>182.0</v>
      </c>
      <c r="R34" s="13">
        <v>174.0</v>
      </c>
      <c r="S34" s="13">
        <v>195.0</v>
      </c>
      <c r="T34" s="13">
        <v>231.0</v>
      </c>
      <c r="U34" s="13">
        <v>224.0</v>
      </c>
      <c r="V34" s="13">
        <v>230.0</v>
      </c>
      <c r="W34" s="13">
        <v>211.0</v>
      </c>
      <c r="X34" s="13">
        <v>236.0</v>
      </c>
      <c r="Y34" s="13">
        <v>227.0</v>
      </c>
      <c r="Z34" s="13">
        <v>230.0</v>
      </c>
      <c r="AA34" s="13">
        <v>199.0</v>
      </c>
      <c r="AB34" s="13">
        <v>173.0</v>
      </c>
      <c r="AC34" s="13">
        <v>193.0</v>
      </c>
      <c r="AD34" s="13">
        <f t="shared" si="10"/>
        <v>5222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3.0</v>
      </c>
      <c r="AD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78</v>
      </c>
      <c r="F36" s="13">
        <f t="shared" si="11"/>
        <v>93</v>
      </c>
      <c r="G36" s="13">
        <f t="shared" si="11"/>
        <v>78</v>
      </c>
      <c r="H36" s="13">
        <f t="shared" si="11"/>
        <v>54</v>
      </c>
      <c r="I36" s="13">
        <f t="shared" si="11"/>
        <v>75</v>
      </c>
      <c r="J36" s="13">
        <f t="shared" si="11"/>
        <v>68</v>
      </c>
      <c r="K36" s="13">
        <f t="shared" si="11"/>
        <v>67</v>
      </c>
      <c r="L36" s="13">
        <f t="shared" si="11"/>
        <v>65</v>
      </c>
      <c r="M36" s="13">
        <f t="shared" si="11"/>
        <v>91</v>
      </c>
      <c r="N36" s="13">
        <f t="shared" si="11"/>
        <v>63</v>
      </c>
      <c r="O36" s="13">
        <f t="shared" si="11"/>
        <v>70</v>
      </c>
      <c r="P36" s="13">
        <f t="shared" si="11"/>
        <v>48</v>
      </c>
      <c r="Q36" s="13">
        <f t="shared" si="11"/>
        <v>43</v>
      </c>
      <c r="R36" s="13">
        <f t="shared" si="11"/>
        <v>48</v>
      </c>
      <c r="S36" s="13">
        <f t="shared" si="11"/>
        <v>49</v>
      </c>
      <c r="T36" s="13">
        <f t="shared" si="11"/>
        <v>53</v>
      </c>
      <c r="U36" s="13">
        <f t="shared" si="11"/>
        <v>66</v>
      </c>
      <c r="V36" s="13">
        <f t="shared" si="11"/>
        <v>48</v>
      </c>
      <c r="W36" s="13">
        <f t="shared" si="11"/>
        <v>58</v>
      </c>
      <c r="X36" s="13">
        <f t="shared" si="11"/>
        <v>57</v>
      </c>
      <c r="Y36" s="13">
        <f t="shared" si="11"/>
        <v>60</v>
      </c>
      <c r="Z36" s="13">
        <f t="shared" si="11"/>
        <v>53</v>
      </c>
      <c r="AA36" s="13">
        <f t="shared" si="11"/>
        <v>53</v>
      </c>
      <c r="AB36" s="13">
        <f t="shared" si="11"/>
        <v>58</v>
      </c>
      <c r="AC36" s="13">
        <f t="shared" si="11"/>
        <v>59</v>
      </c>
      <c r="AD36" s="13">
        <f t="shared" si="10"/>
        <v>1555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19"/>
      <c r="Z37" s="19"/>
      <c r="AA37" s="19"/>
      <c r="AB37" s="19"/>
      <c r="AC37" s="64"/>
      <c r="AD37" s="65"/>
    </row>
    <row r="38" ht="12.75" customHeight="1">
      <c r="A38" s="46" t="s">
        <v>31</v>
      </c>
      <c r="B38" s="14" t="s">
        <v>32</v>
      </c>
      <c r="C38" s="15"/>
      <c r="D38" s="16"/>
      <c r="E38" s="70" t="s">
        <v>50</v>
      </c>
      <c r="F38" s="70" t="s">
        <v>51</v>
      </c>
      <c r="G38" s="70" t="s">
        <v>52</v>
      </c>
      <c r="H38" s="70" t="s">
        <v>53</v>
      </c>
      <c r="I38" s="70" t="s">
        <v>54</v>
      </c>
      <c r="J38" s="70" t="s">
        <v>55</v>
      </c>
      <c r="K38" s="70" t="s">
        <v>56</v>
      </c>
      <c r="L38" s="70" t="s">
        <v>57</v>
      </c>
      <c r="M38" s="70" t="s">
        <v>58</v>
      </c>
      <c r="N38" s="70" t="s">
        <v>59</v>
      </c>
      <c r="O38" s="70" t="s">
        <v>60</v>
      </c>
      <c r="P38" s="70" t="s">
        <v>61</v>
      </c>
      <c r="Q38" s="70" t="s">
        <v>62</v>
      </c>
      <c r="R38" s="70" t="s">
        <v>63</v>
      </c>
      <c r="S38" s="70" t="s">
        <v>64</v>
      </c>
      <c r="T38" s="70" t="s">
        <v>65</v>
      </c>
      <c r="U38" s="70" t="s">
        <v>66</v>
      </c>
      <c r="V38" s="70" t="s">
        <v>67</v>
      </c>
      <c r="W38" s="70" t="s">
        <v>68</v>
      </c>
      <c r="X38" s="70" t="s">
        <v>69</v>
      </c>
      <c r="Y38" s="70" t="s">
        <v>70</v>
      </c>
      <c r="Z38" s="70" t="s">
        <v>71</v>
      </c>
      <c r="AA38" s="70" t="s">
        <v>72</v>
      </c>
      <c r="AB38" s="70" t="s">
        <v>73</v>
      </c>
      <c r="AC38" s="70" t="s">
        <v>75</v>
      </c>
      <c r="AD38" s="65"/>
    </row>
    <row r="39" ht="12.75" customHeight="1">
      <c r="A39" s="31"/>
      <c r="B39" s="47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2">SUM(E39:AC39)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3">
        <f t="shared" si="12"/>
        <v>1</v>
      </c>
    </row>
    <row r="41" ht="12.75" customHeight="1">
      <c r="A41" s="44"/>
      <c r="B41" s="48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1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9"/>
      <c r="Z42" s="19"/>
      <c r="AA42" s="19"/>
      <c r="AB42" s="19"/>
      <c r="AC42" s="64"/>
      <c r="AD42" s="13"/>
    </row>
    <row r="43" ht="12.75" customHeight="1">
      <c r="A43" s="46" t="s">
        <v>34</v>
      </c>
      <c r="B43" s="14" t="s">
        <v>35</v>
      </c>
      <c r="C43" s="15"/>
      <c r="D43" s="16"/>
      <c r="E43" s="70" t="s">
        <v>50</v>
      </c>
      <c r="F43" s="70" t="s">
        <v>51</v>
      </c>
      <c r="G43" s="70" t="s">
        <v>52</v>
      </c>
      <c r="H43" s="70" t="s">
        <v>53</v>
      </c>
      <c r="I43" s="70" t="s">
        <v>54</v>
      </c>
      <c r="J43" s="70" t="s">
        <v>55</v>
      </c>
      <c r="K43" s="70" t="s">
        <v>56</v>
      </c>
      <c r="L43" s="70" t="s">
        <v>57</v>
      </c>
      <c r="M43" s="70" t="s">
        <v>58</v>
      </c>
      <c r="N43" s="70" t="s">
        <v>59</v>
      </c>
      <c r="O43" s="70" t="s">
        <v>60</v>
      </c>
      <c r="P43" s="70" t="s">
        <v>61</v>
      </c>
      <c r="Q43" s="70" t="s">
        <v>62</v>
      </c>
      <c r="R43" s="70" t="s">
        <v>63</v>
      </c>
      <c r="S43" s="70" t="s">
        <v>64</v>
      </c>
      <c r="T43" s="70" t="s">
        <v>65</v>
      </c>
      <c r="U43" s="70" t="s">
        <v>66</v>
      </c>
      <c r="V43" s="70" t="s">
        <v>67</v>
      </c>
      <c r="W43" s="70" t="s">
        <v>68</v>
      </c>
      <c r="X43" s="70" t="s">
        <v>69</v>
      </c>
      <c r="Y43" s="70" t="s">
        <v>70</v>
      </c>
      <c r="Z43" s="70" t="s">
        <v>71</v>
      </c>
      <c r="AA43" s="70" t="s">
        <v>72</v>
      </c>
      <c r="AB43" s="70" t="s">
        <v>73</v>
      </c>
      <c r="AC43" s="70" t="s">
        <v>75</v>
      </c>
      <c r="AD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64"/>
      <c r="Y44" s="19"/>
      <c r="Z44" s="19"/>
      <c r="AA44" s="19"/>
      <c r="AB44" s="19"/>
      <c r="AC44" s="64"/>
      <c r="AD44" s="13"/>
    </row>
    <row r="45" ht="12.75" customHeight="1">
      <c r="A45" s="67"/>
      <c r="B45" s="51">
        <v>1.0</v>
      </c>
      <c r="C45" s="52" t="s">
        <v>37</v>
      </c>
      <c r="D45" s="16"/>
      <c r="E45" s="19">
        <v>24.0</v>
      </c>
      <c r="F45" s="19">
        <v>21.0</v>
      </c>
      <c r="G45" s="19">
        <v>13.0</v>
      </c>
      <c r="H45" s="19">
        <v>43.0</v>
      </c>
      <c r="I45" s="19">
        <v>23.0</v>
      </c>
      <c r="J45" s="19">
        <v>5.0</v>
      </c>
      <c r="K45" s="19">
        <v>34.0</v>
      </c>
      <c r="L45" s="19">
        <v>18.0</v>
      </c>
      <c r="M45" s="19">
        <v>24.0</v>
      </c>
      <c r="N45" s="19">
        <v>19.0</v>
      </c>
      <c r="O45" s="19">
        <v>9.0</v>
      </c>
      <c r="P45" s="19">
        <v>5.0</v>
      </c>
      <c r="Q45" s="19">
        <v>5.0</v>
      </c>
      <c r="R45" s="19">
        <v>28.0</v>
      </c>
      <c r="S45" s="19">
        <v>16.0</v>
      </c>
      <c r="T45" s="19">
        <v>19.0</v>
      </c>
      <c r="U45" s="19">
        <v>3.0</v>
      </c>
      <c r="V45" s="19">
        <v>11.0</v>
      </c>
      <c r="W45" s="19">
        <v>17.0</v>
      </c>
      <c r="X45" s="19">
        <v>23.0</v>
      </c>
      <c r="Y45" s="19">
        <v>38.0</v>
      </c>
      <c r="Z45" s="19">
        <v>42.0</v>
      </c>
      <c r="AA45" s="19">
        <v>14.0</v>
      </c>
      <c r="AB45" s="19">
        <v>6.0</v>
      </c>
      <c r="AC45" s="19">
        <v>16.0</v>
      </c>
      <c r="AD45" s="13">
        <f t="shared" ref="AD45:AD47" si="14">SUM(E45:AC45)</f>
        <v>476</v>
      </c>
    </row>
    <row r="46" ht="12.75" customHeight="1">
      <c r="A46" s="18"/>
      <c r="B46" s="51">
        <v>2.0</v>
      </c>
      <c r="C46" s="52" t="s">
        <v>38</v>
      </c>
      <c r="D46" s="16"/>
      <c r="E46" s="19">
        <v>128.0</v>
      </c>
      <c r="F46" s="19">
        <v>137.0</v>
      </c>
      <c r="G46" s="19">
        <v>141.0</v>
      </c>
      <c r="H46" s="19">
        <v>135.0</v>
      </c>
      <c r="I46" s="19">
        <v>150.0</v>
      </c>
      <c r="J46" s="19">
        <v>171.0</v>
      </c>
      <c r="K46" s="19">
        <v>120.0</v>
      </c>
      <c r="L46" s="19">
        <v>154.0</v>
      </c>
      <c r="M46" s="19">
        <v>142.0</v>
      </c>
      <c r="N46" s="19">
        <v>161.0</v>
      </c>
      <c r="O46" s="19">
        <v>187.0</v>
      </c>
      <c r="P46" s="19">
        <v>129.0</v>
      </c>
      <c r="Q46" s="19">
        <v>119.0</v>
      </c>
      <c r="R46" s="19">
        <v>109.0</v>
      </c>
      <c r="S46" s="19">
        <v>144.0</v>
      </c>
      <c r="T46" s="19">
        <v>177.0</v>
      </c>
      <c r="U46" s="19">
        <v>192.0</v>
      </c>
      <c r="V46" s="19">
        <v>165.0</v>
      </c>
      <c r="W46" s="19">
        <v>145.0</v>
      </c>
      <c r="X46" s="19">
        <v>168.0</v>
      </c>
      <c r="Y46" s="19">
        <v>156.0</v>
      </c>
      <c r="Z46" s="19">
        <v>151.0</v>
      </c>
      <c r="AA46" s="19">
        <v>154.0</v>
      </c>
      <c r="AB46" s="19">
        <v>97.0</v>
      </c>
      <c r="AC46" s="19">
        <v>125.0</v>
      </c>
      <c r="AD46" s="13">
        <f t="shared" si="14"/>
        <v>3657</v>
      </c>
    </row>
    <row r="47" ht="12.75" customHeight="1">
      <c r="A47" s="49"/>
      <c r="B47" s="51">
        <v>3.0</v>
      </c>
      <c r="C47" s="52" t="s">
        <v>39</v>
      </c>
      <c r="D47" s="16"/>
      <c r="E47" s="19">
        <v>34.0</v>
      </c>
      <c r="F47" s="19">
        <v>33.0</v>
      </c>
      <c r="G47" s="19">
        <v>46.0</v>
      </c>
      <c r="H47" s="19">
        <v>31.0</v>
      </c>
      <c r="I47" s="19">
        <v>33.0</v>
      </c>
      <c r="J47" s="19">
        <v>43.0</v>
      </c>
      <c r="K47" s="19">
        <v>68.0</v>
      </c>
      <c r="L47" s="19">
        <v>53.0</v>
      </c>
      <c r="M47" s="19">
        <v>26.0</v>
      </c>
      <c r="N47" s="19">
        <v>56.0</v>
      </c>
      <c r="O47" s="19">
        <v>23.0</v>
      </c>
      <c r="P47" s="19">
        <v>28.0</v>
      </c>
      <c r="Q47" s="19">
        <v>56.0</v>
      </c>
      <c r="R47" s="19">
        <v>34.0</v>
      </c>
      <c r="S47" s="19">
        <v>31.0</v>
      </c>
      <c r="T47" s="19">
        <v>34.0</v>
      </c>
      <c r="U47" s="19">
        <v>24.0</v>
      </c>
      <c r="V47" s="19">
        <v>53.0</v>
      </c>
      <c r="W47" s="19">
        <v>44.0</v>
      </c>
      <c r="X47" s="19">
        <v>43.0</v>
      </c>
      <c r="Y47" s="19">
        <v>29.0</v>
      </c>
      <c r="Z47" s="19">
        <v>34.0</v>
      </c>
      <c r="AA47" s="19">
        <v>25.0</v>
      </c>
      <c r="AB47" s="19">
        <v>65.0</v>
      </c>
      <c r="AC47" s="19">
        <v>45.0</v>
      </c>
      <c r="AD47" s="13">
        <f t="shared" si="14"/>
        <v>991</v>
      </c>
    </row>
    <row r="48" ht="12.75" customHeight="1">
      <c r="AD48" s="13"/>
    </row>
    <row r="49" ht="12.75" customHeight="1">
      <c r="A49" s="46" t="s">
        <v>40</v>
      </c>
      <c r="B49" s="14" t="s">
        <v>41</v>
      </c>
      <c r="C49" s="15"/>
      <c r="D49" s="16"/>
      <c r="E49" s="70" t="s">
        <v>50</v>
      </c>
      <c r="F49" s="70" t="s">
        <v>51</v>
      </c>
      <c r="G49" s="70" t="s">
        <v>52</v>
      </c>
      <c r="H49" s="70" t="s">
        <v>53</v>
      </c>
      <c r="I49" s="70" t="s">
        <v>54</v>
      </c>
      <c r="J49" s="70" t="s">
        <v>55</v>
      </c>
      <c r="K49" s="70" t="s">
        <v>56</v>
      </c>
      <c r="L49" s="70" t="s">
        <v>57</v>
      </c>
      <c r="M49" s="70" t="s">
        <v>58</v>
      </c>
      <c r="N49" s="70" t="s">
        <v>59</v>
      </c>
      <c r="O49" s="70" t="s">
        <v>60</v>
      </c>
      <c r="P49" s="70" t="s">
        <v>61</v>
      </c>
      <c r="Q49" s="70" t="s">
        <v>62</v>
      </c>
      <c r="R49" s="70" t="s">
        <v>63</v>
      </c>
      <c r="S49" s="70" t="s">
        <v>64</v>
      </c>
      <c r="T49" s="70" t="s">
        <v>65</v>
      </c>
      <c r="U49" s="70" t="s">
        <v>66</v>
      </c>
      <c r="V49" s="70" t="s">
        <v>67</v>
      </c>
      <c r="W49" s="70" t="s">
        <v>68</v>
      </c>
      <c r="X49" s="70" t="s">
        <v>69</v>
      </c>
      <c r="Y49" s="70" t="s">
        <v>70</v>
      </c>
      <c r="Z49" s="70" t="s">
        <v>71</v>
      </c>
      <c r="AA49" s="70" t="s">
        <v>72</v>
      </c>
      <c r="AB49" s="70" t="s">
        <v>73</v>
      </c>
      <c r="AC49" s="70" t="s">
        <v>75</v>
      </c>
      <c r="AD49" s="13"/>
    </row>
    <row r="50" ht="12.75" customHeight="1">
      <c r="A50" s="46"/>
      <c r="B50" s="58" t="s">
        <v>42</v>
      </c>
      <c r="C50" s="59" t="s">
        <v>43</v>
      </c>
      <c r="D50" s="16"/>
      <c r="E50" s="19">
        <f t="shared" ref="E50:AC50" si="15">SUM(E45:E47)</f>
        <v>186</v>
      </c>
      <c r="F50" s="19">
        <f t="shared" si="15"/>
        <v>191</v>
      </c>
      <c r="G50" s="19">
        <f t="shared" si="15"/>
        <v>200</v>
      </c>
      <c r="H50" s="19">
        <f t="shared" si="15"/>
        <v>209</v>
      </c>
      <c r="I50" s="19">
        <f t="shared" si="15"/>
        <v>206</v>
      </c>
      <c r="J50" s="19">
        <f t="shared" si="15"/>
        <v>219</v>
      </c>
      <c r="K50" s="19">
        <f t="shared" si="15"/>
        <v>222</v>
      </c>
      <c r="L50" s="19">
        <f t="shared" si="15"/>
        <v>225</v>
      </c>
      <c r="M50" s="19">
        <f t="shared" si="15"/>
        <v>192</v>
      </c>
      <c r="N50" s="19">
        <f t="shared" si="15"/>
        <v>236</v>
      </c>
      <c r="O50" s="19">
        <f t="shared" si="15"/>
        <v>219</v>
      </c>
      <c r="P50" s="19">
        <f t="shared" si="15"/>
        <v>162</v>
      </c>
      <c r="Q50" s="19">
        <f t="shared" si="15"/>
        <v>180</v>
      </c>
      <c r="R50" s="19">
        <f t="shared" si="15"/>
        <v>171</v>
      </c>
      <c r="S50" s="19">
        <f t="shared" si="15"/>
        <v>191</v>
      </c>
      <c r="T50" s="19">
        <f t="shared" si="15"/>
        <v>230</v>
      </c>
      <c r="U50" s="19">
        <f t="shared" si="15"/>
        <v>219</v>
      </c>
      <c r="V50" s="19">
        <f t="shared" si="15"/>
        <v>229</v>
      </c>
      <c r="W50" s="19">
        <f t="shared" si="15"/>
        <v>206</v>
      </c>
      <c r="X50" s="19">
        <f t="shared" si="15"/>
        <v>234</v>
      </c>
      <c r="Y50" s="19">
        <f t="shared" si="15"/>
        <v>223</v>
      </c>
      <c r="Z50" s="19">
        <f t="shared" si="15"/>
        <v>227</v>
      </c>
      <c r="AA50" s="19">
        <f t="shared" si="15"/>
        <v>193</v>
      </c>
      <c r="AB50" s="19">
        <f t="shared" si="15"/>
        <v>168</v>
      </c>
      <c r="AC50" s="19">
        <f t="shared" si="15"/>
        <v>186</v>
      </c>
      <c r="AD50" s="13">
        <f t="shared" ref="AD50:AD52" si="16">SUM(E50:AC50)</f>
        <v>5124</v>
      </c>
    </row>
    <row r="51" ht="12.75" customHeight="1">
      <c r="A51" s="36"/>
      <c r="B51" s="58" t="s">
        <v>44</v>
      </c>
      <c r="C51" s="59" t="s">
        <v>45</v>
      </c>
      <c r="D51" s="16"/>
      <c r="E51" s="19">
        <v>3.0</v>
      </c>
      <c r="F51" s="19">
        <v>8.0</v>
      </c>
      <c r="G51" s="19">
        <v>6.0</v>
      </c>
      <c r="H51" s="19">
        <v>1.0</v>
      </c>
      <c r="I51" s="19">
        <v>6.0</v>
      </c>
      <c r="J51" s="19">
        <v>6.0</v>
      </c>
      <c r="K51" s="19">
        <v>5.0</v>
      </c>
      <c r="L51" s="19">
        <v>4.0</v>
      </c>
      <c r="M51" s="19">
        <v>3.0</v>
      </c>
      <c r="N51" s="19">
        <v>2.0</v>
      </c>
      <c r="O51" s="19">
        <v>6.0</v>
      </c>
      <c r="P51" s="19">
        <v>0.0</v>
      </c>
      <c r="Q51" s="19">
        <v>2.0</v>
      </c>
      <c r="R51" s="19">
        <v>3.0</v>
      </c>
      <c r="S51" s="19">
        <v>4.0</v>
      </c>
      <c r="T51" s="19">
        <v>1.0</v>
      </c>
      <c r="U51" s="19">
        <v>5.0</v>
      </c>
      <c r="V51" s="19">
        <v>1.0</v>
      </c>
      <c r="W51" s="19">
        <v>5.0</v>
      </c>
      <c r="X51" s="19">
        <v>2.0</v>
      </c>
      <c r="Y51" s="19">
        <v>4.0</v>
      </c>
      <c r="Z51" s="19">
        <v>3.0</v>
      </c>
      <c r="AA51" s="19">
        <v>6.0</v>
      </c>
      <c r="AB51" s="19">
        <v>5.0</v>
      </c>
      <c r="AC51" s="19">
        <v>7.0</v>
      </c>
      <c r="AD51" s="13">
        <f t="shared" si="16"/>
        <v>98</v>
      </c>
    </row>
    <row r="52" ht="12.75" customHeight="1">
      <c r="A52" s="44"/>
      <c r="B52" s="58" t="s">
        <v>46</v>
      </c>
      <c r="C52" s="59" t="s">
        <v>47</v>
      </c>
      <c r="D52" s="16"/>
      <c r="E52" s="13">
        <f t="shared" ref="E52:AC52" si="17">SUM(E50:E51)</f>
        <v>189</v>
      </c>
      <c r="F52" s="13">
        <f t="shared" si="17"/>
        <v>199</v>
      </c>
      <c r="G52" s="13">
        <f t="shared" si="17"/>
        <v>206</v>
      </c>
      <c r="H52" s="13">
        <f t="shared" si="17"/>
        <v>210</v>
      </c>
      <c r="I52" s="13">
        <f t="shared" si="17"/>
        <v>212</v>
      </c>
      <c r="J52" s="13">
        <f t="shared" si="17"/>
        <v>225</v>
      </c>
      <c r="K52" s="13">
        <f t="shared" si="17"/>
        <v>227</v>
      </c>
      <c r="L52" s="13">
        <f t="shared" si="17"/>
        <v>229</v>
      </c>
      <c r="M52" s="13">
        <f t="shared" si="17"/>
        <v>195</v>
      </c>
      <c r="N52" s="13">
        <f t="shared" si="17"/>
        <v>238</v>
      </c>
      <c r="O52" s="13">
        <f t="shared" si="17"/>
        <v>225</v>
      </c>
      <c r="P52" s="13">
        <f t="shared" si="17"/>
        <v>162</v>
      </c>
      <c r="Q52" s="13">
        <f t="shared" si="17"/>
        <v>182</v>
      </c>
      <c r="R52" s="13">
        <f t="shared" si="17"/>
        <v>174</v>
      </c>
      <c r="S52" s="13">
        <f t="shared" si="17"/>
        <v>195</v>
      </c>
      <c r="T52" s="13">
        <f t="shared" si="17"/>
        <v>231</v>
      </c>
      <c r="U52" s="13">
        <f t="shared" si="17"/>
        <v>224</v>
      </c>
      <c r="V52" s="13">
        <f t="shared" si="17"/>
        <v>230</v>
      </c>
      <c r="W52" s="13">
        <f t="shared" si="17"/>
        <v>211</v>
      </c>
      <c r="X52" s="13">
        <f t="shared" si="17"/>
        <v>236</v>
      </c>
      <c r="Y52" s="13">
        <f t="shared" si="17"/>
        <v>227</v>
      </c>
      <c r="Z52" s="13">
        <f t="shared" si="17"/>
        <v>230</v>
      </c>
      <c r="AA52" s="13">
        <f t="shared" si="17"/>
        <v>199</v>
      </c>
      <c r="AB52" s="13">
        <f t="shared" si="17"/>
        <v>173</v>
      </c>
      <c r="AC52" s="13">
        <f t="shared" si="17"/>
        <v>193</v>
      </c>
      <c r="AD52" s="13">
        <f t="shared" si="16"/>
        <v>5222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>
      <c r="AE134" s="5"/>
      <c r="AF134" s="5"/>
    </row>
    <row r="135" ht="12.75" customHeight="1">
      <c r="AE135" s="5"/>
      <c r="AF135" s="5"/>
    </row>
    <row r="136" ht="12.75" customHeight="1">
      <c r="AE136" s="5"/>
      <c r="AF136" s="5"/>
    </row>
    <row r="137" ht="12.75" customHeight="1">
      <c r="AE137" s="5"/>
      <c r="AF137" s="5"/>
    </row>
    <row r="138" ht="12.75" customHeight="1">
      <c r="AE138" s="5"/>
      <c r="AF138" s="5"/>
    </row>
    <row r="139" ht="12.75" customHeight="1">
      <c r="AE139" s="5"/>
      <c r="AF139" s="5"/>
    </row>
    <row r="140" ht="12.75" customHeight="1">
      <c r="AE140" s="5"/>
      <c r="AF140" s="5"/>
    </row>
    <row r="141" ht="12.75" customHeight="1">
      <c r="AE141" s="1"/>
      <c r="AF141" s="1"/>
    </row>
    <row r="142" ht="12.75" customHeight="1">
      <c r="AE142" s="54"/>
      <c r="AF142" s="54"/>
    </row>
    <row r="143" ht="12.75" customHeight="1">
      <c r="AE143" s="5"/>
      <c r="AF143" s="5"/>
    </row>
    <row r="144" ht="12.75" customHeight="1">
      <c r="AE144" s="5"/>
      <c r="AF144" s="5"/>
    </row>
    <row r="145" ht="12.75" customHeight="1">
      <c r="AE145" s="5"/>
      <c r="AF145" s="5"/>
    </row>
    <row r="146" ht="12.75" customHeight="1">
      <c r="AE146" s="5"/>
      <c r="AF146" s="5"/>
    </row>
    <row r="147" ht="12.75" customHeight="1">
      <c r="AE147" s="5"/>
      <c r="AF147" s="5"/>
    </row>
    <row r="148" ht="12.75" customHeight="1">
      <c r="AE148" s="5"/>
      <c r="AF148" s="5"/>
    </row>
    <row r="149" ht="12.75" customHeight="1">
      <c r="AE149" s="5"/>
      <c r="AF149" s="5"/>
    </row>
    <row r="150" ht="12.75" customHeight="1">
      <c r="AE150" s="5"/>
      <c r="AF150" s="5"/>
    </row>
    <row r="151" ht="12.75" customHeight="1">
      <c r="AE151" s="1"/>
      <c r="AF151" s="1"/>
    </row>
    <row r="152" ht="12.75" customHeight="1">
      <c r="AE152" s="54"/>
      <c r="AF152" s="54"/>
    </row>
    <row r="153" ht="12.75" customHeight="1">
      <c r="AE153" s="5"/>
      <c r="AF153" s="5"/>
    </row>
    <row r="154" ht="12.75" customHeight="1">
      <c r="AE154" s="5"/>
      <c r="AF154" s="5"/>
    </row>
    <row r="155" ht="12.75" customHeight="1">
      <c r="AE155" s="5"/>
      <c r="AF155" s="5"/>
    </row>
    <row r="156" ht="12.75" customHeight="1">
      <c r="AE156" s="5"/>
      <c r="AF156" s="5"/>
    </row>
    <row r="157" ht="12.75" customHeight="1">
      <c r="AE157" s="5"/>
      <c r="AF157" s="5"/>
    </row>
    <row r="158" ht="12.75" customHeight="1">
      <c r="AE158" s="5"/>
      <c r="AF158" s="5"/>
    </row>
    <row r="159" ht="12.75" customHeight="1">
      <c r="AE159" s="5"/>
      <c r="AF159" s="5"/>
    </row>
    <row r="160" ht="12.75" customHeight="1">
      <c r="AE160" s="5"/>
      <c r="AF160" s="5"/>
    </row>
    <row r="161" ht="12.75" customHeight="1">
      <c r="AE161" s="5"/>
      <c r="AF161" s="5"/>
    </row>
    <row r="162" ht="12.75" customHeight="1">
      <c r="AE162" s="5"/>
      <c r="AF162" s="5"/>
    </row>
    <row r="163" ht="12.75" customHeight="1">
      <c r="AE163" s="5"/>
      <c r="AF163" s="5"/>
    </row>
    <row r="164" ht="12.75" customHeight="1">
      <c r="AE164" s="5"/>
      <c r="AF164" s="5"/>
    </row>
    <row r="165" ht="12.75" customHeight="1">
      <c r="AE165" s="1"/>
      <c r="AF165" s="1"/>
    </row>
    <row r="166" ht="12.75" customHeight="1">
      <c r="AE166" s="54"/>
      <c r="AF166" s="54"/>
    </row>
    <row r="167" ht="12.75" customHeight="1">
      <c r="AE167" s="5"/>
      <c r="AF167" s="5"/>
    </row>
    <row r="168" ht="12.75" customHeight="1">
      <c r="AE168" s="5"/>
      <c r="AF168" s="5"/>
    </row>
    <row r="169" ht="12.75" customHeight="1">
      <c r="AE169" s="5"/>
      <c r="AF169" s="5"/>
    </row>
    <row r="170" ht="12.75" customHeight="1">
      <c r="AE170" s="5"/>
      <c r="AF170" s="5"/>
    </row>
    <row r="171" ht="12.75" customHeight="1">
      <c r="AE171" s="5"/>
      <c r="AF171" s="5"/>
    </row>
    <row r="172" ht="12.75" customHeight="1">
      <c r="AE172" s="5"/>
      <c r="AF172" s="5"/>
    </row>
    <row r="173" ht="12.75" customHeight="1">
      <c r="AE173" s="5"/>
      <c r="AF173" s="5"/>
    </row>
    <row r="174" ht="12.75" customHeight="1">
      <c r="AE174" s="5"/>
      <c r="AF174" s="5"/>
    </row>
    <row r="175" ht="12.75" customHeight="1">
      <c r="AE175" s="5"/>
      <c r="AF175" s="5"/>
    </row>
    <row r="176" ht="12.75" customHeight="1">
      <c r="AE176" s="1"/>
      <c r="AF176" s="1"/>
    </row>
    <row r="177" ht="12.75" customHeight="1"/>
    <row r="178" ht="12.75" customHeight="1">
      <c r="AE178" s="5"/>
      <c r="AF178" s="5"/>
    </row>
    <row r="179" ht="12.75" customHeight="1">
      <c r="AE179" s="5"/>
      <c r="AF179" s="5"/>
    </row>
    <row r="180" ht="12.75" customHeight="1">
      <c r="AE180" s="5"/>
      <c r="AF180" s="5"/>
    </row>
    <row r="181" ht="12.75" customHeight="1">
      <c r="AE181" s="5"/>
      <c r="AF181" s="5"/>
    </row>
    <row r="182" ht="12.75" customHeight="1">
      <c r="AE182" s="5"/>
      <c r="AF182" s="5"/>
    </row>
    <row r="183" ht="12.75" customHeight="1">
      <c r="AE183" s="5"/>
      <c r="AF183" s="5"/>
    </row>
    <row r="184" ht="12.75" customHeight="1">
      <c r="AE184" s="5"/>
      <c r="AF184" s="5"/>
    </row>
    <row r="185" ht="12.75" customHeight="1">
      <c r="AE185" s="5"/>
      <c r="AF185" s="5"/>
    </row>
    <row r="186" ht="12.75" customHeight="1">
      <c r="AE186" s="5"/>
      <c r="AF186" s="5"/>
    </row>
    <row r="187" ht="12.75" customHeight="1">
      <c r="AE187" s="1"/>
      <c r="AF187" s="1"/>
    </row>
    <row r="188" ht="12.75" customHeight="1"/>
    <row r="189" ht="12.75" customHeight="1">
      <c r="AE189" s="5"/>
      <c r="AF189" s="5"/>
    </row>
    <row r="190" ht="12.75" customHeight="1">
      <c r="AE190" s="5"/>
      <c r="AF190" s="5"/>
    </row>
    <row r="191" ht="12.75" customHeight="1">
      <c r="AE191" s="5"/>
      <c r="AF191" s="5"/>
    </row>
    <row r="192" ht="12.75" customHeight="1">
      <c r="AE192" s="5"/>
      <c r="AF192" s="5"/>
    </row>
    <row r="193" ht="12.75" customHeight="1">
      <c r="AE193" s="5"/>
      <c r="AF193" s="5"/>
    </row>
    <row r="194" ht="12.75" customHeight="1">
      <c r="AE194" s="5"/>
      <c r="AF194" s="5"/>
    </row>
    <row r="195" ht="12.75" customHeight="1">
      <c r="AE195" s="5"/>
      <c r="AF195" s="5"/>
    </row>
    <row r="196" ht="12.75" customHeight="1">
      <c r="AE196" s="1"/>
      <c r="AF196" s="1"/>
    </row>
    <row r="197" ht="12.75" customHeight="1">
      <c r="AE197" s="1"/>
      <c r="AF197" s="1"/>
    </row>
    <row r="198" ht="12.75" customHeight="1">
      <c r="AE198" s="1"/>
      <c r="AF198" s="1"/>
    </row>
    <row r="199" ht="12.75" customHeight="1">
      <c r="AE199" s="54"/>
      <c r="AF199" s="54"/>
    </row>
    <row r="200" ht="12.75" customHeight="1">
      <c r="AE200" s="5"/>
      <c r="AF200" s="5"/>
    </row>
    <row r="201" ht="12.75" customHeight="1">
      <c r="AE201" s="5"/>
      <c r="AF201" s="5"/>
    </row>
    <row r="202" ht="12.75" customHeight="1">
      <c r="AE202" s="5"/>
      <c r="AF202" s="5"/>
    </row>
    <row r="203" ht="12.75" customHeight="1">
      <c r="AE203" s="5"/>
      <c r="AF203" s="5"/>
    </row>
    <row r="204" ht="12.75" customHeight="1">
      <c r="AE204" s="5"/>
      <c r="AF204" s="5"/>
    </row>
    <row r="205" ht="12.75" customHeight="1">
      <c r="AE205" s="5"/>
      <c r="AF205" s="5"/>
    </row>
    <row r="206" ht="12.75" customHeight="1">
      <c r="AE206" s="5"/>
      <c r="AF206" s="5"/>
    </row>
    <row r="207" ht="12.75" customHeight="1">
      <c r="AE207" s="1"/>
      <c r="AF207" s="1"/>
    </row>
    <row r="208" ht="12.75" customHeight="1">
      <c r="AE208" s="54"/>
      <c r="AF208" s="54"/>
    </row>
    <row r="209" ht="12.75" customHeight="1">
      <c r="AE209" s="54"/>
      <c r="AF209" s="54"/>
    </row>
    <row r="210" ht="12.75" customHeight="1">
      <c r="AE210" s="54"/>
      <c r="AF210" s="54"/>
    </row>
    <row r="211" ht="12.75" customHeight="1">
      <c r="AE211" s="5"/>
      <c r="AF211" s="5"/>
    </row>
    <row r="212" ht="12.75" customHeight="1">
      <c r="AE212" s="5"/>
      <c r="AF212" s="5"/>
    </row>
    <row r="213" ht="12.75" customHeight="1">
      <c r="AE213" s="5"/>
      <c r="AF213" s="5"/>
    </row>
    <row r="214" ht="12.75" customHeight="1">
      <c r="AE214" s="5"/>
      <c r="AF214" s="5"/>
    </row>
    <row r="215" ht="12.75" customHeight="1">
      <c r="AE215" s="5"/>
      <c r="AF215" s="5"/>
    </row>
    <row r="216" ht="12.75" customHeight="1">
      <c r="AE216" s="5"/>
      <c r="AF216" s="5"/>
    </row>
    <row r="217" ht="12.75" customHeight="1">
      <c r="AE217" s="5"/>
      <c r="AF217" s="5"/>
    </row>
    <row r="218" ht="12.75" customHeight="1">
      <c r="AE218" s="1"/>
      <c r="AF218" s="1"/>
    </row>
    <row r="219" ht="12.75" customHeight="1">
      <c r="AE219" s="54"/>
      <c r="AF219" s="54"/>
    </row>
    <row r="220" ht="12.75" customHeight="1">
      <c r="AE220" s="5"/>
      <c r="AF220" s="5"/>
    </row>
    <row r="221" ht="12.75" customHeight="1">
      <c r="AE221" s="5"/>
      <c r="AF221" s="5"/>
    </row>
    <row r="222" ht="12.75" customHeight="1">
      <c r="AE222" s="5"/>
      <c r="AF222" s="5"/>
    </row>
    <row r="223" ht="12.75" customHeight="1">
      <c r="AE223" s="5"/>
      <c r="AF223" s="5"/>
    </row>
    <row r="224" ht="12.75" customHeight="1">
      <c r="AE224" s="5"/>
      <c r="AF224" s="5"/>
    </row>
    <row r="225" ht="12.75" customHeight="1">
      <c r="AE225" s="5"/>
      <c r="AF225" s="5"/>
    </row>
    <row r="226" ht="12.75" customHeight="1">
      <c r="AE226" s="5"/>
      <c r="AF226" s="5"/>
    </row>
    <row r="227" ht="12.75" customHeight="1">
      <c r="AE227" s="5"/>
      <c r="AF227" s="5"/>
    </row>
    <row r="228" ht="12.75" customHeight="1">
      <c r="AE228" s="5"/>
      <c r="AF228" s="5"/>
    </row>
    <row r="229" ht="12.75" customHeight="1">
      <c r="AE229" s="1"/>
      <c r="AF229" s="1"/>
    </row>
    <row r="230" ht="12.75" customHeight="1">
      <c r="AE230" s="54"/>
      <c r="AF230" s="54"/>
    </row>
    <row r="231" ht="12.75" customHeight="1">
      <c r="AE231" s="5"/>
      <c r="AF231" s="5"/>
    </row>
    <row r="232" ht="12.75" customHeight="1">
      <c r="AE232" s="5"/>
      <c r="AF232" s="5"/>
    </row>
    <row r="233" ht="12.75" customHeight="1">
      <c r="AE233" s="5"/>
      <c r="AF233" s="5"/>
    </row>
    <row r="234" ht="12.75" customHeight="1">
      <c r="AE234" s="5"/>
      <c r="AF234" s="5"/>
    </row>
    <row r="235" ht="12.75" customHeight="1">
      <c r="AE235" s="5"/>
      <c r="AF235" s="5"/>
    </row>
    <row r="236" ht="12.75" customHeight="1">
      <c r="AE236" s="5"/>
      <c r="AF236" s="5"/>
    </row>
    <row r="237" ht="12.75" customHeight="1">
      <c r="AE237" s="5"/>
      <c r="AF237" s="5"/>
    </row>
    <row r="238" ht="12.75" customHeight="1">
      <c r="AE238" s="5"/>
      <c r="AF238" s="5"/>
    </row>
    <row r="239" ht="12.75" customHeight="1">
      <c r="AE239" s="5"/>
      <c r="AF239" s="5"/>
    </row>
    <row r="240" ht="12.75" customHeight="1">
      <c r="AE240" s="1"/>
      <c r="AF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E34&lt;&gt;#REF!</formula>
    </cfRule>
  </conditionalFormatting>
  <conditionalFormatting sqref="E45:AC47">
    <cfRule type="containsBlanks" dxfId="1" priority="10">
      <formula>LEN(TRIM(E45))=0</formula>
    </cfRule>
  </conditionalFormatting>
  <conditionalFormatting sqref="E50:AC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90" width="8.71"/>
    <col customWidth="1" min="91" max="91" width="13.29"/>
    <col customWidth="1" min="92" max="9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135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6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75</v>
      </c>
      <c r="AD13" s="13" t="s">
        <v>76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13" t="s">
        <v>90</v>
      </c>
      <c r="AS13" s="13" t="s">
        <v>91</v>
      </c>
      <c r="AT13" s="13" t="s">
        <v>92</v>
      </c>
      <c r="AU13" s="13" t="s">
        <v>93</v>
      </c>
      <c r="AV13" s="13" t="s">
        <v>94</v>
      </c>
      <c r="AW13" s="13" t="s">
        <v>95</v>
      </c>
      <c r="AX13" s="13" t="s">
        <v>96</v>
      </c>
      <c r="AY13" s="13" t="s">
        <v>97</v>
      </c>
      <c r="AZ13" s="13" t="s">
        <v>98</v>
      </c>
      <c r="BA13" s="13" t="s">
        <v>99</v>
      </c>
      <c r="BB13" s="13" t="s">
        <v>100</v>
      </c>
      <c r="BC13" s="13" t="s">
        <v>101</v>
      </c>
      <c r="BD13" s="13" t="s">
        <v>102</v>
      </c>
      <c r="BE13" s="13" t="s">
        <v>103</v>
      </c>
      <c r="BF13" s="13" t="s">
        <v>104</v>
      </c>
      <c r="BG13" s="13" t="s">
        <v>105</v>
      </c>
      <c r="BH13" s="13" t="s">
        <v>106</v>
      </c>
      <c r="BI13" s="13" t="s">
        <v>107</v>
      </c>
      <c r="BJ13" s="13" t="s">
        <v>108</v>
      </c>
      <c r="BK13" s="13" t="s">
        <v>109</v>
      </c>
      <c r="BL13" s="13" t="s">
        <v>110</v>
      </c>
      <c r="BM13" s="13" t="s">
        <v>111</v>
      </c>
      <c r="BN13" s="13" t="s">
        <v>112</v>
      </c>
      <c r="BO13" s="13" t="s">
        <v>113</v>
      </c>
      <c r="BP13" s="13" t="s">
        <v>114</v>
      </c>
      <c r="BQ13" s="13" t="s">
        <v>115</v>
      </c>
      <c r="BR13" s="13" t="s">
        <v>116</v>
      </c>
      <c r="BS13" s="13" t="s">
        <v>117</v>
      </c>
      <c r="BT13" s="13" t="s">
        <v>118</v>
      </c>
      <c r="BU13" s="13" t="s">
        <v>119</v>
      </c>
      <c r="BV13" s="13" t="s">
        <v>120</v>
      </c>
      <c r="BW13" s="13" t="s">
        <v>121</v>
      </c>
      <c r="BX13" s="13" t="s">
        <v>122</v>
      </c>
      <c r="BY13" s="13" t="s">
        <v>123</v>
      </c>
      <c r="BZ13" s="13" t="s">
        <v>124</v>
      </c>
      <c r="CA13" s="13" t="s">
        <v>125</v>
      </c>
      <c r="CB13" s="13" t="s">
        <v>126</v>
      </c>
      <c r="CC13" s="13" t="s">
        <v>127</v>
      </c>
      <c r="CD13" s="13" t="s">
        <v>136</v>
      </c>
      <c r="CE13" s="13" t="s">
        <v>137</v>
      </c>
      <c r="CF13" s="13" t="s">
        <v>138</v>
      </c>
      <c r="CG13" s="13" t="s">
        <v>139</v>
      </c>
      <c r="CH13" s="13" t="s">
        <v>140</v>
      </c>
      <c r="CI13" s="13" t="s">
        <v>141</v>
      </c>
      <c r="CJ13" s="13" t="s">
        <v>142</v>
      </c>
      <c r="CK13" s="13" t="s">
        <v>143</v>
      </c>
      <c r="CL13" s="13" t="s">
        <v>144</v>
      </c>
      <c r="CM13" s="37"/>
    </row>
    <row r="14" ht="12.75" customHeight="1">
      <c r="A14" s="18"/>
      <c r="B14" s="22" t="s">
        <v>11</v>
      </c>
      <c r="C14" s="23"/>
      <c r="D14" s="19" t="s">
        <v>12</v>
      </c>
      <c r="E14" s="66">
        <v>136.0</v>
      </c>
      <c r="F14" s="66">
        <v>143.0</v>
      </c>
      <c r="G14" s="66">
        <v>136.0</v>
      </c>
      <c r="H14" s="66">
        <v>144.0</v>
      </c>
      <c r="I14" s="66">
        <v>143.0</v>
      </c>
      <c r="J14" s="66">
        <v>138.0</v>
      </c>
      <c r="K14" s="66">
        <v>142.0</v>
      </c>
      <c r="L14" s="66">
        <v>146.0</v>
      </c>
      <c r="M14" s="66">
        <v>130.0</v>
      </c>
      <c r="N14" s="66">
        <v>137.0</v>
      </c>
      <c r="O14" s="66">
        <v>144.0</v>
      </c>
      <c r="P14" s="66">
        <v>147.0</v>
      </c>
      <c r="Q14" s="66">
        <v>135.0</v>
      </c>
      <c r="R14" s="66">
        <v>147.0</v>
      </c>
      <c r="S14" s="66">
        <v>131.0</v>
      </c>
      <c r="T14" s="38">
        <v>144.0</v>
      </c>
      <c r="U14" s="38">
        <v>133.0</v>
      </c>
      <c r="V14" s="38">
        <v>138.0</v>
      </c>
      <c r="W14" s="38">
        <v>146.0</v>
      </c>
      <c r="X14" s="38">
        <v>130.0</v>
      </c>
      <c r="Y14" s="38">
        <v>123.0</v>
      </c>
      <c r="Z14" s="38">
        <v>142.0</v>
      </c>
      <c r="AA14" s="38">
        <v>140.0</v>
      </c>
      <c r="AB14" s="38">
        <v>141.0</v>
      </c>
      <c r="AC14" s="38">
        <v>130.0</v>
      </c>
      <c r="AD14" s="38">
        <v>137.0</v>
      </c>
      <c r="AE14" s="38">
        <v>147.0</v>
      </c>
      <c r="AF14" s="38">
        <v>144.0</v>
      </c>
      <c r="AG14" s="38">
        <v>143.0</v>
      </c>
      <c r="AH14" s="38">
        <v>132.0</v>
      </c>
      <c r="AI14" s="38">
        <v>134.0</v>
      </c>
      <c r="AJ14" s="38">
        <v>140.0</v>
      </c>
      <c r="AK14" s="38">
        <v>124.0</v>
      </c>
      <c r="AL14" s="38">
        <v>128.0</v>
      </c>
      <c r="AM14" s="38">
        <v>131.0</v>
      </c>
      <c r="AN14" s="38">
        <v>137.0</v>
      </c>
      <c r="AO14" s="38">
        <v>137.0</v>
      </c>
      <c r="AP14" s="38">
        <v>142.0</v>
      </c>
      <c r="AQ14" s="38">
        <v>133.0</v>
      </c>
      <c r="AR14" s="38">
        <v>126.0</v>
      </c>
      <c r="AS14" s="38">
        <v>130.0</v>
      </c>
      <c r="AT14" s="38">
        <v>122.0</v>
      </c>
      <c r="AU14" s="38">
        <v>134.0</v>
      </c>
      <c r="AV14" s="38">
        <v>130.0</v>
      </c>
      <c r="AW14" s="38">
        <v>126.0</v>
      </c>
      <c r="AX14" s="66">
        <v>128.0</v>
      </c>
      <c r="AY14" s="66">
        <v>133.0</v>
      </c>
      <c r="AZ14" s="66">
        <v>157.0</v>
      </c>
      <c r="BA14" s="66">
        <v>145.0</v>
      </c>
      <c r="BB14" s="66">
        <v>111.0</v>
      </c>
      <c r="BC14" s="66">
        <v>117.0</v>
      </c>
      <c r="BD14" s="66">
        <v>132.0</v>
      </c>
      <c r="BE14" s="66">
        <v>130.0</v>
      </c>
      <c r="BF14" s="66">
        <v>132.0</v>
      </c>
      <c r="BG14" s="66">
        <v>131.0</v>
      </c>
      <c r="BH14" s="66">
        <v>120.0</v>
      </c>
      <c r="BI14" s="66">
        <v>140.0</v>
      </c>
      <c r="BJ14" s="66">
        <v>135.0</v>
      </c>
      <c r="BK14" s="66">
        <v>127.0</v>
      </c>
      <c r="BL14" s="66">
        <v>136.0</v>
      </c>
      <c r="BM14" s="38">
        <v>129.0</v>
      </c>
      <c r="BN14" s="38">
        <v>128.0</v>
      </c>
      <c r="BO14" s="38">
        <v>135.0</v>
      </c>
      <c r="BP14" s="38">
        <v>129.0</v>
      </c>
      <c r="BQ14" s="38">
        <v>144.0</v>
      </c>
      <c r="BR14" s="38">
        <v>144.0</v>
      </c>
      <c r="BS14" s="38">
        <v>129.0</v>
      </c>
      <c r="BT14" s="38">
        <v>130.0</v>
      </c>
      <c r="BU14" s="38">
        <v>133.0</v>
      </c>
      <c r="BV14" s="38">
        <v>140.0</v>
      </c>
      <c r="BW14" s="38">
        <v>123.0</v>
      </c>
      <c r="BX14" s="38">
        <v>133.0</v>
      </c>
      <c r="BY14" s="38">
        <v>136.0</v>
      </c>
      <c r="BZ14" s="38">
        <v>116.0</v>
      </c>
      <c r="CA14" s="38">
        <v>136.0</v>
      </c>
      <c r="CB14" s="38">
        <v>134.0</v>
      </c>
      <c r="CC14" s="38">
        <v>130.0</v>
      </c>
      <c r="CD14" s="38">
        <v>119.0</v>
      </c>
      <c r="CE14" s="38">
        <v>127.0</v>
      </c>
      <c r="CF14" s="38">
        <v>136.0</v>
      </c>
      <c r="CG14" s="38">
        <v>125.0</v>
      </c>
      <c r="CH14" s="38">
        <v>133.0</v>
      </c>
      <c r="CI14" s="38">
        <v>140.0</v>
      </c>
      <c r="CJ14" s="38">
        <v>133.0</v>
      </c>
      <c r="CK14" s="38">
        <v>133.0</v>
      </c>
      <c r="CL14" s="38">
        <v>133.0</v>
      </c>
      <c r="CM14" s="13">
        <f t="shared" ref="CM14:CM16" si="1">SUM(E14:CL14)</f>
        <v>11545</v>
      </c>
    </row>
    <row r="15" ht="12.75" customHeight="1">
      <c r="A15" s="18"/>
      <c r="B15" s="26"/>
      <c r="C15" s="27"/>
      <c r="D15" s="19" t="s">
        <v>13</v>
      </c>
      <c r="E15" s="66">
        <v>133.0</v>
      </c>
      <c r="F15" s="66">
        <v>134.0</v>
      </c>
      <c r="G15" s="66">
        <v>136.0</v>
      </c>
      <c r="H15" s="66">
        <v>127.0</v>
      </c>
      <c r="I15" s="66">
        <v>128.0</v>
      </c>
      <c r="J15" s="66">
        <v>137.0</v>
      </c>
      <c r="K15" s="66">
        <v>130.0</v>
      </c>
      <c r="L15" s="66">
        <v>123.0</v>
      </c>
      <c r="M15" s="66">
        <v>141.0</v>
      </c>
      <c r="N15" s="66">
        <v>131.0</v>
      </c>
      <c r="O15" s="66">
        <v>138.0</v>
      </c>
      <c r="P15" s="66">
        <v>136.0</v>
      </c>
      <c r="Q15" s="66">
        <v>134.0</v>
      </c>
      <c r="R15" s="66">
        <v>137.0</v>
      </c>
      <c r="S15" s="66">
        <v>134.0</v>
      </c>
      <c r="T15" s="38">
        <v>135.0</v>
      </c>
      <c r="U15" s="38">
        <v>137.0</v>
      </c>
      <c r="V15" s="38">
        <v>132.0</v>
      </c>
      <c r="W15" s="38">
        <v>137.0</v>
      </c>
      <c r="X15" s="38">
        <v>140.0</v>
      </c>
      <c r="Y15" s="38">
        <v>139.0</v>
      </c>
      <c r="Z15" s="38">
        <v>125.0</v>
      </c>
      <c r="AA15" s="38">
        <v>138.0</v>
      </c>
      <c r="AB15" s="38">
        <v>134.0</v>
      </c>
      <c r="AC15" s="38">
        <v>152.0</v>
      </c>
      <c r="AD15" s="38">
        <v>136.0</v>
      </c>
      <c r="AE15" s="38">
        <v>124.0</v>
      </c>
      <c r="AF15" s="38">
        <v>129.0</v>
      </c>
      <c r="AG15" s="38">
        <v>125.0</v>
      </c>
      <c r="AH15" s="38">
        <v>136.0</v>
      </c>
      <c r="AI15" s="38">
        <v>132.0</v>
      </c>
      <c r="AJ15" s="38">
        <v>146.0</v>
      </c>
      <c r="AK15" s="38">
        <v>139.0</v>
      </c>
      <c r="AL15" s="38">
        <v>128.0</v>
      </c>
      <c r="AM15" s="38">
        <v>138.0</v>
      </c>
      <c r="AN15" s="38">
        <v>130.0</v>
      </c>
      <c r="AO15" s="38">
        <v>129.0</v>
      </c>
      <c r="AP15" s="38">
        <v>133.0</v>
      </c>
      <c r="AQ15" s="38">
        <v>132.0</v>
      </c>
      <c r="AR15" s="38">
        <v>137.0</v>
      </c>
      <c r="AS15" s="38">
        <v>135.0</v>
      </c>
      <c r="AT15" s="38">
        <v>135.0</v>
      </c>
      <c r="AU15" s="38">
        <v>128.0</v>
      </c>
      <c r="AV15" s="38">
        <v>124.0</v>
      </c>
      <c r="AW15" s="38">
        <v>131.0</v>
      </c>
      <c r="AX15" s="66">
        <v>136.0</v>
      </c>
      <c r="AY15" s="66">
        <v>135.0</v>
      </c>
      <c r="AZ15" s="66">
        <v>135.0</v>
      </c>
      <c r="BA15" s="66">
        <v>149.0</v>
      </c>
      <c r="BB15" s="66">
        <v>121.0</v>
      </c>
      <c r="BC15" s="66">
        <v>115.0</v>
      </c>
      <c r="BD15" s="66">
        <v>125.0</v>
      </c>
      <c r="BE15" s="66">
        <v>122.0</v>
      </c>
      <c r="BF15" s="66">
        <v>117.0</v>
      </c>
      <c r="BG15" s="66">
        <v>124.0</v>
      </c>
      <c r="BH15" s="66">
        <v>142.0</v>
      </c>
      <c r="BI15" s="66">
        <v>120.0</v>
      </c>
      <c r="BJ15" s="66">
        <v>127.0</v>
      </c>
      <c r="BK15" s="66">
        <v>121.0</v>
      </c>
      <c r="BL15" s="66">
        <v>129.0</v>
      </c>
      <c r="BM15" s="38">
        <v>135.0</v>
      </c>
      <c r="BN15" s="38">
        <v>130.0</v>
      </c>
      <c r="BO15" s="38">
        <v>118.0</v>
      </c>
      <c r="BP15" s="38">
        <v>134.0</v>
      </c>
      <c r="BQ15" s="38">
        <v>136.0</v>
      </c>
      <c r="BR15" s="38">
        <v>126.0</v>
      </c>
      <c r="BS15" s="38">
        <v>132.0</v>
      </c>
      <c r="BT15" s="38">
        <v>123.0</v>
      </c>
      <c r="BU15" s="38">
        <v>126.0</v>
      </c>
      <c r="BV15" s="38">
        <v>121.0</v>
      </c>
      <c r="BW15" s="38">
        <v>123.0</v>
      </c>
      <c r="BX15" s="38">
        <v>128.0</v>
      </c>
      <c r="BY15" s="38">
        <v>127.0</v>
      </c>
      <c r="BZ15" s="38">
        <v>139.0</v>
      </c>
      <c r="CA15" s="38">
        <v>120.0</v>
      </c>
      <c r="CB15" s="38">
        <v>115.0</v>
      </c>
      <c r="CC15" s="38">
        <v>132.0</v>
      </c>
      <c r="CD15" s="38">
        <v>132.0</v>
      </c>
      <c r="CE15" s="38">
        <v>125.0</v>
      </c>
      <c r="CF15" s="38">
        <v>128.0</v>
      </c>
      <c r="CG15" s="38">
        <v>123.0</v>
      </c>
      <c r="CH15" s="38">
        <v>112.0</v>
      </c>
      <c r="CI15" s="38">
        <v>120.0</v>
      </c>
      <c r="CJ15" s="38">
        <v>129.0</v>
      </c>
      <c r="CK15" s="38">
        <v>122.0</v>
      </c>
      <c r="CL15" s="38">
        <v>128.0</v>
      </c>
      <c r="CM15" s="13">
        <f t="shared" si="1"/>
        <v>11217</v>
      </c>
    </row>
    <row r="16" ht="12.75" customHeight="1">
      <c r="A16" s="25"/>
      <c r="B16" s="21"/>
      <c r="C16" s="28"/>
      <c r="D16" s="13" t="s">
        <v>14</v>
      </c>
      <c r="E16" s="13">
        <f t="shared" ref="E16:CL16" si="2">SUM(E14:E15)</f>
        <v>269</v>
      </c>
      <c r="F16" s="13">
        <f t="shared" si="2"/>
        <v>277</v>
      </c>
      <c r="G16" s="13">
        <f t="shared" si="2"/>
        <v>272</v>
      </c>
      <c r="H16" s="13">
        <f t="shared" si="2"/>
        <v>271</v>
      </c>
      <c r="I16" s="13">
        <f t="shared" si="2"/>
        <v>271</v>
      </c>
      <c r="J16" s="13">
        <f t="shared" si="2"/>
        <v>275</v>
      </c>
      <c r="K16" s="13">
        <f t="shared" si="2"/>
        <v>272</v>
      </c>
      <c r="L16" s="13">
        <f t="shared" si="2"/>
        <v>269</v>
      </c>
      <c r="M16" s="13">
        <f t="shared" si="2"/>
        <v>271</v>
      </c>
      <c r="N16" s="13">
        <f t="shared" si="2"/>
        <v>268</v>
      </c>
      <c r="O16" s="13">
        <f t="shared" si="2"/>
        <v>282</v>
      </c>
      <c r="P16" s="13">
        <f t="shared" si="2"/>
        <v>283</v>
      </c>
      <c r="Q16" s="13">
        <f t="shared" si="2"/>
        <v>269</v>
      </c>
      <c r="R16" s="13">
        <f t="shared" si="2"/>
        <v>284</v>
      </c>
      <c r="S16" s="13">
        <f t="shared" si="2"/>
        <v>265</v>
      </c>
      <c r="T16" s="13">
        <f t="shared" si="2"/>
        <v>279</v>
      </c>
      <c r="U16" s="13">
        <f t="shared" si="2"/>
        <v>270</v>
      </c>
      <c r="V16" s="13">
        <f t="shared" si="2"/>
        <v>270</v>
      </c>
      <c r="W16" s="13">
        <f t="shared" si="2"/>
        <v>283</v>
      </c>
      <c r="X16" s="13">
        <f t="shared" si="2"/>
        <v>270</v>
      </c>
      <c r="Y16" s="13">
        <f t="shared" si="2"/>
        <v>262</v>
      </c>
      <c r="Z16" s="13">
        <f t="shared" si="2"/>
        <v>267</v>
      </c>
      <c r="AA16" s="13">
        <f t="shared" si="2"/>
        <v>278</v>
      </c>
      <c r="AB16" s="13">
        <f t="shared" si="2"/>
        <v>275</v>
      </c>
      <c r="AC16" s="13">
        <f t="shared" si="2"/>
        <v>282</v>
      </c>
      <c r="AD16" s="13">
        <f t="shared" si="2"/>
        <v>273</v>
      </c>
      <c r="AE16" s="13">
        <f t="shared" si="2"/>
        <v>271</v>
      </c>
      <c r="AF16" s="13">
        <f t="shared" si="2"/>
        <v>273</v>
      </c>
      <c r="AG16" s="13">
        <f t="shared" si="2"/>
        <v>268</v>
      </c>
      <c r="AH16" s="13">
        <f t="shared" si="2"/>
        <v>268</v>
      </c>
      <c r="AI16" s="13">
        <f t="shared" si="2"/>
        <v>266</v>
      </c>
      <c r="AJ16" s="13">
        <f t="shared" si="2"/>
        <v>286</v>
      </c>
      <c r="AK16" s="13">
        <f t="shared" si="2"/>
        <v>263</v>
      </c>
      <c r="AL16" s="13">
        <f t="shared" si="2"/>
        <v>256</v>
      </c>
      <c r="AM16" s="13">
        <f t="shared" si="2"/>
        <v>269</v>
      </c>
      <c r="AN16" s="13">
        <f t="shared" si="2"/>
        <v>267</v>
      </c>
      <c r="AO16" s="13">
        <f t="shared" si="2"/>
        <v>266</v>
      </c>
      <c r="AP16" s="13">
        <f t="shared" si="2"/>
        <v>275</v>
      </c>
      <c r="AQ16" s="13">
        <f t="shared" si="2"/>
        <v>265</v>
      </c>
      <c r="AR16" s="13">
        <f t="shared" si="2"/>
        <v>263</v>
      </c>
      <c r="AS16" s="13">
        <f t="shared" si="2"/>
        <v>265</v>
      </c>
      <c r="AT16" s="13">
        <f t="shared" si="2"/>
        <v>257</v>
      </c>
      <c r="AU16" s="13">
        <f t="shared" si="2"/>
        <v>262</v>
      </c>
      <c r="AV16" s="13">
        <f t="shared" si="2"/>
        <v>254</v>
      </c>
      <c r="AW16" s="13">
        <f t="shared" si="2"/>
        <v>257</v>
      </c>
      <c r="AX16" s="13">
        <f t="shared" si="2"/>
        <v>264</v>
      </c>
      <c r="AY16" s="13">
        <f t="shared" si="2"/>
        <v>268</v>
      </c>
      <c r="AZ16" s="13">
        <f t="shared" si="2"/>
        <v>292</v>
      </c>
      <c r="BA16" s="13">
        <f t="shared" si="2"/>
        <v>294</v>
      </c>
      <c r="BB16" s="13">
        <f t="shared" si="2"/>
        <v>232</v>
      </c>
      <c r="BC16" s="13">
        <f t="shared" si="2"/>
        <v>232</v>
      </c>
      <c r="BD16" s="13">
        <f t="shared" si="2"/>
        <v>257</v>
      </c>
      <c r="BE16" s="13">
        <f t="shared" si="2"/>
        <v>252</v>
      </c>
      <c r="BF16" s="13">
        <f t="shared" si="2"/>
        <v>249</v>
      </c>
      <c r="BG16" s="13">
        <f t="shared" si="2"/>
        <v>255</v>
      </c>
      <c r="BH16" s="13">
        <f t="shared" si="2"/>
        <v>262</v>
      </c>
      <c r="BI16" s="13">
        <f t="shared" si="2"/>
        <v>260</v>
      </c>
      <c r="BJ16" s="13">
        <f t="shared" si="2"/>
        <v>262</v>
      </c>
      <c r="BK16" s="13">
        <f t="shared" si="2"/>
        <v>248</v>
      </c>
      <c r="BL16" s="13">
        <f t="shared" si="2"/>
        <v>265</v>
      </c>
      <c r="BM16" s="13">
        <f t="shared" si="2"/>
        <v>264</v>
      </c>
      <c r="BN16" s="13">
        <f t="shared" si="2"/>
        <v>258</v>
      </c>
      <c r="BO16" s="13">
        <f t="shared" si="2"/>
        <v>253</v>
      </c>
      <c r="BP16" s="13">
        <f t="shared" si="2"/>
        <v>263</v>
      </c>
      <c r="BQ16" s="13">
        <f t="shared" si="2"/>
        <v>280</v>
      </c>
      <c r="BR16" s="13">
        <f t="shared" si="2"/>
        <v>270</v>
      </c>
      <c r="BS16" s="13">
        <f t="shared" si="2"/>
        <v>261</v>
      </c>
      <c r="BT16" s="13">
        <f t="shared" si="2"/>
        <v>253</v>
      </c>
      <c r="BU16" s="13">
        <f t="shared" si="2"/>
        <v>259</v>
      </c>
      <c r="BV16" s="13">
        <f t="shared" si="2"/>
        <v>261</v>
      </c>
      <c r="BW16" s="13">
        <f t="shared" si="2"/>
        <v>246</v>
      </c>
      <c r="BX16" s="13">
        <f t="shared" si="2"/>
        <v>261</v>
      </c>
      <c r="BY16" s="13">
        <f t="shared" si="2"/>
        <v>263</v>
      </c>
      <c r="BZ16" s="13">
        <f t="shared" si="2"/>
        <v>255</v>
      </c>
      <c r="CA16" s="13">
        <f t="shared" si="2"/>
        <v>256</v>
      </c>
      <c r="CB16" s="13">
        <f t="shared" si="2"/>
        <v>249</v>
      </c>
      <c r="CC16" s="13">
        <f t="shared" si="2"/>
        <v>262</v>
      </c>
      <c r="CD16" s="13">
        <f t="shared" si="2"/>
        <v>251</v>
      </c>
      <c r="CE16" s="13">
        <f t="shared" si="2"/>
        <v>252</v>
      </c>
      <c r="CF16" s="13">
        <f t="shared" si="2"/>
        <v>264</v>
      </c>
      <c r="CG16" s="13">
        <f t="shared" si="2"/>
        <v>248</v>
      </c>
      <c r="CH16" s="13">
        <f t="shared" si="2"/>
        <v>245</v>
      </c>
      <c r="CI16" s="13">
        <f t="shared" si="2"/>
        <v>260</v>
      </c>
      <c r="CJ16" s="13">
        <f t="shared" si="2"/>
        <v>262</v>
      </c>
      <c r="CK16" s="13">
        <f t="shared" si="2"/>
        <v>255</v>
      </c>
      <c r="CL16" s="13">
        <f t="shared" si="2"/>
        <v>261</v>
      </c>
      <c r="CM16" s="13">
        <f t="shared" si="1"/>
        <v>22762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19"/>
      <c r="Z17" s="19"/>
      <c r="AA17" s="19"/>
      <c r="AB17" s="19"/>
      <c r="AC17" s="64"/>
      <c r="AD17" s="19"/>
      <c r="AE17" s="19"/>
      <c r="AF17" s="19"/>
      <c r="AG17" s="19"/>
      <c r="AH17" s="64"/>
      <c r="AI17" s="19"/>
      <c r="AJ17" s="19"/>
      <c r="AK17" s="19"/>
      <c r="AL17" s="19"/>
      <c r="AM17" s="64"/>
      <c r="AN17" s="19"/>
      <c r="AO17" s="19"/>
      <c r="AP17" s="19"/>
      <c r="AQ17" s="19"/>
      <c r="AR17" s="64"/>
      <c r="AS17" s="19"/>
      <c r="AT17" s="19"/>
      <c r="AU17" s="19"/>
      <c r="AV17" s="19"/>
      <c r="AW17" s="64"/>
      <c r="AX17" s="19"/>
      <c r="AY17" s="19"/>
      <c r="AZ17" s="19"/>
      <c r="BA17" s="19"/>
      <c r="BB17" s="64"/>
      <c r="BC17" s="19"/>
      <c r="BD17" s="19"/>
      <c r="BE17" s="19"/>
      <c r="BF17" s="19"/>
      <c r="BG17" s="64"/>
      <c r="BH17" s="19"/>
      <c r="BI17" s="19"/>
      <c r="BJ17" s="19"/>
      <c r="BK17" s="19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5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56</v>
      </c>
      <c r="L18" s="13" t="s">
        <v>57</v>
      </c>
      <c r="M18" s="13" t="s">
        <v>58</v>
      </c>
      <c r="N18" s="13" t="s">
        <v>59</v>
      </c>
      <c r="O18" s="13" t="s">
        <v>60</v>
      </c>
      <c r="P18" s="13" t="s">
        <v>61</v>
      </c>
      <c r="Q18" s="13" t="s">
        <v>62</v>
      </c>
      <c r="R18" s="13" t="s">
        <v>63</v>
      </c>
      <c r="S18" s="13" t="s">
        <v>64</v>
      </c>
      <c r="T18" s="13" t="s">
        <v>65</v>
      </c>
      <c r="U18" s="13" t="s">
        <v>66</v>
      </c>
      <c r="V18" s="13" t="s">
        <v>67</v>
      </c>
      <c r="W18" s="13" t="s">
        <v>68</v>
      </c>
      <c r="X18" s="13" t="s">
        <v>69</v>
      </c>
      <c r="Y18" s="13" t="s">
        <v>70</v>
      </c>
      <c r="Z18" s="13" t="s">
        <v>71</v>
      </c>
      <c r="AA18" s="13" t="s">
        <v>72</v>
      </c>
      <c r="AB18" s="13" t="s">
        <v>73</v>
      </c>
      <c r="AC18" s="13" t="s">
        <v>75</v>
      </c>
      <c r="AD18" s="13" t="s">
        <v>76</v>
      </c>
      <c r="AE18" s="13" t="s">
        <v>77</v>
      </c>
      <c r="AF18" s="13" t="s">
        <v>78</v>
      </c>
      <c r="AG18" s="13" t="s">
        <v>79</v>
      </c>
      <c r="AH18" s="13" t="s">
        <v>80</v>
      </c>
      <c r="AI18" s="13" t="s">
        <v>81</v>
      </c>
      <c r="AJ18" s="13" t="s">
        <v>82</v>
      </c>
      <c r="AK18" s="13" t="s">
        <v>83</v>
      </c>
      <c r="AL18" s="13" t="s">
        <v>84</v>
      </c>
      <c r="AM18" s="13" t="s">
        <v>85</v>
      </c>
      <c r="AN18" s="13" t="s">
        <v>86</v>
      </c>
      <c r="AO18" s="13" t="s">
        <v>87</v>
      </c>
      <c r="AP18" s="13" t="s">
        <v>88</v>
      </c>
      <c r="AQ18" s="13" t="s">
        <v>89</v>
      </c>
      <c r="AR18" s="13" t="s">
        <v>90</v>
      </c>
      <c r="AS18" s="13" t="s">
        <v>91</v>
      </c>
      <c r="AT18" s="13" t="s">
        <v>92</v>
      </c>
      <c r="AU18" s="13" t="s">
        <v>93</v>
      </c>
      <c r="AV18" s="13" t="s">
        <v>94</v>
      </c>
      <c r="AW18" s="13" t="s">
        <v>95</v>
      </c>
      <c r="AX18" s="13" t="s">
        <v>96</v>
      </c>
      <c r="AY18" s="13" t="s">
        <v>97</v>
      </c>
      <c r="AZ18" s="13" t="s">
        <v>98</v>
      </c>
      <c r="BA18" s="13" t="s">
        <v>99</v>
      </c>
      <c r="BB18" s="13" t="s">
        <v>100</v>
      </c>
      <c r="BC18" s="13" t="s">
        <v>101</v>
      </c>
      <c r="BD18" s="13" t="s">
        <v>102</v>
      </c>
      <c r="BE18" s="13" t="s">
        <v>103</v>
      </c>
      <c r="BF18" s="13" t="s">
        <v>104</v>
      </c>
      <c r="BG18" s="13" t="s">
        <v>105</v>
      </c>
      <c r="BH18" s="13" t="s">
        <v>106</v>
      </c>
      <c r="BI18" s="13" t="s">
        <v>107</v>
      </c>
      <c r="BJ18" s="13" t="s">
        <v>108</v>
      </c>
      <c r="BK18" s="13" t="s">
        <v>109</v>
      </c>
      <c r="BL18" s="13" t="s">
        <v>110</v>
      </c>
      <c r="BM18" s="13" t="s">
        <v>111</v>
      </c>
      <c r="BN18" s="13" t="s">
        <v>112</v>
      </c>
      <c r="BO18" s="13" t="s">
        <v>113</v>
      </c>
      <c r="BP18" s="13" t="s">
        <v>114</v>
      </c>
      <c r="BQ18" s="13" t="s">
        <v>115</v>
      </c>
      <c r="BR18" s="13" t="s">
        <v>116</v>
      </c>
      <c r="BS18" s="13" t="s">
        <v>117</v>
      </c>
      <c r="BT18" s="13" t="s">
        <v>118</v>
      </c>
      <c r="BU18" s="13" t="s">
        <v>119</v>
      </c>
      <c r="BV18" s="13" t="s">
        <v>120</v>
      </c>
      <c r="BW18" s="13" t="s">
        <v>121</v>
      </c>
      <c r="BX18" s="13" t="s">
        <v>122</v>
      </c>
      <c r="BY18" s="13" t="s">
        <v>123</v>
      </c>
      <c r="BZ18" s="13" t="s">
        <v>124</v>
      </c>
      <c r="CA18" s="13" t="s">
        <v>125</v>
      </c>
      <c r="CB18" s="13" t="s">
        <v>126</v>
      </c>
      <c r="CC18" s="13" t="s">
        <v>127</v>
      </c>
      <c r="CD18" s="13" t="s">
        <v>136</v>
      </c>
      <c r="CE18" s="13" t="s">
        <v>137</v>
      </c>
      <c r="CF18" s="13" t="s">
        <v>138</v>
      </c>
      <c r="CG18" s="13" t="s">
        <v>139</v>
      </c>
      <c r="CH18" s="13" t="s">
        <v>140</v>
      </c>
      <c r="CI18" s="13" t="s">
        <v>141</v>
      </c>
      <c r="CJ18" s="13" t="s">
        <v>142</v>
      </c>
      <c r="CK18" s="13" t="s">
        <v>143</v>
      </c>
      <c r="CL18" s="13" t="s">
        <v>144</v>
      </c>
      <c r="CM18" s="65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38">
        <v>102.0</v>
      </c>
      <c r="F19" s="38">
        <v>99.0</v>
      </c>
      <c r="G19" s="38">
        <v>87.0</v>
      </c>
      <c r="H19" s="38">
        <v>95.0</v>
      </c>
      <c r="I19" s="38">
        <v>103.0</v>
      </c>
      <c r="J19" s="38">
        <v>83.0</v>
      </c>
      <c r="K19" s="38">
        <v>101.0</v>
      </c>
      <c r="L19" s="38">
        <v>106.0</v>
      </c>
      <c r="M19" s="38">
        <v>84.0</v>
      </c>
      <c r="N19" s="38">
        <v>93.0</v>
      </c>
      <c r="O19" s="38">
        <v>86.0</v>
      </c>
      <c r="P19" s="38">
        <v>85.0</v>
      </c>
      <c r="Q19" s="38">
        <v>93.0</v>
      </c>
      <c r="R19" s="38">
        <v>106.0</v>
      </c>
      <c r="S19" s="38">
        <v>93.0</v>
      </c>
      <c r="T19" s="38">
        <v>98.0</v>
      </c>
      <c r="U19" s="38">
        <v>91.0</v>
      </c>
      <c r="V19" s="38">
        <v>105.0</v>
      </c>
      <c r="W19" s="38">
        <v>102.0</v>
      </c>
      <c r="X19" s="38">
        <v>98.0</v>
      </c>
      <c r="Y19" s="38">
        <v>90.0</v>
      </c>
      <c r="Z19" s="38">
        <v>102.0</v>
      </c>
      <c r="AA19" s="38">
        <v>101.0</v>
      </c>
      <c r="AB19" s="38">
        <v>112.0</v>
      </c>
      <c r="AC19" s="38">
        <v>98.0</v>
      </c>
      <c r="AD19" s="38">
        <v>93.0</v>
      </c>
      <c r="AE19" s="38">
        <v>116.0</v>
      </c>
      <c r="AF19" s="38">
        <v>112.0</v>
      </c>
      <c r="AG19" s="38">
        <v>104.0</v>
      </c>
      <c r="AH19" s="38">
        <v>91.0</v>
      </c>
      <c r="AI19" s="38">
        <v>90.0</v>
      </c>
      <c r="AJ19" s="38">
        <v>106.0</v>
      </c>
      <c r="AK19" s="38">
        <v>97.0</v>
      </c>
      <c r="AL19" s="38">
        <v>91.0</v>
      </c>
      <c r="AM19" s="38">
        <v>100.0</v>
      </c>
      <c r="AN19" s="38">
        <v>109.0</v>
      </c>
      <c r="AO19" s="38">
        <v>100.0</v>
      </c>
      <c r="AP19" s="38">
        <v>102.0</v>
      </c>
      <c r="AQ19" s="38">
        <v>97.0</v>
      </c>
      <c r="AR19" s="38">
        <v>95.0</v>
      </c>
      <c r="AS19" s="38">
        <v>92.0</v>
      </c>
      <c r="AT19" s="38">
        <v>94.0</v>
      </c>
      <c r="AU19" s="38">
        <v>97.0</v>
      </c>
      <c r="AV19" s="38">
        <v>102.0</v>
      </c>
      <c r="AW19" s="38">
        <v>97.0</v>
      </c>
      <c r="AX19" s="38">
        <v>92.0</v>
      </c>
      <c r="AY19" s="38">
        <v>89.0</v>
      </c>
      <c r="AZ19" s="38">
        <v>90.0</v>
      </c>
      <c r="BA19" s="38">
        <v>107.0</v>
      </c>
      <c r="BB19" s="38">
        <v>74.0</v>
      </c>
      <c r="BC19" s="38">
        <v>77.0</v>
      </c>
      <c r="BD19" s="38">
        <v>98.0</v>
      </c>
      <c r="BE19" s="38">
        <v>85.0</v>
      </c>
      <c r="BF19" s="38">
        <v>83.0</v>
      </c>
      <c r="BG19" s="38">
        <v>92.0</v>
      </c>
      <c r="BH19" s="38">
        <v>77.0</v>
      </c>
      <c r="BI19" s="38">
        <v>90.0</v>
      </c>
      <c r="BJ19" s="38">
        <v>87.0</v>
      </c>
      <c r="BK19" s="38">
        <v>99.0</v>
      </c>
      <c r="BL19" s="38">
        <v>105.0</v>
      </c>
      <c r="BM19" s="38">
        <v>92.0</v>
      </c>
      <c r="BN19" s="38">
        <v>78.0</v>
      </c>
      <c r="BO19" s="38">
        <v>94.0</v>
      </c>
      <c r="BP19" s="38">
        <v>93.0</v>
      </c>
      <c r="BQ19" s="38">
        <v>124.0</v>
      </c>
      <c r="BR19" s="38">
        <v>100.0</v>
      </c>
      <c r="BS19" s="38">
        <v>89.0</v>
      </c>
      <c r="BT19" s="38">
        <v>75.0</v>
      </c>
      <c r="BU19" s="38">
        <v>93.0</v>
      </c>
      <c r="BV19" s="38">
        <v>91.0</v>
      </c>
      <c r="BW19" s="38">
        <v>74.0</v>
      </c>
      <c r="BX19" s="38">
        <v>88.0</v>
      </c>
      <c r="BY19" s="38">
        <v>83.0</v>
      </c>
      <c r="BZ19" s="38">
        <v>79.0</v>
      </c>
      <c r="CA19" s="38">
        <v>94.0</v>
      </c>
      <c r="CB19" s="38">
        <v>92.0</v>
      </c>
      <c r="CC19" s="38">
        <v>93.0</v>
      </c>
      <c r="CD19" s="38">
        <v>82.0</v>
      </c>
      <c r="CE19" s="38">
        <v>94.0</v>
      </c>
      <c r="CF19" s="38">
        <v>84.0</v>
      </c>
      <c r="CG19" s="38">
        <v>91.0</v>
      </c>
      <c r="CH19" s="38">
        <v>100.0</v>
      </c>
      <c r="CI19" s="38">
        <v>98.0</v>
      </c>
      <c r="CJ19" s="38">
        <v>101.0</v>
      </c>
      <c r="CK19" s="38">
        <v>107.0</v>
      </c>
      <c r="CL19" s="38">
        <v>99.0</v>
      </c>
      <c r="CM19" s="13">
        <f t="shared" ref="CM19:CM30" si="3">SUM(E19:CL19)</f>
        <v>8131</v>
      </c>
    </row>
    <row r="20" ht="12.75" customHeight="1">
      <c r="A20" s="34"/>
      <c r="B20" s="27"/>
      <c r="C20" s="35"/>
      <c r="D20" s="19" t="s">
        <v>13</v>
      </c>
      <c r="E20" s="38">
        <v>102.0</v>
      </c>
      <c r="F20" s="38">
        <v>110.0</v>
      </c>
      <c r="G20" s="38">
        <v>108.0</v>
      </c>
      <c r="H20" s="38">
        <v>92.0</v>
      </c>
      <c r="I20" s="38">
        <v>97.0</v>
      </c>
      <c r="J20" s="38">
        <v>94.0</v>
      </c>
      <c r="K20" s="38">
        <v>95.0</v>
      </c>
      <c r="L20" s="38">
        <v>90.0</v>
      </c>
      <c r="M20" s="38">
        <v>99.0</v>
      </c>
      <c r="N20" s="38">
        <v>94.0</v>
      </c>
      <c r="O20" s="38">
        <v>83.0</v>
      </c>
      <c r="P20" s="38">
        <v>80.0</v>
      </c>
      <c r="Q20" s="38">
        <v>99.0</v>
      </c>
      <c r="R20" s="38">
        <v>96.0</v>
      </c>
      <c r="S20" s="38">
        <v>91.0</v>
      </c>
      <c r="T20" s="38">
        <v>91.0</v>
      </c>
      <c r="U20" s="38">
        <v>96.0</v>
      </c>
      <c r="V20" s="38">
        <v>105.0</v>
      </c>
      <c r="W20" s="38">
        <v>107.0</v>
      </c>
      <c r="X20" s="38">
        <v>108.0</v>
      </c>
      <c r="Y20" s="38">
        <v>109.0</v>
      </c>
      <c r="Z20" s="38">
        <v>97.0</v>
      </c>
      <c r="AA20" s="38">
        <v>96.0</v>
      </c>
      <c r="AB20" s="38">
        <v>99.0</v>
      </c>
      <c r="AC20" s="38">
        <v>110.0</v>
      </c>
      <c r="AD20" s="38">
        <v>94.0</v>
      </c>
      <c r="AE20" s="38">
        <v>103.0</v>
      </c>
      <c r="AF20" s="38">
        <v>115.0</v>
      </c>
      <c r="AG20" s="38">
        <v>97.0</v>
      </c>
      <c r="AH20" s="38">
        <v>104.0</v>
      </c>
      <c r="AI20" s="38">
        <v>93.0</v>
      </c>
      <c r="AJ20" s="38">
        <v>107.0</v>
      </c>
      <c r="AK20" s="38">
        <v>116.0</v>
      </c>
      <c r="AL20" s="38">
        <v>96.0</v>
      </c>
      <c r="AM20" s="38">
        <v>106.0</v>
      </c>
      <c r="AN20" s="38">
        <v>98.0</v>
      </c>
      <c r="AO20" s="38">
        <v>102.0</v>
      </c>
      <c r="AP20" s="38">
        <v>101.0</v>
      </c>
      <c r="AQ20" s="38">
        <v>98.0</v>
      </c>
      <c r="AR20" s="38">
        <v>87.0</v>
      </c>
      <c r="AS20" s="38">
        <v>98.0</v>
      </c>
      <c r="AT20" s="38">
        <v>113.0</v>
      </c>
      <c r="AU20" s="38">
        <v>99.0</v>
      </c>
      <c r="AV20" s="38">
        <v>100.0</v>
      </c>
      <c r="AW20" s="38">
        <v>109.0</v>
      </c>
      <c r="AX20" s="38">
        <v>95.0</v>
      </c>
      <c r="AY20" s="38">
        <v>100.0</v>
      </c>
      <c r="AZ20" s="38">
        <v>108.0</v>
      </c>
      <c r="BA20" s="38">
        <v>115.0</v>
      </c>
      <c r="BB20" s="38">
        <v>85.0</v>
      </c>
      <c r="BC20" s="38">
        <v>83.0</v>
      </c>
      <c r="BD20" s="38">
        <v>100.0</v>
      </c>
      <c r="BE20" s="38">
        <v>94.0</v>
      </c>
      <c r="BF20" s="38">
        <v>79.0</v>
      </c>
      <c r="BG20" s="38">
        <v>96.0</v>
      </c>
      <c r="BH20" s="38">
        <v>95.0</v>
      </c>
      <c r="BI20" s="38">
        <v>94.0</v>
      </c>
      <c r="BJ20" s="38">
        <v>84.0</v>
      </c>
      <c r="BK20" s="38">
        <v>95.0</v>
      </c>
      <c r="BL20" s="38">
        <v>102.0</v>
      </c>
      <c r="BM20" s="38">
        <v>99.0</v>
      </c>
      <c r="BN20" s="38">
        <v>93.0</v>
      </c>
      <c r="BO20" s="38">
        <v>96.0</v>
      </c>
      <c r="BP20" s="38">
        <v>92.0</v>
      </c>
      <c r="BQ20" s="38">
        <v>113.0</v>
      </c>
      <c r="BR20" s="38">
        <v>91.0</v>
      </c>
      <c r="BS20" s="38">
        <v>89.0</v>
      </c>
      <c r="BT20" s="38">
        <v>76.0</v>
      </c>
      <c r="BU20" s="38">
        <v>93.0</v>
      </c>
      <c r="BV20" s="38">
        <v>82.0</v>
      </c>
      <c r="BW20" s="38">
        <v>89.0</v>
      </c>
      <c r="BX20" s="38">
        <v>95.0</v>
      </c>
      <c r="BY20" s="38">
        <v>90.0</v>
      </c>
      <c r="BZ20" s="38">
        <v>98.0</v>
      </c>
      <c r="CA20" s="38">
        <v>93.0</v>
      </c>
      <c r="CB20" s="38">
        <v>80.0</v>
      </c>
      <c r="CC20" s="38">
        <v>98.0</v>
      </c>
      <c r="CD20" s="38">
        <v>96.0</v>
      </c>
      <c r="CE20" s="38">
        <v>96.0</v>
      </c>
      <c r="CF20" s="38">
        <v>91.0</v>
      </c>
      <c r="CG20" s="38">
        <v>95.0</v>
      </c>
      <c r="CH20" s="38">
        <v>92.0</v>
      </c>
      <c r="CI20" s="38">
        <v>95.0</v>
      </c>
      <c r="CJ20" s="38">
        <v>87.0</v>
      </c>
      <c r="CK20" s="38">
        <v>97.0</v>
      </c>
      <c r="CL20" s="38">
        <v>96.0</v>
      </c>
      <c r="CM20" s="13">
        <f t="shared" si="3"/>
        <v>8321</v>
      </c>
    </row>
    <row r="21" ht="12.75" customHeight="1">
      <c r="A21" s="36"/>
      <c r="B21" s="28"/>
      <c r="C21" s="37"/>
      <c r="D21" s="13" t="s">
        <v>14</v>
      </c>
      <c r="E21" s="13">
        <f t="shared" ref="E21:CL21" si="4">SUM(E19:E20)</f>
        <v>204</v>
      </c>
      <c r="F21" s="13">
        <f t="shared" si="4"/>
        <v>209</v>
      </c>
      <c r="G21" s="13">
        <f t="shared" si="4"/>
        <v>195</v>
      </c>
      <c r="H21" s="13">
        <f t="shared" si="4"/>
        <v>187</v>
      </c>
      <c r="I21" s="13">
        <f t="shared" si="4"/>
        <v>200</v>
      </c>
      <c r="J21" s="13">
        <f t="shared" si="4"/>
        <v>177</v>
      </c>
      <c r="K21" s="13">
        <f t="shared" si="4"/>
        <v>196</v>
      </c>
      <c r="L21" s="13">
        <f t="shared" si="4"/>
        <v>196</v>
      </c>
      <c r="M21" s="13">
        <f t="shared" si="4"/>
        <v>183</v>
      </c>
      <c r="N21" s="13">
        <f t="shared" si="4"/>
        <v>187</v>
      </c>
      <c r="O21" s="13">
        <f t="shared" si="4"/>
        <v>169</v>
      </c>
      <c r="P21" s="13">
        <f t="shared" si="4"/>
        <v>165</v>
      </c>
      <c r="Q21" s="13">
        <f t="shared" si="4"/>
        <v>192</v>
      </c>
      <c r="R21" s="13">
        <f t="shared" si="4"/>
        <v>202</v>
      </c>
      <c r="S21" s="13">
        <f t="shared" si="4"/>
        <v>184</v>
      </c>
      <c r="T21" s="13">
        <f t="shared" si="4"/>
        <v>189</v>
      </c>
      <c r="U21" s="13">
        <f t="shared" si="4"/>
        <v>187</v>
      </c>
      <c r="V21" s="13">
        <f t="shared" si="4"/>
        <v>210</v>
      </c>
      <c r="W21" s="13">
        <f t="shared" si="4"/>
        <v>209</v>
      </c>
      <c r="X21" s="13">
        <f t="shared" si="4"/>
        <v>206</v>
      </c>
      <c r="Y21" s="13">
        <f t="shared" si="4"/>
        <v>199</v>
      </c>
      <c r="Z21" s="13">
        <f t="shared" si="4"/>
        <v>199</v>
      </c>
      <c r="AA21" s="13">
        <f t="shared" si="4"/>
        <v>197</v>
      </c>
      <c r="AB21" s="13">
        <f t="shared" si="4"/>
        <v>211</v>
      </c>
      <c r="AC21" s="13">
        <f t="shared" si="4"/>
        <v>208</v>
      </c>
      <c r="AD21" s="13">
        <f t="shared" si="4"/>
        <v>187</v>
      </c>
      <c r="AE21" s="13">
        <f t="shared" si="4"/>
        <v>219</v>
      </c>
      <c r="AF21" s="13">
        <f t="shared" si="4"/>
        <v>227</v>
      </c>
      <c r="AG21" s="13">
        <f t="shared" si="4"/>
        <v>201</v>
      </c>
      <c r="AH21" s="13">
        <f t="shared" si="4"/>
        <v>195</v>
      </c>
      <c r="AI21" s="13">
        <f t="shared" si="4"/>
        <v>183</v>
      </c>
      <c r="AJ21" s="13">
        <f t="shared" si="4"/>
        <v>213</v>
      </c>
      <c r="AK21" s="13">
        <f t="shared" si="4"/>
        <v>213</v>
      </c>
      <c r="AL21" s="13">
        <f t="shared" si="4"/>
        <v>187</v>
      </c>
      <c r="AM21" s="13">
        <f t="shared" si="4"/>
        <v>206</v>
      </c>
      <c r="AN21" s="13">
        <f t="shared" si="4"/>
        <v>207</v>
      </c>
      <c r="AO21" s="13">
        <f t="shared" si="4"/>
        <v>202</v>
      </c>
      <c r="AP21" s="13">
        <f t="shared" si="4"/>
        <v>203</v>
      </c>
      <c r="AQ21" s="13">
        <f t="shared" si="4"/>
        <v>195</v>
      </c>
      <c r="AR21" s="13">
        <f t="shared" si="4"/>
        <v>182</v>
      </c>
      <c r="AS21" s="13">
        <f t="shared" si="4"/>
        <v>190</v>
      </c>
      <c r="AT21" s="13">
        <f t="shared" si="4"/>
        <v>207</v>
      </c>
      <c r="AU21" s="13">
        <f t="shared" si="4"/>
        <v>196</v>
      </c>
      <c r="AV21" s="13">
        <f t="shared" si="4"/>
        <v>202</v>
      </c>
      <c r="AW21" s="13">
        <f t="shared" si="4"/>
        <v>206</v>
      </c>
      <c r="AX21" s="13">
        <f t="shared" si="4"/>
        <v>187</v>
      </c>
      <c r="AY21" s="13">
        <f t="shared" si="4"/>
        <v>189</v>
      </c>
      <c r="AZ21" s="13">
        <f t="shared" si="4"/>
        <v>198</v>
      </c>
      <c r="BA21" s="13">
        <f t="shared" si="4"/>
        <v>222</v>
      </c>
      <c r="BB21" s="13">
        <f t="shared" si="4"/>
        <v>159</v>
      </c>
      <c r="BC21" s="13">
        <f t="shared" si="4"/>
        <v>160</v>
      </c>
      <c r="BD21" s="13">
        <f t="shared" si="4"/>
        <v>198</v>
      </c>
      <c r="BE21" s="13">
        <f t="shared" si="4"/>
        <v>179</v>
      </c>
      <c r="BF21" s="13">
        <f t="shared" si="4"/>
        <v>162</v>
      </c>
      <c r="BG21" s="13">
        <f t="shared" si="4"/>
        <v>188</v>
      </c>
      <c r="BH21" s="13">
        <f t="shared" si="4"/>
        <v>172</v>
      </c>
      <c r="BI21" s="13">
        <f t="shared" si="4"/>
        <v>184</v>
      </c>
      <c r="BJ21" s="13">
        <f t="shared" si="4"/>
        <v>171</v>
      </c>
      <c r="BK21" s="13">
        <f t="shared" si="4"/>
        <v>194</v>
      </c>
      <c r="BL21" s="13">
        <f t="shared" si="4"/>
        <v>207</v>
      </c>
      <c r="BM21" s="13">
        <f t="shared" si="4"/>
        <v>191</v>
      </c>
      <c r="BN21" s="13">
        <f t="shared" si="4"/>
        <v>171</v>
      </c>
      <c r="BO21" s="13">
        <f t="shared" si="4"/>
        <v>190</v>
      </c>
      <c r="BP21" s="13">
        <f t="shared" si="4"/>
        <v>185</v>
      </c>
      <c r="BQ21" s="13">
        <f t="shared" si="4"/>
        <v>237</v>
      </c>
      <c r="BR21" s="13">
        <f t="shared" si="4"/>
        <v>191</v>
      </c>
      <c r="BS21" s="13">
        <f t="shared" si="4"/>
        <v>178</v>
      </c>
      <c r="BT21" s="13">
        <f t="shared" si="4"/>
        <v>151</v>
      </c>
      <c r="BU21" s="13">
        <f t="shared" si="4"/>
        <v>186</v>
      </c>
      <c r="BV21" s="13">
        <f t="shared" si="4"/>
        <v>173</v>
      </c>
      <c r="BW21" s="13">
        <f t="shared" si="4"/>
        <v>163</v>
      </c>
      <c r="BX21" s="13">
        <f t="shared" si="4"/>
        <v>183</v>
      </c>
      <c r="BY21" s="13">
        <f t="shared" si="4"/>
        <v>173</v>
      </c>
      <c r="BZ21" s="13">
        <f t="shared" si="4"/>
        <v>177</v>
      </c>
      <c r="CA21" s="13">
        <f t="shared" si="4"/>
        <v>187</v>
      </c>
      <c r="CB21" s="13">
        <f t="shared" si="4"/>
        <v>172</v>
      </c>
      <c r="CC21" s="13">
        <f t="shared" si="4"/>
        <v>191</v>
      </c>
      <c r="CD21" s="13">
        <f t="shared" si="4"/>
        <v>178</v>
      </c>
      <c r="CE21" s="13">
        <f t="shared" si="4"/>
        <v>190</v>
      </c>
      <c r="CF21" s="13">
        <f t="shared" si="4"/>
        <v>175</v>
      </c>
      <c r="CG21" s="13">
        <f t="shared" si="4"/>
        <v>186</v>
      </c>
      <c r="CH21" s="13">
        <f t="shared" si="4"/>
        <v>192</v>
      </c>
      <c r="CI21" s="13">
        <f t="shared" si="4"/>
        <v>193</v>
      </c>
      <c r="CJ21" s="13">
        <f t="shared" si="4"/>
        <v>188</v>
      </c>
      <c r="CK21" s="13">
        <f t="shared" si="4"/>
        <v>204</v>
      </c>
      <c r="CL21" s="13">
        <f t="shared" si="4"/>
        <v>195</v>
      </c>
      <c r="CM21" s="13">
        <f t="shared" si="3"/>
        <v>16452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38">
        <v>0.0</v>
      </c>
      <c r="F22" s="38">
        <v>0.0</v>
      </c>
      <c r="G22" s="38">
        <v>0.0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2.0</v>
      </c>
      <c r="O22" s="38">
        <v>1.0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1.0</v>
      </c>
      <c r="V22" s="38">
        <v>0.0</v>
      </c>
      <c r="W22" s="38">
        <v>0.0</v>
      </c>
      <c r="X22" s="38">
        <v>1.0</v>
      </c>
      <c r="Y22" s="38">
        <v>0.0</v>
      </c>
      <c r="Z22" s="38">
        <v>0.0</v>
      </c>
      <c r="AA22" s="38">
        <v>1.0</v>
      </c>
      <c r="AB22" s="38">
        <v>0.0</v>
      </c>
      <c r="AC22" s="38">
        <v>0.0</v>
      </c>
      <c r="AD22" s="38">
        <v>0.0</v>
      </c>
      <c r="AE22" s="38">
        <v>2.0</v>
      </c>
      <c r="AF22" s="38">
        <v>2.0</v>
      </c>
      <c r="AG22" s="38">
        <v>0.0</v>
      </c>
      <c r="AH22" s="38">
        <v>0.0</v>
      </c>
      <c r="AI22" s="38">
        <v>0.0</v>
      </c>
      <c r="AJ22" s="38">
        <v>0.0</v>
      </c>
      <c r="AK22" s="38">
        <v>0.0</v>
      </c>
      <c r="AL22" s="38">
        <v>0.0</v>
      </c>
      <c r="AM22" s="38">
        <v>1.0</v>
      </c>
      <c r="AN22" s="38">
        <v>0.0</v>
      </c>
      <c r="AO22" s="38">
        <v>0.0</v>
      </c>
      <c r="AP22" s="38">
        <v>1.0</v>
      </c>
      <c r="AQ22" s="38">
        <v>3.0</v>
      </c>
      <c r="AR22" s="38">
        <v>0.0</v>
      </c>
      <c r="AS22" s="38">
        <v>6.0</v>
      </c>
      <c r="AT22" s="38">
        <v>0.0</v>
      </c>
      <c r="AU22" s="38">
        <v>5.0</v>
      </c>
      <c r="AV22" s="38">
        <v>0.0</v>
      </c>
      <c r="AW22" s="38">
        <v>0.0</v>
      </c>
      <c r="AX22" s="38">
        <v>0.0</v>
      </c>
      <c r="AY22" s="38">
        <v>0.0</v>
      </c>
      <c r="AZ22" s="38">
        <v>1.0</v>
      </c>
      <c r="BA22" s="38">
        <v>0.0</v>
      </c>
      <c r="BB22" s="38">
        <v>0.0</v>
      </c>
      <c r="BC22" s="38">
        <v>0.0</v>
      </c>
      <c r="BD22" s="38">
        <v>0.0</v>
      </c>
      <c r="BE22" s="38">
        <v>0.0</v>
      </c>
      <c r="BF22" s="38">
        <v>0.0</v>
      </c>
      <c r="BG22" s="38">
        <v>0.0</v>
      </c>
      <c r="BH22" s="38">
        <v>0.0</v>
      </c>
      <c r="BI22" s="38">
        <v>0.0</v>
      </c>
      <c r="BJ22" s="38">
        <v>2.0</v>
      </c>
      <c r="BK22" s="38">
        <v>0.0</v>
      </c>
      <c r="BL22" s="38">
        <v>0.0</v>
      </c>
      <c r="BM22" s="38">
        <v>0.0</v>
      </c>
      <c r="BN22" s="38">
        <v>0.0</v>
      </c>
      <c r="BO22" s="38">
        <v>0.0</v>
      </c>
      <c r="BP22" s="38">
        <v>0.0</v>
      </c>
      <c r="BQ22" s="38">
        <v>0.0</v>
      </c>
      <c r="BR22" s="38">
        <v>0.0</v>
      </c>
      <c r="BS22" s="38">
        <v>0.0</v>
      </c>
      <c r="BT22" s="38">
        <v>0.0</v>
      </c>
      <c r="BU22" s="38">
        <v>0.0</v>
      </c>
      <c r="BV22" s="38">
        <v>0.0</v>
      </c>
      <c r="BW22" s="38">
        <v>0.0</v>
      </c>
      <c r="BX22" s="38">
        <v>0.0</v>
      </c>
      <c r="BY22" s="38">
        <v>0.0</v>
      </c>
      <c r="BZ22" s="38">
        <v>1.0</v>
      </c>
      <c r="CA22" s="38">
        <v>0.0</v>
      </c>
      <c r="CB22" s="38">
        <v>0.0</v>
      </c>
      <c r="CC22" s="38">
        <v>1.0</v>
      </c>
      <c r="CD22" s="38">
        <v>0.0</v>
      </c>
      <c r="CE22" s="38">
        <v>0.0</v>
      </c>
      <c r="CF22" s="38">
        <v>0.0</v>
      </c>
      <c r="CG22" s="38">
        <v>0.0</v>
      </c>
      <c r="CH22" s="38">
        <v>0.0</v>
      </c>
      <c r="CI22" s="38">
        <v>0.0</v>
      </c>
      <c r="CJ22" s="38">
        <v>0.0</v>
      </c>
      <c r="CK22" s="38">
        <v>0.0</v>
      </c>
      <c r="CL22" s="38">
        <v>0.0</v>
      </c>
      <c r="CM22" s="13">
        <f t="shared" si="3"/>
        <v>31</v>
      </c>
    </row>
    <row r="23" ht="12.75" customHeight="1">
      <c r="A23" s="34"/>
      <c r="B23" s="27"/>
      <c r="C23" s="35"/>
      <c r="D23" s="19" t="s">
        <v>13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1.0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1.0</v>
      </c>
      <c r="V23" s="38">
        <v>0.0</v>
      </c>
      <c r="W23" s="38">
        <v>0.0</v>
      </c>
      <c r="X23" s="38">
        <v>1.0</v>
      </c>
      <c r="Y23" s="38">
        <v>0.0</v>
      </c>
      <c r="Z23" s="38">
        <v>0.0</v>
      </c>
      <c r="AA23" s="38">
        <v>1.0</v>
      </c>
      <c r="AB23" s="38">
        <v>0.0</v>
      </c>
      <c r="AC23" s="38">
        <v>0.0</v>
      </c>
      <c r="AD23" s="38">
        <v>0.0</v>
      </c>
      <c r="AE23" s="38">
        <v>3.0</v>
      </c>
      <c r="AF23" s="38">
        <v>0.0</v>
      </c>
      <c r="AG23" s="38">
        <v>0.0</v>
      </c>
      <c r="AH23" s="38">
        <v>0.0</v>
      </c>
      <c r="AI23" s="38">
        <v>0.0</v>
      </c>
      <c r="AJ23" s="38">
        <v>0.0</v>
      </c>
      <c r="AK23" s="38">
        <v>0.0</v>
      </c>
      <c r="AL23" s="38">
        <v>0.0</v>
      </c>
      <c r="AM23" s="38">
        <v>0.0</v>
      </c>
      <c r="AN23" s="38">
        <v>0.0</v>
      </c>
      <c r="AO23" s="38">
        <v>0.0</v>
      </c>
      <c r="AP23" s="38">
        <v>0.0</v>
      </c>
      <c r="AQ23" s="38">
        <v>0.0</v>
      </c>
      <c r="AR23" s="38">
        <v>0.0</v>
      </c>
      <c r="AS23" s="38">
        <v>7.0</v>
      </c>
      <c r="AT23" s="38">
        <v>0.0</v>
      </c>
      <c r="AU23" s="38">
        <v>0.0</v>
      </c>
      <c r="AV23" s="38">
        <v>0.0</v>
      </c>
      <c r="AW23" s="38">
        <v>0.0</v>
      </c>
      <c r="AX23" s="38">
        <v>0.0</v>
      </c>
      <c r="AY23" s="38">
        <v>0.0</v>
      </c>
      <c r="AZ23" s="38">
        <v>0.0</v>
      </c>
      <c r="BA23" s="38">
        <v>0.0</v>
      </c>
      <c r="BB23" s="38">
        <v>0.0</v>
      </c>
      <c r="BC23" s="38">
        <v>0.0</v>
      </c>
      <c r="BD23" s="38">
        <v>0.0</v>
      </c>
      <c r="BE23" s="38">
        <v>0.0</v>
      </c>
      <c r="BF23" s="38">
        <v>0.0</v>
      </c>
      <c r="BG23" s="38">
        <v>1.0</v>
      </c>
      <c r="BH23" s="38">
        <v>0.0</v>
      </c>
      <c r="BI23" s="38">
        <v>0.0</v>
      </c>
      <c r="BJ23" s="38">
        <v>1.0</v>
      </c>
      <c r="BK23" s="38">
        <v>0.0</v>
      </c>
      <c r="BL23" s="38">
        <v>0.0</v>
      </c>
      <c r="BM23" s="38">
        <v>0.0</v>
      </c>
      <c r="BN23" s="38">
        <v>0.0</v>
      </c>
      <c r="BO23" s="38">
        <v>0.0</v>
      </c>
      <c r="BP23" s="38">
        <v>0.0</v>
      </c>
      <c r="BQ23" s="38">
        <v>0.0</v>
      </c>
      <c r="BR23" s="38">
        <v>0.0</v>
      </c>
      <c r="BS23" s="38">
        <v>0.0</v>
      </c>
      <c r="BT23" s="38">
        <v>0.0</v>
      </c>
      <c r="BU23" s="38">
        <v>0.0</v>
      </c>
      <c r="BV23" s="38">
        <v>0.0</v>
      </c>
      <c r="BW23" s="38">
        <v>0.0</v>
      </c>
      <c r="BX23" s="38">
        <v>0.0</v>
      </c>
      <c r="BY23" s="38">
        <v>0.0</v>
      </c>
      <c r="BZ23" s="38">
        <v>0.0</v>
      </c>
      <c r="CA23" s="38">
        <v>0.0</v>
      </c>
      <c r="CB23" s="38">
        <v>0.0</v>
      </c>
      <c r="CC23" s="38">
        <v>1.0</v>
      </c>
      <c r="CD23" s="38">
        <v>0.0</v>
      </c>
      <c r="CE23" s="38">
        <v>0.0</v>
      </c>
      <c r="CF23" s="38">
        <v>0.0</v>
      </c>
      <c r="CG23" s="38">
        <v>0.0</v>
      </c>
      <c r="CH23" s="38">
        <v>0.0</v>
      </c>
      <c r="CI23" s="38">
        <v>0.0</v>
      </c>
      <c r="CJ23" s="38">
        <v>0.0</v>
      </c>
      <c r="CK23" s="38">
        <v>0.0</v>
      </c>
      <c r="CL23" s="38">
        <v>0.0</v>
      </c>
      <c r="CM23" s="13">
        <f t="shared" si="3"/>
        <v>17</v>
      </c>
    </row>
    <row r="24" ht="12.75" customHeight="1">
      <c r="A24" s="36"/>
      <c r="B24" s="28"/>
      <c r="C24" s="37"/>
      <c r="D24" s="13" t="s">
        <v>14</v>
      </c>
      <c r="E24" s="13">
        <f t="shared" ref="E24:CL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5"/>
        <v>2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5</v>
      </c>
      <c r="AF24" s="13">
        <f t="shared" si="5"/>
        <v>2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1</v>
      </c>
      <c r="AQ24" s="13">
        <f t="shared" si="5"/>
        <v>3</v>
      </c>
      <c r="AR24" s="13">
        <f t="shared" si="5"/>
        <v>0</v>
      </c>
      <c r="AS24" s="13">
        <f t="shared" si="5"/>
        <v>13</v>
      </c>
      <c r="AT24" s="13">
        <f t="shared" si="5"/>
        <v>0</v>
      </c>
      <c r="AU24" s="13">
        <f t="shared" si="5"/>
        <v>5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1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1</v>
      </c>
      <c r="BH24" s="13">
        <f t="shared" si="5"/>
        <v>0</v>
      </c>
      <c r="BI24" s="13">
        <f t="shared" si="5"/>
        <v>0</v>
      </c>
      <c r="BJ24" s="13">
        <f t="shared" si="5"/>
        <v>3</v>
      </c>
      <c r="BK24" s="13">
        <f t="shared" si="5"/>
        <v>0</v>
      </c>
      <c r="BL24" s="13">
        <f t="shared" si="5"/>
        <v>0</v>
      </c>
      <c r="BM24" s="13">
        <f t="shared" si="5"/>
        <v>0</v>
      </c>
      <c r="BN24" s="13">
        <f t="shared" si="5"/>
        <v>0</v>
      </c>
      <c r="BO24" s="13">
        <f t="shared" si="5"/>
        <v>0</v>
      </c>
      <c r="BP24" s="13">
        <f t="shared" si="5"/>
        <v>0</v>
      </c>
      <c r="BQ24" s="13">
        <f t="shared" si="5"/>
        <v>0</v>
      </c>
      <c r="BR24" s="13">
        <f t="shared" si="5"/>
        <v>0</v>
      </c>
      <c r="BS24" s="13">
        <f t="shared" si="5"/>
        <v>0</v>
      </c>
      <c r="BT24" s="13">
        <f t="shared" si="5"/>
        <v>0</v>
      </c>
      <c r="BU24" s="13">
        <f t="shared" si="5"/>
        <v>0</v>
      </c>
      <c r="BV24" s="13">
        <f t="shared" si="5"/>
        <v>0</v>
      </c>
      <c r="BW24" s="13">
        <f t="shared" si="5"/>
        <v>0</v>
      </c>
      <c r="BX24" s="13">
        <f t="shared" si="5"/>
        <v>0</v>
      </c>
      <c r="BY24" s="13">
        <f t="shared" si="5"/>
        <v>0</v>
      </c>
      <c r="BZ24" s="13">
        <f t="shared" si="5"/>
        <v>1</v>
      </c>
      <c r="CA24" s="13">
        <f t="shared" si="5"/>
        <v>0</v>
      </c>
      <c r="CB24" s="13">
        <f t="shared" si="5"/>
        <v>0</v>
      </c>
      <c r="CC24" s="13">
        <f t="shared" si="5"/>
        <v>2</v>
      </c>
      <c r="CD24" s="13">
        <f t="shared" si="5"/>
        <v>0</v>
      </c>
      <c r="CE24" s="13">
        <f t="shared" si="5"/>
        <v>0</v>
      </c>
      <c r="CF24" s="13">
        <f t="shared" si="5"/>
        <v>0</v>
      </c>
      <c r="CG24" s="13">
        <f t="shared" si="5"/>
        <v>0</v>
      </c>
      <c r="CH24" s="13">
        <f t="shared" si="5"/>
        <v>0</v>
      </c>
      <c r="CI24" s="13">
        <f t="shared" si="5"/>
        <v>0</v>
      </c>
      <c r="CJ24" s="13">
        <f t="shared" si="5"/>
        <v>0</v>
      </c>
      <c r="CK24" s="13">
        <f t="shared" si="5"/>
        <v>0</v>
      </c>
      <c r="CL24" s="13">
        <f t="shared" si="5"/>
        <v>0</v>
      </c>
      <c r="CM24" s="13">
        <f t="shared" si="3"/>
        <v>48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38">
        <v>0.0</v>
      </c>
      <c r="F25" s="38">
        <v>4.0</v>
      </c>
      <c r="G25" s="38">
        <v>2.0</v>
      </c>
      <c r="H25" s="38">
        <v>0.0</v>
      </c>
      <c r="I25" s="38">
        <v>0.0</v>
      </c>
      <c r="J25" s="38">
        <v>7.0</v>
      </c>
      <c r="K25" s="38">
        <v>3.0</v>
      </c>
      <c r="L25" s="38">
        <v>1.0</v>
      </c>
      <c r="M25" s="38">
        <v>1.0</v>
      </c>
      <c r="N25" s="38">
        <v>0.0</v>
      </c>
      <c r="O25" s="38">
        <v>17.0</v>
      </c>
      <c r="P25" s="38">
        <v>2.0</v>
      </c>
      <c r="Q25" s="38">
        <v>2.0</v>
      </c>
      <c r="R25" s="38">
        <v>1.0</v>
      </c>
      <c r="S25" s="38">
        <v>0.0</v>
      </c>
      <c r="T25" s="68">
        <v>7.0</v>
      </c>
      <c r="U25" s="68">
        <v>2.0</v>
      </c>
      <c r="V25" s="68">
        <v>2.0</v>
      </c>
      <c r="W25" s="68">
        <v>5.0</v>
      </c>
      <c r="X25" s="68">
        <v>1.0</v>
      </c>
      <c r="Y25" s="68">
        <v>10.0</v>
      </c>
      <c r="Z25" s="68">
        <v>0.0</v>
      </c>
      <c r="AA25" s="68">
        <v>5.0</v>
      </c>
      <c r="AB25" s="68">
        <v>0.0</v>
      </c>
      <c r="AC25" s="68">
        <v>0.0</v>
      </c>
      <c r="AD25" s="68">
        <v>0.0</v>
      </c>
      <c r="AE25" s="68">
        <v>2.0</v>
      </c>
      <c r="AF25" s="68">
        <v>1.0</v>
      </c>
      <c r="AG25" s="68">
        <v>2.0</v>
      </c>
      <c r="AH25" s="68">
        <v>1.0</v>
      </c>
      <c r="AI25" s="38">
        <v>0.0</v>
      </c>
      <c r="AJ25" s="38">
        <v>2.0</v>
      </c>
      <c r="AK25" s="38">
        <v>0.0</v>
      </c>
      <c r="AL25" s="38">
        <v>2.0</v>
      </c>
      <c r="AM25" s="38">
        <v>2.0</v>
      </c>
      <c r="AN25" s="38">
        <v>1.0</v>
      </c>
      <c r="AO25" s="38">
        <v>0.0</v>
      </c>
      <c r="AP25" s="38">
        <v>2.0</v>
      </c>
      <c r="AQ25" s="38">
        <v>5.0</v>
      </c>
      <c r="AR25" s="38">
        <v>3.0</v>
      </c>
      <c r="AS25" s="38">
        <v>1.0</v>
      </c>
      <c r="AT25" s="38">
        <v>0.0</v>
      </c>
      <c r="AU25" s="38">
        <v>0.0</v>
      </c>
      <c r="AV25" s="38">
        <v>1.0</v>
      </c>
      <c r="AW25" s="38">
        <v>0.0</v>
      </c>
      <c r="AX25" s="38">
        <v>4.0</v>
      </c>
      <c r="AY25" s="38">
        <v>3.0</v>
      </c>
      <c r="AZ25" s="38">
        <v>2.0</v>
      </c>
      <c r="BA25" s="38">
        <v>0.0</v>
      </c>
      <c r="BB25" s="38">
        <v>1.0</v>
      </c>
      <c r="BC25" s="38">
        <v>0.0</v>
      </c>
      <c r="BD25" s="38">
        <v>0.0</v>
      </c>
      <c r="BE25" s="38">
        <v>1.0</v>
      </c>
      <c r="BF25" s="38">
        <v>3.0</v>
      </c>
      <c r="BG25" s="38">
        <v>4.0</v>
      </c>
      <c r="BH25" s="38">
        <v>0.0</v>
      </c>
      <c r="BI25" s="38">
        <v>0.0</v>
      </c>
      <c r="BJ25" s="38">
        <v>5.0</v>
      </c>
      <c r="BK25" s="38">
        <v>2.0</v>
      </c>
      <c r="BL25" s="38">
        <v>0.0</v>
      </c>
      <c r="BM25" s="38">
        <v>0.0</v>
      </c>
      <c r="BN25" s="38">
        <v>0.0</v>
      </c>
      <c r="BO25" s="38">
        <v>0.0</v>
      </c>
      <c r="BP25" s="38">
        <v>0.0</v>
      </c>
      <c r="BQ25" s="38">
        <v>0.0</v>
      </c>
      <c r="BR25" s="38">
        <v>0.0</v>
      </c>
      <c r="BS25" s="38">
        <v>2.0</v>
      </c>
      <c r="BT25" s="38">
        <v>0.0</v>
      </c>
      <c r="BU25" s="38">
        <v>0.0</v>
      </c>
      <c r="BV25" s="38">
        <v>4.0</v>
      </c>
      <c r="BW25" s="38">
        <v>1.0</v>
      </c>
      <c r="BX25" s="38">
        <v>2.0</v>
      </c>
      <c r="BY25" s="38">
        <v>0.0</v>
      </c>
      <c r="BZ25" s="38">
        <v>0.0</v>
      </c>
      <c r="CA25" s="38">
        <v>1.0</v>
      </c>
      <c r="CB25" s="38">
        <v>1.0</v>
      </c>
      <c r="CC25" s="38">
        <v>0.0</v>
      </c>
      <c r="CD25" s="38">
        <v>1.0</v>
      </c>
      <c r="CE25" s="38">
        <v>0.0</v>
      </c>
      <c r="CF25" s="38">
        <v>0.0</v>
      </c>
      <c r="CG25" s="38">
        <v>0.0</v>
      </c>
      <c r="CH25" s="38">
        <v>0.0</v>
      </c>
      <c r="CI25" s="38">
        <v>0.0</v>
      </c>
      <c r="CJ25" s="38">
        <v>7.0</v>
      </c>
      <c r="CK25" s="38">
        <v>0.0</v>
      </c>
      <c r="CL25" s="38">
        <v>0.0</v>
      </c>
      <c r="CM25" s="13">
        <f t="shared" si="3"/>
        <v>141</v>
      </c>
    </row>
    <row r="26" ht="12.75" customHeight="1">
      <c r="A26" s="34"/>
      <c r="B26" s="27"/>
      <c r="C26" s="35"/>
      <c r="D26" s="19" t="s">
        <v>13</v>
      </c>
      <c r="E26" s="38">
        <v>0.0</v>
      </c>
      <c r="F26" s="38">
        <v>7.0</v>
      </c>
      <c r="G26" s="38">
        <v>0.0</v>
      </c>
      <c r="H26" s="38">
        <v>0.0</v>
      </c>
      <c r="I26" s="38">
        <v>0.0</v>
      </c>
      <c r="J26" s="38">
        <v>4.0</v>
      </c>
      <c r="K26" s="38">
        <v>1.0</v>
      </c>
      <c r="L26" s="38">
        <v>1.0</v>
      </c>
      <c r="M26" s="38">
        <v>1.0</v>
      </c>
      <c r="N26" s="38">
        <v>0.0</v>
      </c>
      <c r="O26" s="38">
        <v>18.0</v>
      </c>
      <c r="P26" s="38">
        <v>1.0</v>
      </c>
      <c r="Q26" s="38">
        <v>1.0</v>
      </c>
      <c r="R26" s="38">
        <v>3.0</v>
      </c>
      <c r="S26" s="38">
        <v>0.0</v>
      </c>
      <c r="T26" s="68">
        <v>7.0</v>
      </c>
      <c r="U26" s="68">
        <v>0.0</v>
      </c>
      <c r="V26" s="68">
        <v>2.0</v>
      </c>
      <c r="W26" s="68">
        <v>4.0</v>
      </c>
      <c r="X26" s="68">
        <v>0.0</v>
      </c>
      <c r="Y26" s="68">
        <v>14.0</v>
      </c>
      <c r="Z26" s="68">
        <v>0.0</v>
      </c>
      <c r="AA26" s="68">
        <v>2.0</v>
      </c>
      <c r="AB26" s="68">
        <v>0.0</v>
      </c>
      <c r="AC26" s="68">
        <v>0.0</v>
      </c>
      <c r="AD26" s="68">
        <v>0.0</v>
      </c>
      <c r="AE26" s="68">
        <v>3.0</v>
      </c>
      <c r="AF26" s="68">
        <v>3.0</v>
      </c>
      <c r="AG26" s="68">
        <v>4.0</v>
      </c>
      <c r="AH26" s="68">
        <v>0.0</v>
      </c>
      <c r="AI26" s="38">
        <v>0.0</v>
      </c>
      <c r="AJ26" s="38">
        <v>3.0</v>
      </c>
      <c r="AK26" s="38">
        <v>0.0</v>
      </c>
      <c r="AL26" s="38">
        <v>5.0</v>
      </c>
      <c r="AM26" s="38">
        <v>0.0</v>
      </c>
      <c r="AN26" s="38">
        <v>1.0</v>
      </c>
      <c r="AO26" s="38">
        <v>4.0</v>
      </c>
      <c r="AP26" s="38">
        <v>1.0</v>
      </c>
      <c r="AQ26" s="38">
        <v>3.0</v>
      </c>
      <c r="AR26" s="38">
        <v>2.0</v>
      </c>
      <c r="AS26" s="38">
        <v>1.0</v>
      </c>
      <c r="AT26" s="38">
        <v>0.0</v>
      </c>
      <c r="AU26" s="38">
        <v>0.0</v>
      </c>
      <c r="AV26" s="38">
        <v>4.0</v>
      </c>
      <c r="AW26" s="38">
        <v>2.0</v>
      </c>
      <c r="AX26" s="38">
        <v>6.0</v>
      </c>
      <c r="AY26" s="38">
        <v>3.0</v>
      </c>
      <c r="AZ26" s="38">
        <v>7.0</v>
      </c>
      <c r="BA26" s="38">
        <v>1.0</v>
      </c>
      <c r="BB26" s="38">
        <v>1.0</v>
      </c>
      <c r="BC26" s="38">
        <v>1.0</v>
      </c>
      <c r="BD26" s="38">
        <v>0.0</v>
      </c>
      <c r="BE26" s="38">
        <v>3.0</v>
      </c>
      <c r="BF26" s="38">
        <v>2.0</v>
      </c>
      <c r="BG26" s="38">
        <v>5.0</v>
      </c>
      <c r="BH26" s="38">
        <v>0.0</v>
      </c>
      <c r="BI26" s="38">
        <v>5.0</v>
      </c>
      <c r="BJ26" s="38">
        <v>5.0</v>
      </c>
      <c r="BK26" s="38">
        <v>0.0</v>
      </c>
      <c r="BL26" s="38">
        <v>0.0</v>
      </c>
      <c r="BM26" s="38">
        <v>0.0</v>
      </c>
      <c r="BN26" s="38">
        <v>0.0</v>
      </c>
      <c r="BO26" s="38">
        <v>0.0</v>
      </c>
      <c r="BP26" s="38">
        <v>0.0</v>
      </c>
      <c r="BQ26" s="38">
        <v>0.0</v>
      </c>
      <c r="BR26" s="38">
        <v>0.0</v>
      </c>
      <c r="BS26" s="38">
        <v>2.0</v>
      </c>
      <c r="BT26" s="38">
        <v>0.0</v>
      </c>
      <c r="BU26" s="38">
        <v>0.0</v>
      </c>
      <c r="BV26" s="38">
        <v>3.0</v>
      </c>
      <c r="BW26" s="38">
        <v>4.0</v>
      </c>
      <c r="BX26" s="38">
        <v>6.0</v>
      </c>
      <c r="BY26" s="38">
        <v>0.0</v>
      </c>
      <c r="BZ26" s="38">
        <v>0.0</v>
      </c>
      <c r="CA26" s="38">
        <v>0.0</v>
      </c>
      <c r="CB26" s="38">
        <v>0.0</v>
      </c>
      <c r="CC26" s="38">
        <v>0.0</v>
      </c>
      <c r="CD26" s="38">
        <v>1.0</v>
      </c>
      <c r="CE26" s="38">
        <v>1.0</v>
      </c>
      <c r="CF26" s="38">
        <v>2.0</v>
      </c>
      <c r="CG26" s="38">
        <v>0.0</v>
      </c>
      <c r="CH26" s="38">
        <v>0.0</v>
      </c>
      <c r="CI26" s="38">
        <v>0.0</v>
      </c>
      <c r="CJ26" s="38">
        <v>6.0</v>
      </c>
      <c r="CK26" s="38">
        <v>0.0</v>
      </c>
      <c r="CL26" s="38">
        <v>0.0</v>
      </c>
      <c r="CM26" s="13">
        <f t="shared" si="3"/>
        <v>166</v>
      </c>
    </row>
    <row r="27" ht="12.75" customHeight="1">
      <c r="A27" s="36"/>
      <c r="B27" s="28"/>
      <c r="C27" s="37"/>
      <c r="D27" s="13" t="s">
        <v>14</v>
      </c>
      <c r="E27" s="13">
        <f t="shared" ref="E27:CL27" si="6">SUM(E25:E26)</f>
        <v>0</v>
      </c>
      <c r="F27" s="13">
        <f t="shared" si="6"/>
        <v>11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11</v>
      </c>
      <c r="K27" s="13">
        <f t="shared" si="6"/>
        <v>4</v>
      </c>
      <c r="L27" s="13">
        <f t="shared" si="6"/>
        <v>2</v>
      </c>
      <c r="M27" s="13">
        <f t="shared" si="6"/>
        <v>2</v>
      </c>
      <c r="N27" s="13">
        <f t="shared" si="6"/>
        <v>0</v>
      </c>
      <c r="O27" s="13">
        <f t="shared" si="6"/>
        <v>35</v>
      </c>
      <c r="P27" s="13">
        <f t="shared" si="6"/>
        <v>3</v>
      </c>
      <c r="Q27" s="13">
        <f t="shared" si="6"/>
        <v>3</v>
      </c>
      <c r="R27" s="13">
        <f t="shared" si="6"/>
        <v>4</v>
      </c>
      <c r="S27" s="13">
        <f t="shared" si="6"/>
        <v>0</v>
      </c>
      <c r="T27" s="13">
        <f t="shared" si="6"/>
        <v>14</v>
      </c>
      <c r="U27" s="13">
        <f t="shared" si="6"/>
        <v>2</v>
      </c>
      <c r="V27" s="13">
        <f t="shared" si="6"/>
        <v>4</v>
      </c>
      <c r="W27" s="13">
        <f t="shared" si="6"/>
        <v>9</v>
      </c>
      <c r="X27" s="13">
        <f t="shared" si="6"/>
        <v>1</v>
      </c>
      <c r="Y27" s="13">
        <f t="shared" si="6"/>
        <v>24</v>
      </c>
      <c r="Z27" s="13">
        <f t="shared" si="6"/>
        <v>0</v>
      </c>
      <c r="AA27" s="13">
        <f t="shared" si="6"/>
        <v>7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5</v>
      </c>
      <c r="AF27" s="13">
        <f t="shared" si="6"/>
        <v>4</v>
      </c>
      <c r="AG27" s="13">
        <f t="shared" si="6"/>
        <v>6</v>
      </c>
      <c r="AH27" s="13">
        <f t="shared" si="6"/>
        <v>1</v>
      </c>
      <c r="AI27" s="13">
        <f t="shared" si="6"/>
        <v>0</v>
      </c>
      <c r="AJ27" s="13">
        <f t="shared" si="6"/>
        <v>5</v>
      </c>
      <c r="AK27" s="13">
        <f t="shared" si="6"/>
        <v>0</v>
      </c>
      <c r="AL27" s="13">
        <f t="shared" si="6"/>
        <v>7</v>
      </c>
      <c r="AM27" s="13">
        <f t="shared" si="6"/>
        <v>2</v>
      </c>
      <c r="AN27" s="13">
        <f t="shared" si="6"/>
        <v>2</v>
      </c>
      <c r="AO27" s="13">
        <f t="shared" si="6"/>
        <v>4</v>
      </c>
      <c r="AP27" s="13">
        <f t="shared" si="6"/>
        <v>3</v>
      </c>
      <c r="AQ27" s="13">
        <f t="shared" si="6"/>
        <v>8</v>
      </c>
      <c r="AR27" s="13">
        <f t="shared" si="6"/>
        <v>5</v>
      </c>
      <c r="AS27" s="13">
        <f t="shared" si="6"/>
        <v>2</v>
      </c>
      <c r="AT27" s="13">
        <f t="shared" si="6"/>
        <v>0</v>
      </c>
      <c r="AU27" s="13">
        <f t="shared" si="6"/>
        <v>0</v>
      </c>
      <c r="AV27" s="13">
        <f t="shared" si="6"/>
        <v>5</v>
      </c>
      <c r="AW27" s="13">
        <f t="shared" si="6"/>
        <v>2</v>
      </c>
      <c r="AX27" s="13">
        <f t="shared" si="6"/>
        <v>10</v>
      </c>
      <c r="AY27" s="13">
        <f t="shared" si="6"/>
        <v>6</v>
      </c>
      <c r="AZ27" s="13">
        <f t="shared" si="6"/>
        <v>9</v>
      </c>
      <c r="BA27" s="13">
        <f t="shared" si="6"/>
        <v>1</v>
      </c>
      <c r="BB27" s="13">
        <f t="shared" si="6"/>
        <v>2</v>
      </c>
      <c r="BC27" s="13">
        <f t="shared" si="6"/>
        <v>1</v>
      </c>
      <c r="BD27" s="13">
        <f t="shared" si="6"/>
        <v>0</v>
      </c>
      <c r="BE27" s="13">
        <f t="shared" si="6"/>
        <v>4</v>
      </c>
      <c r="BF27" s="13">
        <f t="shared" si="6"/>
        <v>5</v>
      </c>
      <c r="BG27" s="13">
        <f t="shared" si="6"/>
        <v>9</v>
      </c>
      <c r="BH27" s="13">
        <f t="shared" si="6"/>
        <v>0</v>
      </c>
      <c r="BI27" s="13">
        <f t="shared" si="6"/>
        <v>5</v>
      </c>
      <c r="BJ27" s="13">
        <f t="shared" si="6"/>
        <v>10</v>
      </c>
      <c r="BK27" s="13">
        <f t="shared" si="6"/>
        <v>2</v>
      </c>
      <c r="BL27" s="13">
        <f t="shared" si="6"/>
        <v>0</v>
      </c>
      <c r="BM27" s="13">
        <f t="shared" si="6"/>
        <v>0</v>
      </c>
      <c r="BN27" s="13">
        <f t="shared" si="6"/>
        <v>0</v>
      </c>
      <c r="BO27" s="13">
        <f t="shared" si="6"/>
        <v>0</v>
      </c>
      <c r="BP27" s="13">
        <f t="shared" si="6"/>
        <v>0</v>
      </c>
      <c r="BQ27" s="13">
        <f t="shared" si="6"/>
        <v>0</v>
      </c>
      <c r="BR27" s="13">
        <f t="shared" si="6"/>
        <v>0</v>
      </c>
      <c r="BS27" s="13">
        <f t="shared" si="6"/>
        <v>4</v>
      </c>
      <c r="BT27" s="13">
        <f t="shared" si="6"/>
        <v>0</v>
      </c>
      <c r="BU27" s="13">
        <f t="shared" si="6"/>
        <v>0</v>
      </c>
      <c r="BV27" s="13">
        <f t="shared" si="6"/>
        <v>7</v>
      </c>
      <c r="BW27" s="13">
        <f t="shared" si="6"/>
        <v>5</v>
      </c>
      <c r="BX27" s="13">
        <f t="shared" si="6"/>
        <v>8</v>
      </c>
      <c r="BY27" s="13">
        <f t="shared" si="6"/>
        <v>0</v>
      </c>
      <c r="BZ27" s="13">
        <f t="shared" si="6"/>
        <v>0</v>
      </c>
      <c r="CA27" s="13">
        <f t="shared" si="6"/>
        <v>1</v>
      </c>
      <c r="CB27" s="13">
        <f t="shared" si="6"/>
        <v>1</v>
      </c>
      <c r="CC27" s="13">
        <f t="shared" si="6"/>
        <v>0</v>
      </c>
      <c r="CD27" s="13">
        <f t="shared" si="6"/>
        <v>2</v>
      </c>
      <c r="CE27" s="13">
        <f t="shared" si="6"/>
        <v>1</v>
      </c>
      <c r="CF27" s="13">
        <f t="shared" si="6"/>
        <v>2</v>
      </c>
      <c r="CG27" s="13">
        <f t="shared" si="6"/>
        <v>0</v>
      </c>
      <c r="CH27" s="13">
        <f t="shared" si="6"/>
        <v>0</v>
      </c>
      <c r="CI27" s="13">
        <f t="shared" si="6"/>
        <v>0</v>
      </c>
      <c r="CJ27" s="13">
        <f t="shared" si="6"/>
        <v>13</v>
      </c>
      <c r="CK27" s="13">
        <f t="shared" si="6"/>
        <v>0</v>
      </c>
      <c r="CL27" s="13">
        <f t="shared" si="6"/>
        <v>0</v>
      </c>
      <c r="CM27" s="13">
        <f t="shared" si="3"/>
        <v>307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CL28" si="7">SUM(E19,E22,E25)</f>
        <v>102</v>
      </c>
      <c r="F28" s="13">
        <f t="shared" si="7"/>
        <v>103</v>
      </c>
      <c r="G28" s="13">
        <f t="shared" si="7"/>
        <v>89</v>
      </c>
      <c r="H28" s="13">
        <f t="shared" si="7"/>
        <v>95</v>
      </c>
      <c r="I28" s="13">
        <f t="shared" si="7"/>
        <v>103</v>
      </c>
      <c r="J28" s="13">
        <f t="shared" si="7"/>
        <v>90</v>
      </c>
      <c r="K28" s="13">
        <f t="shared" si="7"/>
        <v>104</v>
      </c>
      <c r="L28" s="13">
        <f t="shared" si="7"/>
        <v>107</v>
      </c>
      <c r="M28" s="13">
        <f t="shared" si="7"/>
        <v>85</v>
      </c>
      <c r="N28" s="13">
        <f t="shared" si="7"/>
        <v>95</v>
      </c>
      <c r="O28" s="13">
        <f t="shared" si="7"/>
        <v>104</v>
      </c>
      <c r="P28" s="13">
        <f t="shared" si="7"/>
        <v>87</v>
      </c>
      <c r="Q28" s="13">
        <f t="shared" si="7"/>
        <v>95</v>
      </c>
      <c r="R28" s="13">
        <f t="shared" si="7"/>
        <v>107</v>
      </c>
      <c r="S28" s="13">
        <f t="shared" si="7"/>
        <v>93</v>
      </c>
      <c r="T28" s="13">
        <f t="shared" si="7"/>
        <v>105</v>
      </c>
      <c r="U28" s="13">
        <f t="shared" si="7"/>
        <v>94</v>
      </c>
      <c r="V28" s="13">
        <f t="shared" si="7"/>
        <v>107</v>
      </c>
      <c r="W28" s="13">
        <f t="shared" si="7"/>
        <v>107</v>
      </c>
      <c r="X28" s="13">
        <f t="shared" si="7"/>
        <v>100</v>
      </c>
      <c r="Y28" s="13">
        <f t="shared" si="7"/>
        <v>100</v>
      </c>
      <c r="Z28" s="13">
        <f t="shared" si="7"/>
        <v>102</v>
      </c>
      <c r="AA28" s="13">
        <f t="shared" si="7"/>
        <v>107</v>
      </c>
      <c r="AB28" s="13">
        <f t="shared" si="7"/>
        <v>112</v>
      </c>
      <c r="AC28" s="13">
        <f t="shared" si="7"/>
        <v>98</v>
      </c>
      <c r="AD28" s="13">
        <f t="shared" si="7"/>
        <v>93</v>
      </c>
      <c r="AE28" s="13">
        <f t="shared" si="7"/>
        <v>120</v>
      </c>
      <c r="AF28" s="13">
        <f t="shared" si="7"/>
        <v>115</v>
      </c>
      <c r="AG28" s="13">
        <f t="shared" si="7"/>
        <v>106</v>
      </c>
      <c r="AH28" s="13">
        <f t="shared" si="7"/>
        <v>92</v>
      </c>
      <c r="AI28" s="13">
        <f t="shared" si="7"/>
        <v>90</v>
      </c>
      <c r="AJ28" s="13">
        <f t="shared" si="7"/>
        <v>108</v>
      </c>
      <c r="AK28" s="13">
        <f t="shared" si="7"/>
        <v>97</v>
      </c>
      <c r="AL28" s="13">
        <f t="shared" si="7"/>
        <v>93</v>
      </c>
      <c r="AM28" s="13">
        <f t="shared" si="7"/>
        <v>103</v>
      </c>
      <c r="AN28" s="13">
        <f t="shared" si="7"/>
        <v>110</v>
      </c>
      <c r="AO28" s="13">
        <f t="shared" si="7"/>
        <v>100</v>
      </c>
      <c r="AP28" s="13">
        <f t="shared" si="7"/>
        <v>105</v>
      </c>
      <c r="AQ28" s="13">
        <f t="shared" si="7"/>
        <v>105</v>
      </c>
      <c r="AR28" s="13">
        <f t="shared" si="7"/>
        <v>98</v>
      </c>
      <c r="AS28" s="13">
        <f t="shared" si="7"/>
        <v>99</v>
      </c>
      <c r="AT28" s="13">
        <f t="shared" si="7"/>
        <v>94</v>
      </c>
      <c r="AU28" s="13">
        <f t="shared" si="7"/>
        <v>102</v>
      </c>
      <c r="AV28" s="13">
        <f t="shared" si="7"/>
        <v>103</v>
      </c>
      <c r="AW28" s="13">
        <f t="shared" si="7"/>
        <v>97</v>
      </c>
      <c r="AX28" s="13">
        <f t="shared" si="7"/>
        <v>96</v>
      </c>
      <c r="AY28" s="13">
        <f t="shared" si="7"/>
        <v>92</v>
      </c>
      <c r="AZ28" s="13">
        <f t="shared" si="7"/>
        <v>93</v>
      </c>
      <c r="BA28" s="13">
        <f t="shared" si="7"/>
        <v>107</v>
      </c>
      <c r="BB28" s="13">
        <f t="shared" si="7"/>
        <v>75</v>
      </c>
      <c r="BC28" s="13">
        <f t="shared" si="7"/>
        <v>77</v>
      </c>
      <c r="BD28" s="13">
        <f t="shared" si="7"/>
        <v>98</v>
      </c>
      <c r="BE28" s="13">
        <f t="shared" si="7"/>
        <v>86</v>
      </c>
      <c r="BF28" s="13">
        <f t="shared" si="7"/>
        <v>86</v>
      </c>
      <c r="BG28" s="13">
        <f t="shared" si="7"/>
        <v>96</v>
      </c>
      <c r="BH28" s="13">
        <f t="shared" si="7"/>
        <v>77</v>
      </c>
      <c r="BI28" s="13">
        <f t="shared" si="7"/>
        <v>90</v>
      </c>
      <c r="BJ28" s="13">
        <f t="shared" si="7"/>
        <v>94</v>
      </c>
      <c r="BK28" s="13">
        <f t="shared" si="7"/>
        <v>101</v>
      </c>
      <c r="BL28" s="13">
        <f t="shared" si="7"/>
        <v>105</v>
      </c>
      <c r="BM28" s="13">
        <f t="shared" si="7"/>
        <v>92</v>
      </c>
      <c r="BN28" s="13">
        <f t="shared" si="7"/>
        <v>78</v>
      </c>
      <c r="BO28" s="13">
        <f t="shared" si="7"/>
        <v>94</v>
      </c>
      <c r="BP28" s="13">
        <f t="shared" si="7"/>
        <v>93</v>
      </c>
      <c r="BQ28" s="13">
        <f t="shared" si="7"/>
        <v>124</v>
      </c>
      <c r="BR28" s="13">
        <f t="shared" si="7"/>
        <v>100</v>
      </c>
      <c r="BS28" s="13">
        <f t="shared" si="7"/>
        <v>91</v>
      </c>
      <c r="BT28" s="13">
        <f t="shared" si="7"/>
        <v>75</v>
      </c>
      <c r="BU28" s="13">
        <f t="shared" si="7"/>
        <v>93</v>
      </c>
      <c r="BV28" s="13">
        <f t="shared" si="7"/>
        <v>95</v>
      </c>
      <c r="BW28" s="13">
        <f t="shared" si="7"/>
        <v>75</v>
      </c>
      <c r="BX28" s="13">
        <f t="shared" si="7"/>
        <v>90</v>
      </c>
      <c r="BY28" s="13">
        <f t="shared" si="7"/>
        <v>83</v>
      </c>
      <c r="BZ28" s="13">
        <f t="shared" si="7"/>
        <v>80</v>
      </c>
      <c r="CA28" s="13">
        <f t="shared" si="7"/>
        <v>95</v>
      </c>
      <c r="CB28" s="13">
        <f t="shared" si="7"/>
        <v>93</v>
      </c>
      <c r="CC28" s="13">
        <f t="shared" si="7"/>
        <v>94</v>
      </c>
      <c r="CD28" s="13">
        <f t="shared" si="7"/>
        <v>83</v>
      </c>
      <c r="CE28" s="13">
        <f t="shared" si="7"/>
        <v>94</v>
      </c>
      <c r="CF28" s="13">
        <f t="shared" si="7"/>
        <v>84</v>
      </c>
      <c r="CG28" s="13">
        <f t="shared" si="7"/>
        <v>91</v>
      </c>
      <c r="CH28" s="13">
        <f t="shared" si="7"/>
        <v>100</v>
      </c>
      <c r="CI28" s="13">
        <f t="shared" si="7"/>
        <v>98</v>
      </c>
      <c r="CJ28" s="13">
        <f t="shared" si="7"/>
        <v>108</v>
      </c>
      <c r="CK28" s="13">
        <f t="shared" si="7"/>
        <v>107</v>
      </c>
      <c r="CL28" s="13">
        <f t="shared" si="7"/>
        <v>99</v>
      </c>
      <c r="CM28" s="13">
        <f t="shared" si="3"/>
        <v>8303</v>
      </c>
    </row>
    <row r="29" ht="12.75" customHeight="1">
      <c r="A29" s="36"/>
      <c r="B29" s="27"/>
      <c r="C29" s="35"/>
      <c r="D29" s="13" t="s">
        <v>13</v>
      </c>
      <c r="E29" s="13">
        <f t="shared" ref="E29:CL29" si="8">SUM(E20,E23,E26)</f>
        <v>102</v>
      </c>
      <c r="F29" s="13">
        <f t="shared" si="8"/>
        <v>117</v>
      </c>
      <c r="G29" s="13">
        <f t="shared" si="8"/>
        <v>108</v>
      </c>
      <c r="H29" s="13">
        <f t="shared" si="8"/>
        <v>92</v>
      </c>
      <c r="I29" s="13">
        <f t="shared" si="8"/>
        <v>97</v>
      </c>
      <c r="J29" s="13">
        <f t="shared" si="8"/>
        <v>98</v>
      </c>
      <c r="K29" s="13">
        <f t="shared" si="8"/>
        <v>96</v>
      </c>
      <c r="L29" s="13">
        <f t="shared" si="8"/>
        <v>91</v>
      </c>
      <c r="M29" s="13">
        <f t="shared" si="8"/>
        <v>100</v>
      </c>
      <c r="N29" s="13">
        <f t="shared" si="8"/>
        <v>95</v>
      </c>
      <c r="O29" s="13">
        <f t="shared" si="8"/>
        <v>101</v>
      </c>
      <c r="P29" s="13">
        <f t="shared" si="8"/>
        <v>81</v>
      </c>
      <c r="Q29" s="13">
        <f t="shared" si="8"/>
        <v>100</v>
      </c>
      <c r="R29" s="13">
        <f t="shared" si="8"/>
        <v>99</v>
      </c>
      <c r="S29" s="13">
        <f t="shared" si="8"/>
        <v>91</v>
      </c>
      <c r="T29" s="13">
        <f t="shared" si="8"/>
        <v>98</v>
      </c>
      <c r="U29" s="13">
        <f t="shared" si="8"/>
        <v>97</v>
      </c>
      <c r="V29" s="13">
        <f t="shared" si="8"/>
        <v>107</v>
      </c>
      <c r="W29" s="13">
        <f t="shared" si="8"/>
        <v>111</v>
      </c>
      <c r="X29" s="13">
        <f t="shared" si="8"/>
        <v>109</v>
      </c>
      <c r="Y29" s="13">
        <f t="shared" si="8"/>
        <v>123</v>
      </c>
      <c r="Z29" s="13">
        <f t="shared" si="8"/>
        <v>97</v>
      </c>
      <c r="AA29" s="13">
        <f t="shared" si="8"/>
        <v>99</v>
      </c>
      <c r="AB29" s="13">
        <f t="shared" si="8"/>
        <v>99</v>
      </c>
      <c r="AC29" s="13">
        <f t="shared" si="8"/>
        <v>110</v>
      </c>
      <c r="AD29" s="13">
        <f t="shared" si="8"/>
        <v>94</v>
      </c>
      <c r="AE29" s="13">
        <f t="shared" si="8"/>
        <v>109</v>
      </c>
      <c r="AF29" s="13">
        <f t="shared" si="8"/>
        <v>118</v>
      </c>
      <c r="AG29" s="13">
        <f t="shared" si="8"/>
        <v>101</v>
      </c>
      <c r="AH29" s="13">
        <f t="shared" si="8"/>
        <v>104</v>
      </c>
      <c r="AI29" s="13">
        <f t="shared" si="8"/>
        <v>93</v>
      </c>
      <c r="AJ29" s="13">
        <f t="shared" si="8"/>
        <v>110</v>
      </c>
      <c r="AK29" s="13">
        <f t="shared" si="8"/>
        <v>116</v>
      </c>
      <c r="AL29" s="13">
        <f t="shared" si="8"/>
        <v>101</v>
      </c>
      <c r="AM29" s="13">
        <f t="shared" si="8"/>
        <v>106</v>
      </c>
      <c r="AN29" s="13">
        <f t="shared" si="8"/>
        <v>99</v>
      </c>
      <c r="AO29" s="13">
        <f t="shared" si="8"/>
        <v>106</v>
      </c>
      <c r="AP29" s="13">
        <f t="shared" si="8"/>
        <v>102</v>
      </c>
      <c r="AQ29" s="13">
        <f t="shared" si="8"/>
        <v>101</v>
      </c>
      <c r="AR29" s="13">
        <f t="shared" si="8"/>
        <v>89</v>
      </c>
      <c r="AS29" s="13">
        <f t="shared" si="8"/>
        <v>106</v>
      </c>
      <c r="AT29" s="13">
        <f t="shared" si="8"/>
        <v>113</v>
      </c>
      <c r="AU29" s="13">
        <f t="shared" si="8"/>
        <v>99</v>
      </c>
      <c r="AV29" s="13">
        <f t="shared" si="8"/>
        <v>104</v>
      </c>
      <c r="AW29" s="13">
        <f t="shared" si="8"/>
        <v>111</v>
      </c>
      <c r="AX29" s="13">
        <f t="shared" si="8"/>
        <v>101</v>
      </c>
      <c r="AY29" s="13">
        <f t="shared" si="8"/>
        <v>103</v>
      </c>
      <c r="AZ29" s="13">
        <f t="shared" si="8"/>
        <v>115</v>
      </c>
      <c r="BA29" s="13">
        <f t="shared" si="8"/>
        <v>116</v>
      </c>
      <c r="BB29" s="13">
        <f t="shared" si="8"/>
        <v>86</v>
      </c>
      <c r="BC29" s="13">
        <f t="shared" si="8"/>
        <v>84</v>
      </c>
      <c r="BD29" s="13">
        <f t="shared" si="8"/>
        <v>100</v>
      </c>
      <c r="BE29" s="13">
        <f t="shared" si="8"/>
        <v>97</v>
      </c>
      <c r="BF29" s="13">
        <f t="shared" si="8"/>
        <v>81</v>
      </c>
      <c r="BG29" s="13">
        <f t="shared" si="8"/>
        <v>102</v>
      </c>
      <c r="BH29" s="13">
        <f t="shared" si="8"/>
        <v>95</v>
      </c>
      <c r="BI29" s="13">
        <f t="shared" si="8"/>
        <v>99</v>
      </c>
      <c r="BJ29" s="13">
        <f t="shared" si="8"/>
        <v>90</v>
      </c>
      <c r="BK29" s="13">
        <f t="shared" si="8"/>
        <v>95</v>
      </c>
      <c r="BL29" s="13">
        <f t="shared" si="8"/>
        <v>102</v>
      </c>
      <c r="BM29" s="13">
        <f t="shared" si="8"/>
        <v>99</v>
      </c>
      <c r="BN29" s="13">
        <f t="shared" si="8"/>
        <v>93</v>
      </c>
      <c r="BO29" s="13">
        <f t="shared" si="8"/>
        <v>96</v>
      </c>
      <c r="BP29" s="13">
        <f t="shared" si="8"/>
        <v>92</v>
      </c>
      <c r="BQ29" s="13">
        <f t="shared" si="8"/>
        <v>113</v>
      </c>
      <c r="BR29" s="13">
        <f t="shared" si="8"/>
        <v>91</v>
      </c>
      <c r="BS29" s="13">
        <f t="shared" si="8"/>
        <v>91</v>
      </c>
      <c r="BT29" s="13">
        <f t="shared" si="8"/>
        <v>76</v>
      </c>
      <c r="BU29" s="13">
        <f t="shared" si="8"/>
        <v>93</v>
      </c>
      <c r="BV29" s="13">
        <f t="shared" si="8"/>
        <v>85</v>
      </c>
      <c r="BW29" s="13">
        <f t="shared" si="8"/>
        <v>93</v>
      </c>
      <c r="BX29" s="13">
        <f t="shared" si="8"/>
        <v>101</v>
      </c>
      <c r="BY29" s="13">
        <f t="shared" si="8"/>
        <v>90</v>
      </c>
      <c r="BZ29" s="13">
        <f t="shared" si="8"/>
        <v>98</v>
      </c>
      <c r="CA29" s="13">
        <f t="shared" si="8"/>
        <v>93</v>
      </c>
      <c r="CB29" s="13">
        <f t="shared" si="8"/>
        <v>80</v>
      </c>
      <c r="CC29" s="13">
        <f t="shared" si="8"/>
        <v>99</v>
      </c>
      <c r="CD29" s="13">
        <f t="shared" si="8"/>
        <v>97</v>
      </c>
      <c r="CE29" s="13">
        <f t="shared" si="8"/>
        <v>97</v>
      </c>
      <c r="CF29" s="13">
        <f t="shared" si="8"/>
        <v>93</v>
      </c>
      <c r="CG29" s="13">
        <f t="shared" si="8"/>
        <v>95</v>
      </c>
      <c r="CH29" s="13">
        <f t="shared" si="8"/>
        <v>92</v>
      </c>
      <c r="CI29" s="13">
        <f t="shared" si="8"/>
        <v>95</v>
      </c>
      <c r="CJ29" s="13">
        <f t="shared" si="8"/>
        <v>93</v>
      </c>
      <c r="CK29" s="13">
        <f t="shared" si="8"/>
        <v>97</v>
      </c>
      <c r="CL29" s="13">
        <f t="shared" si="8"/>
        <v>96</v>
      </c>
      <c r="CM29" s="13">
        <f t="shared" si="3"/>
        <v>8504</v>
      </c>
    </row>
    <row r="30" ht="12.75" customHeight="1">
      <c r="A30" s="36"/>
      <c r="B30" s="28"/>
      <c r="C30" s="37"/>
      <c r="D30" s="13" t="s">
        <v>14</v>
      </c>
      <c r="E30" s="13">
        <f t="shared" ref="E30:CL30" si="9">SUM(E28:E29)</f>
        <v>204</v>
      </c>
      <c r="F30" s="13">
        <f t="shared" si="9"/>
        <v>220</v>
      </c>
      <c r="G30" s="13">
        <f t="shared" si="9"/>
        <v>197</v>
      </c>
      <c r="H30" s="13">
        <f t="shared" si="9"/>
        <v>187</v>
      </c>
      <c r="I30" s="13">
        <f t="shared" si="9"/>
        <v>200</v>
      </c>
      <c r="J30" s="13">
        <f t="shared" si="9"/>
        <v>188</v>
      </c>
      <c r="K30" s="13">
        <f t="shared" si="9"/>
        <v>200</v>
      </c>
      <c r="L30" s="13">
        <f t="shared" si="9"/>
        <v>198</v>
      </c>
      <c r="M30" s="13">
        <f t="shared" si="9"/>
        <v>185</v>
      </c>
      <c r="N30" s="13">
        <f t="shared" si="9"/>
        <v>190</v>
      </c>
      <c r="O30" s="13">
        <f t="shared" si="9"/>
        <v>205</v>
      </c>
      <c r="P30" s="13">
        <f t="shared" si="9"/>
        <v>168</v>
      </c>
      <c r="Q30" s="13">
        <f t="shared" si="9"/>
        <v>195</v>
      </c>
      <c r="R30" s="13">
        <f t="shared" si="9"/>
        <v>206</v>
      </c>
      <c r="S30" s="13">
        <f t="shared" si="9"/>
        <v>184</v>
      </c>
      <c r="T30" s="13">
        <f t="shared" si="9"/>
        <v>203</v>
      </c>
      <c r="U30" s="13">
        <f t="shared" si="9"/>
        <v>191</v>
      </c>
      <c r="V30" s="13">
        <f t="shared" si="9"/>
        <v>214</v>
      </c>
      <c r="W30" s="13">
        <f t="shared" si="9"/>
        <v>218</v>
      </c>
      <c r="X30" s="13">
        <f t="shared" si="9"/>
        <v>209</v>
      </c>
      <c r="Y30" s="13">
        <f t="shared" si="9"/>
        <v>223</v>
      </c>
      <c r="Z30" s="13">
        <f t="shared" si="9"/>
        <v>199</v>
      </c>
      <c r="AA30" s="13">
        <f t="shared" si="9"/>
        <v>206</v>
      </c>
      <c r="AB30" s="13">
        <f t="shared" si="9"/>
        <v>211</v>
      </c>
      <c r="AC30" s="13">
        <f t="shared" si="9"/>
        <v>208</v>
      </c>
      <c r="AD30" s="13">
        <f t="shared" si="9"/>
        <v>187</v>
      </c>
      <c r="AE30" s="13">
        <f t="shared" si="9"/>
        <v>229</v>
      </c>
      <c r="AF30" s="13">
        <f t="shared" si="9"/>
        <v>233</v>
      </c>
      <c r="AG30" s="13">
        <f t="shared" si="9"/>
        <v>207</v>
      </c>
      <c r="AH30" s="13">
        <f t="shared" si="9"/>
        <v>196</v>
      </c>
      <c r="AI30" s="13">
        <f t="shared" si="9"/>
        <v>183</v>
      </c>
      <c r="AJ30" s="13">
        <f t="shared" si="9"/>
        <v>218</v>
      </c>
      <c r="AK30" s="13">
        <f t="shared" si="9"/>
        <v>213</v>
      </c>
      <c r="AL30" s="13">
        <f t="shared" si="9"/>
        <v>194</v>
      </c>
      <c r="AM30" s="13">
        <f t="shared" si="9"/>
        <v>209</v>
      </c>
      <c r="AN30" s="13">
        <f t="shared" si="9"/>
        <v>209</v>
      </c>
      <c r="AO30" s="13">
        <f t="shared" si="9"/>
        <v>206</v>
      </c>
      <c r="AP30" s="13">
        <f t="shared" si="9"/>
        <v>207</v>
      </c>
      <c r="AQ30" s="13">
        <f t="shared" si="9"/>
        <v>206</v>
      </c>
      <c r="AR30" s="13">
        <f t="shared" si="9"/>
        <v>187</v>
      </c>
      <c r="AS30" s="13">
        <f t="shared" si="9"/>
        <v>205</v>
      </c>
      <c r="AT30" s="13">
        <f t="shared" si="9"/>
        <v>207</v>
      </c>
      <c r="AU30" s="13">
        <f t="shared" si="9"/>
        <v>201</v>
      </c>
      <c r="AV30" s="13">
        <f t="shared" si="9"/>
        <v>207</v>
      </c>
      <c r="AW30" s="13">
        <f t="shared" si="9"/>
        <v>208</v>
      </c>
      <c r="AX30" s="13">
        <f t="shared" si="9"/>
        <v>197</v>
      </c>
      <c r="AY30" s="13">
        <f t="shared" si="9"/>
        <v>195</v>
      </c>
      <c r="AZ30" s="13">
        <f t="shared" si="9"/>
        <v>208</v>
      </c>
      <c r="BA30" s="13">
        <f t="shared" si="9"/>
        <v>223</v>
      </c>
      <c r="BB30" s="13">
        <f t="shared" si="9"/>
        <v>161</v>
      </c>
      <c r="BC30" s="13">
        <f t="shared" si="9"/>
        <v>161</v>
      </c>
      <c r="BD30" s="13">
        <f t="shared" si="9"/>
        <v>198</v>
      </c>
      <c r="BE30" s="13">
        <f t="shared" si="9"/>
        <v>183</v>
      </c>
      <c r="BF30" s="13">
        <f t="shared" si="9"/>
        <v>167</v>
      </c>
      <c r="BG30" s="13">
        <f t="shared" si="9"/>
        <v>198</v>
      </c>
      <c r="BH30" s="13">
        <f t="shared" si="9"/>
        <v>172</v>
      </c>
      <c r="BI30" s="13">
        <f t="shared" si="9"/>
        <v>189</v>
      </c>
      <c r="BJ30" s="13">
        <f t="shared" si="9"/>
        <v>184</v>
      </c>
      <c r="BK30" s="13">
        <f t="shared" si="9"/>
        <v>196</v>
      </c>
      <c r="BL30" s="13">
        <f t="shared" si="9"/>
        <v>207</v>
      </c>
      <c r="BM30" s="13">
        <f t="shared" si="9"/>
        <v>191</v>
      </c>
      <c r="BN30" s="13">
        <f t="shared" si="9"/>
        <v>171</v>
      </c>
      <c r="BO30" s="13">
        <f t="shared" si="9"/>
        <v>190</v>
      </c>
      <c r="BP30" s="13">
        <f t="shared" si="9"/>
        <v>185</v>
      </c>
      <c r="BQ30" s="13">
        <f t="shared" si="9"/>
        <v>237</v>
      </c>
      <c r="BR30" s="13">
        <f t="shared" si="9"/>
        <v>191</v>
      </c>
      <c r="BS30" s="13">
        <f t="shared" si="9"/>
        <v>182</v>
      </c>
      <c r="BT30" s="13">
        <f t="shared" si="9"/>
        <v>151</v>
      </c>
      <c r="BU30" s="13">
        <f t="shared" si="9"/>
        <v>186</v>
      </c>
      <c r="BV30" s="13">
        <f t="shared" si="9"/>
        <v>180</v>
      </c>
      <c r="BW30" s="13">
        <f t="shared" si="9"/>
        <v>168</v>
      </c>
      <c r="BX30" s="13">
        <f t="shared" si="9"/>
        <v>191</v>
      </c>
      <c r="BY30" s="13">
        <f t="shared" si="9"/>
        <v>173</v>
      </c>
      <c r="BZ30" s="13">
        <f t="shared" si="9"/>
        <v>178</v>
      </c>
      <c r="CA30" s="13">
        <f t="shared" si="9"/>
        <v>188</v>
      </c>
      <c r="CB30" s="13">
        <f t="shared" si="9"/>
        <v>173</v>
      </c>
      <c r="CC30" s="13">
        <f t="shared" si="9"/>
        <v>193</v>
      </c>
      <c r="CD30" s="13">
        <f t="shared" si="9"/>
        <v>180</v>
      </c>
      <c r="CE30" s="13">
        <f t="shared" si="9"/>
        <v>191</v>
      </c>
      <c r="CF30" s="13">
        <f t="shared" si="9"/>
        <v>177</v>
      </c>
      <c r="CG30" s="13">
        <f t="shared" si="9"/>
        <v>186</v>
      </c>
      <c r="CH30" s="13">
        <f t="shared" si="9"/>
        <v>192</v>
      </c>
      <c r="CI30" s="13">
        <f t="shared" si="9"/>
        <v>193</v>
      </c>
      <c r="CJ30" s="13">
        <f t="shared" si="9"/>
        <v>201</v>
      </c>
      <c r="CK30" s="13">
        <f t="shared" si="9"/>
        <v>204</v>
      </c>
      <c r="CL30" s="13">
        <f t="shared" si="9"/>
        <v>195</v>
      </c>
      <c r="CM30" s="13">
        <f t="shared" si="3"/>
        <v>16807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19"/>
      <c r="Z31" s="19"/>
      <c r="AA31" s="19"/>
      <c r="AB31" s="19"/>
      <c r="AC31" s="64"/>
      <c r="AD31" s="19"/>
      <c r="AE31" s="19"/>
      <c r="AF31" s="19"/>
      <c r="AG31" s="19"/>
      <c r="AH31" s="64"/>
      <c r="AI31" s="19"/>
      <c r="AJ31" s="19"/>
      <c r="AK31" s="19"/>
      <c r="AL31" s="19"/>
      <c r="AM31" s="64"/>
      <c r="AN31" s="19"/>
      <c r="AO31" s="19"/>
      <c r="AP31" s="19"/>
      <c r="AQ31" s="19"/>
      <c r="AR31" s="64"/>
      <c r="AS31" s="19"/>
      <c r="AT31" s="19"/>
      <c r="AU31" s="19"/>
      <c r="AV31" s="19"/>
      <c r="AW31" s="64"/>
      <c r="AX31" s="19"/>
      <c r="AY31" s="19"/>
      <c r="AZ31" s="19"/>
      <c r="BA31" s="19"/>
      <c r="BB31" s="64"/>
      <c r="BC31" s="19"/>
      <c r="BD31" s="19"/>
      <c r="BE31" s="19"/>
      <c r="BF31" s="19"/>
      <c r="BG31" s="64"/>
      <c r="BH31" s="19"/>
      <c r="BI31" s="19"/>
      <c r="BJ31" s="19"/>
      <c r="BK31" s="19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5"/>
    </row>
    <row r="32" ht="12.75" customHeight="1">
      <c r="A32" s="44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56</v>
      </c>
      <c r="L32" s="13" t="s">
        <v>57</v>
      </c>
      <c r="M32" s="13" t="s">
        <v>58</v>
      </c>
      <c r="N32" s="13" t="s">
        <v>59</v>
      </c>
      <c r="O32" s="13" t="s">
        <v>60</v>
      </c>
      <c r="P32" s="13" t="s">
        <v>61</v>
      </c>
      <c r="Q32" s="13" t="s">
        <v>62</v>
      </c>
      <c r="R32" s="13" t="s">
        <v>63</v>
      </c>
      <c r="S32" s="13" t="s">
        <v>64</v>
      </c>
      <c r="T32" s="13" t="s">
        <v>65</v>
      </c>
      <c r="U32" s="13" t="s">
        <v>66</v>
      </c>
      <c r="V32" s="13" t="s">
        <v>67</v>
      </c>
      <c r="W32" s="13" t="s">
        <v>68</v>
      </c>
      <c r="X32" s="13" t="s">
        <v>69</v>
      </c>
      <c r="Y32" s="13" t="s">
        <v>70</v>
      </c>
      <c r="Z32" s="13" t="s">
        <v>71</v>
      </c>
      <c r="AA32" s="13" t="s">
        <v>72</v>
      </c>
      <c r="AB32" s="13" t="s">
        <v>73</v>
      </c>
      <c r="AC32" s="13" t="s">
        <v>75</v>
      </c>
      <c r="AD32" s="13" t="s">
        <v>76</v>
      </c>
      <c r="AE32" s="13" t="s">
        <v>77</v>
      </c>
      <c r="AF32" s="13" t="s">
        <v>78</v>
      </c>
      <c r="AG32" s="13" t="s">
        <v>79</v>
      </c>
      <c r="AH32" s="13" t="s">
        <v>80</v>
      </c>
      <c r="AI32" s="13" t="s">
        <v>81</v>
      </c>
      <c r="AJ32" s="13" t="s">
        <v>82</v>
      </c>
      <c r="AK32" s="13" t="s">
        <v>83</v>
      </c>
      <c r="AL32" s="13" t="s">
        <v>84</v>
      </c>
      <c r="AM32" s="13" t="s">
        <v>85</v>
      </c>
      <c r="AN32" s="13" t="s">
        <v>86</v>
      </c>
      <c r="AO32" s="13" t="s">
        <v>87</v>
      </c>
      <c r="AP32" s="13" t="s">
        <v>88</v>
      </c>
      <c r="AQ32" s="13" t="s">
        <v>89</v>
      </c>
      <c r="AR32" s="13" t="s">
        <v>90</v>
      </c>
      <c r="AS32" s="13" t="s">
        <v>91</v>
      </c>
      <c r="AT32" s="13" t="s">
        <v>92</v>
      </c>
      <c r="AU32" s="13" t="s">
        <v>93</v>
      </c>
      <c r="AV32" s="13" t="s">
        <v>94</v>
      </c>
      <c r="AW32" s="13" t="s">
        <v>95</v>
      </c>
      <c r="AX32" s="13" t="s">
        <v>96</v>
      </c>
      <c r="AY32" s="13" t="s">
        <v>97</v>
      </c>
      <c r="AZ32" s="13" t="s">
        <v>98</v>
      </c>
      <c r="BA32" s="13" t="s">
        <v>99</v>
      </c>
      <c r="BB32" s="13" t="s">
        <v>100</v>
      </c>
      <c r="BC32" s="13" t="s">
        <v>101</v>
      </c>
      <c r="BD32" s="13" t="s">
        <v>102</v>
      </c>
      <c r="BE32" s="13" t="s">
        <v>103</v>
      </c>
      <c r="BF32" s="13" t="s">
        <v>104</v>
      </c>
      <c r="BG32" s="13" t="s">
        <v>105</v>
      </c>
      <c r="BH32" s="13" t="s">
        <v>106</v>
      </c>
      <c r="BI32" s="13" t="s">
        <v>107</v>
      </c>
      <c r="BJ32" s="13" t="s">
        <v>108</v>
      </c>
      <c r="BK32" s="13" t="s">
        <v>109</v>
      </c>
      <c r="BL32" s="13" t="s">
        <v>110</v>
      </c>
      <c r="BM32" s="13" t="s">
        <v>111</v>
      </c>
      <c r="BN32" s="13" t="s">
        <v>112</v>
      </c>
      <c r="BO32" s="13" t="s">
        <v>113</v>
      </c>
      <c r="BP32" s="13" t="s">
        <v>114</v>
      </c>
      <c r="BQ32" s="13" t="s">
        <v>115</v>
      </c>
      <c r="BR32" s="13" t="s">
        <v>116</v>
      </c>
      <c r="BS32" s="13" t="s">
        <v>117</v>
      </c>
      <c r="BT32" s="13" t="s">
        <v>118</v>
      </c>
      <c r="BU32" s="13" t="s">
        <v>119</v>
      </c>
      <c r="BV32" s="13" t="s">
        <v>120</v>
      </c>
      <c r="BW32" s="13" t="s">
        <v>121</v>
      </c>
      <c r="BX32" s="13" t="s">
        <v>122</v>
      </c>
      <c r="BY32" s="13" t="s">
        <v>123</v>
      </c>
      <c r="BZ32" s="13" t="s">
        <v>124</v>
      </c>
      <c r="CA32" s="13" t="s">
        <v>125</v>
      </c>
      <c r="CB32" s="13" t="s">
        <v>126</v>
      </c>
      <c r="CC32" s="13" t="s">
        <v>127</v>
      </c>
      <c r="CD32" s="13" t="s">
        <v>136</v>
      </c>
      <c r="CE32" s="13" t="s">
        <v>137</v>
      </c>
      <c r="CF32" s="13" t="s">
        <v>138</v>
      </c>
      <c r="CG32" s="13" t="s">
        <v>139</v>
      </c>
      <c r="CH32" s="13" t="s">
        <v>140</v>
      </c>
      <c r="CI32" s="13" t="s">
        <v>141</v>
      </c>
      <c r="CJ32" s="13" t="s">
        <v>142</v>
      </c>
      <c r="CK32" s="13" t="s">
        <v>143</v>
      </c>
      <c r="CL32" s="13" t="s">
        <v>144</v>
      </c>
      <c r="CM32" s="65"/>
    </row>
    <row r="33" ht="12.75" customHeight="1">
      <c r="A33" s="19">
        <v>1.0</v>
      </c>
      <c r="B33" s="20" t="s">
        <v>27</v>
      </c>
      <c r="C33" s="15"/>
      <c r="D33" s="16"/>
      <c r="E33" s="38">
        <v>275.0</v>
      </c>
      <c r="F33" s="38">
        <v>283.0</v>
      </c>
      <c r="G33" s="38">
        <v>279.0</v>
      </c>
      <c r="H33" s="38">
        <v>278.0</v>
      </c>
      <c r="I33" s="38">
        <v>276.0</v>
      </c>
      <c r="J33" s="38">
        <v>281.0</v>
      </c>
      <c r="K33" s="38">
        <v>278.0</v>
      </c>
      <c r="L33" s="38">
        <v>275.0</v>
      </c>
      <c r="M33" s="38">
        <v>277.0</v>
      </c>
      <c r="N33" s="38">
        <v>276.0</v>
      </c>
      <c r="O33" s="38">
        <v>288.0</v>
      </c>
      <c r="P33" s="38">
        <v>289.0</v>
      </c>
      <c r="Q33" s="38">
        <v>275.0</v>
      </c>
      <c r="R33" s="38">
        <v>290.0</v>
      </c>
      <c r="S33" s="38">
        <v>271.0</v>
      </c>
      <c r="T33" s="38">
        <v>285.0</v>
      </c>
      <c r="U33" s="38">
        <v>281.0</v>
      </c>
      <c r="V33" s="38">
        <v>276.0</v>
      </c>
      <c r="W33" s="38">
        <v>290.0</v>
      </c>
      <c r="X33" s="38">
        <v>275.0</v>
      </c>
      <c r="Y33" s="38">
        <v>268.0</v>
      </c>
      <c r="Z33" s="38">
        <v>273.0</v>
      </c>
      <c r="AA33" s="38">
        <v>284.0</v>
      </c>
      <c r="AB33" s="38">
        <v>281.0</v>
      </c>
      <c r="AC33" s="38">
        <v>290.0</v>
      </c>
      <c r="AD33" s="38">
        <v>279.0</v>
      </c>
      <c r="AE33" s="38">
        <v>277.0</v>
      </c>
      <c r="AF33" s="38">
        <v>281.0</v>
      </c>
      <c r="AG33" s="38">
        <v>272.0</v>
      </c>
      <c r="AH33" s="38">
        <v>274.0</v>
      </c>
      <c r="AI33" s="38">
        <v>250.0</v>
      </c>
      <c r="AJ33" s="38">
        <v>292.0</v>
      </c>
      <c r="AK33" s="38">
        <v>269.0</v>
      </c>
      <c r="AL33" s="38">
        <v>263.0</v>
      </c>
      <c r="AM33" s="38">
        <v>272.0</v>
      </c>
      <c r="AN33" s="38">
        <v>274.0</v>
      </c>
      <c r="AO33" s="38">
        <v>272.0</v>
      </c>
      <c r="AP33" s="38">
        <v>281.0</v>
      </c>
      <c r="AQ33" s="38">
        <v>274.0</v>
      </c>
      <c r="AR33" s="38">
        <v>269.0</v>
      </c>
      <c r="AS33" s="38">
        <v>273.0</v>
      </c>
      <c r="AT33" s="38">
        <v>266.0</v>
      </c>
      <c r="AU33" s="38">
        <v>271.0</v>
      </c>
      <c r="AV33" s="38">
        <v>255.0</v>
      </c>
      <c r="AW33" s="38">
        <v>263.0</v>
      </c>
      <c r="AX33" s="38">
        <v>272.0</v>
      </c>
      <c r="AY33" s="38">
        <v>278.0</v>
      </c>
      <c r="AZ33" s="38">
        <v>299.0</v>
      </c>
      <c r="BA33" s="38">
        <v>300.0</v>
      </c>
      <c r="BB33" s="38">
        <v>237.0</v>
      </c>
      <c r="BC33" s="38">
        <v>238.0</v>
      </c>
      <c r="BD33" s="38">
        <v>263.0</v>
      </c>
      <c r="BE33" s="38">
        <v>258.0</v>
      </c>
      <c r="BF33" s="38">
        <v>254.0</v>
      </c>
      <c r="BG33" s="38">
        <v>262.0</v>
      </c>
      <c r="BH33" s="38">
        <v>268.0</v>
      </c>
      <c r="BI33" s="38">
        <v>271.0</v>
      </c>
      <c r="BJ33" s="38">
        <v>263.0</v>
      </c>
      <c r="BK33" s="38">
        <v>254.0</v>
      </c>
      <c r="BL33" s="38">
        <v>271.0</v>
      </c>
      <c r="BM33" s="38">
        <v>270.0</v>
      </c>
      <c r="BN33" s="38">
        <v>264.0</v>
      </c>
      <c r="BO33" s="38">
        <v>261.0</v>
      </c>
      <c r="BP33" s="38">
        <v>269.0</v>
      </c>
      <c r="BQ33" s="38">
        <v>282.0</v>
      </c>
      <c r="BR33" s="38">
        <v>276.0</v>
      </c>
      <c r="BS33" s="38">
        <v>266.0</v>
      </c>
      <c r="BT33" s="38">
        <v>259.0</v>
      </c>
      <c r="BU33" s="38">
        <v>262.0</v>
      </c>
      <c r="BV33" s="38">
        <v>270.0</v>
      </c>
      <c r="BW33" s="38">
        <v>260.0</v>
      </c>
      <c r="BX33" s="38">
        <v>266.0</v>
      </c>
      <c r="BY33" s="38">
        <v>269.0</v>
      </c>
      <c r="BZ33" s="38">
        <v>262.0</v>
      </c>
      <c r="CA33" s="38">
        <v>264.0</v>
      </c>
      <c r="CB33" s="38">
        <v>253.0</v>
      </c>
      <c r="CC33" s="38">
        <v>268.0</v>
      </c>
      <c r="CD33" s="38">
        <v>257.0</v>
      </c>
      <c r="CE33" s="38">
        <v>256.0</v>
      </c>
      <c r="CF33" s="38">
        <v>271.0</v>
      </c>
      <c r="CG33" s="38">
        <v>253.0</v>
      </c>
      <c r="CH33" s="38">
        <v>250.0</v>
      </c>
      <c r="CI33" s="38">
        <v>266.0</v>
      </c>
      <c r="CJ33" s="38">
        <v>269.0</v>
      </c>
      <c r="CK33" s="38">
        <v>261.0</v>
      </c>
      <c r="CL33" s="38">
        <v>267.0</v>
      </c>
      <c r="CM33" s="13">
        <f t="shared" ref="CM33:CM36" si="10">SUM(E33:CL33)</f>
        <v>23280</v>
      </c>
    </row>
    <row r="34" ht="12.75" customHeight="1">
      <c r="A34" s="19">
        <v>2.0</v>
      </c>
      <c r="B34" s="20" t="s">
        <v>28</v>
      </c>
      <c r="C34" s="15"/>
      <c r="D34" s="16"/>
      <c r="E34" s="38">
        <v>204.0</v>
      </c>
      <c r="F34" s="38">
        <v>220.0</v>
      </c>
      <c r="G34" s="38">
        <v>197.0</v>
      </c>
      <c r="H34" s="38">
        <v>187.0</v>
      </c>
      <c r="I34" s="38">
        <v>200.0</v>
      </c>
      <c r="J34" s="38">
        <v>188.0</v>
      </c>
      <c r="K34" s="38">
        <v>200.0</v>
      </c>
      <c r="L34" s="38">
        <v>198.0</v>
      </c>
      <c r="M34" s="38">
        <v>185.0</v>
      </c>
      <c r="N34" s="38">
        <v>190.0</v>
      </c>
      <c r="O34" s="38">
        <v>205.0</v>
      </c>
      <c r="P34" s="38">
        <v>168.0</v>
      </c>
      <c r="Q34" s="38">
        <v>195.0</v>
      </c>
      <c r="R34" s="38">
        <v>206.0</v>
      </c>
      <c r="S34" s="38">
        <v>184.0</v>
      </c>
      <c r="T34" s="38">
        <v>203.0</v>
      </c>
      <c r="U34" s="38">
        <v>191.0</v>
      </c>
      <c r="V34" s="38">
        <v>214.0</v>
      </c>
      <c r="W34" s="38">
        <v>218.0</v>
      </c>
      <c r="X34" s="38">
        <v>209.0</v>
      </c>
      <c r="Y34" s="38">
        <v>223.0</v>
      </c>
      <c r="Z34" s="38">
        <v>199.0</v>
      </c>
      <c r="AA34" s="38">
        <v>206.0</v>
      </c>
      <c r="AB34" s="38">
        <v>211.0</v>
      </c>
      <c r="AC34" s="38">
        <v>208.0</v>
      </c>
      <c r="AD34" s="38">
        <v>187.0</v>
      </c>
      <c r="AE34" s="38">
        <v>229.0</v>
      </c>
      <c r="AF34" s="38">
        <v>233.0</v>
      </c>
      <c r="AG34" s="38">
        <v>207.0</v>
      </c>
      <c r="AH34" s="38">
        <v>196.0</v>
      </c>
      <c r="AI34" s="38">
        <v>183.0</v>
      </c>
      <c r="AJ34" s="38">
        <v>218.0</v>
      </c>
      <c r="AK34" s="38">
        <v>213.0</v>
      </c>
      <c r="AL34" s="38">
        <v>194.0</v>
      </c>
      <c r="AM34" s="38">
        <v>209.0</v>
      </c>
      <c r="AN34" s="38">
        <v>209.0</v>
      </c>
      <c r="AO34" s="38">
        <v>206.0</v>
      </c>
      <c r="AP34" s="38">
        <v>207.0</v>
      </c>
      <c r="AQ34" s="38">
        <v>206.0</v>
      </c>
      <c r="AR34" s="38">
        <v>187.0</v>
      </c>
      <c r="AS34" s="38">
        <v>205.0</v>
      </c>
      <c r="AT34" s="38">
        <v>207.0</v>
      </c>
      <c r="AU34" s="38">
        <v>201.0</v>
      </c>
      <c r="AV34" s="38">
        <v>207.0</v>
      </c>
      <c r="AW34" s="38">
        <v>208.0</v>
      </c>
      <c r="AX34" s="38">
        <v>197.0</v>
      </c>
      <c r="AY34" s="38">
        <v>195.0</v>
      </c>
      <c r="AZ34" s="38">
        <v>208.0</v>
      </c>
      <c r="BA34" s="38">
        <v>223.0</v>
      </c>
      <c r="BB34" s="38">
        <v>161.0</v>
      </c>
      <c r="BC34" s="38">
        <v>161.0</v>
      </c>
      <c r="BD34" s="38">
        <v>198.0</v>
      </c>
      <c r="BE34" s="38">
        <v>183.0</v>
      </c>
      <c r="BF34" s="38">
        <v>167.0</v>
      </c>
      <c r="BG34" s="38">
        <v>198.0</v>
      </c>
      <c r="BH34" s="38">
        <v>172.0</v>
      </c>
      <c r="BI34" s="38">
        <v>189.0</v>
      </c>
      <c r="BJ34" s="38">
        <v>184.0</v>
      </c>
      <c r="BK34" s="38">
        <v>196.0</v>
      </c>
      <c r="BL34" s="38">
        <v>207.0</v>
      </c>
      <c r="BM34" s="38">
        <v>191.0</v>
      </c>
      <c r="BN34" s="38">
        <v>171.0</v>
      </c>
      <c r="BO34" s="38">
        <v>190.0</v>
      </c>
      <c r="BP34" s="38">
        <v>185.0</v>
      </c>
      <c r="BQ34" s="38">
        <v>237.0</v>
      </c>
      <c r="BR34" s="38">
        <v>191.0</v>
      </c>
      <c r="BS34" s="38">
        <v>182.0</v>
      </c>
      <c r="BT34" s="38">
        <v>151.0</v>
      </c>
      <c r="BU34" s="38">
        <v>186.0</v>
      </c>
      <c r="BV34" s="38">
        <v>180.0</v>
      </c>
      <c r="BW34" s="38">
        <v>168.0</v>
      </c>
      <c r="BX34" s="38">
        <v>191.0</v>
      </c>
      <c r="BY34" s="38">
        <v>173.0</v>
      </c>
      <c r="BZ34" s="38">
        <v>178.0</v>
      </c>
      <c r="CA34" s="38">
        <v>188.0</v>
      </c>
      <c r="CB34" s="38">
        <v>173.0</v>
      </c>
      <c r="CC34" s="38">
        <v>193.0</v>
      </c>
      <c r="CD34" s="38">
        <v>180.0</v>
      </c>
      <c r="CE34" s="38">
        <v>191.0</v>
      </c>
      <c r="CF34" s="38">
        <v>177.0</v>
      </c>
      <c r="CG34" s="38">
        <v>186.0</v>
      </c>
      <c r="CH34" s="38">
        <v>192.0</v>
      </c>
      <c r="CI34" s="38">
        <v>193.0</v>
      </c>
      <c r="CJ34" s="38">
        <v>201.0</v>
      </c>
      <c r="CK34" s="38">
        <v>204.0</v>
      </c>
      <c r="CL34" s="38">
        <v>195.0</v>
      </c>
      <c r="CM34" s="13">
        <f t="shared" si="10"/>
        <v>16807</v>
      </c>
    </row>
    <row r="35" ht="12.75" customHeight="1">
      <c r="A35" s="19">
        <v>3.0</v>
      </c>
      <c r="B35" s="20" t="s">
        <v>29</v>
      </c>
      <c r="C35" s="15"/>
      <c r="D35" s="16"/>
      <c r="E35" s="38">
        <v>0.0</v>
      </c>
      <c r="F35" s="38">
        <v>3.0</v>
      </c>
      <c r="G35" s="38">
        <v>0.0</v>
      </c>
      <c r="H35" s="38">
        <v>1.0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2.0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1.0</v>
      </c>
      <c r="X35" s="38">
        <v>0.0</v>
      </c>
      <c r="Y35" s="38">
        <v>1.0</v>
      </c>
      <c r="Z35" s="38">
        <v>1.0</v>
      </c>
      <c r="AA35" s="38">
        <v>0.0</v>
      </c>
      <c r="AB35" s="38">
        <v>0.0</v>
      </c>
      <c r="AC35" s="38">
        <v>0.0</v>
      </c>
      <c r="AD35" s="38">
        <v>0.0</v>
      </c>
      <c r="AE35" s="38">
        <v>0.0</v>
      </c>
      <c r="AF35" s="38">
        <v>0.0</v>
      </c>
      <c r="AG35" s="38">
        <v>0.0</v>
      </c>
      <c r="AH35" s="38">
        <v>0.0</v>
      </c>
      <c r="AI35" s="38">
        <v>0.0</v>
      </c>
      <c r="AJ35" s="38">
        <v>1.0</v>
      </c>
      <c r="AK35" s="38">
        <v>0.0</v>
      </c>
      <c r="AL35" s="38">
        <v>0.0</v>
      </c>
      <c r="AM35" s="38">
        <v>1.0</v>
      </c>
      <c r="AN35" s="38">
        <v>0.0</v>
      </c>
      <c r="AO35" s="38">
        <v>0.0</v>
      </c>
      <c r="AP35" s="38">
        <v>6.0</v>
      </c>
      <c r="AQ35" s="38">
        <v>0.0</v>
      </c>
      <c r="AR35" s="38">
        <v>0.0</v>
      </c>
      <c r="AS35" s="38">
        <v>0.0</v>
      </c>
      <c r="AT35" s="38">
        <v>0.0</v>
      </c>
      <c r="AU35" s="38">
        <v>0.0</v>
      </c>
      <c r="AV35" s="38">
        <v>0.0</v>
      </c>
      <c r="AW35" s="38">
        <v>1.0</v>
      </c>
      <c r="AX35" s="38">
        <v>0.0</v>
      </c>
      <c r="AY35" s="38">
        <v>1.0</v>
      </c>
      <c r="AZ35" s="38">
        <v>0.0</v>
      </c>
      <c r="BA35" s="38">
        <v>0.0</v>
      </c>
      <c r="BB35" s="38">
        <v>0.0</v>
      </c>
      <c r="BC35" s="38">
        <v>0.0</v>
      </c>
      <c r="BD35" s="38">
        <v>0.0</v>
      </c>
      <c r="BE35" s="38">
        <v>0.0</v>
      </c>
      <c r="BF35" s="38">
        <v>0.0</v>
      </c>
      <c r="BG35" s="38">
        <v>0.0</v>
      </c>
      <c r="BH35" s="38">
        <v>0.0</v>
      </c>
      <c r="BI35" s="38">
        <v>0.0</v>
      </c>
      <c r="BJ35" s="38">
        <v>0.0</v>
      </c>
      <c r="BK35" s="38">
        <v>0.0</v>
      </c>
      <c r="BL35" s="38">
        <v>0.0</v>
      </c>
      <c r="BM35" s="38">
        <v>0.0</v>
      </c>
      <c r="BN35" s="38">
        <v>0.0</v>
      </c>
      <c r="BO35" s="38">
        <v>0.0</v>
      </c>
      <c r="BP35" s="38">
        <v>0.0</v>
      </c>
      <c r="BQ35" s="38">
        <v>0.0</v>
      </c>
      <c r="BR35" s="38">
        <v>5.0</v>
      </c>
      <c r="BS35" s="38">
        <v>0.0</v>
      </c>
      <c r="BT35" s="38">
        <v>0.0</v>
      </c>
      <c r="BU35" s="38">
        <v>0.0</v>
      </c>
      <c r="BV35" s="38">
        <v>0.0</v>
      </c>
      <c r="BW35" s="38">
        <v>0.0</v>
      </c>
      <c r="BX35" s="38">
        <v>0.0</v>
      </c>
      <c r="BY35" s="38">
        <v>0.0</v>
      </c>
      <c r="BZ35" s="38">
        <v>0.0</v>
      </c>
      <c r="CA35" s="38">
        <v>0.0</v>
      </c>
      <c r="CB35" s="38">
        <v>0.0</v>
      </c>
      <c r="CC35" s="38">
        <v>0.0</v>
      </c>
      <c r="CD35" s="38">
        <v>0.0</v>
      </c>
      <c r="CE35" s="38">
        <v>0.0</v>
      </c>
      <c r="CF35" s="38">
        <v>0.0</v>
      </c>
      <c r="CG35" s="38">
        <v>0.0</v>
      </c>
      <c r="CH35" s="38">
        <v>0.0</v>
      </c>
      <c r="CI35" s="38">
        <v>0.0</v>
      </c>
      <c r="CJ35" s="38">
        <v>0.0</v>
      </c>
      <c r="CK35" s="38">
        <v>0.0</v>
      </c>
      <c r="CL35" s="38">
        <v>0.0</v>
      </c>
      <c r="CM35" s="13">
        <f t="shared" si="10"/>
        <v>24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CL36" si="11">E33-(E34+E35)</f>
        <v>71</v>
      </c>
      <c r="F36" s="13">
        <f t="shared" si="11"/>
        <v>60</v>
      </c>
      <c r="G36" s="13">
        <f t="shared" si="11"/>
        <v>82</v>
      </c>
      <c r="H36" s="13">
        <f t="shared" si="11"/>
        <v>90</v>
      </c>
      <c r="I36" s="13">
        <f t="shared" si="11"/>
        <v>76</v>
      </c>
      <c r="J36" s="13">
        <f t="shared" si="11"/>
        <v>93</v>
      </c>
      <c r="K36" s="13">
        <f t="shared" si="11"/>
        <v>78</v>
      </c>
      <c r="L36" s="13">
        <f t="shared" si="11"/>
        <v>77</v>
      </c>
      <c r="M36" s="13">
        <f t="shared" si="11"/>
        <v>92</v>
      </c>
      <c r="N36" s="13">
        <f t="shared" si="11"/>
        <v>86</v>
      </c>
      <c r="O36" s="13">
        <f t="shared" si="11"/>
        <v>83</v>
      </c>
      <c r="P36" s="13">
        <f t="shared" si="11"/>
        <v>121</v>
      </c>
      <c r="Q36" s="13">
        <f t="shared" si="11"/>
        <v>78</v>
      </c>
      <c r="R36" s="13">
        <f t="shared" si="11"/>
        <v>84</v>
      </c>
      <c r="S36" s="13">
        <f t="shared" si="11"/>
        <v>87</v>
      </c>
      <c r="T36" s="13">
        <f t="shared" si="11"/>
        <v>82</v>
      </c>
      <c r="U36" s="13">
        <f t="shared" si="11"/>
        <v>90</v>
      </c>
      <c r="V36" s="13">
        <f t="shared" si="11"/>
        <v>62</v>
      </c>
      <c r="W36" s="13">
        <f t="shared" si="11"/>
        <v>71</v>
      </c>
      <c r="X36" s="13">
        <f t="shared" si="11"/>
        <v>66</v>
      </c>
      <c r="Y36" s="13">
        <f t="shared" si="11"/>
        <v>44</v>
      </c>
      <c r="Z36" s="13">
        <f t="shared" si="11"/>
        <v>73</v>
      </c>
      <c r="AA36" s="13">
        <f t="shared" si="11"/>
        <v>78</v>
      </c>
      <c r="AB36" s="13">
        <f t="shared" si="11"/>
        <v>70</v>
      </c>
      <c r="AC36" s="13">
        <f t="shared" si="11"/>
        <v>82</v>
      </c>
      <c r="AD36" s="13">
        <f t="shared" si="11"/>
        <v>92</v>
      </c>
      <c r="AE36" s="13">
        <f t="shared" si="11"/>
        <v>48</v>
      </c>
      <c r="AF36" s="13">
        <f t="shared" si="11"/>
        <v>48</v>
      </c>
      <c r="AG36" s="13">
        <f t="shared" si="11"/>
        <v>65</v>
      </c>
      <c r="AH36" s="13">
        <f t="shared" si="11"/>
        <v>78</v>
      </c>
      <c r="AI36" s="13">
        <f t="shared" si="11"/>
        <v>67</v>
      </c>
      <c r="AJ36" s="13">
        <f t="shared" si="11"/>
        <v>73</v>
      </c>
      <c r="AK36" s="13">
        <f t="shared" si="11"/>
        <v>56</v>
      </c>
      <c r="AL36" s="13">
        <f t="shared" si="11"/>
        <v>69</v>
      </c>
      <c r="AM36" s="13">
        <f t="shared" si="11"/>
        <v>62</v>
      </c>
      <c r="AN36" s="13">
        <f t="shared" si="11"/>
        <v>65</v>
      </c>
      <c r="AO36" s="13">
        <f t="shared" si="11"/>
        <v>66</v>
      </c>
      <c r="AP36" s="13">
        <f t="shared" si="11"/>
        <v>68</v>
      </c>
      <c r="AQ36" s="13">
        <f t="shared" si="11"/>
        <v>68</v>
      </c>
      <c r="AR36" s="13">
        <f t="shared" si="11"/>
        <v>82</v>
      </c>
      <c r="AS36" s="13">
        <f t="shared" si="11"/>
        <v>68</v>
      </c>
      <c r="AT36" s="13">
        <f t="shared" si="11"/>
        <v>59</v>
      </c>
      <c r="AU36" s="13">
        <f t="shared" si="11"/>
        <v>70</v>
      </c>
      <c r="AV36" s="13">
        <f t="shared" si="11"/>
        <v>48</v>
      </c>
      <c r="AW36" s="13">
        <f t="shared" si="11"/>
        <v>54</v>
      </c>
      <c r="AX36" s="13">
        <f t="shared" si="11"/>
        <v>75</v>
      </c>
      <c r="AY36" s="13">
        <f t="shared" si="11"/>
        <v>82</v>
      </c>
      <c r="AZ36" s="13">
        <f t="shared" si="11"/>
        <v>91</v>
      </c>
      <c r="BA36" s="13">
        <f t="shared" si="11"/>
        <v>77</v>
      </c>
      <c r="BB36" s="13">
        <f t="shared" si="11"/>
        <v>76</v>
      </c>
      <c r="BC36" s="13">
        <f t="shared" si="11"/>
        <v>77</v>
      </c>
      <c r="BD36" s="13">
        <f t="shared" si="11"/>
        <v>65</v>
      </c>
      <c r="BE36" s="13">
        <f t="shared" si="11"/>
        <v>75</v>
      </c>
      <c r="BF36" s="13">
        <f t="shared" si="11"/>
        <v>87</v>
      </c>
      <c r="BG36" s="13">
        <f t="shared" si="11"/>
        <v>64</v>
      </c>
      <c r="BH36" s="13">
        <f t="shared" si="11"/>
        <v>96</v>
      </c>
      <c r="BI36" s="13">
        <f t="shared" si="11"/>
        <v>82</v>
      </c>
      <c r="BJ36" s="13">
        <f t="shared" si="11"/>
        <v>79</v>
      </c>
      <c r="BK36" s="13">
        <f t="shared" si="11"/>
        <v>58</v>
      </c>
      <c r="BL36" s="13">
        <f t="shared" si="11"/>
        <v>64</v>
      </c>
      <c r="BM36" s="13">
        <f t="shared" si="11"/>
        <v>79</v>
      </c>
      <c r="BN36" s="13">
        <f t="shared" si="11"/>
        <v>93</v>
      </c>
      <c r="BO36" s="13">
        <f t="shared" si="11"/>
        <v>71</v>
      </c>
      <c r="BP36" s="13">
        <f t="shared" si="11"/>
        <v>84</v>
      </c>
      <c r="BQ36" s="13">
        <f t="shared" si="11"/>
        <v>45</v>
      </c>
      <c r="BR36" s="13">
        <f t="shared" si="11"/>
        <v>80</v>
      </c>
      <c r="BS36" s="13">
        <f t="shared" si="11"/>
        <v>84</v>
      </c>
      <c r="BT36" s="13">
        <f t="shared" si="11"/>
        <v>108</v>
      </c>
      <c r="BU36" s="13">
        <f t="shared" si="11"/>
        <v>76</v>
      </c>
      <c r="BV36" s="13">
        <f t="shared" si="11"/>
        <v>90</v>
      </c>
      <c r="BW36" s="13">
        <f t="shared" si="11"/>
        <v>92</v>
      </c>
      <c r="BX36" s="13">
        <f t="shared" si="11"/>
        <v>75</v>
      </c>
      <c r="BY36" s="13">
        <f t="shared" si="11"/>
        <v>96</v>
      </c>
      <c r="BZ36" s="13">
        <f t="shared" si="11"/>
        <v>84</v>
      </c>
      <c r="CA36" s="13">
        <f t="shared" si="11"/>
        <v>76</v>
      </c>
      <c r="CB36" s="13">
        <f t="shared" si="11"/>
        <v>80</v>
      </c>
      <c r="CC36" s="13">
        <f t="shared" si="11"/>
        <v>75</v>
      </c>
      <c r="CD36" s="13">
        <f t="shared" si="11"/>
        <v>77</v>
      </c>
      <c r="CE36" s="13">
        <f t="shared" si="11"/>
        <v>65</v>
      </c>
      <c r="CF36" s="13">
        <f t="shared" si="11"/>
        <v>94</v>
      </c>
      <c r="CG36" s="13">
        <f t="shared" si="11"/>
        <v>67</v>
      </c>
      <c r="CH36" s="13">
        <f t="shared" si="11"/>
        <v>58</v>
      </c>
      <c r="CI36" s="13">
        <f t="shared" si="11"/>
        <v>73</v>
      </c>
      <c r="CJ36" s="13">
        <f t="shared" si="11"/>
        <v>68</v>
      </c>
      <c r="CK36" s="13">
        <f t="shared" si="11"/>
        <v>57</v>
      </c>
      <c r="CL36" s="13">
        <f t="shared" si="11"/>
        <v>72</v>
      </c>
      <c r="CM36" s="13">
        <f t="shared" si="10"/>
        <v>6449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19"/>
      <c r="Z37" s="19"/>
      <c r="AA37" s="19"/>
      <c r="AB37" s="19"/>
      <c r="AC37" s="64"/>
      <c r="AD37" s="19"/>
      <c r="AE37" s="19"/>
      <c r="AF37" s="19"/>
      <c r="AG37" s="19"/>
      <c r="AH37" s="64"/>
      <c r="AI37" s="19"/>
      <c r="AJ37" s="19"/>
      <c r="AK37" s="19"/>
      <c r="AL37" s="19"/>
      <c r="AM37" s="64"/>
      <c r="AN37" s="19"/>
      <c r="AO37" s="19"/>
      <c r="AP37" s="19"/>
      <c r="AQ37" s="19"/>
      <c r="AR37" s="64"/>
      <c r="AS37" s="19"/>
      <c r="AT37" s="19"/>
      <c r="AU37" s="19"/>
      <c r="AV37" s="19"/>
      <c r="AW37" s="64"/>
      <c r="AX37" s="19"/>
      <c r="AY37" s="19"/>
      <c r="AZ37" s="19"/>
      <c r="BA37" s="19"/>
      <c r="BB37" s="64"/>
      <c r="BC37" s="19"/>
      <c r="BD37" s="19"/>
      <c r="BE37" s="19"/>
      <c r="BF37" s="19"/>
      <c r="BG37" s="64"/>
      <c r="BH37" s="19"/>
      <c r="BI37" s="19"/>
      <c r="BJ37" s="19"/>
      <c r="BK37" s="19"/>
      <c r="BL37" s="64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5"/>
    </row>
    <row r="38" ht="12.75" customHeight="1">
      <c r="A38" s="46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56</v>
      </c>
      <c r="L38" s="13" t="s">
        <v>57</v>
      </c>
      <c r="M38" s="13" t="s">
        <v>58</v>
      </c>
      <c r="N38" s="13" t="s">
        <v>59</v>
      </c>
      <c r="O38" s="13" t="s">
        <v>60</v>
      </c>
      <c r="P38" s="13" t="s">
        <v>61</v>
      </c>
      <c r="Q38" s="13" t="s">
        <v>62</v>
      </c>
      <c r="R38" s="13" t="s">
        <v>63</v>
      </c>
      <c r="S38" s="13" t="s">
        <v>64</v>
      </c>
      <c r="T38" s="13" t="s">
        <v>65</v>
      </c>
      <c r="U38" s="13" t="s">
        <v>66</v>
      </c>
      <c r="V38" s="13" t="s">
        <v>67</v>
      </c>
      <c r="W38" s="13" t="s">
        <v>68</v>
      </c>
      <c r="X38" s="13" t="s">
        <v>69</v>
      </c>
      <c r="Y38" s="13" t="s">
        <v>70</v>
      </c>
      <c r="Z38" s="13" t="s">
        <v>71</v>
      </c>
      <c r="AA38" s="13" t="s">
        <v>72</v>
      </c>
      <c r="AB38" s="13" t="s">
        <v>73</v>
      </c>
      <c r="AC38" s="13" t="s">
        <v>75</v>
      </c>
      <c r="AD38" s="13" t="s">
        <v>76</v>
      </c>
      <c r="AE38" s="13" t="s">
        <v>77</v>
      </c>
      <c r="AF38" s="13" t="s">
        <v>78</v>
      </c>
      <c r="AG38" s="13" t="s">
        <v>79</v>
      </c>
      <c r="AH38" s="13" t="s">
        <v>80</v>
      </c>
      <c r="AI38" s="13" t="s">
        <v>81</v>
      </c>
      <c r="AJ38" s="13" t="s">
        <v>82</v>
      </c>
      <c r="AK38" s="13" t="s">
        <v>83</v>
      </c>
      <c r="AL38" s="13" t="s">
        <v>84</v>
      </c>
      <c r="AM38" s="13" t="s">
        <v>85</v>
      </c>
      <c r="AN38" s="13" t="s">
        <v>86</v>
      </c>
      <c r="AO38" s="13" t="s">
        <v>87</v>
      </c>
      <c r="AP38" s="13" t="s">
        <v>88</v>
      </c>
      <c r="AQ38" s="13" t="s">
        <v>89</v>
      </c>
      <c r="AR38" s="13" t="s">
        <v>90</v>
      </c>
      <c r="AS38" s="13" t="s">
        <v>91</v>
      </c>
      <c r="AT38" s="13" t="s">
        <v>92</v>
      </c>
      <c r="AU38" s="13" t="s">
        <v>93</v>
      </c>
      <c r="AV38" s="13" t="s">
        <v>94</v>
      </c>
      <c r="AW38" s="13" t="s">
        <v>95</v>
      </c>
      <c r="AX38" s="13" t="s">
        <v>96</v>
      </c>
      <c r="AY38" s="13" t="s">
        <v>97</v>
      </c>
      <c r="AZ38" s="13" t="s">
        <v>98</v>
      </c>
      <c r="BA38" s="13" t="s">
        <v>99</v>
      </c>
      <c r="BB38" s="13" t="s">
        <v>100</v>
      </c>
      <c r="BC38" s="13" t="s">
        <v>101</v>
      </c>
      <c r="BD38" s="13" t="s">
        <v>102</v>
      </c>
      <c r="BE38" s="13" t="s">
        <v>103</v>
      </c>
      <c r="BF38" s="13" t="s">
        <v>104</v>
      </c>
      <c r="BG38" s="13" t="s">
        <v>105</v>
      </c>
      <c r="BH38" s="13" t="s">
        <v>106</v>
      </c>
      <c r="BI38" s="13" t="s">
        <v>107</v>
      </c>
      <c r="BJ38" s="13" t="s">
        <v>108</v>
      </c>
      <c r="BK38" s="13" t="s">
        <v>109</v>
      </c>
      <c r="BL38" s="13" t="s">
        <v>110</v>
      </c>
      <c r="BM38" s="13" t="s">
        <v>111</v>
      </c>
      <c r="BN38" s="13" t="s">
        <v>112</v>
      </c>
      <c r="BO38" s="13" t="s">
        <v>113</v>
      </c>
      <c r="BP38" s="13" t="s">
        <v>114</v>
      </c>
      <c r="BQ38" s="13" t="s">
        <v>115</v>
      </c>
      <c r="BR38" s="13" t="s">
        <v>116</v>
      </c>
      <c r="BS38" s="13" t="s">
        <v>117</v>
      </c>
      <c r="BT38" s="13" t="s">
        <v>118</v>
      </c>
      <c r="BU38" s="13" t="s">
        <v>119</v>
      </c>
      <c r="BV38" s="13" t="s">
        <v>120</v>
      </c>
      <c r="BW38" s="13" t="s">
        <v>121</v>
      </c>
      <c r="BX38" s="13" t="s">
        <v>122</v>
      </c>
      <c r="BY38" s="13" t="s">
        <v>123</v>
      </c>
      <c r="BZ38" s="13" t="s">
        <v>124</v>
      </c>
      <c r="CA38" s="13" t="s">
        <v>125</v>
      </c>
      <c r="CB38" s="13" t="s">
        <v>126</v>
      </c>
      <c r="CC38" s="13" t="s">
        <v>127</v>
      </c>
      <c r="CD38" s="13" t="s">
        <v>136</v>
      </c>
      <c r="CE38" s="13" t="s">
        <v>137</v>
      </c>
      <c r="CF38" s="13" t="s">
        <v>138</v>
      </c>
      <c r="CG38" s="13" t="s">
        <v>139</v>
      </c>
      <c r="CH38" s="13" t="s">
        <v>140</v>
      </c>
      <c r="CI38" s="13" t="s">
        <v>141</v>
      </c>
      <c r="CJ38" s="13" t="s">
        <v>142</v>
      </c>
      <c r="CK38" s="13" t="s">
        <v>143</v>
      </c>
      <c r="CL38" s="13" t="s">
        <v>144</v>
      </c>
      <c r="CM38" s="65"/>
    </row>
    <row r="39" ht="12.75" customHeight="1">
      <c r="A39" s="31"/>
      <c r="B39" s="47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2.0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1.0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1.0</v>
      </c>
      <c r="BA39" s="19">
        <v>0.0</v>
      </c>
      <c r="BB39" s="19">
        <v>0.0</v>
      </c>
      <c r="BC39" s="19">
        <v>0.0</v>
      </c>
      <c r="BD39" s="19">
        <v>0.0</v>
      </c>
      <c r="BE39" s="19">
        <v>0.0</v>
      </c>
      <c r="BF39" s="19">
        <v>0.0</v>
      </c>
      <c r="BG39" s="19">
        <v>0.0</v>
      </c>
      <c r="BH39" s="19">
        <v>0.0</v>
      </c>
      <c r="BI39" s="19">
        <v>0.0</v>
      </c>
      <c r="BJ39" s="19">
        <v>0.0</v>
      </c>
      <c r="BK39" s="19">
        <v>0.0</v>
      </c>
      <c r="BL39" s="19">
        <v>0.0</v>
      </c>
      <c r="BM39" s="19">
        <v>0.0</v>
      </c>
      <c r="BN39" s="19">
        <v>0.0</v>
      </c>
      <c r="BO39" s="19">
        <v>0.0</v>
      </c>
      <c r="BP39" s="19">
        <v>0.0</v>
      </c>
      <c r="BQ39" s="19">
        <v>1.0</v>
      </c>
      <c r="BR39" s="19">
        <v>0.0</v>
      </c>
      <c r="BS39" s="19">
        <v>0.0</v>
      </c>
      <c r="BT39" s="19">
        <v>0.0</v>
      </c>
      <c r="BU39" s="19">
        <v>0.0</v>
      </c>
      <c r="BV39" s="19">
        <v>0.0</v>
      </c>
      <c r="BW39" s="19">
        <v>0.0</v>
      </c>
      <c r="BX39" s="19">
        <v>0.0</v>
      </c>
      <c r="BY39" s="19">
        <v>0.0</v>
      </c>
      <c r="BZ39" s="19">
        <v>0.0</v>
      </c>
      <c r="CA39" s="19">
        <v>0.0</v>
      </c>
      <c r="CB39" s="19">
        <v>0.0</v>
      </c>
      <c r="CC39" s="19">
        <v>0.0</v>
      </c>
      <c r="CD39" s="19">
        <v>0.0</v>
      </c>
      <c r="CE39" s="19">
        <v>0.0</v>
      </c>
      <c r="CF39" s="19">
        <v>0.0</v>
      </c>
      <c r="CG39" s="19">
        <v>0.0</v>
      </c>
      <c r="CH39" s="19">
        <v>0.0</v>
      </c>
      <c r="CI39" s="19">
        <v>0.0</v>
      </c>
      <c r="CJ39" s="19">
        <v>0.0</v>
      </c>
      <c r="CK39" s="19">
        <v>0.0</v>
      </c>
      <c r="CL39" s="19">
        <v>0.0</v>
      </c>
      <c r="CM39" s="13">
        <f t="shared" ref="CM39:CM41" si="12">SUM(E39:CL39)</f>
        <v>5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1.0</v>
      </c>
      <c r="R40" s="19">
        <v>3.0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>
        <v>0.0</v>
      </c>
      <c r="AD40" s="19">
        <v>0.0</v>
      </c>
      <c r="AE40" s="19">
        <v>2.0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1.0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0.0</v>
      </c>
      <c r="BA40" s="19">
        <v>0.0</v>
      </c>
      <c r="BB40" s="19">
        <v>1.0</v>
      </c>
      <c r="BC40" s="19">
        <v>0.0</v>
      </c>
      <c r="BD40" s="19">
        <v>0.0</v>
      </c>
      <c r="BE40" s="19">
        <v>0.0</v>
      </c>
      <c r="BF40" s="19">
        <v>0.0</v>
      </c>
      <c r="BG40" s="19">
        <v>0.0</v>
      </c>
      <c r="BH40" s="19">
        <v>0.0</v>
      </c>
      <c r="BI40" s="19">
        <v>0.0</v>
      </c>
      <c r="BJ40" s="19">
        <v>0.0</v>
      </c>
      <c r="BK40" s="19">
        <v>0.0</v>
      </c>
      <c r="BL40" s="19">
        <v>0.0</v>
      </c>
      <c r="BM40" s="19">
        <v>0.0</v>
      </c>
      <c r="BN40" s="19">
        <v>0.0</v>
      </c>
      <c r="BO40" s="19">
        <v>0.0</v>
      </c>
      <c r="BP40" s="19">
        <v>0.0</v>
      </c>
      <c r="BQ40" s="19">
        <v>0.0</v>
      </c>
      <c r="BR40" s="19">
        <v>0.0</v>
      </c>
      <c r="BS40" s="19">
        <v>0.0</v>
      </c>
      <c r="BT40" s="19">
        <v>0.0</v>
      </c>
      <c r="BU40" s="19">
        <v>0.0</v>
      </c>
      <c r="BV40" s="19">
        <v>0.0</v>
      </c>
      <c r="BW40" s="19">
        <v>0.0</v>
      </c>
      <c r="BX40" s="19">
        <v>0.0</v>
      </c>
      <c r="BY40" s="19">
        <v>1.0</v>
      </c>
      <c r="BZ40" s="19">
        <v>0.0</v>
      </c>
      <c r="CA40" s="19">
        <v>0.0</v>
      </c>
      <c r="CB40" s="19">
        <v>0.0</v>
      </c>
      <c r="CC40" s="19">
        <v>0.0</v>
      </c>
      <c r="CD40" s="19">
        <v>0.0</v>
      </c>
      <c r="CE40" s="19">
        <v>0.0</v>
      </c>
      <c r="CF40" s="19">
        <v>0.0</v>
      </c>
      <c r="CG40" s="19">
        <v>0.0</v>
      </c>
      <c r="CH40" s="19">
        <v>0.0</v>
      </c>
      <c r="CI40" s="19">
        <v>0.0</v>
      </c>
      <c r="CJ40" s="19">
        <v>0.0</v>
      </c>
      <c r="CK40" s="19">
        <v>0.0</v>
      </c>
      <c r="CL40" s="19">
        <v>0.0</v>
      </c>
      <c r="CM40" s="13">
        <f t="shared" si="12"/>
        <v>11</v>
      </c>
    </row>
    <row r="41" ht="12.75" customHeight="1">
      <c r="A41" s="44"/>
      <c r="B41" s="48"/>
      <c r="C41" s="28"/>
      <c r="D41" s="13" t="s">
        <v>14</v>
      </c>
      <c r="E41" s="13">
        <f t="shared" ref="E41:C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4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2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1</v>
      </c>
      <c r="BA41" s="13">
        <f t="shared" si="13"/>
        <v>0</v>
      </c>
      <c r="BB41" s="13">
        <f t="shared" si="13"/>
        <v>1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0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0</v>
      </c>
      <c r="BQ41" s="13">
        <f t="shared" si="13"/>
        <v>1</v>
      </c>
      <c r="BR41" s="13">
        <f t="shared" si="13"/>
        <v>0</v>
      </c>
      <c r="BS41" s="13">
        <f t="shared" si="13"/>
        <v>0</v>
      </c>
      <c r="BT41" s="13">
        <f t="shared" si="13"/>
        <v>0</v>
      </c>
      <c r="BU41" s="13">
        <f t="shared" si="13"/>
        <v>0</v>
      </c>
      <c r="BV41" s="13">
        <f t="shared" si="13"/>
        <v>0</v>
      </c>
      <c r="BW41" s="13">
        <f t="shared" si="13"/>
        <v>0</v>
      </c>
      <c r="BX41" s="13">
        <f t="shared" si="13"/>
        <v>0</v>
      </c>
      <c r="BY41" s="13">
        <f t="shared" si="13"/>
        <v>1</v>
      </c>
      <c r="BZ41" s="13">
        <f t="shared" si="13"/>
        <v>0</v>
      </c>
      <c r="CA41" s="13">
        <f t="shared" si="13"/>
        <v>0</v>
      </c>
      <c r="CB41" s="13">
        <f t="shared" si="13"/>
        <v>0</v>
      </c>
      <c r="CC41" s="13">
        <f t="shared" si="13"/>
        <v>0</v>
      </c>
      <c r="CD41" s="13">
        <f t="shared" si="13"/>
        <v>0</v>
      </c>
      <c r="CE41" s="13">
        <f t="shared" si="13"/>
        <v>0</v>
      </c>
      <c r="CF41" s="13">
        <f t="shared" si="13"/>
        <v>0</v>
      </c>
      <c r="CG41" s="13">
        <f t="shared" si="13"/>
        <v>0</v>
      </c>
      <c r="CH41" s="13">
        <f t="shared" si="13"/>
        <v>0</v>
      </c>
      <c r="CI41" s="13">
        <f t="shared" si="13"/>
        <v>0</v>
      </c>
      <c r="CJ41" s="13">
        <f t="shared" si="13"/>
        <v>0</v>
      </c>
      <c r="CK41" s="13">
        <f t="shared" si="13"/>
        <v>0</v>
      </c>
      <c r="CL41" s="13">
        <f t="shared" si="13"/>
        <v>0</v>
      </c>
      <c r="CM41" s="13">
        <f t="shared" si="12"/>
        <v>16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9"/>
      <c r="Z42" s="19"/>
      <c r="AA42" s="19"/>
      <c r="AB42" s="19"/>
      <c r="AC42" s="64"/>
      <c r="AD42" s="19"/>
      <c r="AE42" s="19"/>
      <c r="AF42" s="19"/>
      <c r="AG42" s="19"/>
      <c r="AH42" s="64"/>
      <c r="AI42" s="19"/>
      <c r="AJ42" s="19"/>
      <c r="AK42" s="19"/>
      <c r="AL42" s="19"/>
      <c r="AM42" s="64"/>
      <c r="AN42" s="19"/>
      <c r="AO42" s="19"/>
      <c r="AP42" s="19"/>
      <c r="AQ42" s="19"/>
      <c r="AR42" s="64"/>
      <c r="AS42" s="19"/>
      <c r="AT42" s="19"/>
      <c r="AU42" s="19"/>
      <c r="AV42" s="19"/>
      <c r="AW42" s="64"/>
      <c r="AX42" s="19"/>
      <c r="AY42" s="19"/>
      <c r="AZ42" s="19"/>
      <c r="BA42" s="19"/>
      <c r="BB42" s="64"/>
      <c r="BC42" s="19"/>
      <c r="BD42" s="19"/>
      <c r="BE42" s="19"/>
      <c r="BF42" s="19"/>
      <c r="BG42" s="64"/>
      <c r="BH42" s="19"/>
      <c r="BI42" s="19"/>
      <c r="BJ42" s="19"/>
      <c r="BK42" s="19"/>
      <c r="BL42" s="64"/>
      <c r="BM42" s="19"/>
      <c r="BN42" s="64"/>
      <c r="BO42" s="19"/>
      <c r="BP42" s="64"/>
      <c r="BQ42" s="19"/>
      <c r="BR42" s="64"/>
      <c r="BS42" s="19"/>
      <c r="BT42" s="64"/>
      <c r="BU42" s="19"/>
      <c r="BV42" s="64"/>
      <c r="BW42" s="19"/>
      <c r="BX42" s="64"/>
      <c r="BY42" s="19"/>
      <c r="BZ42" s="19"/>
      <c r="CA42" s="64"/>
      <c r="CB42" s="19"/>
      <c r="CC42" s="64"/>
      <c r="CD42" s="19"/>
      <c r="CE42" s="64"/>
      <c r="CF42" s="19"/>
      <c r="CG42" s="64"/>
      <c r="CH42" s="19"/>
      <c r="CI42" s="64"/>
      <c r="CJ42" s="19"/>
      <c r="CK42" s="64"/>
      <c r="CL42" s="19"/>
      <c r="CM42" s="13"/>
    </row>
    <row r="43" ht="12.75" customHeight="1">
      <c r="A43" s="46" t="s">
        <v>34</v>
      </c>
      <c r="B43" s="14" t="s">
        <v>35</v>
      </c>
      <c r="C43" s="15"/>
      <c r="D43" s="16"/>
      <c r="E43" s="39" t="s">
        <v>50</v>
      </c>
      <c r="F43" s="39" t="s">
        <v>51</v>
      </c>
      <c r="G43" s="39" t="s">
        <v>52</v>
      </c>
      <c r="H43" s="39" t="s">
        <v>53</v>
      </c>
      <c r="I43" s="39" t="s">
        <v>54</v>
      </c>
      <c r="J43" s="39" t="s">
        <v>55</v>
      </c>
      <c r="K43" s="39" t="s">
        <v>56</v>
      </c>
      <c r="L43" s="39" t="s">
        <v>57</v>
      </c>
      <c r="M43" s="39" t="s">
        <v>58</v>
      </c>
      <c r="N43" s="39" t="s">
        <v>59</v>
      </c>
      <c r="O43" s="39" t="s">
        <v>60</v>
      </c>
      <c r="P43" s="39" t="s">
        <v>61</v>
      </c>
      <c r="Q43" s="39" t="s">
        <v>62</v>
      </c>
      <c r="R43" s="39" t="s">
        <v>63</v>
      </c>
      <c r="S43" s="39" t="s">
        <v>64</v>
      </c>
      <c r="T43" s="39" t="s">
        <v>65</v>
      </c>
      <c r="U43" s="39" t="s">
        <v>66</v>
      </c>
      <c r="V43" s="39" t="s">
        <v>67</v>
      </c>
      <c r="W43" s="39" t="s">
        <v>68</v>
      </c>
      <c r="X43" s="39" t="s">
        <v>69</v>
      </c>
      <c r="Y43" s="39" t="s">
        <v>70</v>
      </c>
      <c r="Z43" s="39" t="s">
        <v>71</v>
      </c>
      <c r="AA43" s="39" t="s">
        <v>72</v>
      </c>
      <c r="AB43" s="39" t="s">
        <v>73</v>
      </c>
      <c r="AC43" s="39" t="s">
        <v>75</v>
      </c>
      <c r="AD43" s="39" t="s">
        <v>76</v>
      </c>
      <c r="AE43" s="39" t="s">
        <v>77</v>
      </c>
      <c r="AF43" s="39" t="s">
        <v>78</v>
      </c>
      <c r="AG43" s="39" t="s">
        <v>79</v>
      </c>
      <c r="AH43" s="39" t="s">
        <v>80</v>
      </c>
      <c r="AI43" s="39" t="s">
        <v>81</v>
      </c>
      <c r="AJ43" s="39" t="s">
        <v>82</v>
      </c>
      <c r="AK43" s="39" t="s">
        <v>83</v>
      </c>
      <c r="AL43" s="39" t="s">
        <v>84</v>
      </c>
      <c r="AM43" s="39" t="s">
        <v>85</v>
      </c>
      <c r="AN43" s="39" t="s">
        <v>86</v>
      </c>
      <c r="AO43" s="39" t="s">
        <v>87</v>
      </c>
      <c r="AP43" s="39" t="s">
        <v>88</v>
      </c>
      <c r="AQ43" s="39" t="s">
        <v>89</v>
      </c>
      <c r="AR43" s="39" t="s">
        <v>90</v>
      </c>
      <c r="AS43" s="39" t="s">
        <v>91</v>
      </c>
      <c r="AT43" s="39" t="s">
        <v>92</v>
      </c>
      <c r="AU43" s="39" t="s">
        <v>93</v>
      </c>
      <c r="AV43" s="39" t="s">
        <v>94</v>
      </c>
      <c r="AW43" s="39" t="s">
        <v>95</v>
      </c>
      <c r="AX43" s="39" t="s">
        <v>96</v>
      </c>
      <c r="AY43" s="39" t="s">
        <v>97</v>
      </c>
      <c r="AZ43" s="39" t="s">
        <v>98</v>
      </c>
      <c r="BA43" s="39" t="s">
        <v>99</v>
      </c>
      <c r="BB43" s="39" t="s">
        <v>100</v>
      </c>
      <c r="BC43" s="39" t="s">
        <v>101</v>
      </c>
      <c r="BD43" s="39" t="s">
        <v>102</v>
      </c>
      <c r="BE43" s="39" t="s">
        <v>103</v>
      </c>
      <c r="BF43" s="39" t="s">
        <v>104</v>
      </c>
      <c r="BG43" s="39" t="s">
        <v>105</v>
      </c>
      <c r="BH43" s="39" t="s">
        <v>106</v>
      </c>
      <c r="BI43" s="39" t="s">
        <v>107</v>
      </c>
      <c r="BJ43" s="39" t="s">
        <v>108</v>
      </c>
      <c r="BK43" s="39" t="s">
        <v>109</v>
      </c>
      <c r="BL43" s="39" t="s">
        <v>110</v>
      </c>
      <c r="BM43" s="39" t="s">
        <v>111</v>
      </c>
      <c r="BN43" s="39" t="s">
        <v>112</v>
      </c>
      <c r="BO43" s="39" t="s">
        <v>113</v>
      </c>
      <c r="BP43" s="39" t="s">
        <v>114</v>
      </c>
      <c r="BQ43" s="39" t="s">
        <v>115</v>
      </c>
      <c r="BR43" s="39" t="s">
        <v>116</v>
      </c>
      <c r="BS43" s="39" t="s">
        <v>117</v>
      </c>
      <c r="BT43" s="39" t="s">
        <v>118</v>
      </c>
      <c r="BU43" s="39" t="s">
        <v>119</v>
      </c>
      <c r="BV43" s="39" t="s">
        <v>120</v>
      </c>
      <c r="BW43" s="39" t="s">
        <v>121</v>
      </c>
      <c r="BX43" s="39" t="s">
        <v>122</v>
      </c>
      <c r="BY43" s="39" t="s">
        <v>123</v>
      </c>
      <c r="BZ43" s="39" t="s">
        <v>124</v>
      </c>
      <c r="CA43" s="39" t="s">
        <v>125</v>
      </c>
      <c r="CB43" s="39" t="s">
        <v>126</v>
      </c>
      <c r="CC43" s="39" t="s">
        <v>127</v>
      </c>
      <c r="CD43" s="39" t="s">
        <v>136</v>
      </c>
      <c r="CE43" s="39" t="s">
        <v>137</v>
      </c>
      <c r="CF43" s="39" t="s">
        <v>138</v>
      </c>
      <c r="CG43" s="39" t="s">
        <v>139</v>
      </c>
      <c r="CH43" s="39" t="s">
        <v>140</v>
      </c>
      <c r="CI43" s="39" t="s">
        <v>141</v>
      </c>
      <c r="CJ43" s="39" t="s">
        <v>142</v>
      </c>
      <c r="CK43" s="39" t="s">
        <v>143</v>
      </c>
      <c r="CL43" s="39" t="s">
        <v>144</v>
      </c>
      <c r="CM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64"/>
      <c r="Y44" s="19"/>
      <c r="Z44" s="19"/>
      <c r="AA44" s="19"/>
      <c r="AB44" s="19"/>
      <c r="AC44" s="64"/>
      <c r="AD44" s="19"/>
      <c r="AE44" s="19"/>
      <c r="AF44" s="19"/>
      <c r="AG44" s="19"/>
      <c r="AH44" s="64"/>
      <c r="AI44" s="19"/>
      <c r="AJ44" s="19"/>
      <c r="AK44" s="19"/>
      <c r="AL44" s="19"/>
      <c r="AM44" s="64"/>
      <c r="AN44" s="19"/>
      <c r="AO44" s="19"/>
      <c r="AP44" s="19"/>
      <c r="AQ44" s="19"/>
      <c r="AR44" s="64"/>
      <c r="AS44" s="19"/>
      <c r="AT44" s="19"/>
      <c r="AU44" s="19"/>
      <c r="AV44" s="19"/>
      <c r="AW44" s="64"/>
      <c r="AX44" s="19"/>
      <c r="AY44" s="19"/>
      <c r="AZ44" s="19"/>
      <c r="BA44" s="19"/>
      <c r="BB44" s="64"/>
      <c r="BC44" s="19"/>
      <c r="BD44" s="19"/>
      <c r="BE44" s="19"/>
      <c r="BF44" s="19"/>
      <c r="BG44" s="64"/>
      <c r="BH44" s="19"/>
      <c r="BI44" s="19"/>
      <c r="BJ44" s="19"/>
      <c r="BK44" s="19"/>
      <c r="BL44" s="64"/>
      <c r="BM44" s="19"/>
      <c r="BN44" s="64"/>
      <c r="BO44" s="19"/>
      <c r="BP44" s="64"/>
      <c r="BQ44" s="19"/>
      <c r="BR44" s="64"/>
      <c r="BS44" s="19"/>
      <c r="BT44" s="64"/>
      <c r="BU44" s="19"/>
      <c r="BV44" s="64"/>
      <c r="BW44" s="19"/>
      <c r="BX44" s="64"/>
      <c r="BY44" s="19"/>
      <c r="BZ44" s="19"/>
      <c r="CA44" s="64"/>
      <c r="CB44" s="19"/>
      <c r="CC44" s="64"/>
      <c r="CD44" s="19"/>
      <c r="CE44" s="64"/>
      <c r="CF44" s="19"/>
      <c r="CG44" s="64"/>
      <c r="CH44" s="19"/>
      <c r="CI44" s="64"/>
      <c r="CJ44" s="19"/>
      <c r="CK44" s="64"/>
      <c r="CL44" s="19"/>
      <c r="CM44" s="13"/>
    </row>
    <row r="45" ht="12.75" customHeight="1">
      <c r="A45" s="67"/>
      <c r="B45" s="51">
        <v>1.0</v>
      </c>
      <c r="C45" s="52" t="s">
        <v>37</v>
      </c>
      <c r="D45" s="16"/>
      <c r="E45" s="38">
        <v>6.0</v>
      </c>
      <c r="F45" s="38">
        <v>19.0</v>
      </c>
      <c r="G45" s="38">
        <v>10.0</v>
      </c>
      <c r="H45" s="38">
        <v>15.0</v>
      </c>
      <c r="I45" s="38">
        <v>18.0</v>
      </c>
      <c r="J45" s="38">
        <v>17.0</v>
      </c>
      <c r="K45" s="38">
        <v>19.0</v>
      </c>
      <c r="L45" s="38">
        <v>10.0</v>
      </c>
      <c r="M45" s="38">
        <v>12.0</v>
      </c>
      <c r="N45" s="38">
        <v>25.0</v>
      </c>
      <c r="O45" s="38">
        <v>28.0</v>
      </c>
      <c r="P45" s="38">
        <v>18.0</v>
      </c>
      <c r="Q45" s="38">
        <v>11.0</v>
      </c>
      <c r="R45" s="38">
        <v>9.0</v>
      </c>
      <c r="S45" s="38">
        <v>12.0</v>
      </c>
      <c r="T45" s="38">
        <v>21.0</v>
      </c>
      <c r="U45" s="38">
        <v>14.0</v>
      </c>
      <c r="V45" s="38">
        <v>17.0</v>
      </c>
      <c r="W45" s="38">
        <v>15.0</v>
      </c>
      <c r="X45" s="38">
        <v>25.0</v>
      </c>
      <c r="Y45" s="38">
        <v>7.0</v>
      </c>
      <c r="Z45" s="38">
        <v>12.0</v>
      </c>
      <c r="AA45" s="38">
        <v>19.0</v>
      </c>
      <c r="AB45" s="38">
        <v>15.0</v>
      </c>
      <c r="AC45" s="38">
        <v>4.0</v>
      </c>
      <c r="AD45" s="38">
        <v>10.0</v>
      </c>
      <c r="AE45" s="38">
        <v>13.0</v>
      </c>
      <c r="AF45" s="38">
        <v>15.0</v>
      </c>
      <c r="AG45" s="38">
        <v>17.0</v>
      </c>
      <c r="AH45" s="38">
        <v>18.0</v>
      </c>
      <c r="AI45" s="38">
        <v>13.0</v>
      </c>
      <c r="AJ45" s="38">
        <v>18.0</v>
      </c>
      <c r="AK45" s="38">
        <v>27.0</v>
      </c>
      <c r="AL45" s="38">
        <v>11.0</v>
      </c>
      <c r="AM45" s="38">
        <v>15.0</v>
      </c>
      <c r="AN45" s="38">
        <v>9.0</v>
      </c>
      <c r="AO45" s="38">
        <v>15.0</v>
      </c>
      <c r="AP45" s="38">
        <v>20.0</v>
      </c>
      <c r="AQ45" s="38">
        <v>15.0</v>
      </c>
      <c r="AR45" s="38">
        <v>6.0</v>
      </c>
      <c r="AS45" s="38">
        <v>17.0</v>
      </c>
      <c r="AT45" s="38">
        <v>17.0</v>
      </c>
      <c r="AU45" s="38">
        <v>27.0</v>
      </c>
      <c r="AV45" s="38">
        <v>24.0</v>
      </c>
      <c r="AW45" s="38">
        <v>24.0</v>
      </c>
      <c r="AX45" s="38">
        <v>16.0</v>
      </c>
      <c r="AY45" s="38">
        <v>20.0</v>
      </c>
      <c r="AZ45" s="38">
        <v>34.0</v>
      </c>
      <c r="BA45" s="38">
        <v>18.0</v>
      </c>
      <c r="BB45" s="38">
        <v>4.0</v>
      </c>
      <c r="BC45" s="38">
        <v>10.0</v>
      </c>
      <c r="BD45" s="38">
        <v>27.0</v>
      </c>
      <c r="BE45" s="38">
        <v>15.0</v>
      </c>
      <c r="BF45" s="38">
        <v>10.0</v>
      </c>
      <c r="BG45" s="38">
        <v>17.0</v>
      </c>
      <c r="BH45" s="38">
        <v>16.0</v>
      </c>
      <c r="BI45" s="38">
        <v>20.0</v>
      </c>
      <c r="BJ45" s="38">
        <v>11.0</v>
      </c>
      <c r="BK45" s="38">
        <v>12.0</v>
      </c>
      <c r="BL45" s="38">
        <v>20.0</v>
      </c>
      <c r="BM45" s="38">
        <v>25.0</v>
      </c>
      <c r="BN45" s="38">
        <v>17.0</v>
      </c>
      <c r="BO45" s="38">
        <v>23.0</v>
      </c>
      <c r="BP45" s="38">
        <v>12.0</v>
      </c>
      <c r="BQ45" s="38">
        <v>16.0</v>
      </c>
      <c r="BR45" s="38">
        <v>16.0</v>
      </c>
      <c r="BS45" s="38">
        <v>17.0</v>
      </c>
      <c r="BT45" s="38">
        <v>11.0</v>
      </c>
      <c r="BU45" s="38">
        <v>18.0</v>
      </c>
      <c r="BV45" s="38">
        <v>12.0</v>
      </c>
      <c r="BW45" s="38">
        <v>17.0</v>
      </c>
      <c r="BX45" s="38">
        <v>14.0</v>
      </c>
      <c r="BY45" s="38">
        <v>8.0</v>
      </c>
      <c r="BZ45" s="38">
        <v>17.0</v>
      </c>
      <c r="CA45" s="38">
        <v>22.0</v>
      </c>
      <c r="CB45" s="38">
        <v>17.0</v>
      </c>
      <c r="CC45" s="38">
        <v>19.0</v>
      </c>
      <c r="CD45" s="38">
        <v>20.0</v>
      </c>
      <c r="CE45" s="38">
        <v>20.0</v>
      </c>
      <c r="CF45" s="38">
        <v>8.0</v>
      </c>
      <c r="CG45" s="38">
        <v>24.0</v>
      </c>
      <c r="CH45" s="38">
        <v>31.0</v>
      </c>
      <c r="CI45" s="38">
        <v>29.0</v>
      </c>
      <c r="CJ45" s="38">
        <v>35.0</v>
      </c>
      <c r="CK45" s="38">
        <v>35.0</v>
      </c>
      <c r="CL45" s="38">
        <v>38.0</v>
      </c>
      <c r="CM45" s="13">
        <f t="shared" ref="CM45:CM47" si="14">SUM(E45:CL45)</f>
        <v>1480</v>
      </c>
    </row>
    <row r="46" ht="12.75" customHeight="1">
      <c r="A46" s="18"/>
      <c r="B46" s="51">
        <v>2.0</v>
      </c>
      <c r="C46" s="52" t="s">
        <v>38</v>
      </c>
      <c r="D46" s="16"/>
      <c r="E46" s="38">
        <v>175.0</v>
      </c>
      <c r="F46" s="38">
        <v>159.0</v>
      </c>
      <c r="G46" s="38">
        <v>133.0</v>
      </c>
      <c r="H46" s="38">
        <v>136.0</v>
      </c>
      <c r="I46" s="38">
        <v>115.0</v>
      </c>
      <c r="J46" s="38">
        <v>123.0</v>
      </c>
      <c r="K46" s="38">
        <v>132.0</v>
      </c>
      <c r="L46" s="38">
        <v>153.0</v>
      </c>
      <c r="M46" s="38">
        <v>139.0</v>
      </c>
      <c r="N46" s="38">
        <v>135.0</v>
      </c>
      <c r="O46" s="38">
        <v>137.0</v>
      </c>
      <c r="P46" s="38">
        <v>123.0</v>
      </c>
      <c r="Q46" s="38">
        <v>136.0</v>
      </c>
      <c r="R46" s="38">
        <v>119.0</v>
      </c>
      <c r="S46" s="38">
        <v>137.0</v>
      </c>
      <c r="T46" s="38">
        <v>157.0</v>
      </c>
      <c r="U46" s="38">
        <v>141.0</v>
      </c>
      <c r="V46" s="38">
        <v>162.0</v>
      </c>
      <c r="W46" s="38">
        <v>156.0</v>
      </c>
      <c r="X46" s="38">
        <v>151.0</v>
      </c>
      <c r="Y46" s="38">
        <v>147.0</v>
      </c>
      <c r="Z46" s="38">
        <v>139.0</v>
      </c>
      <c r="AA46" s="38">
        <v>132.0</v>
      </c>
      <c r="AB46" s="38">
        <v>145.0</v>
      </c>
      <c r="AC46" s="38">
        <v>137.0</v>
      </c>
      <c r="AD46" s="38">
        <v>130.0</v>
      </c>
      <c r="AE46" s="38">
        <v>128.0</v>
      </c>
      <c r="AF46" s="38">
        <v>162.0</v>
      </c>
      <c r="AG46" s="38">
        <v>135.0</v>
      </c>
      <c r="AH46" s="38">
        <v>113.0</v>
      </c>
      <c r="AI46" s="38">
        <v>135.0</v>
      </c>
      <c r="AJ46" s="38">
        <v>142.0</v>
      </c>
      <c r="AK46" s="38">
        <v>149.0</v>
      </c>
      <c r="AL46" s="38">
        <v>138.0</v>
      </c>
      <c r="AM46" s="38">
        <v>146.0</v>
      </c>
      <c r="AN46" s="38">
        <v>149.0</v>
      </c>
      <c r="AO46" s="38">
        <v>135.0</v>
      </c>
      <c r="AP46" s="38">
        <v>135.0</v>
      </c>
      <c r="AQ46" s="38">
        <v>141.0</v>
      </c>
      <c r="AR46" s="38">
        <v>121.0</v>
      </c>
      <c r="AS46" s="38">
        <v>145.0</v>
      </c>
      <c r="AT46" s="38">
        <v>161.0</v>
      </c>
      <c r="AU46" s="38">
        <v>142.0</v>
      </c>
      <c r="AV46" s="38">
        <v>150.0</v>
      </c>
      <c r="AW46" s="38">
        <v>134.0</v>
      </c>
      <c r="AX46" s="38">
        <v>142.0</v>
      </c>
      <c r="AY46" s="38">
        <v>134.0</v>
      </c>
      <c r="AZ46" s="38">
        <v>127.0</v>
      </c>
      <c r="BA46" s="38">
        <v>163.0</v>
      </c>
      <c r="BB46" s="38">
        <v>115.0</v>
      </c>
      <c r="BC46" s="38">
        <v>128.0</v>
      </c>
      <c r="BD46" s="38">
        <v>139.0</v>
      </c>
      <c r="BE46" s="38">
        <v>132.0</v>
      </c>
      <c r="BF46" s="38">
        <v>107.0</v>
      </c>
      <c r="BG46" s="38">
        <v>135.0</v>
      </c>
      <c r="BH46" s="38">
        <v>134.0</v>
      </c>
      <c r="BI46" s="38">
        <v>138.0</v>
      </c>
      <c r="BJ46" s="38">
        <v>124.0</v>
      </c>
      <c r="BK46" s="38">
        <v>144.0</v>
      </c>
      <c r="BL46" s="38">
        <v>143.0</v>
      </c>
      <c r="BM46" s="38">
        <v>131.0</v>
      </c>
      <c r="BN46" s="38">
        <v>132.0</v>
      </c>
      <c r="BO46" s="38">
        <v>125.0</v>
      </c>
      <c r="BP46" s="38">
        <v>125.0</v>
      </c>
      <c r="BQ46" s="38">
        <v>173.0</v>
      </c>
      <c r="BR46" s="38">
        <v>139.0</v>
      </c>
      <c r="BS46" s="38">
        <v>136.0</v>
      </c>
      <c r="BT46" s="38">
        <v>108.0</v>
      </c>
      <c r="BU46" s="38">
        <v>125.0</v>
      </c>
      <c r="BV46" s="38">
        <v>140.0</v>
      </c>
      <c r="BW46" s="38">
        <v>123.0</v>
      </c>
      <c r="BX46" s="38">
        <v>138.0</v>
      </c>
      <c r="BY46" s="38">
        <v>129.0</v>
      </c>
      <c r="BZ46" s="38">
        <v>133.0</v>
      </c>
      <c r="CA46" s="38">
        <v>142.0</v>
      </c>
      <c r="CB46" s="38">
        <v>124.0</v>
      </c>
      <c r="CC46" s="38">
        <v>140.0</v>
      </c>
      <c r="CD46" s="38">
        <v>140.0</v>
      </c>
      <c r="CE46" s="38">
        <v>126.0</v>
      </c>
      <c r="CF46" s="38">
        <v>123.0</v>
      </c>
      <c r="CG46" s="38">
        <v>131.0</v>
      </c>
      <c r="CH46" s="38">
        <v>148.0</v>
      </c>
      <c r="CI46" s="38">
        <v>145.0</v>
      </c>
      <c r="CJ46" s="38">
        <v>142.0</v>
      </c>
      <c r="CK46" s="38">
        <v>160.0</v>
      </c>
      <c r="CL46" s="38">
        <v>141.0</v>
      </c>
      <c r="CM46" s="13">
        <f t="shared" si="14"/>
        <v>11834</v>
      </c>
    </row>
    <row r="47" ht="12.75" customHeight="1">
      <c r="A47" s="49"/>
      <c r="B47" s="51">
        <v>3.0</v>
      </c>
      <c r="C47" s="52" t="s">
        <v>39</v>
      </c>
      <c r="D47" s="16"/>
      <c r="E47" s="38">
        <v>20.0</v>
      </c>
      <c r="F47" s="38">
        <v>39.0</v>
      </c>
      <c r="G47" s="38">
        <v>52.0</v>
      </c>
      <c r="H47" s="38">
        <v>34.0</v>
      </c>
      <c r="I47" s="38">
        <v>54.0</v>
      </c>
      <c r="J47" s="38">
        <v>46.0</v>
      </c>
      <c r="K47" s="38">
        <v>42.0</v>
      </c>
      <c r="L47" s="38">
        <v>31.0</v>
      </c>
      <c r="M47" s="38">
        <v>28.0</v>
      </c>
      <c r="N47" s="38">
        <v>27.0</v>
      </c>
      <c r="O47" s="38">
        <v>36.0</v>
      </c>
      <c r="P47" s="38">
        <v>24.0</v>
      </c>
      <c r="Q47" s="38">
        <v>42.0</v>
      </c>
      <c r="R47" s="38">
        <v>72.0</v>
      </c>
      <c r="S47" s="38">
        <v>30.0</v>
      </c>
      <c r="T47" s="38">
        <v>20.0</v>
      </c>
      <c r="U47" s="38">
        <v>26.0</v>
      </c>
      <c r="V47" s="38">
        <v>30.0</v>
      </c>
      <c r="W47" s="38">
        <v>42.0</v>
      </c>
      <c r="X47" s="38">
        <v>31.0</v>
      </c>
      <c r="Y47" s="38">
        <v>61.0</v>
      </c>
      <c r="Z47" s="38">
        <v>42.0</v>
      </c>
      <c r="AA47" s="38">
        <v>52.0</v>
      </c>
      <c r="AB47" s="38">
        <v>47.0</v>
      </c>
      <c r="AC47" s="38">
        <v>62.0</v>
      </c>
      <c r="AD47" s="38">
        <v>42.0</v>
      </c>
      <c r="AE47" s="38">
        <v>87.0</v>
      </c>
      <c r="AF47" s="38">
        <v>50.0</v>
      </c>
      <c r="AG47" s="38">
        <v>51.0</v>
      </c>
      <c r="AH47" s="38">
        <v>62.0</v>
      </c>
      <c r="AI47" s="38">
        <v>32.0</v>
      </c>
      <c r="AJ47" s="38">
        <v>55.0</v>
      </c>
      <c r="AK47" s="38">
        <v>36.0</v>
      </c>
      <c r="AL47" s="38">
        <v>41.0</v>
      </c>
      <c r="AM47" s="38">
        <v>46.0</v>
      </c>
      <c r="AN47" s="38">
        <v>42.0</v>
      </c>
      <c r="AO47" s="38">
        <v>54.0</v>
      </c>
      <c r="AP47" s="38">
        <v>49.0</v>
      </c>
      <c r="AQ47" s="38">
        <v>43.0</v>
      </c>
      <c r="AR47" s="38">
        <v>59.0</v>
      </c>
      <c r="AS47" s="38">
        <v>42.0</v>
      </c>
      <c r="AT47" s="38">
        <v>27.0</v>
      </c>
      <c r="AU47" s="38">
        <v>24.0</v>
      </c>
      <c r="AV47" s="38">
        <v>32.0</v>
      </c>
      <c r="AW47" s="38">
        <v>44.0</v>
      </c>
      <c r="AX47" s="38">
        <v>35.0</v>
      </c>
      <c r="AY47" s="38">
        <v>37.0</v>
      </c>
      <c r="AZ47" s="38">
        <v>46.0</v>
      </c>
      <c r="BA47" s="38">
        <v>39.0</v>
      </c>
      <c r="BB47" s="38">
        <v>41.0</v>
      </c>
      <c r="BC47" s="38">
        <v>20.0</v>
      </c>
      <c r="BD47" s="38">
        <v>30.0</v>
      </c>
      <c r="BE47" s="38">
        <v>33.0</v>
      </c>
      <c r="BF47" s="38">
        <v>43.0</v>
      </c>
      <c r="BG47" s="38">
        <v>43.0</v>
      </c>
      <c r="BH47" s="38">
        <v>14.0</v>
      </c>
      <c r="BI47" s="38">
        <v>29.0</v>
      </c>
      <c r="BJ47" s="38">
        <v>48.0</v>
      </c>
      <c r="BK47" s="38">
        <v>39.0</v>
      </c>
      <c r="BL47" s="38">
        <v>39.0</v>
      </c>
      <c r="BM47" s="38">
        <v>29.0</v>
      </c>
      <c r="BN47" s="38">
        <v>22.0</v>
      </c>
      <c r="BO47" s="38">
        <v>31.0</v>
      </c>
      <c r="BP47" s="38">
        <v>44.0</v>
      </c>
      <c r="BQ47" s="38">
        <v>44.0</v>
      </c>
      <c r="BR47" s="38">
        <v>28.0</v>
      </c>
      <c r="BS47" s="38">
        <v>28.0</v>
      </c>
      <c r="BT47" s="38">
        <v>28.0</v>
      </c>
      <c r="BU47" s="38">
        <v>36.0</v>
      </c>
      <c r="BV47" s="38">
        <v>25.0</v>
      </c>
      <c r="BW47" s="38">
        <v>26.0</v>
      </c>
      <c r="BX47" s="38">
        <v>32.0</v>
      </c>
      <c r="BY47" s="38">
        <v>31.0</v>
      </c>
      <c r="BZ47" s="38">
        <v>25.0</v>
      </c>
      <c r="CA47" s="38">
        <v>19.0</v>
      </c>
      <c r="CB47" s="38">
        <v>31.0</v>
      </c>
      <c r="CC47" s="38">
        <v>31.0</v>
      </c>
      <c r="CD47" s="38">
        <v>17.0</v>
      </c>
      <c r="CE47" s="38">
        <v>37.0</v>
      </c>
      <c r="CF47" s="38">
        <v>41.0</v>
      </c>
      <c r="CG47" s="38">
        <v>29.0</v>
      </c>
      <c r="CH47" s="38">
        <v>12.0</v>
      </c>
      <c r="CI47" s="38">
        <v>12.0</v>
      </c>
      <c r="CJ47" s="38">
        <v>13.0</v>
      </c>
      <c r="CK47" s="38">
        <v>7.0</v>
      </c>
      <c r="CL47" s="38">
        <v>15.0</v>
      </c>
      <c r="CM47" s="13">
        <f t="shared" si="14"/>
        <v>3137</v>
      </c>
    </row>
    <row r="48" ht="12.75" customHeight="1">
      <c r="CM48" s="13"/>
    </row>
    <row r="49" ht="12.75" customHeight="1">
      <c r="A49" s="46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56</v>
      </c>
      <c r="L49" s="13" t="s">
        <v>57</v>
      </c>
      <c r="M49" s="13" t="s">
        <v>58</v>
      </c>
      <c r="N49" s="13" t="s">
        <v>59</v>
      </c>
      <c r="O49" s="13" t="s">
        <v>60</v>
      </c>
      <c r="P49" s="13" t="s">
        <v>61</v>
      </c>
      <c r="Q49" s="13" t="s">
        <v>62</v>
      </c>
      <c r="R49" s="13" t="s">
        <v>63</v>
      </c>
      <c r="S49" s="13" t="s">
        <v>64</v>
      </c>
      <c r="T49" s="13" t="s">
        <v>65</v>
      </c>
      <c r="U49" s="13" t="s">
        <v>66</v>
      </c>
      <c r="V49" s="13" t="s">
        <v>67</v>
      </c>
      <c r="W49" s="13" t="s">
        <v>68</v>
      </c>
      <c r="X49" s="13" t="s">
        <v>69</v>
      </c>
      <c r="Y49" s="13" t="s">
        <v>70</v>
      </c>
      <c r="Z49" s="13" t="s">
        <v>71</v>
      </c>
      <c r="AA49" s="13" t="s">
        <v>72</v>
      </c>
      <c r="AB49" s="13" t="s">
        <v>73</v>
      </c>
      <c r="AC49" s="13" t="s">
        <v>75</v>
      </c>
      <c r="AD49" s="13" t="s">
        <v>76</v>
      </c>
      <c r="AE49" s="13" t="s">
        <v>77</v>
      </c>
      <c r="AF49" s="13" t="s">
        <v>78</v>
      </c>
      <c r="AG49" s="13" t="s">
        <v>79</v>
      </c>
      <c r="AH49" s="13" t="s">
        <v>80</v>
      </c>
      <c r="AI49" s="13" t="s">
        <v>81</v>
      </c>
      <c r="AJ49" s="13" t="s">
        <v>82</v>
      </c>
      <c r="AK49" s="13" t="s">
        <v>83</v>
      </c>
      <c r="AL49" s="13" t="s">
        <v>84</v>
      </c>
      <c r="AM49" s="13" t="s">
        <v>85</v>
      </c>
      <c r="AN49" s="13" t="s">
        <v>86</v>
      </c>
      <c r="AO49" s="13" t="s">
        <v>87</v>
      </c>
      <c r="AP49" s="13" t="s">
        <v>88</v>
      </c>
      <c r="AQ49" s="13" t="s">
        <v>89</v>
      </c>
      <c r="AR49" s="13" t="s">
        <v>90</v>
      </c>
      <c r="AS49" s="13" t="s">
        <v>91</v>
      </c>
      <c r="AT49" s="13" t="s">
        <v>92</v>
      </c>
      <c r="AU49" s="13" t="s">
        <v>93</v>
      </c>
      <c r="AV49" s="13" t="s">
        <v>94</v>
      </c>
      <c r="AW49" s="13" t="s">
        <v>95</v>
      </c>
      <c r="AX49" s="13" t="s">
        <v>96</v>
      </c>
      <c r="AY49" s="13" t="s">
        <v>97</v>
      </c>
      <c r="AZ49" s="13" t="s">
        <v>98</v>
      </c>
      <c r="BA49" s="13" t="s">
        <v>99</v>
      </c>
      <c r="BB49" s="13" t="s">
        <v>100</v>
      </c>
      <c r="BC49" s="13" t="s">
        <v>101</v>
      </c>
      <c r="BD49" s="13" t="s">
        <v>102</v>
      </c>
      <c r="BE49" s="13" t="s">
        <v>103</v>
      </c>
      <c r="BF49" s="13" t="s">
        <v>104</v>
      </c>
      <c r="BG49" s="13" t="s">
        <v>105</v>
      </c>
      <c r="BH49" s="13" t="s">
        <v>106</v>
      </c>
      <c r="BI49" s="13" t="s">
        <v>107</v>
      </c>
      <c r="BJ49" s="13" t="s">
        <v>108</v>
      </c>
      <c r="BK49" s="13" t="s">
        <v>109</v>
      </c>
      <c r="BL49" s="13" t="s">
        <v>110</v>
      </c>
      <c r="BM49" s="13" t="s">
        <v>111</v>
      </c>
      <c r="BN49" s="13" t="s">
        <v>112</v>
      </c>
      <c r="BO49" s="13" t="s">
        <v>113</v>
      </c>
      <c r="BP49" s="13" t="s">
        <v>114</v>
      </c>
      <c r="BQ49" s="13" t="s">
        <v>115</v>
      </c>
      <c r="BR49" s="13" t="s">
        <v>116</v>
      </c>
      <c r="BS49" s="13" t="s">
        <v>117</v>
      </c>
      <c r="BT49" s="13" t="s">
        <v>118</v>
      </c>
      <c r="BU49" s="13" t="s">
        <v>119</v>
      </c>
      <c r="BV49" s="13" t="s">
        <v>120</v>
      </c>
      <c r="BW49" s="13" t="s">
        <v>121</v>
      </c>
      <c r="BX49" s="13" t="s">
        <v>122</v>
      </c>
      <c r="BY49" s="13" t="s">
        <v>123</v>
      </c>
      <c r="BZ49" s="13" t="s">
        <v>124</v>
      </c>
      <c r="CA49" s="13" t="s">
        <v>125</v>
      </c>
      <c r="CB49" s="13" t="s">
        <v>126</v>
      </c>
      <c r="CC49" s="13" t="s">
        <v>127</v>
      </c>
      <c r="CD49" s="13" t="s">
        <v>136</v>
      </c>
      <c r="CE49" s="13" t="s">
        <v>137</v>
      </c>
      <c r="CF49" s="13" t="s">
        <v>138</v>
      </c>
      <c r="CG49" s="13" t="s">
        <v>139</v>
      </c>
      <c r="CH49" s="13" t="s">
        <v>140</v>
      </c>
      <c r="CI49" s="13" t="s">
        <v>141</v>
      </c>
      <c r="CJ49" s="13" t="s">
        <v>142</v>
      </c>
      <c r="CK49" s="13" t="s">
        <v>143</v>
      </c>
      <c r="CL49" s="13" t="s">
        <v>144</v>
      </c>
      <c r="CM49" s="13"/>
    </row>
    <row r="50" ht="12.75" customHeight="1">
      <c r="A50" s="46"/>
      <c r="B50" s="58" t="s">
        <v>42</v>
      </c>
      <c r="C50" s="59" t="s">
        <v>43</v>
      </c>
      <c r="D50" s="16"/>
      <c r="E50" s="19">
        <f t="shared" ref="E50:CL50" si="15">SUM(E45:E47)</f>
        <v>201</v>
      </c>
      <c r="F50" s="19">
        <f t="shared" si="15"/>
        <v>217</v>
      </c>
      <c r="G50" s="19">
        <f t="shared" si="15"/>
        <v>195</v>
      </c>
      <c r="H50" s="19">
        <f t="shared" si="15"/>
        <v>185</v>
      </c>
      <c r="I50" s="19">
        <f t="shared" si="15"/>
        <v>187</v>
      </c>
      <c r="J50" s="19">
        <f t="shared" si="15"/>
        <v>186</v>
      </c>
      <c r="K50" s="19">
        <f t="shared" si="15"/>
        <v>193</v>
      </c>
      <c r="L50" s="19">
        <f t="shared" si="15"/>
        <v>194</v>
      </c>
      <c r="M50" s="19">
        <f t="shared" si="15"/>
        <v>179</v>
      </c>
      <c r="N50" s="19">
        <f t="shared" si="15"/>
        <v>187</v>
      </c>
      <c r="O50" s="19">
        <f t="shared" si="15"/>
        <v>201</v>
      </c>
      <c r="P50" s="19">
        <f t="shared" si="15"/>
        <v>165</v>
      </c>
      <c r="Q50" s="19">
        <f t="shared" si="15"/>
        <v>189</v>
      </c>
      <c r="R50" s="19">
        <f t="shared" si="15"/>
        <v>200</v>
      </c>
      <c r="S50" s="19">
        <f t="shared" si="15"/>
        <v>179</v>
      </c>
      <c r="T50" s="19">
        <f t="shared" si="15"/>
        <v>198</v>
      </c>
      <c r="U50" s="19">
        <f t="shared" si="15"/>
        <v>181</v>
      </c>
      <c r="V50" s="19">
        <f t="shared" si="15"/>
        <v>209</v>
      </c>
      <c r="W50" s="19">
        <f t="shared" si="15"/>
        <v>213</v>
      </c>
      <c r="X50" s="19">
        <f t="shared" si="15"/>
        <v>207</v>
      </c>
      <c r="Y50" s="19">
        <f t="shared" si="15"/>
        <v>215</v>
      </c>
      <c r="Z50" s="19">
        <f t="shared" si="15"/>
        <v>193</v>
      </c>
      <c r="AA50" s="19">
        <f t="shared" si="15"/>
        <v>203</v>
      </c>
      <c r="AB50" s="19">
        <f t="shared" si="15"/>
        <v>207</v>
      </c>
      <c r="AC50" s="19">
        <f t="shared" si="15"/>
        <v>203</v>
      </c>
      <c r="AD50" s="19">
        <f t="shared" si="15"/>
        <v>182</v>
      </c>
      <c r="AE50" s="19">
        <f t="shared" si="15"/>
        <v>228</v>
      </c>
      <c r="AF50" s="19">
        <f t="shared" si="15"/>
        <v>227</v>
      </c>
      <c r="AG50" s="19">
        <f t="shared" si="15"/>
        <v>203</v>
      </c>
      <c r="AH50" s="19">
        <f t="shared" si="15"/>
        <v>193</v>
      </c>
      <c r="AI50" s="19">
        <f t="shared" si="15"/>
        <v>180</v>
      </c>
      <c r="AJ50" s="19">
        <f t="shared" si="15"/>
        <v>215</v>
      </c>
      <c r="AK50" s="19">
        <f t="shared" si="15"/>
        <v>212</v>
      </c>
      <c r="AL50" s="19">
        <f t="shared" si="15"/>
        <v>190</v>
      </c>
      <c r="AM50" s="19">
        <f t="shared" si="15"/>
        <v>207</v>
      </c>
      <c r="AN50" s="19">
        <f t="shared" si="15"/>
        <v>200</v>
      </c>
      <c r="AO50" s="19">
        <f t="shared" si="15"/>
        <v>204</v>
      </c>
      <c r="AP50" s="19">
        <f t="shared" si="15"/>
        <v>204</v>
      </c>
      <c r="AQ50" s="19">
        <f t="shared" si="15"/>
        <v>199</v>
      </c>
      <c r="AR50" s="19">
        <f t="shared" si="15"/>
        <v>186</v>
      </c>
      <c r="AS50" s="19">
        <f t="shared" si="15"/>
        <v>204</v>
      </c>
      <c r="AT50" s="19">
        <f t="shared" si="15"/>
        <v>205</v>
      </c>
      <c r="AU50" s="19">
        <f t="shared" si="15"/>
        <v>193</v>
      </c>
      <c r="AV50" s="19">
        <f t="shared" si="15"/>
        <v>206</v>
      </c>
      <c r="AW50" s="19">
        <f t="shared" si="15"/>
        <v>202</v>
      </c>
      <c r="AX50" s="19">
        <f t="shared" si="15"/>
        <v>193</v>
      </c>
      <c r="AY50" s="19">
        <f t="shared" si="15"/>
        <v>191</v>
      </c>
      <c r="AZ50" s="19">
        <f t="shared" si="15"/>
        <v>207</v>
      </c>
      <c r="BA50" s="19">
        <f t="shared" si="15"/>
        <v>220</v>
      </c>
      <c r="BB50" s="19">
        <f t="shared" si="15"/>
        <v>160</v>
      </c>
      <c r="BC50" s="19">
        <f t="shared" si="15"/>
        <v>158</v>
      </c>
      <c r="BD50" s="19">
        <f t="shared" si="15"/>
        <v>196</v>
      </c>
      <c r="BE50" s="19">
        <f t="shared" si="15"/>
        <v>180</v>
      </c>
      <c r="BF50" s="19">
        <f t="shared" si="15"/>
        <v>160</v>
      </c>
      <c r="BG50" s="19">
        <f t="shared" si="15"/>
        <v>195</v>
      </c>
      <c r="BH50" s="19">
        <f t="shared" si="15"/>
        <v>164</v>
      </c>
      <c r="BI50" s="19">
        <f t="shared" si="15"/>
        <v>187</v>
      </c>
      <c r="BJ50" s="19">
        <f t="shared" si="15"/>
        <v>183</v>
      </c>
      <c r="BK50" s="19">
        <f t="shared" si="15"/>
        <v>195</v>
      </c>
      <c r="BL50" s="19">
        <f t="shared" si="15"/>
        <v>202</v>
      </c>
      <c r="BM50" s="19">
        <f t="shared" si="15"/>
        <v>185</v>
      </c>
      <c r="BN50" s="19">
        <f t="shared" si="15"/>
        <v>171</v>
      </c>
      <c r="BO50" s="19">
        <f t="shared" si="15"/>
        <v>179</v>
      </c>
      <c r="BP50" s="19">
        <f t="shared" si="15"/>
        <v>181</v>
      </c>
      <c r="BQ50" s="19">
        <f t="shared" si="15"/>
        <v>233</v>
      </c>
      <c r="BR50" s="19">
        <f t="shared" si="15"/>
        <v>183</v>
      </c>
      <c r="BS50" s="19">
        <f t="shared" si="15"/>
        <v>181</v>
      </c>
      <c r="BT50" s="19">
        <f t="shared" si="15"/>
        <v>147</v>
      </c>
      <c r="BU50" s="19">
        <f t="shared" si="15"/>
        <v>179</v>
      </c>
      <c r="BV50" s="19">
        <f t="shared" si="15"/>
        <v>177</v>
      </c>
      <c r="BW50" s="19">
        <f t="shared" si="15"/>
        <v>166</v>
      </c>
      <c r="BX50" s="19">
        <f t="shared" si="15"/>
        <v>184</v>
      </c>
      <c r="BY50" s="19">
        <f t="shared" si="15"/>
        <v>168</v>
      </c>
      <c r="BZ50" s="19">
        <f t="shared" si="15"/>
        <v>175</v>
      </c>
      <c r="CA50" s="19">
        <f t="shared" si="15"/>
        <v>183</v>
      </c>
      <c r="CB50" s="19">
        <f t="shared" si="15"/>
        <v>172</v>
      </c>
      <c r="CC50" s="19">
        <f t="shared" si="15"/>
        <v>190</v>
      </c>
      <c r="CD50" s="19">
        <f t="shared" si="15"/>
        <v>177</v>
      </c>
      <c r="CE50" s="19">
        <f t="shared" si="15"/>
        <v>183</v>
      </c>
      <c r="CF50" s="19">
        <f t="shared" si="15"/>
        <v>172</v>
      </c>
      <c r="CG50" s="19">
        <f t="shared" si="15"/>
        <v>184</v>
      </c>
      <c r="CH50" s="19">
        <f t="shared" si="15"/>
        <v>191</v>
      </c>
      <c r="CI50" s="19">
        <f t="shared" si="15"/>
        <v>186</v>
      </c>
      <c r="CJ50" s="19">
        <f t="shared" si="15"/>
        <v>190</v>
      </c>
      <c r="CK50" s="19">
        <f t="shared" si="15"/>
        <v>202</v>
      </c>
      <c r="CL50" s="19">
        <f t="shared" si="15"/>
        <v>194</v>
      </c>
      <c r="CM50" s="13">
        <f t="shared" ref="CM50:CM52" si="16">SUM(E50:CL50)</f>
        <v>16451</v>
      </c>
    </row>
    <row r="51" ht="12.75" customHeight="1">
      <c r="A51" s="36"/>
      <c r="B51" s="58" t="s">
        <v>44</v>
      </c>
      <c r="C51" s="59" t="s">
        <v>45</v>
      </c>
      <c r="D51" s="16"/>
      <c r="E51" s="38">
        <v>3.0</v>
      </c>
      <c r="F51" s="38">
        <v>3.0</v>
      </c>
      <c r="G51" s="38">
        <v>2.0</v>
      </c>
      <c r="H51" s="38">
        <v>2.0</v>
      </c>
      <c r="I51" s="38">
        <v>13.0</v>
      </c>
      <c r="J51" s="38">
        <v>2.0</v>
      </c>
      <c r="K51" s="38">
        <v>7.0</v>
      </c>
      <c r="L51" s="38">
        <v>4.0</v>
      </c>
      <c r="M51" s="38">
        <v>6.0</v>
      </c>
      <c r="N51" s="38">
        <v>3.0</v>
      </c>
      <c r="O51" s="38">
        <v>4.0</v>
      </c>
      <c r="P51" s="38">
        <v>3.0</v>
      </c>
      <c r="Q51" s="38">
        <v>6.0</v>
      </c>
      <c r="R51" s="38">
        <v>6.0</v>
      </c>
      <c r="S51" s="38">
        <v>5.0</v>
      </c>
      <c r="T51" s="38">
        <v>5.0</v>
      </c>
      <c r="U51" s="38">
        <v>10.0</v>
      </c>
      <c r="V51" s="38">
        <v>5.0</v>
      </c>
      <c r="W51" s="38">
        <v>5.0</v>
      </c>
      <c r="X51" s="38">
        <v>2.0</v>
      </c>
      <c r="Y51" s="38">
        <v>8.0</v>
      </c>
      <c r="Z51" s="38">
        <v>6.0</v>
      </c>
      <c r="AA51" s="38">
        <v>3.0</v>
      </c>
      <c r="AB51" s="38">
        <v>4.0</v>
      </c>
      <c r="AC51" s="38">
        <v>5.0</v>
      </c>
      <c r="AD51" s="38">
        <v>5.0</v>
      </c>
      <c r="AE51" s="38">
        <v>1.0</v>
      </c>
      <c r="AF51" s="38">
        <v>6.0</v>
      </c>
      <c r="AG51" s="38">
        <v>4.0</v>
      </c>
      <c r="AH51" s="38">
        <v>3.0</v>
      </c>
      <c r="AI51" s="38">
        <v>3.0</v>
      </c>
      <c r="AJ51" s="38">
        <v>3.0</v>
      </c>
      <c r="AK51" s="38">
        <v>1.0</v>
      </c>
      <c r="AL51" s="38">
        <v>4.0</v>
      </c>
      <c r="AM51" s="38">
        <v>2.0</v>
      </c>
      <c r="AN51" s="38">
        <v>9.0</v>
      </c>
      <c r="AO51" s="38">
        <v>2.0</v>
      </c>
      <c r="AP51" s="38">
        <v>3.0</v>
      </c>
      <c r="AQ51" s="38">
        <v>7.0</v>
      </c>
      <c r="AR51" s="38">
        <v>1.0</v>
      </c>
      <c r="AS51" s="38">
        <v>1.0</v>
      </c>
      <c r="AT51" s="38">
        <v>2.0</v>
      </c>
      <c r="AU51" s="38">
        <v>8.0</v>
      </c>
      <c r="AV51" s="38">
        <v>1.0</v>
      </c>
      <c r="AW51" s="38">
        <v>6.0</v>
      </c>
      <c r="AX51" s="38">
        <v>4.0</v>
      </c>
      <c r="AY51" s="38">
        <v>4.0</v>
      </c>
      <c r="AZ51" s="38">
        <v>1.0</v>
      </c>
      <c r="BA51" s="38">
        <v>3.0</v>
      </c>
      <c r="BB51" s="38">
        <v>1.0</v>
      </c>
      <c r="BC51" s="38">
        <v>3.0</v>
      </c>
      <c r="BD51" s="38">
        <v>2.0</v>
      </c>
      <c r="BE51" s="38">
        <v>3.0</v>
      </c>
      <c r="BF51" s="38">
        <v>7.0</v>
      </c>
      <c r="BG51" s="38">
        <v>3.0</v>
      </c>
      <c r="BH51" s="38">
        <v>8.0</v>
      </c>
      <c r="BI51" s="38">
        <v>2.0</v>
      </c>
      <c r="BJ51" s="38">
        <v>1.0</v>
      </c>
      <c r="BK51" s="38">
        <v>1.0</v>
      </c>
      <c r="BL51" s="38">
        <v>5.0</v>
      </c>
      <c r="BM51" s="38">
        <v>6.0</v>
      </c>
      <c r="BN51" s="38">
        <v>0.0</v>
      </c>
      <c r="BO51" s="38">
        <v>11.0</v>
      </c>
      <c r="BP51" s="38">
        <v>4.0</v>
      </c>
      <c r="BQ51" s="38">
        <v>4.0</v>
      </c>
      <c r="BR51" s="38">
        <v>8.0</v>
      </c>
      <c r="BS51" s="38">
        <v>1.0</v>
      </c>
      <c r="BT51" s="38">
        <v>4.0</v>
      </c>
      <c r="BU51" s="38">
        <v>7.0</v>
      </c>
      <c r="BV51" s="38">
        <v>3.0</v>
      </c>
      <c r="BW51" s="38">
        <v>2.0</v>
      </c>
      <c r="BX51" s="38">
        <v>7.0</v>
      </c>
      <c r="BY51" s="38">
        <v>5.0</v>
      </c>
      <c r="BZ51" s="38">
        <v>3.0</v>
      </c>
      <c r="CA51" s="38">
        <v>5.0</v>
      </c>
      <c r="CB51" s="38">
        <v>1.0</v>
      </c>
      <c r="CC51" s="38">
        <v>3.0</v>
      </c>
      <c r="CD51" s="38">
        <v>3.0</v>
      </c>
      <c r="CE51" s="38">
        <v>8.0</v>
      </c>
      <c r="CF51" s="38">
        <v>5.0</v>
      </c>
      <c r="CG51" s="38">
        <v>2.0</v>
      </c>
      <c r="CH51" s="38">
        <v>1.0</v>
      </c>
      <c r="CI51" s="38">
        <v>7.0</v>
      </c>
      <c r="CJ51" s="38">
        <v>11.0</v>
      </c>
      <c r="CK51" s="38">
        <v>2.0</v>
      </c>
      <c r="CL51" s="38">
        <v>1.0</v>
      </c>
      <c r="CM51" s="13">
        <f t="shared" si="16"/>
        <v>356</v>
      </c>
    </row>
    <row r="52" ht="12.75" customHeight="1">
      <c r="A52" s="44"/>
      <c r="B52" s="58" t="s">
        <v>46</v>
      </c>
      <c r="C52" s="59" t="s">
        <v>47</v>
      </c>
      <c r="D52" s="16"/>
      <c r="E52" s="13">
        <f t="shared" ref="E52:CL52" si="17">SUM(E50:E51)</f>
        <v>204</v>
      </c>
      <c r="F52" s="13">
        <f t="shared" si="17"/>
        <v>220</v>
      </c>
      <c r="G52" s="13">
        <f t="shared" si="17"/>
        <v>197</v>
      </c>
      <c r="H52" s="13">
        <f t="shared" si="17"/>
        <v>187</v>
      </c>
      <c r="I52" s="13">
        <f t="shared" si="17"/>
        <v>200</v>
      </c>
      <c r="J52" s="13">
        <f t="shared" si="17"/>
        <v>188</v>
      </c>
      <c r="K52" s="13">
        <f t="shared" si="17"/>
        <v>200</v>
      </c>
      <c r="L52" s="13">
        <f t="shared" si="17"/>
        <v>198</v>
      </c>
      <c r="M52" s="13">
        <f t="shared" si="17"/>
        <v>185</v>
      </c>
      <c r="N52" s="13">
        <f t="shared" si="17"/>
        <v>190</v>
      </c>
      <c r="O52" s="13">
        <f t="shared" si="17"/>
        <v>205</v>
      </c>
      <c r="P52" s="13">
        <f t="shared" si="17"/>
        <v>168</v>
      </c>
      <c r="Q52" s="13">
        <f t="shared" si="17"/>
        <v>195</v>
      </c>
      <c r="R52" s="13">
        <f t="shared" si="17"/>
        <v>206</v>
      </c>
      <c r="S52" s="13">
        <f t="shared" si="17"/>
        <v>184</v>
      </c>
      <c r="T52" s="13">
        <f t="shared" si="17"/>
        <v>203</v>
      </c>
      <c r="U52" s="13">
        <f t="shared" si="17"/>
        <v>191</v>
      </c>
      <c r="V52" s="13">
        <f t="shared" si="17"/>
        <v>214</v>
      </c>
      <c r="W52" s="13">
        <f t="shared" si="17"/>
        <v>218</v>
      </c>
      <c r="X52" s="13">
        <f t="shared" si="17"/>
        <v>209</v>
      </c>
      <c r="Y52" s="13">
        <f t="shared" si="17"/>
        <v>223</v>
      </c>
      <c r="Z52" s="13">
        <f t="shared" si="17"/>
        <v>199</v>
      </c>
      <c r="AA52" s="13">
        <f t="shared" si="17"/>
        <v>206</v>
      </c>
      <c r="AB52" s="13">
        <f t="shared" si="17"/>
        <v>211</v>
      </c>
      <c r="AC52" s="13">
        <f t="shared" si="17"/>
        <v>208</v>
      </c>
      <c r="AD52" s="13">
        <f t="shared" si="17"/>
        <v>187</v>
      </c>
      <c r="AE52" s="13">
        <f t="shared" si="17"/>
        <v>229</v>
      </c>
      <c r="AF52" s="13">
        <f t="shared" si="17"/>
        <v>233</v>
      </c>
      <c r="AG52" s="13">
        <f t="shared" si="17"/>
        <v>207</v>
      </c>
      <c r="AH52" s="13">
        <f t="shared" si="17"/>
        <v>196</v>
      </c>
      <c r="AI52" s="13">
        <f t="shared" si="17"/>
        <v>183</v>
      </c>
      <c r="AJ52" s="13">
        <f t="shared" si="17"/>
        <v>218</v>
      </c>
      <c r="AK52" s="13">
        <f t="shared" si="17"/>
        <v>213</v>
      </c>
      <c r="AL52" s="13">
        <f t="shared" si="17"/>
        <v>194</v>
      </c>
      <c r="AM52" s="13">
        <f t="shared" si="17"/>
        <v>209</v>
      </c>
      <c r="AN52" s="13">
        <f t="shared" si="17"/>
        <v>209</v>
      </c>
      <c r="AO52" s="13">
        <f t="shared" si="17"/>
        <v>206</v>
      </c>
      <c r="AP52" s="13">
        <f t="shared" si="17"/>
        <v>207</v>
      </c>
      <c r="AQ52" s="13">
        <f t="shared" si="17"/>
        <v>206</v>
      </c>
      <c r="AR52" s="13">
        <f t="shared" si="17"/>
        <v>187</v>
      </c>
      <c r="AS52" s="13">
        <f t="shared" si="17"/>
        <v>205</v>
      </c>
      <c r="AT52" s="13">
        <f t="shared" si="17"/>
        <v>207</v>
      </c>
      <c r="AU52" s="13">
        <f t="shared" si="17"/>
        <v>201</v>
      </c>
      <c r="AV52" s="13">
        <f t="shared" si="17"/>
        <v>207</v>
      </c>
      <c r="AW52" s="13">
        <f t="shared" si="17"/>
        <v>208</v>
      </c>
      <c r="AX52" s="13">
        <f t="shared" si="17"/>
        <v>197</v>
      </c>
      <c r="AY52" s="13">
        <f t="shared" si="17"/>
        <v>195</v>
      </c>
      <c r="AZ52" s="13">
        <f t="shared" si="17"/>
        <v>208</v>
      </c>
      <c r="BA52" s="13">
        <f t="shared" si="17"/>
        <v>223</v>
      </c>
      <c r="BB52" s="13">
        <f t="shared" si="17"/>
        <v>161</v>
      </c>
      <c r="BC52" s="13">
        <f t="shared" si="17"/>
        <v>161</v>
      </c>
      <c r="BD52" s="13">
        <f t="shared" si="17"/>
        <v>198</v>
      </c>
      <c r="BE52" s="13">
        <f t="shared" si="17"/>
        <v>183</v>
      </c>
      <c r="BF52" s="13">
        <f t="shared" si="17"/>
        <v>167</v>
      </c>
      <c r="BG52" s="13">
        <f t="shared" si="17"/>
        <v>198</v>
      </c>
      <c r="BH52" s="13">
        <f t="shared" si="17"/>
        <v>172</v>
      </c>
      <c r="BI52" s="13">
        <f t="shared" si="17"/>
        <v>189</v>
      </c>
      <c r="BJ52" s="13">
        <f t="shared" si="17"/>
        <v>184</v>
      </c>
      <c r="BK52" s="13">
        <f t="shared" si="17"/>
        <v>196</v>
      </c>
      <c r="BL52" s="13">
        <f t="shared" si="17"/>
        <v>207</v>
      </c>
      <c r="BM52" s="13">
        <f t="shared" si="17"/>
        <v>191</v>
      </c>
      <c r="BN52" s="13">
        <f t="shared" si="17"/>
        <v>171</v>
      </c>
      <c r="BO52" s="13">
        <f t="shared" si="17"/>
        <v>190</v>
      </c>
      <c r="BP52" s="13">
        <f t="shared" si="17"/>
        <v>185</v>
      </c>
      <c r="BQ52" s="13">
        <f t="shared" si="17"/>
        <v>237</v>
      </c>
      <c r="BR52" s="13">
        <f t="shared" si="17"/>
        <v>191</v>
      </c>
      <c r="BS52" s="13">
        <f t="shared" si="17"/>
        <v>182</v>
      </c>
      <c r="BT52" s="13">
        <f t="shared" si="17"/>
        <v>151</v>
      </c>
      <c r="BU52" s="13">
        <f t="shared" si="17"/>
        <v>186</v>
      </c>
      <c r="BV52" s="13">
        <f t="shared" si="17"/>
        <v>180</v>
      </c>
      <c r="BW52" s="13">
        <f t="shared" si="17"/>
        <v>168</v>
      </c>
      <c r="BX52" s="13">
        <f t="shared" si="17"/>
        <v>191</v>
      </c>
      <c r="BY52" s="13">
        <f t="shared" si="17"/>
        <v>173</v>
      </c>
      <c r="BZ52" s="13">
        <f t="shared" si="17"/>
        <v>178</v>
      </c>
      <c r="CA52" s="13">
        <f t="shared" si="17"/>
        <v>188</v>
      </c>
      <c r="CB52" s="13">
        <f t="shared" si="17"/>
        <v>173</v>
      </c>
      <c r="CC52" s="13">
        <f t="shared" si="17"/>
        <v>193</v>
      </c>
      <c r="CD52" s="13">
        <f t="shared" si="17"/>
        <v>180</v>
      </c>
      <c r="CE52" s="13">
        <f t="shared" si="17"/>
        <v>191</v>
      </c>
      <c r="CF52" s="13">
        <f t="shared" si="17"/>
        <v>177</v>
      </c>
      <c r="CG52" s="13">
        <f t="shared" si="17"/>
        <v>186</v>
      </c>
      <c r="CH52" s="13">
        <f t="shared" si="17"/>
        <v>192</v>
      </c>
      <c r="CI52" s="13">
        <f t="shared" si="17"/>
        <v>193</v>
      </c>
      <c r="CJ52" s="13">
        <f t="shared" si="17"/>
        <v>201</v>
      </c>
      <c r="CK52" s="13">
        <f t="shared" si="17"/>
        <v>204</v>
      </c>
      <c r="CL52" s="13">
        <f t="shared" si="17"/>
        <v>195</v>
      </c>
      <c r="CM52" s="13">
        <f t="shared" si="16"/>
        <v>16807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CN117" s="5"/>
      <c r="CO117" s="5"/>
    </row>
    <row r="118" ht="12.75" customHeight="1">
      <c r="CN118" s="5"/>
      <c r="CO118" s="5"/>
    </row>
    <row r="119" ht="12.75" customHeight="1">
      <c r="CN119" s="5"/>
      <c r="CO119" s="5"/>
    </row>
    <row r="120" ht="12.75" customHeight="1">
      <c r="CN120" s="5"/>
      <c r="CO120" s="5"/>
    </row>
    <row r="121" ht="12.75" customHeight="1">
      <c r="CN121" s="5"/>
      <c r="CO121" s="5"/>
    </row>
    <row r="122" ht="12.75" customHeight="1">
      <c r="CN122" s="5"/>
      <c r="CO122" s="5"/>
    </row>
    <row r="123" ht="12.75" customHeight="1">
      <c r="CN123" s="5"/>
      <c r="CO123" s="5"/>
    </row>
    <row r="124" ht="12.75" customHeight="1">
      <c r="CN124" s="5"/>
      <c r="CO124" s="5"/>
    </row>
    <row r="125" ht="12.75" customHeight="1">
      <c r="CN125" s="5"/>
      <c r="CO125" s="5"/>
    </row>
    <row r="126" ht="12.75" customHeight="1">
      <c r="CN126" s="5"/>
      <c r="CO126" s="5"/>
    </row>
    <row r="127" ht="12.75" customHeight="1">
      <c r="CN127" s="5"/>
      <c r="CO127" s="5"/>
    </row>
    <row r="128" ht="12.75" customHeight="1">
      <c r="CN128" s="5"/>
      <c r="CO128" s="5"/>
    </row>
    <row r="129" ht="12.75" customHeight="1">
      <c r="CN129" s="5"/>
      <c r="CO129" s="5"/>
    </row>
    <row r="130" ht="12.75" customHeight="1">
      <c r="CN130" s="1"/>
      <c r="CO130" s="1"/>
    </row>
    <row r="131" ht="12.75" customHeight="1">
      <c r="CN131" s="54"/>
      <c r="CO131" s="54"/>
    </row>
    <row r="132" ht="12.75" customHeight="1">
      <c r="CN132" s="5"/>
      <c r="CO132" s="5"/>
    </row>
    <row r="133" ht="12.75" customHeight="1">
      <c r="CN133" s="5"/>
      <c r="CO133" s="5"/>
    </row>
    <row r="134" ht="12.75" customHeight="1">
      <c r="CN134" s="5"/>
      <c r="CO134" s="5"/>
    </row>
    <row r="135" ht="12.75" customHeight="1">
      <c r="CN135" s="5"/>
      <c r="CO135" s="5"/>
    </row>
    <row r="136" ht="12.75" customHeight="1">
      <c r="CN136" s="5"/>
      <c r="CO136" s="5"/>
    </row>
    <row r="137" ht="12.75" customHeight="1">
      <c r="CN137" s="5"/>
      <c r="CO137" s="5"/>
    </row>
    <row r="138" ht="12.75" customHeight="1">
      <c r="CN138" s="5"/>
      <c r="CO138" s="5"/>
    </row>
    <row r="139" ht="12.75" customHeight="1">
      <c r="CN139" s="5"/>
      <c r="CO139" s="5"/>
    </row>
    <row r="140" ht="12.75" customHeight="1">
      <c r="CN140" s="5"/>
      <c r="CO140" s="5"/>
    </row>
    <row r="141" ht="12.75" customHeight="1">
      <c r="CN141" s="1"/>
      <c r="CO141" s="1"/>
    </row>
    <row r="142" ht="12.75" customHeight="1">
      <c r="CN142" s="54"/>
      <c r="CO142" s="54"/>
    </row>
    <row r="143" ht="12.75" customHeight="1">
      <c r="CN143" s="5"/>
      <c r="CO143" s="5"/>
    </row>
    <row r="144" ht="12.75" customHeight="1">
      <c r="CN144" s="5"/>
      <c r="CO144" s="5"/>
    </row>
    <row r="145" ht="12.75" customHeight="1">
      <c r="CN145" s="5"/>
      <c r="CO145" s="5"/>
    </row>
    <row r="146" ht="12.75" customHeight="1">
      <c r="CN146" s="5"/>
      <c r="CO146" s="5"/>
    </row>
    <row r="147" ht="12.75" customHeight="1">
      <c r="CN147" s="5"/>
      <c r="CO147" s="5"/>
    </row>
    <row r="148" ht="12.75" customHeight="1">
      <c r="CN148" s="5"/>
      <c r="CO148" s="5"/>
    </row>
    <row r="149" ht="12.75" customHeight="1">
      <c r="CN149" s="5"/>
      <c r="CO149" s="5"/>
    </row>
    <row r="150" ht="12.75" customHeight="1">
      <c r="CN150" s="5"/>
      <c r="CO150" s="5"/>
    </row>
    <row r="151" ht="12.75" customHeight="1">
      <c r="CN151" s="1"/>
      <c r="CO151" s="1"/>
    </row>
    <row r="152" ht="12.75" customHeight="1">
      <c r="CN152" s="54"/>
      <c r="CO152" s="54"/>
    </row>
    <row r="153" ht="12.75" customHeight="1">
      <c r="CN153" s="5"/>
      <c r="CO153" s="5"/>
    </row>
    <row r="154" ht="12.75" customHeight="1">
      <c r="CN154" s="5"/>
      <c r="CO154" s="5"/>
    </row>
    <row r="155" ht="12.75" customHeight="1">
      <c r="CN155" s="5"/>
      <c r="CO155" s="5"/>
    </row>
    <row r="156" ht="12.75" customHeight="1">
      <c r="CN156" s="5"/>
      <c r="CO156" s="5"/>
    </row>
    <row r="157" ht="12.75" customHeight="1">
      <c r="CN157" s="5"/>
      <c r="CO157" s="5"/>
    </row>
    <row r="158" ht="12.75" customHeight="1">
      <c r="CN158" s="5"/>
      <c r="CO158" s="5"/>
    </row>
    <row r="159" ht="12.75" customHeight="1">
      <c r="CN159" s="5"/>
      <c r="CO159" s="5"/>
    </row>
    <row r="160" ht="12.75" customHeight="1">
      <c r="CN160" s="5"/>
      <c r="CO160" s="5"/>
    </row>
    <row r="161" ht="12.75" customHeight="1">
      <c r="CN161" s="5"/>
      <c r="CO161" s="5"/>
    </row>
    <row r="162" ht="12.75" customHeight="1">
      <c r="CN162" s="5"/>
      <c r="CO162" s="5"/>
    </row>
    <row r="163" ht="12.75" customHeight="1">
      <c r="CN163" s="5"/>
      <c r="CO163" s="5"/>
    </row>
    <row r="164" ht="12.75" customHeight="1">
      <c r="CN164" s="5"/>
      <c r="CO164" s="5"/>
    </row>
    <row r="165" ht="12.75" customHeight="1">
      <c r="CN165" s="1"/>
      <c r="CO165" s="1"/>
    </row>
    <row r="166" ht="12.75" customHeight="1">
      <c r="CN166" s="54"/>
      <c r="CO166" s="54"/>
    </row>
    <row r="167" ht="12.75" customHeight="1">
      <c r="CN167" s="5"/>
      <c r="CO167" s="5"/>
    </row>
    <row r="168" ht="12.75" customHeight="1">
      <c r="CN168" s="5"/>
      <c r="CO168" s="5"/>
    </row>
    <row r="169" ht="12.75" customHeight="1">
      <c r="CN169" s="5"/>
      <c r="CO169" s="5"/>
    </row>
    <row r="170" ht="12.75" customHeight="1">
      <c r="CN170" s="5"/>
      <c r="CO170" s="5"/>
    </row>
    <row r="171" ht="12.75" customHeight="1">
      <c r="CN171" s="5"/>
      <c r="CO171" s="5"/>
    </row>
    <row r="172" ht="12.75" customHeight="1">
      <c r="CN172" s="5"/>
      <c r="CO172" s="5"/>
    </row>
    <row r="173" ht="12.75" customHeight="1">
      <c r="CN173" s="5"/>
      <c r="CO173" s="5"/>
    </row>
    <row r="174" ht="12.75" customHeight="1">
      <c r="CN174" s="5"/>
      <c r="CO174" s="5"/>
    </row>
    <row r="175" ht="12.75" customHeight="1">
      <c r="CN175" s="5"/>
      <c r="CO175" s="5"/>
    </row>
    <row r="176" ht="12.75" customHeight="1">
      <c r="CN176" s="1"/>
      <c r="CO176" s="1"/>
    </row>
    <row r="177" ht="12.75" customHeight="1"/>
    <row r="178" ht="12.75" customHeight="1">
      <c r="CN178" s="5"/>
      <c r="CO178" s="5"/>
    </row>
    <row r="179" ht="12.75" customHeight="1">
      <c r="CN179" s="5"/>
      <c r="CO179" s="5"/>
    </row>
    <row r="180" ht="12.75" customHeight="1">
      <c r="CN180" s="5"/>
      <c r="CO180" s="5"/>
    </row>
    <row r="181" ht="12.75" customHeight="1">
      <c r="CN181" s="5"/>
      <c r="CO181" s="5"/>
    </row>
    <row r="182" ht="12.75" customHeight="1">
      <c r="CN182" s="5"/>
      <c r="CO182" s="5"/>
    </row>
    <row r="183" ht="12.75" customHeight="1">
      <c r="CN183" s="5"/>
      <c r="CO183" s="5"/>
    </row>
    <row r="184" ht="12.75" customHeight="1">
      <c r="CN184" s="5"/>
      <c r="CO184" s="5"/>
    </row>
    <row r="185" ht="12.75" customHeight="1">
      <c r="CN185" s="5"/>
      <c r="CO185" s="5"/>
    </row>
    <row r="186" ht="12.75" customHeight="1">
      <c r="CN186" s="5"/>
      <c r="CO186" s="5"/>
    </row>
    <row r="187" ht="12.75" customHeight="1">
      <c r="CN187" s="1"/>
      <c r="CO187" s="1"/>
    </row>
    <row r="188" ht="12.75" customHeight="1"/>
    <row r="189" ht="12.75" customHeight="1">
      <c r="CN189" s="5"/>
      <c r="CO189" s="5"/>
    </row>
    <row r="190" ht="12.75" customHeight="1">
      <c r="CN190" s="5"/>
      <c r="CO190" s="5"/>
    </row>
    <row r="191" ht="12.75" customHeight="1">
      <c r="CN191" s="5"/>
      <c r="CO191" s="5"/>
    </row>
    <row r="192" ht="12.75" customHeight="1">
      <c r="CN192" s="5"/>
      <c r="CO192" s="5"/>
    </row>
    <row r="193" ht="12.75" customHeight="1">
      <c r="CN193" s="5"/>
      <c r="CO193" s="5"/>
    </row>
    <row r="194" ht="12.75" customHeight="1">
      <c r="CN194" s="5"/>
      <c r="CO194" s="5"/>
    </row>
    <row r="195" ht="12.75" customHeight="1">
      <c r="CN195" s="5"/>
      <c r="CO195" s="5"/>
    </row>
    <row r="196" ht="12.75" customHeight="1">
      <c r="CN196" s="1"/>
      <c r="CO196" s="1"/>
    </row>
    <row r="197" ht="12.75" customHeight="1">
      <c r="CN197" s="1"/>
      <c r="CO197" s="1"/>
    </row>
    <row r="198" ht="12.75" customHeight="1">
      <c r="CN198" s="1"/>
      <c r="CO198" s="1"/>
    </row>
    <row r="199" ht="12.75" customHeight="1">
      <c r="CN199" s="54"/>
      <c r="CO199" s="54"/>
    </row>
    <row r="200" ht="12.75" customHeight="1">
      <c r="CN200" s="5"/>
      <c r="CO200" s="5"/>
    </row>
    <row r="201" ht="12.75" customHeight="1">
      <c r="CN201" s="5"/>
      <c r="CO201" s="5"/>
    </row>
    <row r="202" ht="12.75" customHeight="1">
      <c r="CN202" s="5"/>
      <c r="CO202" s="5"/>
    </row>
    <row r="203" ht="12.75" customHeight="1">
      <c r="CN203" s="5"/>
      <c r="CO203" s="5"/>
    </row>
    <row r="204" ht="12.75" customHeight="1">
      <c r="CN204" s="5"/>
      <c r="CO204" s="5"/>
    </row>
    <row r="205" ht="12.75" customHeight="1">
      <c r="CN205" s="5"/>
      <c r="CO205" s="5"/>
    </row>
    <row r="206" ht="12.75" customHeight="1">
      <c r="CN206" s="5"/>
      <c r="CO206" s="5"/>
    </row>
    <row r="207" ht="12.75" customHeight="1">
      <c r="CN207" s="1"/>
      <c r="CO207" s="1"/>
    </row>
    <row r="208" ht="12.75" customHeight="1">
      <c r="CN208" s="54"/>
      <c r="CO208" s="54"/>
    </row>
    <row r="209" ht="12.75" customHeight="1">
      <c r="CN209" s="54"/>
      <c r="CO209" s="54"/>
    </row>
    <row r="210" ht="12.75" customHeight="1">
      <c r="CN210" s="54"/>
      <c r="CO210" s="54"/>
    </row>
    <row r="211" ht="12.75" customHeight="1">
      <c r="CN211" s="5"/>
      <c r="CO211" s="5"/>
    </row>
    <row r="212" ht="12.75" customHeight="1">
      <c r="CN212" s="5"/>
      <c r="CO212" s="5"/>
    </row>
    <row r="213" ht="12.75" customHeight="1">
      <c r="CN213" s="5"/>
      <c r="CO213" s="5"/>
    </row>
    <row r="214" ht="12.75" customHeight="1">
      <c r="CN214" s="5"/>
      <c r="CO214" s="5"/>
    </row>
    <row r="215" ht="12.75" customHeight="1">
      <c r="CN215" s="5"/>
      <c r="CO215" s="5"/>
    </row>
    <row r="216" ht="12.75" customHeight="1">
      <c r="CN216" s="5"/>
      <c r="CO216" s="5"/>
    </row>
    <row r="217" ht="12.75" customHeight="1">
      <c r="CN217" s="5"/>
      <c r="CO217" s="5"/>
    </row>
    <row r="218" ht="12.75" customHeight="1">
      <c r="CN218" s="1"/>
      <c r="CO218" s="1"/>
    </row>
    <row r="219" ht="12.75" customHeight="1">
      <c r="CN219" s="54"/>
      <c r="CO219" s="54"/>
    </row>
    <row r="220" ht="12.75" customHeight="1">
      <c r="CN220" s="5"/>
      <c r="CO220" s="5"/>
    </row>
    <row r="221" ht="12.75" customHeight="1">
      <c r="CN221" s="5"/>
      <c r="CO221" s="5"/>
    </row>
    <row r="222" ht="12.75" customHeight="1">
      <c r="CN222" s="5"/>
      <c r="CO222" s="5"/>
    </row>
    <row r="223" ht="12.75" customHeight="1">
      <c r="CN223" s="5"/>
      <c r="CO223" s="5"/>
    </row>
    <row r="224" ht="12.75" customHeight="1">
      <c r="CN224" s="5"/>
      <c r="CO224" s="5"/>
    </row>
    <row r="225" ht="12.75" customHeight="1">
      <c r="CN225" s="5"/>
      <c r="CO225" s="5"/>
    </row>
    <row r="226" ht="12.75" customHeight="1">
      <c r="CN226" s="5"/>
      <c r="CO226" s="5"/>
    </row>
    <row r="227" ht="12.75" customHeight="1">
      <c r="CN227" s="5"/>
      <c r="CO227" s="5"/>
    </row>
    <row r="228" ht="12.75" customHeight="1">
      <c r="CN228" s="5"/>
      <c r="CO228" s="5"/>
    </row>
    <row r="229" ht="12.75" customHeight="1">
      <c r="CN229" s="1"/>
      <c r="CO229" s="1"/>
    </row>
    <row r="230" ht="12.75" customHeight="1">
      <c r="CN230" s="54"/>
      <c r="CO230" s="54"/>
    </row>
    <row r="231" ht="12.75" customHeight="1">
      <c r="CN231" s="5"/>
      <c r="CO231" s="5"/>
    </row>
    <row r="232" ht="12.75" customHeight="1">
      <c r="CN232" s="5"/>
      <c r="CO232" s="5"/>
    </row>
    <row r="233" ht="12.75" customHeight="1">
      <c r="CN233" s="5"/>
      <c r="CO233" s="5"/>
    </row>
    <row r="234" ht="12.75" customHeight="1">
      <c r="CN234" s="5"/>
      <c r="CO234" s="5"/>
    </row>
    <row r="235" ht="12.75" customHeight="1">
      <c r="CN235" s="5"/>
      <c r="CO235" s="5"/>
    </row>
    <row r="236" ht="12.75" customHeight="1">
      <c r="CN236" s="5"/>
      <c r="CO236" s="5"/>
    </row>
    <row r="237" ht="12.75" customHeight="1">
      <c r="CN237" s="5"/>
      <c r="CO237" s="5"/>
    </row>
    <row r="238" ht="12.75" customHeight="1">
      <c r="CN238" s="5"/>
      <c r="CO238" s="5"/>
    </row>
    <row r="239" ht="12.75" customHeight="1">
      <c r="CN239" s="5"/>
      <c r="CO239" s="5"/>
    </row>
    <row r="240" ht="12.75" customHeight="1">
      <c r="CN240" s="1"/>
      <c r="C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CL12"/>
    <mergeCell ref="CM12:C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BR34 BZ34:CE34">
    <cfRule type="expression" dxfId="0" priority="1">
      <formula>E34&lt;&gt;#REF!</formula>
    </cfRule>
  </conditionalFormatting>
  <conditionalFormatting sqref="E14:CL15">
    <cfRule type="containsBlanks" dxfId="1" priority="2">
      <formula>LEN(TRIM(E14))=0</formula>
    </cfRule>
  </conditionalFormatting>
  <conditionalFormatting sqref="E19:CL20 AX14:BL15">
    <cfRule type="containsBlanks" dxfId="1" priority="3">
      <formula>LEN(TRIM(E19))=0</formula>
    </cfRule>
  </conditionalFormatting>
  <conditionalFormatting sqref="E22:CL23 E25:CL26 E33:CL33 E35:CL35 E39:CL40 AX19:BL20">
    <cfRule type="containsBlanks" dxfId="1" priority="4">
      <formula>LEN(TRIM(E22))=0</formula>
    </cfRule>
  </conditionalFormatting>
  <conditionalFormatting sqref="E30:CL30">
    <cfRule type="expression" dxfId="0" priority="5">
      <formula>E30&lt;&gt;E47</formula>
    </cfRule>
  </conditionalFormatting>
  <conditionalFormatting sqref="E30:CL30">
    <cfRule type="expression" dxfId="0" priority="6">
      <formula>E30&lt;&gt;E34</formula>
    </cfRule>
  </conditionalFormatting>
  <conditionalFormatting sqref="E34:CL34">
    <cfRule type="expression" dxfId="2" priority="7">
      <formula>E30&lt;&gt;E34</formula>
    </cfRule>
  </conditionalFormatting>
  <conditionalFormatting sqref="E34:CL34">
    <cfRule type="expression" dxfId="3" priority="8">
      <formula>E30=E34</formula>
    </cfRule>
  </conditionalFormatting>
  <conditionalFormatting sqref="E34:CL34">
    <cfRule type="expression" dxfId="0" priority="9">
      <formula>E34&lt;&gt;E30</formula>
    </cfRule>
  </conditionalFormatting>
  <conditionalFormatting sqref="BS34:BY34">
    <cfRule type="expression" dxfId="0" priority="10">
      <formula>BS34&lt;&gt;BS47</formula>
    </cfRule>
  </conditionalFormatting>
  <conditionalFormatting sqref="CF34:CL34">
    <cfRule type="expression" dxfId="0" priority="11">
      <formula>CF34&lt;&gt;CF47</formula>
    </cfRule>
  </conditionalFormatting>
  <conditionalFormatting sqref="E45:CL47">
    <cfRule type="containsBlanks" dxfId="1" priority="12">
      <formula>LEN(TRIM(E45))=0</formula>
    </cfRule>
  </conditionalFormatting>
  <conditionalFormatting sqref="E50:CL51">
    <cfRule type="containsBlanks" dxfId="1" priority="13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3" width="8.71"/>
    <col customWidth="1" min="44" max="44" width="13.29"/>
    <col customWidth="1" min="45" max="4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145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6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75</v>
      </c>
      <c r="AD13" s="13" t="s">
        <v>76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37"/>
    </row>
    <row r="14" ht="12.75" customHeight="1">
      <c r="A14" s="18"/>
      <c r="B14" s="22" t="s">
        <v>11</v>
      </c>
      <c r="C14" s="23"/>
      <c r="D14" s="19" t="s">
        <v>12</v>
      </c>
      <c r="E14" s="38">
        <v>136.0</v>
      </c>
      <c r="F14" s="38">
        <v>138.0</v>
      </c>
      <c r="G14" s="38">
        <v>126.0</v>
      </c>
      <c r="H14" s="38">
        <v>131.0</v>
      </c>
      <c r="I14" s="38">
        <v>128.0</v>
      </c>
      <c r="J14" s="38">
        <v>134.0</v>
      </c>
      <c r="K14" s="38">
        <v>136.0</v>
      </c>
      <c r="L14" s="38">
        <v>127.0</v>
      </c>
      <c r="M14" s="38">
        <v>124.0</v>
      </c>
      <c r="N14" s="38">
        <v>129.0</v>
      </c>
      <c r="O14" s="38">
        <v>114.0</v>
      </c>
      <c r="P14" s="38">
        <v>134.0</v>
      </c>
      <c r="Q14" s="38">
        <v>120.0</v>
      </c>
      <c r="R14" s="38">
        <v>142.0</v>
      </c>
      <c r="S14" s="38">
        <v>127.0</v>
      </c>
      <c r="T14" s="38">
        <v>140.0</v>
      </c>
      <c r="U14" s="38">
        <v>133.0</v>
      </c>
      <c r="V14" s="38">
        <v>140.0</v>
      </c>
      <c r="W14" s="38">
        <v>135.0</v>
      </c>
      <c r="X14" s="38">
        <v>143.0</v>
      </c>
      <c r="Y14" s="38">
        <v>142.0</v>
      </c>
      <c r="Z14" s="38">
        <v>127.0</v>
      </c>
      <c r="AA14" s="38">
        <v>150.0</v>
      </c>
      <c r="AB14" s="38">
        <v>137.0</v>
      </c>
      <c r="AC14" s="38">
        <v>133.0</v>
      </c>
      <c r="AD14" s="38">
        <v>138.0</v>
      </c>
      <c r="AE14" s="38">
        <v>139.0</v>
      </c>
      <c r="AF14" s="38">
        <v>140.0</v>
      </c>
      <c r="AG14" s="38">
        <v>146.0</v>
      </c>
      <c r="AH14" s="38">
        <v>143.0</v>
      </c>
      <c r="AI14" s="38">
        <v>132.0</v>
      </c>
      <c r="AJ14" s="38">
        <v>132.0</v>
      </c>
      <c r="AK14" s="38">
        <v>147.0</v>
      </c>
      <c r="AL14" s="38">
        <v>132.0</v>
      </c>
      <c r="AM14" s="38">
        <v>137.0</v>
      </c>
      <c r="AN14" s="38">
        <v>135.0</v>
      </c>
      <c r="AO14" s="38">
        <v>122.0</v>
      </c>
      <c r="AP14" s="38">
        <v>146.0</v>
      </c>
      <c r="AQ14" s="38">
        <v>131.0</v>
      </c>
      <c r="AR14" s="13">
        <f t="shared" ref="AR14:AR16" si="1">SUM(E14:AQ14)</f>
        <v>5246</v>
      </c>
    </row>
    <row r="15" ht="12.75" customHeight="1">
      <c r="A15" s="18"/>
      <c r="B15" s="26"/>
      <c r="C15" s="27"/>
      <c r="D15" s="19" t="s">
        <v>13</v>
      </c>
      <c r="E15" s="38">
        <v>118.0</v>
      </c>
      <c r="F15" s="38">
        <v>123.0</v>
      </c>
      <c r="G15" s="38">
        <v>131.0</v>
      </c>
      <c r="H15" s="38">
        <v>136.0</v>
      </c>
      <c r="I15" s="38">
        <v>130.0</v>
      </c>
      <c r="J15" s="38">
        <v>116.0</v>
      </c>
      <c r="K15" s="38">
        <v>122.0</v>
      </c>
      <c r="L15" s="38">
        <v>117.0</v>
      </c>
      <c r="M15" s="38">
        <v>133.0</v>
      </c>
      <c r="N15" s="38">
        <v>119.0</v>
      </c>
      <c r="O15" s="38">
        <v>129.0</v>
      </c>
      <c r="P15" s="38">
        <v>130.0</v>
      </c>
      <c r="Q15" s="38">
        <v>142.0</v>
      </c>
      <c r="R15" s="38">
        <v>116.0</v>
      </c>
      <c r="S15" s="38">
        <v>134.0</v>
      </c>
      <c r="T15" s="38">
        <v>134.0</v>
      </c>
      <c r="U15" s="38">
        <v>142.0</v>
      </c>
      <c r="V15" s="38">
        <v>143.0</v>
      </c>
      <c r="W15" s="38">
        <v>119.0</v>
      </c>
      <c r="X15" s="38">
        <v>135.0</v>
      </c>
      <c r="Y15" s="38">
        <v>131.0</v>
      </c>
      <c r="Z15" s="38">
        <v>142.0</v>
      </c>
      <c r="AA15" s="38">
        <v>122.0</v>
      </c>
      <c r="AB15" s="38">
        <v>137.0</v>
      </c>
      <c r="AC15" s="38">
        <v>133.0</v>
      </c>
      <c r="AD15" s="38">
        <v>136.0</v>
      </c>
      <c r="AE15" s="38">
        <v>124.0</v>
      </c>
      <c r="AF15" s="38">
        <v>143.0</v>
      </c>
      <c r="AG15" s="38">
        <v>135.0</v>
      </c>
      <c r="AH15" s="38">
        <v>131.0</v>
      </c>
      <c r="AI15" s="38">
        <v>138.0</v>
      </c>
      <c r="AJ15" s="38">
        <v>134.0</v>
      </c>
      <c r="AK15" s="38">
        <v>135.0</v>
      </c>
      <c r="AL15" s="38">
        <v>138.0</v>
      </c>
      <c r="AM15" s="38">
        <v>138.0</v>
      </c>
      <c r="AN15" s="38">
        <v>129.0</v>
      </c>
      <c r="AO15" s="38">
        <v>137.0</v>
      </c>
      <c r="AP15" s="38">
        <v>143.0</v>
      </c>
      <c r="AQ15" s="38">
        <v>139.0</v>
      </c>
      <c r="AR15" s="13">
        <f t="shared" si="1"/>
        <v>5134</v>
      </c>
    </row>
    <row r="16" ht="12.75" customHeight="1">
      <c r="A16" s="25"/>
      <c r="B16" s="21"/>
      <c r="C16" s="28"/>
      <c r="D16" s="13" t="s">
        <v>14</v>
      </c>
      <c r="E16" s="13">
        <f t="shared" ref="E16:AQ16" si="2">SUM(E14:E15)</f>
        <v>254</v>
      </c>
      <c r="F16" s="13">
        <f t="shared" si="2"/>
        <v>261</v>
      </c>
      <c r="G16" s="13">
        <f t="shared" si="2"/>
        <v>257</v>
      </c>
      <c r="H16" s="13">
        <f t="shared" si="2"/>
        <v>267</v>
      </c>
      <c r="I16" s="13">
        <f t="shared" si="2"/>
        <v>258</v>
      </c>
      <c r="J16" s="13">
        <f t="shared" si="2"/>
        <v>250</v>
      </c>
      <c r="K16" s="13">
        <f t="shared" si="2"/>
        <v>258</v>
      </c>
      <c r="L16" s="13">
        <f t="shared" si="2"/>
        <v>244</v>
      </c>
      <c r="M16" s="13">
        <f t="shared" si="2"/>
        <v>257</v>
      </c>
      <c r="N16" s="13">
        <f t="shared" si="2"/>
        <v>248</v>
      </c>
      <c r="O16" s="13">
        <f t="shared" si="2"/>
        <v>243</v>
      </c>
      <c r="P16" s="13">
        <f t="shared" si="2"/>
        <v>264</v>
      </c>
      <c r="Q16" s="13">
        <f t="shared" si="2"/>
        <v>262</v>
      </c>
      <c r="R16" s="13">
        <f t="shared" si="2"/>
        <v>258</v>
      </c>
      <c r="S16" s="13">
        <f t="shared" si="2"/>
        <v>261</v>
      </c>
      <c r="T16" s="13">
        <f t="shared" si="2"/>
        <v>274</v>
      </c>
      <c r="U16" s="13">
        <f t="shared" si="2"/>
        <v>275</v>
      </c>
      <c r="V16" s="13">
        <f t="shared" si="2"/>
        <v>283</v>
      </c>
      <c r="W16" s="13">
        <f t="shared" si="2"/>
        <v>254</v>
      </c>
      <c r="X16" s="13">
        <f t="shared" si="2"/>
        <v>278</v>
      </c>
      <c r="Y16" s="13">
        <f t="shared" si="2"/>
        <v>273</v>
      </c>
      <c r="Z16" s="13">
        <f t="shared" si="2"/>
        <v>269</v>
      </c>
      <c r="AA16" s="13">
        <f t="shared" si="2"/>
        <v>272</v>
      </c>
      <c r="AB16" s="13">
        <f t="shared" si="2"/>
        <v>274</v>
      </c>
      <c r="AC16" s="13">
        <f t="shared" si="2"/>
        <v>266</v>
      </c>
      <c r="AD16" s="13">
        <f t="shared" si="2"/>
        <v>274</v>
      </c>
      <c r="AE16" s="13">
        <f t="shared" si="2"/>
        <v>263</v>
      </c>
      <c r="AF16" s="13">
        <f t="shared" si="2"/>
        <v>283</v>
      </c>
      <c r="AG16" s="13">
        <f t="shared" si="2"/>
        <v>281</v>
      </c>
      <c r="AH16" s="13">
        <f t="shared" si="2"/>
        <v>274</v>
      </c>
      <c r="AI16" s="13">
        <f t="shared" si="2"/>
        <v>270</v>
      </c>
      <c r="AJ16" s="13">
        <f t="shared" si="2"/>
        <v>266</v>
      </c>
      <c r="AK16" s="13">
        <f t="shared" si="2"/>
        <v>282</v>
      </c>
      <c r="AL16" s="13">
        <f t="shared" si="2"/>
        <v>270</v>
      </c>
      <c r="AM16" s="13">
        <f t="shared" si="2"/>
        <v>275</v>
      </c>
      <c r="AN16" s="13">
        <f t="shared" si="2"/>
        <v>264</v>
      </c>
      <c r="AO16" s="13">
        <f t="shared" si="2"/>
        <v>259</v>
      </c>
      <c r="AP16" s="13">
        <f t="shared" si="2"/>
        <v>289</v>
      </c>
      <c r="AQ16" s="13">
        <f t="shared" si="2"/>
        <v>270</v>
      </c>
      <c r="AR16" s="13">
        <f t="shared" si="1"/>
        <v>10380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4"/>
      <c r="O17" s="19"/>
      <c r="P17" s="19"/>
      <c r="Q17" s="19"/>
      <c r="R17" s="19"/>
      <c r="S17" s="64"/>
      <c r="T17" s="19"/>
      <c r="U17" s="19"/>
      <c r="V17" s="19"/>
      <c r="W17" s="19"/>
      <c r="X17" s="64"/>
      <c r="Y17" s="19"/>
      <c r="Z17" s="19"/>
      <c r="AA17" s="19"/>
      <c r="AB17" s="19"/>
      <c r="AC17" s="64"/>
      <c r="AD17" s="19"/>
      <c r="AE17" s="19"/>
      <c r="AF17" s="19"/>
      <c r="AG17" s="19"/>
      <c r="AH17" s="64"/>
      <c r="AI17" s="19"/>
      <c r="AJ17" s="19"/>
      <c r="AK17" s="19"/>
      <c r="AL17" s="19"/>
      <c r="AM17" s="64"/>
      <c r="AN17" s="19"/>
      <c r="AO17" s="19"/>
      <c r="AP17" s="19"/>
      <c r="AQ17" s="19"/>
      <c r="AR17" s="65"/>
    </row>
    <row r="18" ht="12.75" customHeight="1">
      <c r="A18" s="31" t="s">
        <v>15</v>
      </c>
      <c r="B18" s="20" t="s">
        <v>16</v>
      </c>
      <c r="C18" s="15"/>
      <c r="D18" s="16"/>
      <c r="E18" s="13" t="s">
        <v>50</v>
      </c>
      <c r="F18" s="13" t="s">
        <v>51</v>
      </c>
      <c r="G18" s="13" t="s">
        <v>52</v>
      </c>
      <c r="H18" s="13" t="s">
        <v>53</v>
      </c>
      <c r="I18" s="13" t="s">
        <v>54</v>
      </c>
      <c r="J18" s="13" t="s">
        <v>55</v>
      </c>
      <c r="K18" s="13" t="s">
        <v>56</v>
      </c>
      <c r="L18" s="13" t="s">
        <v>57</v>
      </c>
      <c r="M18" s="13" t="s">
        <v>58</v>
      </c>
      <c r="N18" s="13" t="s">
        <v>59</v>
      </c>
      <c r="O18" s="13" t="s">
        <v>60</v>
      </c>
      <c r="P18" s="13" t="s">
        <v>61</v>
      </c>
      <c r="Q18" s="13" t="s">
        <v>62</v>
      </c>
      <c r="R18" s="13" t="s">
        <v>63</v>
      </c>
      <c r="S18" s="13" t="s">
        <v>64</v>
      </c>
      <c r="T18" s="13" t="s">
        <v>65</v>
      </c>
      <c r="U18" s="13" t="s">
        <v>66</v>
      </c>
      <c r="V18" s="13" t="s">
        <v>67</v>
      </c>
      <c r="W18" s="13" t="s">
        <v>68</v>
      </c>
      <c r="X18" s="13" t="s">
        <v>69</v>
      </c>
      <c r="Y18" s="13" t="s">
        <v>70</v>
      </c>
      <c r="Z18" s="13" t="s">
        <v>71</v>
      </c>
      <c r="AA18" s="13" t="s">
        <v>72</v>
      </c>
      <c r="AB18" s="13" t="s">
        <v>73</v>
      </c>
      <c r="AC18" s="13" t="s">
        <v>75</v>
      </c>
      <c r="AD18" s="13" t="s">
        <v>76</v>
      </c>
      <c r="AE18" s="13" t="s">
        <v>77</v>
      </c>
      <c r="AF18" s="13" t="s">
        <v>78</v>
      </c>
      <c r="AG18" s="13" t="s">
        <v>79</v>
      </c>
      <c r="AH18" s="13" t="s">
        <v>80</v>
      </c>
      <c r="AI18" s="13" t="s">
        <v>81</v>
      </c>
      <c r="AJ18" s="13" t="s">
        <v>82</v>
      </c>
      <c r="AK18" s="13" t="s">
        <v>83</v>
      </c>
      <c r="AL18" s="13" t="s">
        <v>84</v>
      </c>
      <c r="AM18" s="13" t="s">
        <v>85</v>
      </c>
      <c r="AN18" s="13" t="s">
        <v>86</v>
      </c>
      <c r="AO18" s="13" t="s">
        <v>87</v>
      </c>
      <c r="AP18" s="13" t="s">
        <v>88</v>
      </c>
      <c r="AQ18" s="13" t="s">
        <v>89</v>
      </c>
      <c r="AR18" s="65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38">
        <v>98.0</v>
      </c>
      <c r="F19" s="38">
        <v>89.0</v>
      </c>
      <c r="G19" s="38">
        <v>93.0</v>
      </c>
      <c r="H19" s="38">
        <v>93.0</v>
      </c>
      <c r="I19" s="38">
        <v>94.0</v>
      </c>
      <c r="J19" s="38">
        <v>90.0</v>
      </c>
      <c r="K19" s="38">
        <v>96.0</v>
      </c>
      <c r="L19" s="38">
        <v>96.0</v>
      </c>
      <c r="M19" s="38">
        <v>94.0</v>
      </c>
      <c r="N19" s="38">
        <v>102.0</v>
      </c>
      <c r="O19" s="38">
        <v>80.0</v>
      </c>
      <c r="P19" s="38">
        <v>91.0</v>
      </c>
      <c r="Q19" s="38">
        <v>97.0</v>
      </c>
      <c r="R19" s="38">
        <v>89.0</v>
      </c>
      <c r="S19" s="38">
        <v>109.0</v>
      </c>
      <c r="T19" s="38">
        <v>110.0</v>
      </c>
      <c r="U19" s="38">
        <v>98.0</v>
      </c>
      <c r="V19" s="38">
        <v>99.0</v>
      </c>
      <c r="W19" s="38">
        <v>104.0</v>
      </c>
      <c r="X19" s="38">
        <v>105.0</v>
      </c>
      <c r="Y19" s="38">
        <v>98.0</v>
      </c>
      <c r="Z19" s="38">
        <v>96.0</v>
      </c>
      <c r="AA19" s="38">
        <v>107.0</v>
      </c>
      <c r="AB19" s="38">
        <v>99.0</v>
      </c>
      <c r="AC19" s="38">
        <v>89.0</v>
      </c>
      <c r="AD19" s="38">
        <v>94.0</v>
      </c>
      <c r="AE19" s="38">
        <v>105.0</v>
      </c>
      <c r="AF19" s="38">
        <v>107.0</v>
      </c>
      <c r="AG19" s="38">
        <v>102.0</v>
      </c>
      <c r="AH19" s="38">
        <v>117.0</v>
      </c>
      <c r="AI19" s="38">
        <v>102.0</v>
      </c>
      <c r="AJ19" s="38">
        <v>101.0</v>
      </c>
      <c r="AK19" s="38">
        <v>114.0</v>
      </c>
      <c r="AL19" s="38">
        <v>99.0</v>
      </c>
      <c r="AM19" s="38">
        <v>106.0</v>
      </c>
      <c r="AN19" s="38">
        <v>100.0</v>
      </c>
      <c r="AO19" s="38">
        <v>99.0</v>
      </c>
      <c r="AP19" s="38">
        <v>103.0</v>
      </c>
      <c r="AQ19" s="38">
        <v>92.0</v>
      </c>
      <c r="AR19" s="13">
        <f t="shared" ref="AR19:AR30" si="3">SUM(E19:AQ19)</f>
        <v>3857</v>
      </c>
    </row>
    <row r="20" ht="12.75" customHeight="1">
      <c r="A20" s="34"/>
      <c r="B20" s="27"/>
      <c r="C20" s="35"/>
      <c r="D20" s="19" t="s">
        <v>13</v>
      </c>
      <c r="E20" s="38">
        <v>89.0</v>
      </c>
      <c r="F20" s="38">
        <v>98.0</v>
      </c>
      <c r="G20" s="38">
        <v>107.0</v>
      </c>
      <c r="H20" s="38">
        <v>105.0</v>
      </c>
      <c r="I20" s="38">
        <v>101.0</v>
      </c>
      <c r="J20" s="38">
        <v>101.0</v>
      </c>
      <c r="K20" s="38">
        <v>95.0</v>
      </c>
      <c r="L20" s="38">
        <v>97.0</v>
      </c>
      <c r="M20" s="38">
        <v>110.0</v>
      </c>
      <c r="N20" s="38">
        <v>107.0</v>
      </c>
      <c r="O20" s="38">
        <v>109.0</v>
      </c>
      <c r="P20" s="38">
        <v>106.0</v>
      </c>
      <c r="Q20" s="38">
        <v>105.0</v>
      </c>
      <c r="R20" s="38">
        <v>94.0</v>
      </c>
      <c r="S20" s="38">
        <v>115.0</v>
      </c>
      <c r="T20" s="38">
        <v>114.0</v>
      </c>
      <c r="U20" s="38">
        <v>113.0</v>
      </c>
      <c r="V20" s="38">
        <v>120.0</v>
      </c>
      <c r="W20" s="38">
        <v>101.0</v>
      </c>
      <c r="X20" s="38">
        <v>106.0</v>
      </c>
      <c r="Y20" s="38">
        <v>109.0</v>
      </c>
      <c r="Z20" s="38">
        <v>114.0</v>
      </c>
      <c r="AA20" s="38">
        <v>95.0</v>
      </c>
      <c r="AB20" s="38">
        <v>112.0</v>
      </c>
      <c r="AC20" s="38">
        <v>99.0</v>
      </c>
      <c r="AD20" s="38">
        <v>107.0</v>
      </c>
      <c r="AE20" s="38">
        <v>109.0</v>
      </c>
      <c r="AF20" s="38">
        <v>120.0</v>
      </c>
      <c r="AG20" s="38">
        <v>96.0</v>
      </c>
      <c r="AH20" s="38">
        <v>119.0</v>
      </c>
      <c r="AI20" s="38">
        <v>107.0</v>
      </c>
      <c r="AJ20" s="38">
        <v>107.0</v>
      </c>
      <c r="AK20" s="38">
        <v>105.0</v>
      </c>
      <c r="AL20" s="38">
        <v>117.0</v>
      </c>
      <c r="AM20" s="38">
        <v>113.0</v>
      </c>
      <c r="AN20" s="38">
        <v>102.0</v>
      </c>
      <c r="AO20" s="38">
        <v>110.0</v>
      </c>
      <c r="AP20" s="38">
        <v>98.0</v>
      </c>
      <c r="AQ20" s="38">
        <v>115.0</v>
      </c>
      <c r="AR20" s="13">
        <f t="shared" si="3"/>
        <v>4147</v>
      </c>
    </row>
    <row r="21" ht="12.75" customHeight="1">
      <c r="A21" s="36"/>
      <c r="B21" s="28"/>
      <c r="C21" s="37"/>
      <c r="D21" s="13" t="s">
        <v>14</v>
      </c>
      <c r="E21" s="13">
        <f t="shared" ref="E21:AQ21" si="4">SUM(E19:E20)</f>
        <v>187</v>
      </c>
      <c r="F21" s="13">
        <f t="shared" si="4"/>
        <v>187</v>
      </c>
      <c r="G21" s="13">
        <f t="shared" si="4"/>
        <v>200</v>
      </c>
      <c r="H21" s="13">
        <f t="shared" si="4"/>
        <v>198</v>
      </c>
      <c r="I21" s="13">
        <f t="shared" si="4"/>
        <v>195</v>
      </c>
      <c r="J21" s="13">
        <f t="shared" si="4"/>
        <v>191</v>
      </c>
      <c r="K21" s="13">
        <f t="shared" si="4"/>
        <v>191</v>
      </c>
      <c r="L21" s="13">
        <f t="shared" si="4"/>
        <v>193</v>
      </c>
      <c r="M21" s="13">
        <f t="shared" si="4"/>
        <v>204</v>
      </c>
      <c r="N21" s="13">
        <f t="shared" si="4"/>
        <v>209</v>
      </c>
      <c r="O21" s="13">
        <f t="shared" si="4"/>
        <v>189</v>
      </c>
      <c r="P21" s="13">
        <f t="shared" si="4"/>
        <v>197</v>
      </c>
      <c r="Q21" s="13">
        <f t="shared" si="4"/>
        <v>202</v>
      </c>
      <c r="R21" s="13">
        <f t="shared" si="4"/>
        <v>183</v>
      </c>
      <c r="S21" s="13">
        <f t="shared" si="4"/>
        <v>224</v>
      </c>
      <c r="T21" s="13">
        <f t="shared" si="4"/>
        <v>224</v>
      </c>
      <c r="U21" s="13">
        <f t="shared" si="4"/>
        <v>211</v>
      </c>
      <c r="V21" s="13">
        <f t="shared" si="4"/>
        <v>219</v>
      </c>
      <c r="W21" s="13">
        <f t="shared" si="4"/>
        <v>205</v>
      </c>
      <c r="X21" s="13">
        <f t="shared" si="4"/>
        <v>211</v>
      </c>
      <c r="Y21" s="13">
        <f t="shared" si="4"/>
        <v>207</v>
      </c>
      <c r="Z21" s="13">
        <f t="shared" si="4"/>
        <v>210</v>
      </c>
      <c r="AA21" s="13">
        <f t="shared" si="4"/>
        <v>202</v>
      </c>
      <c r="AB21" s="13">
        <f t="shared" si="4"/>
        <v>211</v>
      </c>
      <c r="AC21" s="13">
        <f t="shared" si="4"/>
        <v>188</v>
      </c>
      <c r="AD21" s="13">
        <f t="shared" si="4"/>
        <v>201</v>
      </c>
      <c r="AE21" s="13">
        <f t="shared" si="4"/>
        <v>214</v>
      </c>
      <c r="AF21" s="13">
        <f t="shared" si="4"/>
        <v>227</v>
      </c>
      <c r="AG21" s="13">
        <f t="shared" si="4"/>
        <v>198</v>
      </c>
      <c r="AH21" s="13">
        <f t="shared" si="4"/>
        <v>236</v>
      </c>
      <c r="AI21" s="13">
        <f t="shared" si="4"/>
        <v>209</v>
      </c>
      <c r="AJ21" s="13">
        <f t="shared" si="4"/>
        <v>208</v>
      </c>
      <c r="AK21" s="13">
        <f t="shared" si="4"/>
        <v>219</v>
      </c>
      <c r="AL21" s="13">
        <f t="shared" si="4"/>
        <v>216</v>
      </c>
      <c r="AM21" s="13">
        <f t="shared" si="4"/>
        <v>219</v>
      </c>
      <c r="AN21" s="13">
        <f t="shared" si="4"/>
        <v>202</v>
      </c>
      <c r="AO21" s="13">
        <f t="shared" si="4"/>
        <v>209</v>
      </c>
      <c r="AP21" s="13">
        <f t="shared" si="4"/>
        <v>201</v>
      </c>
      <c r="AQ21" s="13">
        <f t="shared" si="4"/>
        <v>207</v>
      </c>
      <c r="AR21" s="13">
        <f t="shared" si="3"/>
        <v>8004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38">
        <v>0.0</v>
      </c>
      <c r="F22" s="38">
        <v>0.0</v>
      </c>
      <c r="G22" s="38">
        <v>0.0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8">
        <v>0.0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</v>
      </c>
      <c r="Y22" s="38">
        <v>0.0</v>
      </c>
      <c r="Z22" s="38">
        <v>0.0</v>
      </c>
      <c r="AA22" s="38">
        <v>0.0</v>
      </c>
      <c r="AB22" s="38">
        <v>0.0</v>
      </c>
      <c r="AC22" s="38">
        <v>0.0</v>
      </c>
      <c r="AD22" s="38">
        <v>0.0</v>
      </c>
      <c r="AE22" s="38">
        <v>0.0</v>
      </c>
      <c r="AF22" s="38">
        <v>0.0</v>
      </c>
      <c r="AG22" s="38">
        <v>0.0</v>
      </c>
      <c r="AH22" s="38">
        <v>0.0</v>
      </c>
      <c r="AI22" s="38">
        <v>0.0</v>
      </c>
      <c r="AJ22" s="38">
        <v>0.0</v>
      </c>
      <c r="AK22" s="38">
        <v>0.0</v>
      </c>
      <c r="AL22" s="38">
        <v>0.0</v>
      </c>
      <c r="AM22" s="38">
        <v>0.0</v>
      </c>
      <c r="AN22" s="38">
        <v>0.0</v>
      </c>
      <c r="AO22" s="38">
        <v>0.0</v>
      </c>
      <c r="AP22" s="38">
        <v>0.0</v>
      </c>
      <c r="AQ22" s="38">
        <v>0.0</v>
      </c>
      <c r="AR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0.0</v>
      </c>
      <c r="AJ23" s="38">
        <v>0.0</v>
      </c>
      <c r="AK23" s="38">
        <v>0.0</v>
      </c>
      <c r="AL23" s="38">
        <v>0.0</v>
      </c>
      <c r="AM23" s="38">
        <v>0.0</v>
      </c>
      <c r="AN23" s="38">
        <v>0.0</v>
      </c>
      <c r="AO23" s="38">
        <v>0.0</v>
      </c>
      <c r="AP23" s="38">
        <v>0.0</v>
      </c>
      <c r="AQ23" s="38">
        <v>0.0</v>
      </c>
      <c r="AR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A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38">
        <v>2.0</v>
      </c>
      <c r="F25" s="38">
        <v>4.0</v>
      </c>
      <c r="G25" s="38">
        <v>0.0</v>
      </c>
      <c r="H25" s="38">
        <v>0.0</v>
      </c>
      <c r="I25" s="38">
        <v>0.0</v>
      </c>
      <c r="J25" s="38">
        <v>0.0</v>
      </c>
      <c r="K25" s="38">
        <v>1.0</v>
      </c>
      <c r="L25" s="38">
        <v>0.0</v>
      </c>
      <c r="M25" s="38">
        <v>1.0</v>
      </c>
      <c r="N25" s="38">
        <v>0.0</v>
      </c>
      <c r="O25" s="38">
        <v>1.0</v>
      </c>
      <c r="P25" s="38">
        <v>0.0</v>
      </c>
      <c r="Q25" s="38">
        <v>5.0</v>
      </c>
      <c r="R25" s="38">
        <v>0.0</v>
      </c>
      <c r="S25" s="38">
        <v>2.0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2.0</v>
      </c>
      <c r="Z25" s="38">
        <v>2.0</v>
      </c>
      <c r="AA25" s="38">
        <v>0.0</v>
      </c>
      <c r="AB25" s="38">
        <v>0.0</v>
      </c>
      <c r="AC25" s="38">
        <v>1.0</v>
      </c>
      <c r="AD25" s="38">
        <v>0.0</v>
      </c>
      <c r="AE25" s="38">
        <v>0.0</v>
      </c>
      <c r="AF25" s="38">
        <v>1.0</v>
      </c>
      <c r="AG25" s="38">
        <v>2.0</v>
      </c>
      <c r="AH25" s="38">
        <v>0.0</v>
      </c>
      <c r="AI25" s="38">
        <v>4.0</v>
      </c>
      <c r="AJ25" s="38">
        <v>0.0</v>
      </c>
      <c r="AK25" s="38">
        <v>0.0</v>
      </c>
      <c r="AL25" s="38">
        <v>3.0</v>
      </c>
      <c r="AM25" s="38">
        <v>0.0</v>
      </c>
      <c r="AN25" s="38">
        <v>0.0</v>
      </c>
      <c r="AO25" s="38">
        <v>0.0</v>
      </c>
      <c r="AP25" s="38">
        <v>1.0</v>
      </c>
      <c r="AQ25" s="38">
        <v>0.0</v>
      </c>
      <c r="AR25" s="13">
        <f t="shared" si="3"/>
        <v>32</v>
      </c>
    </row>
    <row r="26" ht="12.75" customHeight="1">
      <c r="A26" s="34"/>
      <c r="B26" s="27"/>
      <c r="C26" s="35"/>
      <c r="D26" s="19" t="s">
        <v>13</v>
      </c>
      <c r="E26" s="38">
        <v>2.0</v>
      </c>
      <c r="F26" s="38">
        <v>2.0</v>
      </c>
      <c r="G26" s="38">
        <v>0.0</v>
      </c>
      <c r="H26" s="38">
        <v>0.0</v>
      </c>
      <c r="I26" s="38">
        <v>0.0</v>
      </c>
      <c r="J26" s="38">
        <v>1.0</v>
      </c>
      <c r="K26" s="38">
        <v>0.0</v>
      </c>
      <c r="L26" s="38">
        <v>0.0</v>
      </c>
      <c r="M26" s="38">
        <v>0.0</v>
      </c>
      <c r="N26" s="38">
        <v>0.0</v>
      </c>
      <c r="O26" s="38">
        <v>3.0</v>
      </c>
      <c r="P26" s="38">
        <v>0.0</v>
      </c>
      <c r="Q26" s="38">
        <v>5.0</v>
      </c>
      <c r="R26" s="38">
        <v>0.0</v>
      </c>
      <c r="S26" s="38">
        <v>3.0</v>
      </c>
      <c r="T26" s="38">
        <v>0.0</v>
      </c>
      <c r="U26" s="38">
        <v>0.0</v>
      </c>
      <c r="V26" s="38">
        <v>1.0</v>
      </c>
      <c r="W26" s="38">
        <v>0.0</v>
      </c>
      <c r="X26" s="38">
        <v>1.0</v>
      </c>
      <c r="Y26" s="38">
        <v>0.0</v>
      </c>
      <c r="Z26" s="38">
        <v>0.0</v>
      </c>
      <c r="AA26" s="38">
        <v>0.0</v>
      </c>
      <c r="AB26" s="38">
        <v>0.0</v>
      </c>
      <c r="AC26" s="38">
        <v>1.0</v>
      </c>
      <c r="AD26" s="38">
        <v>0.0</v>
      </c>
      <c r="AE26" s="38">
        <v>0.0</v>
      </c>
      <c r="AF26" s="38">
        <v>3.0</v>
      </c>
      <c r="AG26" s="38">
        <v>1.0</v>
      </c>
      <c r="AH26" s="38">
        <v>0.0</v>
      </c>
      <c r="AI26" s="38">
        <v>4.0</v>
      </c>
      <c r="AJ26" s="38">
        <v>0.0</v>
      </c>
      <c r="AK26" s="38">
        <v>0.0</v>
      </c>
      <c r="AL26" s="38">
        <v>1.0</v>
      </c>
      <c r="AM26" s="38">
        <v>0.0</v>
      </c>
      <c r="AN26" s="38">
        <v>0.0</v>
      </c>
      <c r="AO26" s="38">
        <v>0.0</v>
      </c>
      <c r="AP26" s="38">
        <v>0.0</v>
      </c>
      <c r="AQ26" s="38">
        <v>2.0</v>
      </c>
      <c r="AR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AQ27" si="6">SUM(E25:E26)</f>
        <v>4</v>
      </c>
      <c r="F27" s="13">
        <f t="shared" si="6"/>
        <v>6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4</v>
      </c>
      <c r="P27" s="13">
        <f t="shared" si="6"/>
        <v>0</v>
      </c>
      <c r="Q27" s="13">
        <f t="shared" si="6"/>
        <v>10</v>
      </c>
      <c r="R27" s="13">
        <f t="shared" si="6"/>
        <v>0</v>
      </c>
      <c r="S27" s="13">
        <f t="shared" si="6"/>
        <v>5</v>
      </c>
      <c r="T27" s="13">
        <f t="shared" si="6"/>
        <v>0</v>
      </c>
      <c r="U27" s="13">
        <f t="shared" si="6"/>
        <v>0</v>
      </c>
      <c r="V27" s="13">
        <f t="shared" si="6"/>
        <v>1</v>
      </c>
      <c r="W27" s="13">
        <f t="shared" si="6"/>
        <v>0</v>
      </c>
      <c r="X27" s="13">
        <f t="shared" si="6"/>
        <v>1</v>
      </c>
      <c r="Y27" s="13">
        <f t="shared" si="6"/>
        <v>2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0</v>
      </c>
      <c r="AE27" s="13">
        <f t="shared" si="6"/>
        <v>0</v>
      </c>
      <c r="AF27" s="13">
        <f t="shared" si="6"/>
        <v>4</v>
      </c>
      <c r="AG27" s="13">
        <f t="shared" si="6"/>
        <v>3</v>
      </c>
      <c r="AH27" s="13">
        <f t="shared" si="6"/>
        <v>0</v>
      </c>
      <c r="AI27" s="13">
        <f t="shared" si="6"/>
        <v>8</v>
      </c>
      <c r="AJ27" s="13">
        <f t="shared" si="6"/>
        <v>0</v>
      </c>
      <c r="AK27" s="13">
        <f t="shared" si="6"/>
        <v>0</v>
      </c>
      <c r="AL27" s="13">
        <f t="shared" si="6"/>
        <v>4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1</v>
      </c>
      <c r="AQ27" s="13">
        <f t="shared" si="6"/>
        <v>2</v>
      </c>
      <c r="AR27" s="13">
        <f t="shared" si="3"/>
        <v>62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Q28" si="7">SUM(E19,E22,E25)</f>
        <v>100</v>
      </c>
      <c r="F28" s="13">
        <f t="shared" si="7"/>
        <v>93</v>
      </c>
      <c r="G28" s="13">
        <f t="shared" si="7"/>
        <v>93</v>
      </c>
      <c r="H28" s="13">
        <f t="shared" si="7"/>
        <v>93</v>
      </c>
      <c r="I28" s="13">
        <f t="shared" si="7"/>
        <v>94</v>
      </c>
      <c r="J28" s="13">
        <f t="shared" si="7"/>
        <v>90</v>
      </c>
      <c r="K28" s="13">
        <f t="shared" si="7"/>
        <v>97</v>
      </c>
      <c r="L28" s="13">
        <f t="shared" si="7"/>
        <v>96</v>
      </c>
      <c r="M28" s="13">
        <f t="shared" si="7"/>
        <v>95</v>
      </c>
      <c r="N28" s="13">
        <f t="shared" si="7"/>
        <v>102</v>
      </c>
      <c r="O28" s="13">
        <f t="shared" si="7"/>
        <v>81</v>
      </c>
      <c r="P28" s="13">
        <f t="shared" si="7"/>
        <v>91</v>
      </c>
      <c r="Q28" s="13">
        <f t="shared" si="7"/>
        <v>102</v>
      </c>
      <c r="R28" s="13">
        <f t="shared" si="7"/>
        <v>89</v>
      </c>
      <c r="S28" s="13">
        <f t="shared" si="7"/>
        <v>111</v>
      </c>
      <c r="T28" s="13">
        <f t="shared" si="7"/>
        <v>110</v>
      </c>
      <c r="U28" s="13">
        <f t="shared" si="7"/>
        <v>98</v>
      </c>
      <c r="V28" s="13">
        <f t="shared" si="7"/>
        <v>99</v>
      </c>
      <c r="W28" s="13">
        <f t="shared" si="7"/>
        <v>104</v>
      </c>
      <c r="X28" s="13">
        <f t="shared" si="7"/>
        <v>105</v>
      </c>
      <c r="Y28" s="13">
        <f t="shared" si="7"/>
        <v>100</v>
      </c>
      <c r="Z28" s="13">
        <f t="shared" si="7"/>
        <v>98</v>
      </c>
      <c r="AA28" s="13">
        <f t="shared" si="7"/>
        <v>107</v>
      </c>
      <c r="AB28" s="13">
        <f t="shared" si="7"/>
        <v>99</v>
      </c>
      <c r="AC28" s="13">
        <f t="shared" si="7"/>
        <v>90</v>
      </c>
      <c r="AD28" s="13">
        <f t="shared" si="7"/>
        <v>94</v>
      </c>
      <c r="AE28" s="13">
        <f t="shared" si="7"/>
        <v>105</v>
      </c>
      <c r="AF28" s="13">
        <f t="shared" si="7"/>
        <v>108</v>
      </c>
      <c r="AG28" s="13">
        <f t="shared" si="7"/>
        <v>104</v>
      </c>
      <c r="AH28" s="13">
        <f t="shared" si="7"/>
        <v>117</v>
      </c>
      <c r="AI28" s="13">
        <f t="shared" si="7"/>
        <v>106</v>
      </c>
      <c r="AJ28" s="13">
        <f t="shared" si="7"/>
        <v>101</v>
      </c>
      <c r="AK28" s="13">
        <f t="shared" si="7"/>
        <v>114</v>
      </c>
      <c r="AL28" s="13">
        <f t="shared" si="7"/>
        <v>102</v>
      </c>
      <c r="AM28" s="13">
        <f t="shared" si="7"/>
        <v>106</v>
      </c>
      <c r="AN28" s="13">
        <f t="shared" si="7"/>
        <v>100</v>
      </c>
      <c r="AO28" s="13">
        <f t="shared" si="7"/>
        <v>99</v>
      </c>
      <c r="AP28" s="13">
        <f t="shared" si="7"/>
        <v>104</v>
      </c>
      <c r="AQ28" s="13">
        <f t="shared" si="7"/>
        <v>92</v>
      </c>
      <c r="AR28" s="13">
        <f t="shared" si="3"/>
        <v>3889</v>
      </c>
    </row>
    <row r="29" ht="12.75" customHeight="1">
      <c r="A29" s="36"/>
      <c r="B29" s="27"/>
      <c r="C29" s="35"/>
      <c r="D29" s="13" t="s">
        <v>13</v>
      </c>
      <c r="E29" s="13">
        <f t="shared" ref="E29:AQ29" si="8">SUM(E20,E23,E26)</f>
        <v>91</v>
      </c>
      <c r="F29" s="13">
        <f t="shared" si="8"/>
        <v>100</v>
      </c>
      <c r="G29" s="13">
        <f t="shared" si="8"/>
        <v>107</v>
      </c>
      <c r="H29" s="13">
        <f t="shared" si="8"/>
        <v>105</v>
      </c>
      <c r="I29" s="13">
        <f t="shared" si="8"/>
        <v>101</v>
      </c>
      <c r="J29" s="13">
        <f t="shared" si="8"/>
        <v>102</v>
      </c>
      <c r="K29" s="13">
        <f t="shared" si="8"/>
        <v>95</v>
      </c>
      <c r="L29" s="13">
        <f t="shared" si="8"/>
        <v>97</v>
      </c>
      <c r="M29" s="13">
        <f t="shared" si="8"/>
        <v>110</v>
      </c>
      <c r="N29" s="13">
        <f t="shared" si="8"/>
        <v>107</v>
      </c>
      <c r="O29" s="13">
        <f t="shared" si="8"/>
        <v>112</v>
      </c>
      <c r="P29" s="13">
        <f t="shared" si="8"/>
        <v>106</v>
      </c>
      <c r="Q29" s="13">
        <f t="shared" si="8"/>
        <v>110</v>
      </c>
      <c r="R29" s="13">
        <f t="shared" si="8"/>
        <v>94</v>
      </c>
      <c r="S29" s="13">
        <f t="shared" si="8"/>
        <v>118</v>
      </c>
      <c r="T29" s="13">
        <f t="shared" si="8"/>
        <v>114</v>
      </c>
      <c r="U29" s="13">
        <f t="shared" si="8"/>
        <v>113</v>
      </c>
      <c r="V29" s="13">
        <f t="shared" si="8"/>
        <v>121</v>
      </c>
      <c r="W29" s="13">
        <f t="shared" si="8"/>
        <v>101</v>
      </c>
      <c r="X29" s="13">
        <f t="shared" si="8"/>
        <v>107</v>
      </c>
      <c r="Y29" s="13">
        <f t="shared" si="8"/>
        <v>109</v>
      </c>
      <c r="Z29" s="13">
        <f t="shared" si="8"/>
        <v>114</v>
      </c>
      <c r="AA29" s="13">
        <f t="shared" si="8"/>
        <v>95</v>
      </c>
      <c r="AB29" s="13">
        <f t="shared" si="8"/>
        <v>112</v>
      </c>
      <c r="AC29" s="13">
        <f t="shared" si="8"/>
        <v>100</v>
      </c>
      <c r="AD29" s="13">
        <f t="shared" si="8"/>
        <v>107</v>
      </c>
      <c r="AE29" s="13">
        <f t="shared" si="8"/>
        <v>109</v>
      </c>
      <c r="AF29" s="13">
        <f t="shared" si="8"/>
        <v>123</v>
      </c>
      <c r="AG29" s="13">
        <f t="shared" si="8"/>
        <v>97</v>
      </c>
      <c r="AH29" s="13">
        <f t="shared" si="8"/>
        <v>119</v>
      </c>
      <c r="AI29" s="13">
        <f t="shared" si="8"/>
        <v>111</v>
      </c>
      <c r="AJ29" s="13">
        <f t="shared" si="8"/>
        <v>107</v>
      </c>
      <c r="AK29" s="13">
        <f t="shared" si="8"/>
        <v>105</v>
      </c>
      <c r="AL29" s="13">
        <f t="shared" si="8"/>
        <v>118</v>
      </c>
      <c r="AM29" s="13">
        <f t="shared" si="8"/>
        <v>113</v>
      </c>
      <c r="AN29" s="13">
        <f t="shared" si="8"/>
        <v>102</v>
      </c>
      <c r="AO29" s="13">
        <f t="shared" si="8"/>
        <v>110</v>
      </c>
      <c r="AP29" s="13">
        <f t="shared" si="8"/>
        <v>98</v>
      </c>
      <c r="AQ29" s="13">
        <f t="shared" si="8"/>
        <v>117</v>
      </c>
      <c r="AR29" s="13">
        <f t="shared" si="3"/>
        <v>4177</v>
      </c>
    </row>
    <row r="30" ht="12.75" customHeight="1">
      <c r="A30" s="36"/>
      <c r="B30" s="28"/>
      <c r="C30" s="37"/>
      <c r="D30" s="13" t="s">
        <v>14</v>
      </c>
      <c r="E30" s="13">
        <f t="shared" ref="E30:AQ30" si="9">SUM(E28:E29)</f>
        <v>191</v>
      </c>
      <c r="F30" s="13">
        <f t="shared" si="9"/>
        <v>193</v>
      </c>
      <c r="G30" s="13">
        <f t="shared" si="9"/>
        <v>200</v>
      </c>
      <c r="H30" s="13">
        <f t="shared" si="9"/>
        <v>198</v>
      </c>
      <c r="I30" s="13">
        <f t="shared" si="9"/>
        <v>195</v>
      </c>
      <c r="J30" s="13">
        <f t="shared" si="9"/>
        <v>192</v>
      </c>
      <c r="K30" s="13">
        <f t="shared" si="9"/>
        <v>192</v>
      </c>
      <c r="L30" s="13">
        <f t="shared" si="9"/>
        <v>193</v>
      </c>
      <c r="M30" s="13">
        <f t="shared" si="9"/>
        <v>205</v>
      </c>
      <c r="N30" s="13">
        <f t="shared" si="9"/>
        <v>209</v>
      </c>
      <c r="O30" s="13">
        <f t="shared" si="9"/>
        <v>193</v>
      </c>
      <c r="P30" s="13">
        <f t="shared" si="9"/>
        <v>197</v>
      </c>
      <c r="Q30" s="13">
        <f t="shared" si="9"/>
        <v>212</v>
      </c>
      <c r="R30" s="13">
        <f t="shared" si="9"/>
        <v>183</v>
      </c>
      <c r="S30" s="13">
        <f t="shared" si="9"/>
        <v>229</v>
      </c>
      <c r="T30" s="13">
        <f t="shared" si="9"/>
        <v>224</v>
      </c>
      <c r="U30" s="13">
        <f t="shared" si="9"/>
        <v>211</v>
      </c>
      <c r="V30" s="13">
        <f t="shared" si="9"/>
        <v>220</v>
      </c>
      <c r="W30" s="13">
        <f t="shared" si="9"/>
        <v>205</v>
      </c>
      <c r="X30" s="13">
        <f t="shared" si="9"/>
        <v>212</v>
      </c>
      <c r="Y30" s="13">
        <f t="shared" si="9"/>
        <v>209</v>
      </c>
      <c r="Z30" s="13">
        <f t="shared" si="9"/>
        <v>212</v>
      </c>
      <c r="AA30" s="13">
        <f t="shared" si="9"/>
        <v>202</v>
      </c>
      <c r="AB30" s="13">
        <f t="shared" si="9"/>
        <v>211</v>
      </c>
      <c r="AC30" s="13">
        <f t="shared" si="9"/>
        <v>190</v>
      </c>
      <c r="AD30" s="13">
        <f t="shared" si="9"/>
        <v>201</v>
      </c>
      <c r="AE30" s="13">
        <f t="shared" si="9"/>
        <v>214</v>
      </c>
      <c r="AF30" s="13">
        <f t="shared" si="9"/>
        <v>231</v>
      </c>
      <c r="AG30" s="13">
        <f t="shared" si="9"/>
        <v>201</v>
      </c>
      <c r="AH30" s="13">
        <f t="shared" si="9"/>
        <v>236</v>
      </c>
      <c r="AI30" s="13">
        <f t="shared" si="9"/>
        <v>217</v>
      </c>
      <c r="AJ30" s="13">
        <f t="shared" si="9"/>
        <v>208</v>
      </c>
      <c r="AK30" s="13">
        <f t="shared" si="9"/>
        <v>219</v>
      </c>
      <c r="AL30" s="13">
        <f t="shared" si="9"/>
        <v>220</v>
      </c>
      <c r="AM30" s="13">
        <f t="shared" si="9"/>
        <v>219</v>
      </c>
      <c r="AN30" s="13">
        <f t="shared" si="9"/>
        <v>202</v>
      </c>
      <c r="AO30" s="13">
        <f t="shared" si="9"/>
        <v>209</v>
      </c>
      <c r="AP30" s="13">
        <f t="shared" si="9"/>
        <v>202</v>
      </c>
      <c r="AQ30" s="13">
        <f t="shared" si="9"/>
        <v>209</v>
      </c>
      <c r="AR30" s="13">
        <f t="shared" si="3"/>
        <v>8066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4"/>
      <c r="O31" s="19"/>
      <c r="P31" s="19"/>
      <c r="Q31" s="19"/>
      <c r="R31" s="19"/>
      <c r="S31" s="64"/>
      <c r="T31" s="19"/>
      <c r="U31" s="19"/>
      <c r="V31" s="19"/>
      <c r="W31" s="19"/>
      <c r="X31" s="64"/>
      <c r="Y31" s="19"/>
      <c r="Z31" s="19"/>
      <c r="AA31" s="19"/>
      <c r="AB31" s="19"/>
      <c r="AC31" s="64"/>
      <c r="AD31" s="19"/>
      <c r="AE31" s="19"/>
      <c r="AF31" s="19"/>
      <c r="AG31" s="19"/>
      <c r="AH31" s="64"/>
      <c r="AI31" s="19"/>
      <c r="AJ31" s="19"/>
      <c r="AK31" s="19"/>
      <c r="AL31" s="19"/>
      <c r="AM31" s="64"/>
      <c r="AN31" s="19"/>
      <c r="AO31" s="19"/>
      <c r="AP31" s="19"/>
      <c r="AQ31" s="19"/>
      <c r="AR31" s="65"/>
    </row>
    <row r="32" ht="12.75" customHeight="1">
      <c r="A32" s="44" t="s">
        <v>25</v>
      </c>
      <c r="B32" s="14" t="s">
        <v>26</v>
      </c>
      <c r="C32" s="15"/>
      <c r="D32" s="16"/>
      <c r="E32" s="13" t="s">
        <v>50</v>
      </c>
      <c r="F32" s="13" t="s">
        <v>51</v>
      </c>
      <c r="G32" s="13" t="s">
        <v>52</v>
      </c>
      <c r="H32" s="13" t="s">
        <v>53</v>
      </c>
      <c r="I32" s="13" t="s">
        <v>54</v>
      </c>
      <c r="J32" s="13" t="s">
        <v>55</v>
      </c>
      <c r="K32" s="13" t="s">
        <v>56</v>
      </c>
      <c r="L32" s="13" t="s">
        <v>57</v>
      </c>
      <c r="M32" s="13" t="s">
        <v>58</v>
      </c>
      <c r="N32" s="13" t="s">
        <v>59</v>
      </c>
      <c r="O32" s="13" t="s">
        <v>60</v>
      </c>
      <c r="P32" s="13" t="s">
        <v>61</v>
      </c>
      <c r="Q32" s="13" t="s">
        <v>62</v>
      </c>
      <c r="R32" s="13" t="s">
        <v>63</v>
      </c>
      <c r="S32" s="13" t="s">
        <v>64</v>
      </c>
      <c r="T32" s="13" t="s">
        <v>65</v>
      </c>
      <c r="U32" s="13" t="s">
        <v>66</v>
      </c>
      <c r="V32" s="13" t="s">
        <v>67</v>
      </c>
      <c r="W32" s="13" t="s">
        <v>68</v>
      </c>
      <c r="X32" s="13" t="s">
        <v>69</v>
      </c>
      <c r="Y32" s="13" t="s">
        <v>70</v>
      </c>
      <c r="Z32" s="13" t="s">
        <v>71</v>
      </c>
      <c r="AA32" s="13" t="s">
        <v>72</v>
      </c>
      <c r="AB32" s="13" t="s">
        <v>73</v>
      </c>
      <c r="AC32" s="13" t="s">
        <v>75</v>
      </c>
      <c r="AD32" s="13" t="s">
        <v>76</v>
      </c>
      <c r="AE32" s="13" t="s">
        <v>77</v>
      </c>
      <c r="AF32" s="13" t="s">
        <v>78</v>
      </c>
      <c r="AG32" s="13" t="s">
        <v>79</v>
      </c>
      <c r="AH32" s="13" t="s">
        <v>80</v>
      </c>
      <c r="AI32" s="13" t="s">
        <v>81</v>
      </c>
      <c r="AJ32" s="13" t="s">
        <v>82</v>
      </c>
      <c r="AK32" s="13" t="s">
        <v>83</v>
      </c>
      <c r="AL32" s="13" t="s">
        <v>84</v>
      </c>
      <c r="AM32" s="13" t="s">
        <v>85</v>
      </c>
      <c r="AN32" s="13" t="s">
        <v>86</v>
      </c>
      <c r="AO32" s="13" t="s">
        <v>87</v>
      </c>
      <c r="AP32" s="13" t="s">
        <v>88</v>
      </c>
      <c r="AQ32" s="13" t="s">
        <v>89</v>
      </c>
      <c r="AR32" s="65"/>
    </row>
    <row r="33" ht="12.75" customHeight="1">
      <c r="A33" s="19">
        <v>1.0</v>
      </c>
      <c r="B33" s="20" t="s">
        <v>27</v>
      </c>
      <c r="C33" s="15"/>
      <c r="D33" s="16"/>
      <c r="E33" s="66">
        <v>260.0</v>
      </c>
      <c r="F33" s="66">
        <v>269.0</v>
      </c>
      <c r="G33" s="66">
        <v>263.0</v>
      </c>
      <c r="H33" s="66">
        <v>273.0</v>
      </c>
      <c r="I33" s="66">
        <v>264.0</v>
      </c>
      <c r="J33" s="66">
        <v>255.0</v>
      </c>
      <c r="K33" s="66">
        <v>266.0</v>
      </c>
      <c r="L33" s="66">
        <v>249.0</v>
      </c>
      <c r="M33" s="66">
        <v>263.0</v>
      </c>
      <c r="N33" s="66">
        <v>253.0</v>
      </c>
      <c r="O33" s="66">
        <v>250.0</v>
      </c>
      <c r="P33" s="66">
        <v>271.0</v>
      </c>
      <c r="Q33" s="66">
        <v>261.0</v>
      </c>
      <c r="R33" s="66">
        <v>264.0</v>
      </c>
      <c r="S33" s="66">
        <v>271.0</v>
      </c>
      <c r="T33" s="38">
        <v>281.0</v>
      </c>
      <c r="U33" s="38">
        <v>281.0</v>
      </c>
      <c r="V33" s="38">
        <v>290.0</v>
      </c>
      <c r="W33" s="38">
        <v>260.0</v>
      </c>
      <c r="X33" s="38">
        <v>284.0</v>
      </c>
      <c r="Y33" s="38">
        <v>273.0</v>
      </c>
      <c r="Z33" s="38">
        <v>275.0</v>
      </c>
      <c r="AA33" s="38">
        <v>278.0</v>
      </c>
      <c r="AB33" s="38">
        <v>275.0</v>
      </c>
      <c r="AC33" s="38">
        <v>274.0</v>
      </c>
      <c r="AD33" s="38">
        <v>280.0</v>
      </c>
      <c r="AE33" s="38">
        <v>269.0</v>
      </c>
      <c r="AF33" s="38">
        <v>291.0</v>
      </c>
      <c r="AG33" s="38">
        <v>287.0</v>
      </c>
      <c r="AH33" s="38">
        <v>285.0</v>
      </c>
      <c r="AI33" s="66">
        <v>276.0</v>
      </c>
      <c r="AJ33" s="66">
        <v>275.0</v>
      </c>
      <c r="AK33" s="66">
        <v>288.0</v>
      </c>
      <c r="AL33" s="66">
        <v>276.0</v>
      </c>
      <c r="AM33" s="66">
        <v>281.0</v>
      </c>
      <c r="AN33" s="66">
        <v>260.0</v>
      </c>
      <c r="AO33" s="66">
        <v>265.0</v>
      </c>
      <c r="AP33" s="66">
        <v>295.0</v>
      </c>
      <c r="AQ33" s="19">
        <v>282.0</v>
      </c>
      <c r="AR33" s="13">
        <f t="shared" ref="AR33:AR36" si="10">SUM(E33:AQ33)</f>
        <v>10613</v>
      </c>
    </row>
    <row r="34" ht="12.75" customHeight="1">
      <c r="A34" s="19">
        <v>2.0</v>
      </c>
      <c r="B34" s="20" t="s">
        <v>28</v>
      </c>
      <c r="C34" s="15"/>
      <c r="D34" s="16"/>
      <c r="E34" s="66">
        <v>191.0</v>
      </c>
      <c r="F34" s="66">
        <v>193.0</v>
      </c>
      <c r="G34" s="66">
        <v>200.0</v>
      </c>
      <c r="H34" s="66">
        <v>198.0</v>
      </c>
      <c r="I34" s="66">
        <v>195.0</v>
      </c>
      <c r="J34" s="66">
        <v>192.0</v>
      </c>
      <c r="K34" s="66">
        <v>192.0</v>
      </c>
      <c r="L34" s="66">
        <v>193.0</v>
      </c>
      <c r="M34" s="66">
        <v>205.0</v>
      </c>
      <c r="N34" s="66">
        <v>209.0</v>
      </c>
      <c r="O34" s="66">
        <v>193.0</v>
      </c>
      <c r="P34" s="66">
        <v>197.0</v>
      </c>
      <c r="Q34" s="66">
        <v>212.0</v>
      </c>
      <c r="R34" s="66">
        <v>183.0</v>
      </c>
      <c r="S34" s="66">
        <v>229.0</v>
      </c>
      <c r="T34" s="38">
        <v>224.0</v>
      </c>
      <c r="U34" s="38">
        <v>211.0</v>
      </c>
      <c r="V34" s="38">
        <v>219.0</v>
      </c>
      <c r="W34" s="38">
        <v>206.0</v>
      </c>
      <c r="X34" s="38">
        <v>211.0</v>
      </c>
      <c r="Y34" s="38">
        <v>210.0</v>
      </c>
      <c r="Z34" s="38">
        <v>212.0</v>
      </c>
      <c r="AA34" s="38">
        <v>202.0</v>
      </c>
      <c r="AB34" s="38">
        <v>211.0</v>
      </c>
      <c r="AC34" s="38">
        <v>190.0</v>
      </c>
      <c r="AD34" s="38">
        <v>201.0</v>
      </c>
      <c r="AE34" s="38">
        <v>214.0</v>
      </c>
      <c r="AF34" s="38">
        <v>231.0</v>
      </c>
      <c r="AG34" s="38">
        <v>201.0</v>
      </c>
      <c r="AH34" s="38">
        <v>236.0</v>
      </c>
      <c r="AI34" s="66">
        <v>217.0</v>
      </c>
      <c r="AJ34" s="66">
        <v>208.0</v>
      </c>
      <c r="AK34" s="66">
        <v>219.0</v>
      </c>
      <c r="AL34" s="66">
        <v>220.0</v>
      </c>
      <c r="AM34" s="66">
        <v>219.0</v>
      </c>
      <c r="AN34" s="66">
        <v>202.0</v>
      </c>
      <c r="AO34" s="66">
        <v>209.0</v>
      </c>
      <c r="AP34" s="66">
        <v>202.0</v>
      </c>
      <c r="AQ34" s="13">
        <v>209.0</v>
      </c>
      <c r="AR34" s="13">
        <f t="shared" si="10"/>
        <v>8066</v>
      </c>
    </row>
    <row r="35" ht="12.75" customHeight="1">
      <c r="A35" s="19">
        <v>3.0</v>
      </c>
      <c r="B35" s="20" t="s">
        <v>29</v>
      </c>
      <c r="C35" s="15"/>
      <c r="D35" s="16"/>
      <c r="E35" s="66">
        <v>0.0</v>
      </c>
      <c r="F35" s="66">
        <v>0.0</v>
      </c>
      <c r="G35" s="66">
        <v>0.0</v>
      </c>
      <c r="H35" s="66">
        <v>0.0</v>
      </c>
      <c r="I35" s="66">
        <v>2.0</v>
      </c>
      <c r="J35" s="66">
        <v>0.0</v>
      </c>
      <c r="K35" s="66">
        <v>0.0</v>
      </c>
      <c r="L35" s="66">
        <v>0.0</v>
      </c>
      <c r="M35" s="66">
        <v>0.0</v>
      </c>
      <c r="N35" s="66">
        <v>0.0</v>
      </c>
      <c r="O35" s="66">
        <v>0.0</v>
      </c>
      <c r="P35" s="66">
        <v>3.0</v>
      </c>
      <c r="Q35" s="66">
        <v>0.0</v>
      </c>
      <c r="R35" s="66">
        <v>0.0</v>
      </c>
      <c r="S35" s="66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0.0</v>
      </c>
      <c r="AD35" s="38">
        <v>3.0</v>
      </c>
      <c r="AE35" s="38">
        <v>0.0</v>
      </c>
      <c r="AF35" s="38">
        <v>0.0</v>
      </c>
      <c r="AG35" s="38">
        <v>0.0</v>
      </c>
      <c r="AH35" s="38">
        <v>0.0</v>
      </c>
      <c r="AI35" s="66">
        <v>0.0</v>
      </c>
      <c r="AJ35" s="66">
        <v>0.0</v>
      </c>
      <c r="AK35" s="66">
        <v>3.0</v>
      </c>
      <c r="AL35" s="66">
        <v>0.0</v>
      </c>
      <c r="AM35" s="66">
        <v>0.0</v>
      </c>
      <c r="AN35" s="66">
        <v>0.0</v>
      </c>
      <c r="AO35" s="66">
        <v>0.0</v>
      </c>
      <c r="AP35" s="66">
        <v>0.0</v>
      </c>
      <c r="AQ35" s="19">
        <v>0.0</v>
      </c>
      <c r="AR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Q36" si="11">E33-(E34+E35)</f>
        <v>69</v>
      </c>
      <c r="F36" s="13">
        <f t="shared" si="11"/>
        <v>76</v>
      </c>
      <c r="G36" s="13">
        <f t="shared" si="11"/>
        <v>63</v>
      </c>
      <c r="H36" s="13">
        <f t="shared" si="11"/>
        <v>75</v>
      </c>
      <c r="I36" s="13">
        <f t="shared" si="11"/>
        <v>67</v>
      </c>
      <c r="J36" s="13">
        <f t="shared" si="11"/>
        <v>63</v>
      </c>
      <c r="K36" s="13">
        <f t="shared" si="11"/>
        <v>74</v>
      </c>
      <c r="L36" s="13">
        <f t="shared" si="11"/>
        <v>56</v>
      </c>
      <c r="M36" s="13">
        <f t="shared" si="11"/>
        <v>58</v>
      </c>
      <c r="N36" s="13">
        <f t="shared" si="11"/>
        <v>44</v>
      </c>
      <c r="O36" s="13">
        <f t="shared" si="11"/>
        <v>57</v>
      </c>
      <c r="P36" s="13">
        <f t="shared" si="11"/>
        <v>71</v>
      </c>
      <c r="Q36" s="13">
        <f t="shared" si="11"/>
        <v>49</v>
      </c>
      <c r="R36" s="13">
        <f t="shared" si="11"/>
        <v>81</v>
      </c>
      <c r="S36" s="13">
        <f t="shared" si="11"/>
        <v>42</v>
      </c>
      <c r="T36" s="13">
        <f t="shared" si="11"/>
        <v>57</v>
      </c>
      <c r="U36" s="13">
        <f t="shared" si="11"/>
        <v>70</v>
      </c>
      <c r="V36" s="13">
        <f t="shared" si="11"/>
        <v>71</v>
      </c>
      <c r="W36" s="13">
        <f t="shared" si="11"/>
        <v>54</v>
      </c>
      <c r="X36" s="13">
        <f t="shared" si="11"/>
        <v>73</v>
      </c>
      <c r="Y36" s="13">
        <f t="shared" si="11"/>
        <v>63</v>
      </c>
      <c r="Z36" s="13">
        <f t="shared" si="11"/>
        <v>63</v>
      </c>
      <c r="AA36" s="13">
        <f t="shared" si="11"/>
        <v>76</v>
      </c>
      <c r="AB36" s="13">
        <f t="shared" si="11"/>
        <v>64</v>
      </c>
      <c r="AC36" s="13">
        <f t="shared" si="11"/>
        <v>84</v>
      </c>
      <c r="AD36" s="13">
        <f t="shared" si="11"/>
        <v>76</v>
      </c>
      <c r="AE36" s="13">
        <f t="shared" si="11"/>
        <v>55</v>
      </c>
      <c r="AF36" s="13">
        <f t="shared" si="11"/>
        <v>60</v>
      </c>
      <c r="AG36" s="13">
        <f t="shared" si="11"/>
        <v>86</v>
      </c>
      <c r="AH36" s="13">
        <f t="shared" si="11"/>
        <v>49</v>
      </c>
      <c r="AI36" s="13">
        <f t="shared" si="11"/>
        <v>59</v>
      </c>
      <c r="AJ36" s="13">
        <f t="shared" si="11"/>
        <v>67</v>
      </c>
      <c r="AK36" s="13">
        <f t="shared" si="11"/>
        <v>66</v>
      </c>
      <c r="AL36" s="13">
        <f t="shared" si="11"/>
        <v>56</v>
      </c>
      <c r="AM36" s="13">
        <f t="shared" si="11"/>
        <v>62</v>
      </c>
      <c r="AN36" s="13">
        <f t="shared" si="11"/>
        <v>58</v>
      </c>
      <c r="AO36" s="13">
        <f t="shared" si="11"/>
        <v>56</v>
      </c>
      <c r="AP36" s="13">
        <f t="shared" si="11"/>
        <v>93</v>
      </c>
      <c r="AQ36" s="13">
        <f t="shared" si="11"/>
        <v>73</v>
      </c>
      <c r="AR36" s="13">
        <f t="shared" si="10"/>
        <v>2536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4"/>
      <c r="O37" s="19"/>
      <c r="P37" s="19"/>
      <c r="Q37" s="19"/>
      <c r="R37" s="19"/>
      <c r="S37" s="64"/>
      <c r="T37" s="19"/>
      <c r="U37" s="19"/>
      <c r="V37" s="19"/>
      <c r="W37" s="19"/>
      <c r="X37" s="64"/>
      <c r="Y37" s="19"/>
      <c r="Z37" s="19"/>
      <c r="AA37" s="19"/>
      <c r="AB37" s="19"/>
      <c r="AC37" s="64"/>
      <c r="AD37" s="19"/>
      <c r="AE37" s="19"/>
      <c r="AF37" s="19"/>
      <c r="AG37" s="19"/>
      <c r="AH37" s="64"/>
      <c r="AI37" s="19"/>
      <c r="AJ37" s="19"/>
      <c r="AK37" s="19"/>
      <c r="AL37" s="19"/>
      <c r="AM37" s="64"/>
      <c r="AN37" s="19"/>
      <c r="AO37" s="19"/>
      <c r="AP37" s="19"/>
      <c r="AQ37" s="19"/>
      <c r="AR37" s="65"/>
    </row>
    <row r="38" ht="12.75" customHeight="1">
      <c r="A38" s="46" t="s">
        <v>31</v>
      </c>
      <c r="B38" s="14" t="s">
        <v>32</v>
      </c>
      <c r="C38" s="15"/>
      <c r="D38" s="16"/>
      <c r="E38" s="13" t="s">
        <v>50</v>
      </c>
      <c r="F38" s="13" t="s">
        <v>51</v>
      </c>
      <c r="G38" s="13" t="s">
        <v>52</v>
      </c>
      <c r="H38" s="13" t="s">
        <v>53</v>
      </c>
      <c r="I38" s="13" t="s">
        <v>54</v>
      </c>
      <c r="J38" s="13" t="s">
        <v>55</v>
      </c>
      <c r="K38" s="13" t="s">
        <v>56</v>
      </c>
      <c r="L38" s="13" t="s">
        <v>57</v>
      </c>
      <c r="M38" s="13" t="s">
        <v>58</v>
      </c>
      <c r="N38" s="13" t="s">
        <v>59</v>
      </c>
      <c r="O38" s="13" t="s">
        <v>60</v>
      </c>
      <c r="P38" s="13" t="s">
        <v>61</v>
      </c>
      <c r="Q38" s="13" t="s">
        <v>62</v>
      </c>
      <c r="R38" s="13" t="s">
        <v>63</v>
      </c>
      <c r="S38" s="13" t="s">
        <v>64</v>
      </c>
      <c r="T38" s="13" t="s">
        <v>65</v>
      </c>
      <c r="U38" s="13" t="s">
        <v>66</v>
      </c>
      <c r="V38" s="13" t="s">
        <v>67</v>
      </c>
      <c r="W38" s="13" t="s">
        <v>68</v>
      </c>
      <c r="X38" s="13" t="s">
        <v>69</v>
      </c>
      <c r="Y38" s="13" t="s">
        <v>70</v>
      </c>
      <c r="Z38" s="13" t="s">
        <v>71</v>
      </c>
      <c r="AA38" s="13" t="s">
        <v>72</v>
      </c>
      <c r="AB38" s="13" t="s">
        <v>73</v>
      </c>
      <c r="AC38" s="13" t="s">
        <v>75</v>
      </c>
      <c r="AD38" s="13" t="s">
        <v>76</v>
      </c>
      <c r="AE38" s="13" t="s">
        <v>77</v>
      </c>
      <c r="AF38" s="13" t="s">
        <v>78</v>
      </c>
      <c r="AG38" s="13" t="s">
        <v>79</v>
      </c>
      <c r="AH38" s="13" t="s">
        <v>80</v>
      </c>
      <c r="AI38" s="13" t="s">
        <v>81</v>
      </c>
      <c r="AJ38" s="13" t="s">
        <v>82</v>
      </c>
      <c r="AK38" s="13" t="s">
        <v>83</v>
      </c>
      <c r="AL38" s="13" t="s">
        <v>84</v>
      </c>
      <c r="AM38" s="13" t="s">
        <v>85</v>
      </c>
      <c r="AN38" s="13" t="s">
        <v>86</v>
      </c>
      <c r="AO38" s="13" t="s">
        <v>87</v>
      </c>
      <c r="AP38" s="13" t="s">
        <v>88</v>
      </c>
      <c r="AQ38" s="13" t="s">
        <v>89</v>
      </c>
      <c r="AR38" s="65"/>
    </row>
    <row r="39" ht="12.75" customHeight="1">
      <c r="A39" s="31"/>
      <c r="B39" s="47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2.0</v>
      </c>
      <c r="U39" s="19">
        <v>0.0</v>
      </c>
      <c r="V39" s="19">
        <v>0.0</v>
      </c>
      <c r="W39" s="19">
        <v>1.0</v>
      </c>
      <c r="X39" s="19">
        <v>0.0</v>
      </c>
      <c r="Y39" s="19">
        <v>1.0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38">
        <v>0.0</v>
      </c>
      <c r="AJ39" s="38">
        <v>0.0</v>
      </c>
      <c r="AK39" s="38">
        <v>1.0</v>
      </c>
      <c r="AL39" s="38">
        <v>1.0</v>
      </c>
      <c r="AM39" s="38">
        <v>1.0</v>
      </c>
      <c r="AN39" s="38">
        <v>0.0</v>
      </c>
      <c r="AO39" s="38">
        <v>0.0</v>
      </c>
      <c r="AP39" s="38">
        <v>2.0</v>
      </c>
      <c r="AQ39" s="38">
        <v>0.0</v>
      </c>
      <c r="AR39" s="13">
        <f t="shared" ref="AR39:AR41" si="12">SUM(E39:AQ39)</f>
        <v>10</v>
      </c>
    </row>
    <row r="40" ht="12.75" customHeight="1">
      <c r="A40" s="34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38">
        <v>2.0</v>
      </c>
      <c r="AJ40" s="38">
        <v>0.0</v>
      </c>
      <c r="AK40" s="38">
        <v>0.0</v>
      </c>
      <c r="AL40" s="38">
        <v>0.0</v>
      </c>
      <c r="AM40" s="38">
        <v>2.0</v>
      </c>
      <c r="AN40" s="38">
        <v>0.0</v>
      </c>
      <c r="AO40" s="38">
        <v>0.0</v>
      </c>
      <c r="AP40" s="38">
        <v>0.0</v>
      </c>
      <c r="AQ40" s="38">
        <v>0.0</v>
      </c>
      <c r="AR40" s="13">
        <f t="shared" si="12"/>
        <v>6</v>
      </c>
    </row>
    <row r="41" ht="12.75" customHeight="1">
      <c r="A41" s="44"/>
      <c r="B41" s="48"/>
      <c r="C41" s="28"/>
      <c r="D41" s="13" t="s">
        <v>14</v>
      </c>
      <c r="E41" s="13">
        <f t="shared" ref="E41:AQ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2</v>
      </c>
      <c r="AJ41" s="13">
        <f t="shared" si="13"/>
        <v>0</v>
      </c>
      <c r="AK41" s="13">
        <f t="shared" si="13"/>
        <v>1</v>
      </c>
      <c r="AL41" s="13">
        <f t="shared" si="13"/>
        <v>1</v>
      </c>
      <c r="AM41" s="13">
        <f t="shared" si="13"/>
        <v>3</v>
      </c>
      <c r="AN41" s="13">
        <f t="shared" si="13"/>
        <v>0</v>
      </c>
      <c r="AO41" s="13">
        <f t="shared" si="13"/>
        <v>0</v>
      </c>
      <c r="AP41" s="13">
        <f t="shared" si="13"/>
        <v>2</v>
      </c>
      <c r="AQ41" s="13">
        <f t="shared" si="13"/>
        <v>0</v>
      </c>
      <c r="AR41" s="13">
        <f t="shared" si="12"/>
        <v>16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4"/>
      <c r="O42" s="19"/>
      <c r="P42" s="19"/>
      <c r="Q42" s="19"/>
      <c r="R42" s="19"/>
      <c r="S42" s="64"/>
      <c r="T42" s="19"/>
      <c r="U42" s="19"/>
      <c r="V42" s="19"/>
      <c r="W42" s="19"/>
      <c r="X42" s="64"/>
      <c r="Y42" s="19"/>
      <c r="Z42" s="19"/>
      <c r="AA42" s="19"/>
      <c r="AB42" s="19"/>
      <c r="AC42" s="64"/>
      <c r="AD42" s="19"/>
      <c r="AE42" s="19"/>
      <c r="AF42" s="19"/>
      <c r="AG42" s="19"/>
      <c r="AH42" s="64"/>
      <c r="AI42" s="19"/>
      <c r="AJ42" s="19"/>
      <c r="AK42" s="19"/>
      <c r="AL42" s="19"/>
      <c r="AM42" s="64"/>
      <c r="AN42" s="19"/>
      <c r="AO42" s="19"/>
      <c r="AP42" s="19"/>
      <c r="AQ42" s="19"/>
      <c r="AR42" s="13"/>
    </row>
    <row r="43" ht="12.75" customHeight="1">
      <c r="A43" s="46" t="s">
        <v>34</v>
      </c>
      <c r="B43" s="14" t="s">
        <v>35</v>
      </c>
      <c r="C43" s="15"/>
      <c r="D43" s="16"/>
      <c r="E43" s="39" t="s">
        <v>50</v>
      </c>
      <c r="F43" s="39" t="s">
        <v>51</v>
      </c>
      <c r="G43" s="39" t="s">
        <v>52</v>
      </c>
      <c r="H43" s="39" t="s">
        <v>53</v>
      </c>
      <c r="I43" s="39" t="s">
        <v>54</v>
      </c>
      <c r="J43" s="39" t="s">
        <v>55</v>
      </c>
      <c r="K43" s="39" t="s">
        <v>56</v>
      </c>
      <c r="L43" s="39" t="s">
        <v>57</v>
      </c>
      <c r="M43" s="39" t="s">
        <v>58</v>
      </c>
      <c r="N43" s="39" t="s">
        <v>59</v>
      </c>
      <c r="O43" s="39" t="s">
        <v>60</v>
      </c>
      <c r="P43" s="39" t="s">
        <v>61</v>
      </c>
      <c r="Q43" s="39" t="s">
        <v>62</v>
      </c>
      <c r="R43" s="39" t="s">
        <v>63</v>
      </c>
      <c r="S43" s="39" t="s">
        <v>64</v>
      </c>
      <c r="T43" s="39" t="s">
        <v>65</v>
      </c>
      <c r="U43" s="39" t="s">
        <v>66</v>
      </c>
      <c r="V43" s="39" t="s">
        <v>67</v>
      </c>
      <c r="W43" s="39" t="s">
        <v>68</v>
      </c>
      <c r="X43" s="39" t="s">
        <v>69</v>
      </c>
      <c r="Y43" s="39" t="s">
        <v>70</v>
      </c>
      <c r="Z43" s="39" t="s">
        <v>71</v>
      </c>
      <c r="AA43" s="39" t="s">
        <v>72</v>
      </c>
      <c r="AB43" s="39" t="s">
        <v>73</v>
      </c>
      <c r="AC43" s="39" t="s">
        <v>75</v>
      </c>
      <c r="AD43" s="39" t="s">
        <v>76</v>
      </c>
      <c r="AE43" s="39" t="s">
        <v>77</v>
      </c>
      <c r="AF43" s="39" t="s">
        <v>78</v>
      </c>
      <c r="AG43" s="39" t="s">
        <v>79</v>
      </c>
      <c r="AH43" s="39" t="s">
        <v>80</v>
      </c>
      <c r="AI43" s="39" t="s">
        <v>81</v>
      </c>
      <c r="AJ43" s="39" t="s">
        <v>82</v>
      </c>
      <c r="AK43" s="39" t="s">
        <v>83</v>
      </c>
      <c r="AL43" s="39" t="s">
        <v>84</v>
      </c>
      <c r="AM43" s="39" t="s">
        <v>85</v>
      </c>
      <c r="AN43" s="39" t="s">
        <v>86</v>
      </c>
      <c r="AO43" s="39" t="s">
        <v>87</v>
      </c>
      <c r="AP43" s="39" t="s">
        <v>88</v>
      </c>
      <c r="AQ43" s="39" t="s">
        <v>89</v>
      </c>
      <c r="AR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4"/>
      <c r="O44" s="19"/>
      <c r="P44" s="19"/>
      <c r="Q44" s="19"/>
      <c r="R44" s="19"/>
      <c r="S44" s="64"/>
      <c r="T44" s="19"/>
      <c r="U44" s="19"/>
      <c r="V44" s="19"/>
      <c r="W44" s="19"/>
      <c r="X44" s="64"/>
      <c r="Y44" s="19"/>
      <c r="Z44" s="19"/>
      <c r="AA44" s="19"/>
      <c r="AB44" s="19"/>
      <c r="AC44" s="64"/>
      <c r="AD44" s="19"/>
      <c r="AE44" s="19"/>
      <c r="AF44" s="19"/>
      <c r="AG44" s="19"/>
      <c r="AH44" s="64"/>
      <c r="AI44" s="19"/>
      <c r="AJ44" s="19"/>
      <c r="AK44" s="19"/>
      <c r="AL44" s="19"/>
      <c r="AM44" s="64"/>
      <c r="AN44" s="19"/>
      <c r="AO44" s="19"/>
      <c r="AP44" s="19"/>
      <c r="AQ44" s="19"/>
      <c r="AR44" s="13"/>
    </row>
    <row r="45" ht="12.75" customHeight="1">
      <c r="A45" s="67"/>
      <c r="B45" s="51">
        <v>1.0</v>
      </c>
      <c r="C45" s="52" t="s">
        <v>37</v>
      </c>
      <c r="D45" s="16"/>
      <c r="E45" s="38">
        <v>15.0</v>
      </c>
      <c r="F45" s="38">
        <v>16.0</v>
      </c>
      <c r="G45" s="38">
        <v>13.0</v>
      </c>
      <c r="H45" s="38">
        <v>13.0</v>
      </c>
      <c r="I45" s="38">
        <v>10.0</v>
      </c>
      <c r="J45" s="38">
        <v>27.0</v>
      </c>
      <c r="K45" s="38">
        <v>9.0</v>
      </c>
      <c r="L45" s="38">
        <v>28.0</v>
      </c>
      <c r="M45" s="38">
        <v>28.0</v>
      </c>
      <c r="N45" s="38">
        <v>14.0</v>
      </c>
      <c r="O45" s="38">
        <v>25.0</v>
      </c>
      <c r="P45" s="38">
        <v>12.0</v>
      </c>
      <c r="Q45" s="38">
        <v>8.0</v>
      </c>
      <c r="R45" s="38">
        <v>8.0</v>
      </c>
      <c r="S45" s="38">
        <v>28.0</v>
      </c>
      <c r="T45" s="38">
        <v>24.0</v>
      </c>
      <c r="U45" s="38">
        <v>19.0</v>
      </c>
      <c r="V45" s="38">
        <v>21.0</v>
      </c>
      <c r="W45" s="38">
        <v>22.0</v>
      </c>
      <c r="X45" s="38">
        <v>23.0</v>
      </c>
      <c r="Y45" s="38">
        <v>12.0</v>
      </c>
      <c r="Z45" s="38">
        <v>18.0</v>
      </c>
      <c r="AA45" s="38">
        <v>12.0</v>
      </c>
      <c r="AB45" s="38">
        <v>8.0</v>
      </c>
      <c r="AC45" s="38">
        <v>6.0</v>
      </c>
      <c r="AD45" s="38">
        <v>20.0</v>
      </c>
      <c r="AE45" s="38">
        <v>30.0</v>
      </c>
      <c r="AF45" s="38">
        <v>19.0</v>
      </c>
      <c r="AG45" s="38">
        <v>32.0</v>
      </c>
      <c r="AH45" s="38">
        <v>40.0</v>
      </c>
      <c r="AI45" s="38">
        <v>31.0</v>
      </c>
      <c r="AJ45" s="38">
        <v>34.0</v>
      </c>
      <c r="AK45" s="38">
        <v>11.0</v>
      </c>
      <c r="AL45" s="38">
        <v>32.0</v>
      </c>
      <c r="AM45" s="38">
        <v>22.0</v>
      </c>
      <c r="AN45" s="38">
        <v>23.0</v>
      </c>
      <c r="AO45" s="38">
        <v>27.0</v>
      </c>
      <c r="AP45" s="38">
        <v>18.0</v>
      </c>
      <c r="AQ45" s="38">
        <v>29.0</v>
      </c>
      <c r="AR45" s="13">
        <f t="shared" ref="AR45:AR47" si="14">SUM(E45:AQ45)</f>
        <v>787</v>
      </c>
    </row>
    <row r="46" ht="12.75" customHeight="1">
      <c r="A46" s="18"/>
      <c r="B46" s="51">
        <v>2.0</v>
      </c>
      <c r="C46" s="52" t="s">
        <v>38</v>
      </c>
      <c r="D46" s="16"/>
      <c r="E46" s="38">
        <v>133.0</v>
      </c>
      <c r="F46" s="38">
        <v>142.0</v>
      </c>
      <c r="G46" s="38">
        <v>134.0</v>
      </c>
      <c r="H46" s="38">
        <v>128.0</v>
      </c>
      <c r="I46" s="38">
        <v>139.0</v>
      </c>
      <c r="J46" s="38">
        <v>132.0</v>
      </c>
      <c r="K46" s="38">
        <v>152.0</v>
      </c>
      <c r="L46" s="38">
        <v>146.0</v>
      </c>
      <c r="M46" s="38">
        <v>128.0</v>
      </c>
      <c r="N46" s="38">
        <v>127.0</v>
      </c>
      <c r="O46" s="38">
        <v>113.0</v>
      </c>
      <c r="P46" s="38">
        <v>116.0</v>
      </c>
      <c r="Q46" s="38">
        <v>134.0</v>
      </c>
      <c r="R46" s="38">
        <v>105.0</v>
      </c>
      <c r="S46" s="38">
        <v>158.0</v>
      </c>
      <c r="T46" s="38">
        <v>135.0</v>
      </c>
      <c r="U46" s="38">
        <v>127.0</v>
      </c>
      <c r="V46" s="38">
        <v>145.0</v>
      </c>
      <c r="W46" s="38">
        <v>149.0</v>
      </c>
      <c r="X46" s="38">
        <v>145.0</v>
      </c>
      <c r="Y46" s="38">
        <v>146.0</v>
      </c>
      <c r="Z46" s="38">
        <v>137.0</v>
      </c>
      <c r="AA46" s="38">
        <v>127.0</v>
      </c>
      <c r="AB46" s="38">
        <v>161.0</v>
      </c>
      <c r="AC46" s="38">
        <v>131.0</v>
      </c>
      <c r="AD46" s="38">
        <v>120.0</v>
      </c>
      <c r="AE46" s="38">
        <v>133.0</v>
      </c>
      <c r="AF46" s="38">
        <v>166.0</v>
      </c>
      <c r="AG46" s="38">
        <v>136.0</v>
      </c>
      <c r="AH46" s="38">
        <v>144.0</v>
      </c>
      <c r="AI46" s="38">
        <v>153.0</v>
      </c>
      <c r="AJ46" s="38">
        <v>133.0</v>
      </c>
      <c r="AK46" s="38">
        <v>158.0</v>
      </c>
      <c r="AL46" s="38">
        <v>158.0</v>
      </c>
      <c r="AM46" s="38">
        <v>152.0</v>
      </c>
      <c r="AN46" s="38">
        <v>151.0</v>
      </c>
      <c r="AO46" s="38">
        <v>133.0</v>
      </c>
      <c r="AP46" s="38">
        <v>132.0</v>
      </c>
      <c r="AQ46" s="38">
        <v>144.0</v>
      </c>
      <c r="AR46" s="13">
        <f t="shared" si="14"/>
        <v>5403</v>
      </c>
    </row>
    <row r="47" ht="12.75" customHeight="1">
      <c r="A47" s="49"/>
      <c r="B47" s="51">
        <v>3.0</v>
      </c>
      <c r="C47" s="52" t="s">
        <v>39</v>
      </c>
      <c r="D47" s="16"/>
      <c r="E47" s="38">
        <v>40.0</v>
      </c>
      <c r="F47" s="38">
        <v>32.0</v>
      </c>
      <c r="G47" s="38">
        <v>53.0</v>
      </c>
      <c r="H47" s="38">
        <v>55.0</v>
      </c>
      <c r="I47" s="38">
        <v>41.0</v>
      </c>
      <c r="J47" s="38">
        <v>32.0</v>
      </c>
      <c r="K47" s="38">
        <v>28.0</v>
      </c>
      <c r="L47" s="38">
        <v>18.0</v>
      </c>
      <c r="M47" s="38">
        <v>47.0</v>
      </c>
      <c r="N47" s="38">
        <v>63.0</v>
      </c>
      <c r="O47" s="38">
        <v>52.0</v>
      </c>
      <c r="P47" s="38">
        <v>67.0</v>
      </c>
      <c r="Q47" s="38">
        <v>69.0</v>
      </c>
      <c r="R47" s="38">
        <v>66.0</v>
      </c>
      <c r="S47" s="38">
        <v>42.0</v>
      </c>
      <c r="T47" s="38">
        <v>62.0</v>
      </c>
      <c r="U47" s="38">
        <v>53.0</v>
      </c>
      <c r="V47" s="38">
        <v>49.0</v>
      </c>
      <c r="W47" s="38">
        <v>35.0</v>
      </c>
      <c r="X47" s="38">
        <v>42.0</v>
      </c>
      <c r="Y47" s="38">
        <v>52.0</v>
      </c>
      <c r="Z47" s="38">
        <v>52.0</v>
      </c>
      <c r="AA47" s="38">
        <v>60.0</v>
      </c>
      <c r="AB47" s="38">
        <v>37.0</v>
      </c>
      <c r="AC47" s="38">
        <v>46.0</v>
      </c>
      <c r="AD47" s="38">
        <v>57.0</v>
      </c>
      <c r="AE47" s="38">
        <v>46.0</v>
      </c>
      <c r="AF47" s="38">
        <v>44.0</v>
      </c>
      <c r="AG47" s="38">
        <v>26.0</v>
      </c>
      <c r="AH47" s="38">
        <v>51.0</v>
      </c>
      <c r="AI47" s="38">
        <v>32.0</v>
      </c>
      <c r="AJ47" s="38">
        <v>41.0</v>
      </c>
      <c r="AK47" s="38">
        <v>45.0</v>
      </c>
      <c r="AL47" s="38">
        <v>29.0</v>
      </c>
      <c r="AM47" s="38">
        <v>42.0</v>
      </c>
      <c r="AN47" s="38">
        <v>22.0</v>
      </c>
      <c r="AO47" s="38">
        <v>44.0</v>
      </c>
      <c r="AP47" s="38">
        <v>48.0</v>
      </c>
      <c r="AQ47" s="38">
        <v>33.0</v>
      </c>
      <c r="AR47" s="13">
        <f t="shared" si="14"/>
        <v>1753</v>
      </c>
    </row>
    <row r="48" ht="12.75" customHeight="1">
      <c r="AR48" s="13"/>
    </row>
    <row r="49" ht="12.75" customHeight="1">
      <c r="A49" s="46" t="s">
        <v>40</v>
      </c>
      <c r="B49" s="14" t="s">
        <v>41</v>
      </c>
      <c r="C49" s="15"/>
      <c r="D49" s="16"/>
      <c r="E49" s="13" t="s">
        <v>50</v>
      </c>
      <c r="F49" s="13" t="s">
        <v>51</v>
      </c>
      <c r="G49" s="13" t="s">
        <v>52</v>
      </c>
      <c r="H49" s="13" t="s">
        <v>53</v>
      </c>
      <c r="I49" s="13" t="s">
        <v>54</v>
      </c>
      <c r="J49" s="13" t="s">
        <v>55</v>
      </c>
      <c r="K49" s="13" t="s">
        <v>56</v>
      </c>
      <c r="L49" s="13" t="s">
        <v>57</v>
      </c>
      <c r="M49" s="13" t="s">
        <v>58</v>
      </c>
      <c r="N49" s="13" t="s">
        <v>59</v>
      </c>
      <c r="O49" s="13" t="s">
        <v>60</v>
      </c>
      <c r="P49" s="13" t="s">
        <v>61</v>
      </c>
      <c r="Q49" s="13" t="s">
        <v>62</v>
      </c>
      <c r="R49" s="13" t="s">
        <v>63</v>
      </c>
      <c r="S49" s="13" t="s">
        <v>64</v>
      </c>
      <c r="T49" s="13" t="s">
        <v>65</v>
      </c>
      <c r="U49" s="13" t="s">
        <v>66</v>
      </c>
      <c r="V49" s="13" t="s">
        <v>67</v>
      </c>
      <c r="W49" s="13" t="s">
        <v>68</v>
      </c>
      <c r="X49" s="13" t="s">
        <v>69</v>
      </c>
      <c r="Y49" s="13" t="s">
        <v>70</v>
      </c>
      <c r="Z49" s="13" t="s">
        <v>71</v>
      </c>
      <c r="AA49" s="13" t="s">
        <v>72</v>
      </c>
      <c r="AB49" s="13" t="s">
        <v>73</v>
      </c>
      <c r="AC49" s="13" t="s">
        <v>75</v>
      </c>
      <c r="AD49" s="13" t="s">
        <v>76</v>
      </c>
      <c r="AE49" s="13" t="s">
        <v>77</v>
      </c>
      <c r="AF49" s="13" t="s">
        <v>78</v>
      </c>
      <c r="AG49" s="13" t="s">
        <v>79</v>
      </c>
      <c r="AH49" s="13" t="s">
        <v>80</v>
      </c>
      <c r="AI49" s="13" t="s">
        <v>81</v>
      </c>
      <c r="AJ49" s="13" t="s">
        <v>82</v>
      </c>
      <c r="AK49" s="13" t="s">
        <v>83</v>
      </c>
      <c r="AL49" s="13" t="s">
        <v>84</v>
      </c>
      <c r="AM49" s="13" t="s">
        <v>85</v>
      </c>
      <c r="AN49" s="13" t="s">
        <v>86</v>
      </c>
      <c r="AO49" s="13" t="s">
        <v>87</v>
      </c>
      <c r="AP49" s="13" t="s">
        <v>88</v>
      </c>
      <c r="AQ49" s="13" t="s">
        <v>89</v>
      </c>
      <c r="AR49" s="13"/>
    </row>
    <row r="50" ht="12.75" customHeight="1">
      <c r="A50" s="46"/>
      <c r="B50" s="58" t="s">
        <v>42</v>
      </c>
      <c r="C50" s="59" t="s">
        <v>43</v>
      </c>
      <c r="D50" s="16"/>
      <c r="E50" s="19">
        <f t="shared" ref="E50:AQ50" si="15">SUM(E45:E47)</f>
        <v>188</v>
      </c>
      <c r="F50" s="19">
        <f t="shared" si="15"/>
        <v>190</v>
      </c>
      <c r="G50" s="19">
        <f t="shared" si="15"/>
        <v>200</v>
      </c>
      <c r="H50" s="19">
        <f t="shared" si="15"/>
        <v>196</v>
      </c>
      <c r="I50" s="19">
        <f t="shared" si="15"/>
        <v>190</v>
      </c>
      <c r="J50" s="19">
        <f t="shared" si="15"/>
        <v>191</v>
      </c>
      <c r="K50" s="19">
        <f t="shared" si="15"/>
        <v>189</v>
      </c>
      <c r="L50" s="19">
        <f t="shared" si="15"/>
        <v>192</v>
      </c>
      <c r="M50" s="19">
        <f t="shared" si="15"/>
        <v>203</v>
      </c>
      <c r="N50" s="19">
        <f t="shared" si="15"/>
        <v>204</v>
      </c>
      <c r="O50" s="19">
        <f t="shared" si="15"/>
        <v>190</v>
      </c>
      <c r="P50" s="19">
        <f t="shared" si="15"/>
        <v>195</v>
      </c>
      <c r="Q50" s="19">
        <f t="shared" si="15"/>
        <v>211</v>
      </c>
      <c r="R50" s="19">
        <f t="shared" si="15"/>
        <v>179</v>
      </c>
      <c r="S50" s="19">
        <f t="shared" si="15"/>
        <v>228</v>
      </c>
      <c r="T50" s="19">
        <f t="shared" si="15"/>
        <v>221</v>
      </c>
      <c r="U50" s="19">
        <f t="shared" si="15"/>
        <v>199</v>
      </c>
      <c r="V50" s="19">
        <f t="shared" si="15"/>
        <v>215</v>
      </c>
      <c r="W50" s="19">
        <f t="shared" si="15"/>
        <v>206</v>
      </c>
      <c r="X50" s="19">
        <f t="shared" si="15"/>
        <v>210</v>
      </c>
      <c r="Y50" s="19">
        <f t="shared" si="15"/>
        <v>210</v>
      </c>
      <c r="Z50" s="19">
        <f t="shared" si="15"/>
        <v>207</v>
      </c>
      <c r="AA50" s="19">
        <f t="shared" si="15"/>
        <v>199</v>
      </c>
      <c r="AB50" s="19">
        <f t="shared" si="15"/>
        <v>206</v>
      </c>
      <c r="AC50" s="19">
        <f t="shared" si="15"/>
        <v>183</v>
      </c>
      <c r="AD50" s="19">
        <f t="shared" si="15"/>
        <v>197</v>
      </c>
      <c r="AE50" s="19">
        <f t="shared" si="15"/>
        <v>209</v>
      </c>
      <c r="AF50" s="19">
        <f t="shared" si="15"/>
        <v>229</v>
      </c>
      <c r="AG50" s="19">
        <f t="shared" si="15"/>
        <v>194</v>
      </c>
      <c r="AH50" s="19">
        <f t="shared" si="15"/>
        <v>235</v>
      </c>
      <c r="AI50" s="19">
        <f t="shared" si="15"/>
        <v>216</v>
      </c>
      <c r="AJ50" s="19">
        <f t="shared" si="15"/>
        <v>208</v>
      </c>
      <c r="AK50" s="19">
        <f t="shared" si="15"/>
        <v>214</v>
      </c>
      <c r="AL50" s="19">
        <f t="shared" si="15"/>
        <v>219</v>
      </c>
      <c r="AM50" s="19">
        <f t="shared" si="15"/>
        <v>216</v>
      </c>
      <c r="AN50" s="19">
        <f t="shared" si="15"/>
        <v>196</v>
      </c>
      <c r="AO50" s="19">
        <f t="shared" si="15"/>
        <v>204</v>
      </c>
      <c r="AP50" s="19">
        <f t="shared" si="15"/>
        <v>198</v>
      </c>
      <c r="AQ50" s="19">
        <f t="shared" si="15"/>
        <v>206</v>
      </c>
      <c r="AR50" s="13">
        <f t="shared" ref="AR50:AR52" si="16">SUM(E50:AQ50)</f>
        <v>7943</v>
      </c>
    </row>
    <row r="51" ht="12.75" customHeight="1">
      <c r="A51" s="36"/>
      <c r="B51" s="58" t="s">
        <v>44</v>
      </c>
      <c r="C51" s="59" t="s">
        <v>45</v>
      </c>
      <c r="D51" s="16"/>
      <c r="E51" s="38">
        <v>3.0</v>
      </c>
      <c r="F51" s="38">
        <v>3.0</v>
      </c>
      <c r="G51" s="38">
        <v>0.0</v>
      </c>
      <c r="H51" s="38">
        <v>2.0</v>
      </c>
      <c r="I51" s="38">
        <v>5.0</v>
      </c>
      <c r="J51" s="38">
        <v>1.0</v>
      </c>
      <c r="K51" s="38">
        <v>3.0</v>
      </c>
      <c r="L51" s="38">
        <v>1.0</v>
      </c>
      <c r="M51" s="38">
        <v>2.0</v>
      </c>
      <c r="N51" s="38">
        <v>5.0</v>
      </c>
      <c r="O51" s="38">
        <v>3.0</v>
      </c>
      <c r="P51" s="38">
        <v>2.0</v>
      </c>
      <c r="Q51" s="38">
        <v>1.0</v>
      </c>
      <c r="R51" s="38">
        <v>4.0</v>
      </c>
      <c r="S51" s="38">
        <v>1.0</v>
      </c>
      <c r="T51" s="38">
        <v>3.0</v>
      </c>
      <c r="U51" s="38">
        <v>12.0</v>
      </c>
      <c r="V51" s="38">
        <v>4.0</v>
      </c>
      <c r="W51" s="38">
        <v>0.0</v>
      </c>
      <c r="X51" s="38">
        <v>1.0</v>
      </c>
      <c r="Y51" s="38">
        <v>0.0</v>
      </c>
      <c r="Z51" s="38">
        <v>5.0</v>
      </c>
      <c r="AA51" s="38">
        <v>3.0</v>
      </c>
      <c r="AB51" s="38">
        <v>5.0</v>
      </c>
      <c r="AC51" s="38">
        <v>7.0</v>
      </c>
      <c r="AD51" s="38">
        <v>4.0</v>
      </c>
      <c r="AE51" s="38">
        <v>5.0</v>
      </c>
      <c r="AF51" s="38">
        <v>2.0</v>
      </c>
      <c r="AG51" s="38">
        <v>7.0</v>
      </c>
      <c r="AH51" s="38">
        <v>1.0</v>
      </c>
      <c r="AI51" s="19">
        <v>1.0</v>
      </c>
      <c r="AJ51" s="19">
        <v>0.0</v>
      </c>
      <c r="AK51" s="19">
        <v>5.0</v>
      </c>
      <c r="AL51" s="19">
        <v>1.0</v>
      </c>
      <c r="AM51" s="19">
        <v>3.0</v>
      </c>
      <c r="AN51" s="19">
        <v>6.0</v>
      </c>
      <c r="AO51" s="19">
        <v>5.0</v>
      </c>
      <c r="AP51" s="19">
        <v>4.0</v>
      </c>
      <c r="AQ51" s="19">
        <v>3.0</v>
      </c>
      <c r="AR51" s="13">
        <f t="shared" si="16"/>
        <v>123</v>
      </c>
    </row>
    <row r="52" ht="12.75" customHeight="1">
      <c r="A52" s="44"/>
      <c r="B52" s="58" t="s">
        <v>46</v>
      </c>
      <c r="C52" s="59" t="s">
        <v>47</v>
      </c>
      <c r="D52" s="16"/>
      <c r="E52" s="13">
        <f t="shared" ref="E52:AQ52" si="17">SUM(E50:E51)</f>
        <v>191</v>
      </c>
      <c r="F52" s="13">
        <f t="shared" si="17"/>
        <v>193</v>
      </c>
      <c r="G52" s="13">
        <f t="shared" si="17"/>
        <v>200</v>
      </c>
      <c r="H52" s="13">
        <f t="shared" si="17"/>
        <v>198</v>
      </c>
      <c r="I52" s="13">
        <f t="shared" si="17"/>
        <v>195</v>
      </c>
      <c r="J52" s="13">
        <f t="shared" si="17"/>
        <v>192</v>
      </c>
      <c r="K52" s="13">
        <f t="shared" si="17"/>
        <v>192</v>
      </c>
      <c r="L52" s="13">
        <f t="shared" si="17"/>
        <v>193</v>
      </c>
      <c r="M52" s="13">
        <f t="shared" si="17"/>
        <v>205</v>
      </c>
      <c r="N52" s="13">
        <f t="shared" si="17"/>
        <v>209</v>
      </c>
      <c r="O52" s="13">
        <f t="shared" si="17"/>
        <v>193</v>
      </c>
      <c r="P52" s="13">
        <f t="shared" si="17"/>
        <v>197</v>
      </c>
      <c r="Q52" s="13">
        <f t="shared" si="17"/>
        <v>212</v>
      </c>
      <c r="R52" s="13">
        <f t="shared" si="17"/>
        <v>183</v>
      </c>
      <c r="S52" s="13">
        <f t="shared" si="17"/>
        <v>229</v>
      </c>
      <c r="T52" s="13">
        <f t="shared" si="17"/>
        <v>224</v>
      </c>
      <c r="U52" s="13">
        <f t="shared" si="17"/>
        <v>211</v>
      </c>
      <c r="V52" s="13">
        <f t="shared" si="17"/>
        <v>219</v>
      </c>
      <c r="W52" s="13">
        <f t="shared" si="17"/>
        <v>206</v>
      </c>
      <c r="X52" s="13">
        <f t="shared" si="17"/>
        <v>211</v>
      </c>
      <c r="Y52" s="13">
        <f t="shared" si="17"/>
        <v>210</v>
      </c>
      <c r="Z52" s="13">
        <f t="shared" si="17"/>
        <v>212</v>
      </c>
      <c r="AA52" s="13">
        <f t="shared" si="17"/>
        <v>202</v>
      </c>
      <c r="AB52" s="13">
        <f t="shared" si="17"/>
        <v>211</v>
      </c>
      <c r="AC52" s="13">
        <f t="shared" si="17"/>
        <v>190</v>
      </c>
      <c r="AD52" s="13">
        <f t="shared" si="17"/>
        <v>201</v>
      </c>
      <c r="AE52" s="13">
        <f t="shared" si="17"/>
        <v>214</v>
      </c>
      <c r="AF52" s="13">
        <f t="shared" si="17"/>
        <v>231</v>
      </c>
      <c r="AG52" s="13">
        <f t="shared" si="17"/>
        <v>201</v>
      </c>
      <c r="AH52" s="13">
        <f t="shared" si="17"/>
        <v>236</v>
      </c>
      <c r="AI52" s="13">
        <f t="shared" si="17"/>
        <v>217</v>
      </c>
      <c r="AJ52" s="13">
        <f t="shared" si="17"/>
        <v>208</v>
      </c>
      <c r="AK52" s="13">
        <f t="shared" si="17"/>
        <v>219</v>
      </c>
      <c r="AL52" s="13">
        <f t="shared" si="17"/>
        <v>220</v>
      </c>
      <c r="AM52" s="13">
        <f t="shared" si="17"/>
        <v>219</v>
      </c>
      <c r="AN52" s="13">
        <f t="shared" si="17"/>
        <v>202</v>
      </c>
      <c r="AO52" s="13">
        <f t="shared" si="17"/>
        <v>209</v>
      </c>
      <c r="AP52" s="13">
        <f t="shared" si="17"/>
        <v>202</v>
      </c>
      <c r="AQ52" s="13">
        <f t="shared" si="17"/>
        <v>209</v>
      </c>
      <c r="AR52" s="13">
        <f t="shared" si="16"/>
        <v>8066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S117" s="5"/>
      <c r="AT117" s="5"/>
    </row>
    <row r="118" ht="12.75" customHeight="1">
      <c r="AS118" s="5"/>
      <c r="AT118" s="5"/>
    </row>
    <row r="119" ht="12.75" customHeight="1">
      <c r="AS119" s="5"/>
      <c r="AT119" s="5"/>
    </row>
    <row r="120" ht="12.75" customHeight="1">
      <c r="AS120" s="5"/>
      <c r="AT120" s="5"/>
    </row>
    <row r="121" ht="12.75" customHeight="1">
      <c r="AS121" s="5"/>
      <c r="AT121" s="5"/>
    </row>
    <row r="122" ht="12.75" customHeight="1">
      <c r="AS122" s="5"/>
      <c r="AT122" s="5"/>
    </row>
    <row r="123" ht="12.75" customHeight="1">
      <c r="AS123" s="5"/>
      <c r="AT123" s="5"/>
    </row>
    <row r="124" ht="12.75" customHeight="1">
      <c r="AS124" s="5"/>
      <c r="AT124" s="5"/>
    </row>
    <row r="125" ht="12.75" customHeight="1">
      <c r="AS125" s="5"/>
      <c r="AT125" s="5"/>
    </row>
    <row r="126" ht="12.75" customHeight="1">
      <c r="AS126" s="5"/>
      <c r="AT126" s="5"/>
    </row>
    <row r="127" ht="12.75" customHeight="1">
      <c r="AS127" s="5"/>
      <c r="AT127" s="5"/>
    </row>
    <row r="128" ht="12.75" customHeight="1">
      <c r="AS128" s="5"/>
      <c r="AT128" s="5"/>
    </row>
    <row r="129" ht="12.75" customHeight="1">
      <c r="AS129" s="5"/>
      <c r="AT129" s="5"/>
    </row>
    <row r="130" ht="12.75" customHeight="1">
      <c r="AS130" s="1"/>
      <c r="AT130" s="1"/>
    </row>
    <row r="131" ht="12.75" customHeight="1">
      <c r="AS131" s="54"/>
      <c r="AT131" s="54"/>
    </row>
    <row r="132" ht="12.75" customHeight="1">
      <c r="AS132" s="5"/>
      <c r="AT132" s="5"/>
    </row>
    <row r="133" ht="12.75" customHeight="1">
      <c r="AS133" s="5"/>
      <c r="AT133" s="5"/>
    </row>
    <row r="134" ht="12.75" customHeight="1">
      <c r="AS134" s="5"/>
      <c r="AT134" s="5"/>
    </row>
    <row r="135" ht="12.75" customHeight="1">
      <c r="AS135" s="5"/>
      <c r="AT135" s="5"/>
    </row>
    <row r="136" ht="12.75" customHeight="1">
      <c r="AS136" s="5"/>
      <c r="AT136" s="5"/>
    </row>
    <row r="137" ht="12.75" customHeight="1">
      <c r="AS137" s="5"/>
      <c r="AT137" s="5"/>
    </row>
    <row r="138" ht="12.75" customHeight="1">
      <c r="AS138" s="5"/>
      <c r="AT138" s="5"/>
    </row>
    <row r="139" ht="12.75" customHeight="1">
      <c r="AS139" s="5"/>
      <c r="AT139" s="5"/>
    </row>
    <row r="140" ht="12.75" customHeight="1">
      <c r="AS140" s="5"/>
      <c r="AT140" s="5"/>
    </row>
    <row r="141" ht="12.75" customHeight="1">
      <c r="AS141" s="1"/>
      <c r="AT141" s="1"/>
    </row>
    <row r="142" ht="12.75" customHeight="1">
      <c r="AS142" s="54"/>
      <c r="AT142" s="54"/>
    </row>
    <row r="143" ht="12.75" customHeight="1">
      <c r="AS143" s="5"/>
      <c r="AT143" s="5"/>
    </row>
    <row r="144" ht="12.75" customHeight="1">
      <c r="AS144" s="5"/>
      <c r="AT144" s="5"/>
    </row>
    <row r="145" ht="12.75" customHeight="1">
      <c r="AS145" s="5"/>
      <c r="AT145" s="5"/>
    </row>
    <row r="146" ht="12.75" customHeight="1">
      <c r="AS146" s="5"/>
      <c r="AT146" s="5"/>
    </row>
    <row r="147" ht="12.75" customHeight="1">
      <c r="AS147" s="5"/>
      <c r="AT147" s="5"/>
    </row>
    <row r="148" ht="12.75" customHeight="1">
      <c r="AS148" s="5"/>
      <c r="AT148" s="5"/>
    </row>
    <row r="149" ht="12.75" customHeight="1">
      <c r="AS149" s="5"/>
      <c r="AT149" s="5"/>
    </row>
    <row r="150" ht="12.75" customHeight="1">
      <c r="AS150" s="5"/>
      <c r="AT150" s="5"/>
    </row>
    <row r="151" ht="12.75" customHeight="1">
      <c r="AS151" s="1"/>
      <c r="AT151" s="1"/>
    </row>
    <row r="152" ht="12.75" customHeight="1">
      <c r="AS152" s="54"/>
      <c r="AT152" s="54"/>
    </row>
    <row r="153" ht="12.75" customHeight="1">
      <c r="AS153" s="5"/>
      <c r="AT153" s="5"/>
    </row>
    <row r="154" ht="12.75" customHeight="1">
      <c r="AS154" s="5"/>
      <c r="AT154" s="5"/>
    </row>
    <row r="155" ht="12.75" customHeight="1">
      <c r="AS155" s="5"/>
      <c r="AT155" s="5"/>
    </row>
    <row r="156" ht="12.75" customHeight="1">
      <c r="AS156" s="5"/>
      <c r="AT156" s="5"/>
    </row>
    <row r="157" ht="12.75" customHeight="1">
      <c r="AS157" s="5"/>
      <c r="AT157" s="5"/>
    </row>
    <row r="158" ht="12.75" customHeight="1">
      <c r="AS158" s="5"/>
      <c r="AT158" s="5"/>
    </row>
    <row r="159" ht="12.75" customHeight="1">
      <c r="AS159" s="5"/>
      <c r="AT159" s="5"/>
    </row>
    <row r="160" ht="12.75" customHeight="1">
      <c r="AS160" s="5"/>
      <c r="AT160" s="5"/>
    </row>
    <row r="161" ht="12.75" customHeight="1">
      <c r="AS161" s="5"/>
      <c r="AT161" s="5"/>
    </row>
    <row r="162" ht="12.75" customHeight="1">
      <c r="AS162" s="5"/>
      <c r="AT162" s="5"/>
    </row>
    <row r="163" ht="12.75" customHeight="1">
      <c r="AS163" s="5"/>
      <c r="AT163" s="5"/>
    </row>
    <row r="164" ht="12.75" customHeight="1">
      <c r="AS164" s="5"/>
      <c r="AT164" s="5"/>
    </row>
    <row r="165" ht="12.75" customHeight="1">
      <c r="AS165" s="1"/>
      <c r="AT165" s="1"/>
    </row>
    <row r="166" ht="12.75" customHeight="1">
      <c r="AS166" s="54"/>
      <c r="AT166" s="54"/>
    </row>
    <row r="167" ht="12.75" customHeight="1">
      <c r="AS167" s="5"/>
      <c r="AT167" s="5"/>
    </row>
    <row r="168" ht="12.75" customHeight="1">
      <c r="AS168" s="5"/>
      <c r="AT168" s="5"/>
    </row>
    <row r="169" ht="12.75" customHeight="1">
      <c r="AS169" s="5"/>
      <c r="AT169" s="5"/>
    </row>
    <row r="170" ht="12.75" customHeight="1">
      <c r="AS170" s="5"/>
      <c r="AT170" s="5"/>
    </row>
    <row r="171" ht="12.75" customHeight="1">
      <c r="AS171" s="5"/>
      <c r="AT171" s="5"/>
    </row>
    <row r="172" ht="12.75" customHeight="1">
      <c r="AS172" s="5"/>
      <c r="AT172" s="5"/>
    </row>
    <row r="173" ht="12.75" customHeight="1">
      <c r="AS173" s="5"/>
      <c r="AT173" s="5"/>
    </row>
    <row r="174" ht="12.75" customHeight="1">
      <c r="AS174" s="5"/>
      <c r="AT174" s="5"/>
    </row>
    <row r="175" ht="12.75" customHeight="1">
      <c r="AS175" s="5"/>
      <c r="AT175" s="5"/>
    </row>
    <row r="176" ht="12.75" customHeight="1">
      <c r="AS176" s="1"/>
      <c r="AT176" s="1"/>
    </row>
    <row r="177" ht="12.75" customHeight="1"/>
    <row r="178" ht="12.75" customHeight="1">
      <c r="AS178" s="5"/>
      <c r="AT178" s="5"/>
    </row>
    <row r="179" ht="12.75" customHeight="1">
      <c r="AS179" s="5"/>
      <c r="AT179" s="5"/>
    </row>
    <row r="180" ht="12.75" customHeight="1">
      <c r="AS180" s="5"/>
      <c r="AT180" s="5"/>
    </row>
    <row r="181" ht="12.75" customHeight="1">
      <c r="AS181" s="5"/>
      <c r="AT181" s="5"/>
    </row>
    <row r="182" ht="12.75" customHeight="1">
      <c r="AS182" s="5"/>
      <c r="AT182" s="5"/>
    </row>
    <row r="183" ht="12.75" customHeight="1">
      <c r="AS183" s="5"/>
      <c r="AT183" s="5"/>
    </row>
    <row r="184" ht="12.75" customHeight="1">
      <c r="AS184" s="5"/>
      <c r="AT184" s="5"/>
    </row>
    <row r="185" ht="12.75" customHeight="1">
      <c r="AS185" s="5"/>
      <c r="AT185" s="5"/>
    </row>
    <row r="186" ht="12.75" customHeight="1">
      <c r="AS186" s="5"/>
      <c r="AT186" s="5"/>
    </row>
    <row r="187" ht="12.75" customHeight="1">
      <c r="AS187" s="1"/>
      <c r="AT187" s="1"/>
    </row>
    <row r="188" ht="12.75" customHeight="1"/>
    <row r="189" ht="12.75" customHeight="1">
      <c r="AS189" s="5"/>
      <c r="AT189" s="5"/>
    </row>
    <row r="190" ht="12.75" customHeight="1">
      <c r="AS190" s="5"/>
      <c r="AT190" s="5"/>
    </row>
    <row r="191" ht="12.75" customHeight="1">
      <c r="AS191" s="5"/>
      <c r="AT191" s="5"/>
    </row>
    <row r="192" ht="12.75" customHeight="1">
      <c r="AS192" s="5"/>
      <c r="AT192" s="5"/>
    </row>
    <row r="193" ht="12.75" customHeight="1">
      <c r="AS193" s="5"/>
      <c r="AT193" s="5"/>
    </row>
    <row r="194" ht="12.75" customHeight="1">
      <c r="AS194" s="5"/>
      <c r="AT194" s="5"/>
    </row>
    <row r="195" ht="12.75" customHeight="1">
      <c r="AS195" s="5"/>
      <c r="AT195" s="5"/>
    </row>
    <row r="196" ht="12.75" customHeight="1">
      <c r="AS196" s="1"/>
      <c r="AT196" s="1"/>
    </row>
    <row r="197" ht="12.75" customHeight="1">
      <c r="AS197" s="1"/>
      <c r="AT197" s="1"/>
    </row>
    <row r="198" ht="12.75" customHeight="1">
      <c r="AS198" s="1"/>
      <c r="AT198" s="1"/>
    </row>
    <row r="199" ht="12.75" customHeight="1">
      <c r="AS199" s="54"/>
      <c r="AT199" s="54"/>
    </row>
    <row r="200" ht="12.75" customHeight="1">
      <c r="AS200" s="5"/>
      <c r="AT200" s="5"/>
    </row>
    <row r="201" ht="12.75" customHeight="1">
      <c r="AS201" s="5"/>
      <c r="AT201" s="5"/>
    </row>
    <row r="202" ht="12.75" customHeight="1">
      <c r="AS202" s="5"/>
      <c r="AT202" s="5"/>
    </row>
    <row r="203" ht="12.75" customHeight="1">
      <c r="AS203" s="5"/>
      <c r="AT203" s="5"/>
    </row>
    <row r="204" ht="12.75" customHeight="1">
      <c r="AS204" s="5"/>
      <c r="AT204" s="5"/>
    </row>
    <row r="205" ht="12.75" customHeight="1">
      <c r="AS205" s="5"/>
      <c r="AT205" s="5"/>
    </row>
    <row r="206" ht="12.75" customHeight="1">
      <c r="AS206" s="5"/>
      <c r="AT206" s="5"/>
    </row>
    <row r="207" ht="12.75" customHeight="1">
      <c r="AS207" s="1"/>
      <c r="AT207" s="1"/>
    </row>
    <row r="208" ht="12.75" customHeight="1">
      <c r="AS208" s="54"/>
      <c r="AT208" s="54"/>
    </row>
    <row r="209" ht="12.75" customHeight="1">
      <c r="AS209" s="54"/>
      <c r="AT209" s="54"/>
    </row>
    <row r="210" ht="12.75" customHeight="1">
      <c r="AS210" s="54"/>
      <c r="AT210" s="54"/>
    </row>
    <row r="211" ht="12.75" customHeight="1">
      <c r="AS211" s="5"/>
      <c r="AT211" s="5"/>
    </row>
    <row r="212" ht="12.75" customHeight="1">
      <c r="AS212" s="5"/>
      <c r="AT212" s="5"/>
    </row>
    <row r="213" ht="12.75" customHeight="1">
      <c r="AS213" s="5"/>
      <c r="AT213" s="5"/>
    </row>
    <row r="214" ht="12.75" customHeight="1">
      <c r="AS214" s="5"/>
      <c r="AT214" s="5"/>
    </row>
    <row r="215" ht="12.75" customHeight="1">
      <c r="AS215" s="5"/>
      <c r="AT215" s="5"/>
    </row>
    <row r="216" ht="12.75" customHeight="1">
      <c r="AS216" s="5"/>
      <c r="AT216" s="5"/>
    </row>
    <row r="217" ht="12.75" customHeight="1">
      <c r="AS217" s="5"/>
      <c r="AT217" s="5"/>
    </row>
    <row r="218" ht="12.75" customHeight="1">
      <c r="AS218" s="1"/>
      <c r="AT218" s="1"/>
    </row>
    <row r="219" ht="12.75" customHeight="1">
      <c r="AS219" s="54"/>
      <c r="AT219" s="54"/>
    </row>
    <row r="220" ht="12.75" customHeight="1">
      <c r="AS220" s="5"/>
      <c r="AT220" s="5"/>
    </row>
    <row r="221" ht="12.75" customHeight="1">
      <c r="AS221" s="5"/>
      <c r="AT221" s="5"/>
    </row>
    <row r="222" ht="12.75" customHeight="1">
      <c r="AS222" s="5"/>
      <c r="AT222" s="5"/>
    </row>
    <row r="223" ht="12.75" customHeight="1">
      <c r="AS223" s="5"/>
      <c r="AT223" s="5"/>
    </row>
    <row r="224" ht="12.75" customHeight="1">
      <c r="AS224" s="5"/>
      <c r="AT224" s="5"/>
    </row>
    <row r="225" ht="12.75" customHeight="1">
      <c r="AS225" s="5"/>
      <c r="AT225" s="5"/>
    </row>
    <row r="226" ht="12.75" customHeight="1">
      <c r="AS226" s="5"/>
      <c r="AT226" s="5"/>
    </row>
    <row r="227" ht="12.75" customHeight="1">
      <c r="AS227" s="5"/>
      <c r="AT227" s="5"/>
    </row>
    <row r="228" ht="12.75" customHeight="1">
      <c r="AS228" s="5"/>
      <c r="AT228" s="5"/>
    </row>
    <row r="229" ht="12.75" customHeight="1">
      <c r="AS229" s="1"/>
      <c r="AT229" s="1"/>
    </row>
    <row r="230" ht="12.75" customHeight="1">
      <c r="AS230" s="54"/>
      <c r="AT230" s="54"/>
    </row>
    <row r="231" ht="12.75" customHeight="1">
      <c r="AS231" s="5"/>
      <c r="AT231" s="5"/>
    </row>
    <row r="232" ht="12.75" customHeight="1">
      <c r="AS232" s="5"/>
      <c r="AT232" s="5"/>
    </row>
    <row r="233" ht="12.75" customHeight="1">
      <c r="AS233" s="5"/>
      <c r="AT233" s="5"/>
    </row>
    <row r="234" ht="12.75" customHeight="1">
      <c r="AS234" s="5"/>
      <c r="AT234" s="5"/>
    </row>
    <row r="235" ht="12.75" customHeight="1">
      <c r="AS235" s="5"/>
      <c r="AT235" s="5"/>
    </row>
    <row r="236" ht="12.75" customHeight="1">
      <c r="AS236" s="5"/>
      <c r="AT236" s="5"/>
    </row>
    <row r="237" ht="12.75" customHeight="1">
      <c r="AS237" s="5"/>
      <c r="AT237" s="5"/>
    </row>
    <row r="238" ht="12.75" customHeight="1">
      <c r="AS238" s="5"/>
      <c r="AT238" s="5"/>
    </row>
    <row r="239" ht="12.75" customHeight="1">
      <c r="AS239" s="5"/>
      <c r="AT239" s="5"/>
    </row>
    <row r="240" ht="12.75" customHeight="1">
      <c r="AS240" s="1"/>
      <c r="AT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Q12"/>
    <mergeCell ref="AR12:A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Q15">
    <cfRule type="containsBlanks" dxfId="1" priority="1">
      <formula>LEN(TRIM(E14))=0</formula>
    </cfRule>
  </conditionalFormatting>
  <conditionalFormatting sqref="E19:AQ20 T14:AH15">
    <cfRule type="containsBlanks" dxfId="1" priority="2">
      <formula>LEN(TRIM(E19))=0</formula>
    </cfRule>
  </conditionalFormatting>
  <conditionalFormatting sqref="E22:AQ23 E25:AQ26 E33:AQ33 E35:AQ35 E39:AQ40 T19:AH20">
    <cfRule type="containsBlanks" dxfId="1" priority="3">
      <formula>LEN(TRIM(E22))=0</formula>
    </cfRule>
  </conditionalFormatting>
  <conditionalFormatting sqref="E30:AQ30">
    <cfRule type="expression" dxfId="0" priority="4">
      <formula>E30&lt;&gt;E47</formula>
    </cfRule>
  </conditionalFormatting>
  <conditionalFormatting sqref="E30:AQ30">
    <cfRule type="expression" dxfId="0" priority="5">
      <formula>E30&lt;&gt;E34</formula>
    </cfRule>
  </conditionalFormatting>
  <conditionalFormatting sqref="E34:AQ34">
    <cfRule type="expression" dxfId="2" priority="6">
      <formula>E30&lt;&gt;E34</formula>
    </cfRule>
  </conditionalFormatting>
  <conditionalFormatting sqref="E34:AQ34">
    <cfRule type="expression" dxfId="3" priority="7">
      <formula>E30=E34</formula>
    </cfRule>
  </conditionalFormatting>
  <conditionalFormatting sqref="E34:AQ34">
    <cfRule type="expression" dxfId="0" priority="8">
      <formula>E34&lt;&gt;E30</formula>
    </cfRule>
  </conditionalFormatting>
  <conditionalFormatting sqref="E34:AQ34">
    <cfRule type="expression" dxfId="0" priority="9">
      <formula>E34&lt;&gt;#REF!</formula>
    </cfRule>
  </conditionalFormatting>
  <conditionalFormatting sqref="E45:AQ47">
    <cfRule type="containsBlanks" dxfId="1" priority="10">
      <formula>LEN(TRIM(E45))=0</formula>
    </cfRule>
  </conditionalFormatting>
  <conditionalFormatting sqref="E50:AQ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