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PPWP" sheetId="1" r:id="rId4"/>
    <sheet state="visible" name="BANYUANYAR" sheetId="2" r:id="rId5"/>
    <sheet state="visible" name="KAJARHARJO" sheetId="3" r:id="rId6"/>
    <sheet state="visible" name="KALIBARU KULON" sheetId="4" r:id="rId7"/>
    <sheet state="visible" name="KALIBARU MANIS" sheetId="5" r:id="rId8"/>
    <sheet state="visible" name="KALIBARU WETAN" sheetId="6" r:id="rId9"/>
    <sheet state="visible" name="KEBONREJO" sheetId="7" r:id="rId10"/>
  </sheets>
  <definedNames/>
  <calcPr/>
  <extLst>
    <ext uri="GoogleSheetsCustomDataVersion2">
      <go:sheetsCustomData xmlns:go="http://customooxmlschemas.google.com/" r:id="rId11" roundtripDataChecksum="LO6T9Xn+EHn6A56U7Eea+JXipH5dmAfCysXwTMRmBgg="/>
    </ext>
  </extLst>
</workbook>
</file>

<file path=xl/sharedStrings.xml><?xml version="1.0" encoding="utf-8"?>
<sst xmlns="http://schemas.openxmlformats.org/spreadsheetml/2006/main" count="658" uniqueCount="102">
  <si>
    <t>Kecamatan</t>
  </si>
  <si>
    <t>KALIBARU</t>
  </si>
  <si>
    <t>Kabupaten</t>
  </si>
  <si>
    <t>BANYUWANGI</t>
  </si>
  <si>
    <t>Provinsi</t>
  </si>
  <si>
    <t>JAWA TIMUR</t>
  </si>
  <si>
    <t>I</t>
  </si>
  <si>
    <t>DATA PEMILIH DAN PENGGUNAAN HAK PILIH</t>
  </si>
  <si>
    <t>JUMLAH AKHIR</t>
  </si>
  <si>
    <t>A</t>
  </si>
  <si>
    <t xml:space="preserve">DATA PEMILIH  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</si>
  <si>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</si>
  <si>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</si>
  <si>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</si>
  <si>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</si>
  <si>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</si>
  <si>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</si>
  <si>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</si>
  <si>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</si>
  <si>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</si>
  <si>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</si>
  <si>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</si>
  <si>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</si>
  <si>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</si>
  <si>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</si>
  <si>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</si>
  <si>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</si>
  <si>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</si>
  <si>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</si>
  <si>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</si>
  <si>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</si>
  <si>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</si>
  <si>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</si>
  <si>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</si>
  <si>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</si>
  <si>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</si>
  <si>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</si>
  <si>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H. ANIES RASYID BASWEDAN, Ph.D. - Dr. (H.C.) H. A. MUHAIMIN ISKANDAR</t>
  </si>
  <si>
    <t>H. PRABOWO SUBIANTO - GIBRAN RAKABUMING RAKA</t>
  </si>
  <si>
    <t>H. GANJAR PRANOWO, S.H., M.I.P. - Prof. Dr. H. M. MAHFUD MD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</si>
  <si>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</si>
  <si>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</si>
  <si>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</si>
  <si>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</si>
  <si>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</si>
  <si>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</si>
  <si>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</si>
  <si>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</si>
  <si>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KAKLIBARU</t>
  </si>
  <si>
    <t>Kelurahan</t>
  </si>
  <si>
    <t>BANYUANYAR</t>
  </si>
  <si>
    <t>TPS 001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</si>
  <si>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</si>
  <si>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</si>
  <si>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</si>
  <si>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</si>
  <si>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</si>
  <si>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</si>
  <si>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</si>
  <si>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</si>
  <si>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TPS 010</t>
  </si>
  <si>
    <t>TPS 011</t>
  </si>
  <si>
    <t>TPS 012</t>
  </si>
  <si>
    <t>TPS 013</t>
  </si>
  <si>
    <t>TPS 014</t>
  </si>
  <si>
    <t>TPS 015</t>
  </si>
  <si>
    <t>TPS 016</t>
  </si>
  <si>
    <t>TPS 017</t>
  </si>
  <si>
    <t>TPS 018</t>
  </si>
  <si>
    <t>TPS 019</t>
  </si>
  <si>
    <t>TPS 020</t>
  </si>
  <si>
    <t>TPS 021</t>
  </si>
  <si>
    <t>TPS 022</t>
  </si>
  <si>
    <t>TPS 023</t>
  </si>
  <si>
    <t>TPS 024</t>
  </si>
  <si>
    <t>TPS 025</t>
  </si>
  <si>
    <t>TPS 026</t>
  </si>
  <si>
    <t>TPS 027</t>
  </si>
  <si>
    <t>KAJARHARJO</t>
  </si>
  <si>
    <t>TPS 028</t>
  </si>
  <si>
    <t>TPS 029</t>
  </si>
  <si>
    <t>TPS 030</t>
  </si>
  <si>
    <t>TPS 031</t>
  </si>
  <si>
    <t>TPS 032</t>
  </si>
  <si>
    <t>TPS 033</t>
  </si>
  <si>
    <t>TPS 034</t>
  </si>
  <si>
    <t>TPS 035</t>
  </si>
  <si>
    <t>TPS 036</t>
  </si>
  <si>
    <t>TPS 037</t>
  </si>
  <si>
    <t>TPS 038</t>
  </si>
  <si>
    <t>TPS 039</t>
  </si>
  <si>
    <t>TPS 040</t>
  </si>
  <si>
    <t>TPS 041</t>
  </si>
  <si>
    <t>TPS 042</t>
  </si>
  <si>
    <t>TPS 043</t>
  </si>
  <si>
    <t>TPS 044</t>
  </si>
  <si>
    <t>TPS 045</t>
  </si>
  <si>
    <t>TPS 046</t>
  </si>
  <si>
    <t>KALIBARU KULON</t>
  </si>
  <si>
    <t>KALIBARU MANIS</t>
  </si>
  <si>
    <t>KALIBARU WETAN</t>
  </si>
  <si>
    <t>KEBONREJO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</si>
</sst>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Calibri"/>
      <scheme val="minor"/>
    </font>
    <font>
      <b/>
      <sz val="10.0"/>
      <color theme="1"/>
      <name val="Bookman Old Style"/>
    </font>
    <font>
      <sz val="10.0"/>
      <color theme="1"/>
      <name val="Arial"/>
    </font>
    <font>
      <sz val="10.0"/>
      <color theme="1"/>
      <name val="Bookman Old Style"/>
    </font>
    <font>
      <sz val="10.0"/>
      <color rgb="FF000000"/>
      <name val="Bookman Old Style"/>
    </font>
    <font/>
    <font>
      <b/>
      <sz val="10.0"/>
      <color rgb="FF000000"/>
      <name val="Bookman Old Style"/>
    </font>
    <font>
      <color theme="1"/>
      <name val="Arial"/>
    </font>
    <font>
      <sz val="10.0"/>
      <color rgb="FF000000"/>
      <name val="Calibri"/>
    </font>
    <font>
      <color theme="1"/>
      <name val="Bookman Old Style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3" numFmtId="3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1" numFmtId="3" xfId="0" applyAlignment="1" applyFont="1" applyNumberFormat="1">
      <alignment horizontal="center"/>
    </xf>
    <xf borderId="0" fillId="0" fontId="3" numFmtId="0" xfId="0" applyAlignment="1" applyFont="1">
      <alignment vertical="center"/>
    </xf>
    <xf borderId="0" fillId="0" fontId="2" numFmtId="3" xfId="0" applyFont="1" applyNumberFormat="1"/>
    <xf borderId="0" fillId="0" fontId="1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left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left" shrinkToFit="0" vertical="center" wrapText="1"/>
    </xf>
    <xf borderId="7" fillId="0" fontId="5" numFmtId="0" xfId="0" applyBorder="1" applyFont="1"/>
    <xf borderId="5" fillId="0" fontId="3" numFmtId="0" xfId="0" applyAlignment="1" applyBorder="1" applyFont="1">
      <alignment horizontal="left" shrinkToFit="0" vertical="center" wrapText="1"/>
    </xf>
    <xf borderId="8" fillId="0" fontId="5" numFmtId="0" xfId="0" applyBorder="1" applyFont="1"/>
    <xf borderId="2" fillId="0" fontId="3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6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2" fillId="0" fontId="1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shrinkToFit="0" vertical="center" wrapText="1"/>
    </xf>
    <xf borderId="12" fillId="0" fontId="3" numFmtId="0" xfId="0" applyAlignment="1" applyBorder="1" applyFont="1">
      <alignment horizontal="center" vertical="center"/>
    </xf>
    <xf borderId="12" fillId="0" fontId="5" numFmtId="0" xfId="0" applyBorder="1" applyFont="1"/>
    <xf borderId="12" fillId="0" fontId="1" numFmtId="0" xfId="0" applyAlignment="1" applyBorder="1" applyFont="1">
      <alignment horizontal="center" vertical="center"/>
    </xf>
    <xf borderId="13" fillId="0" fontId="5" numFmtId="0" xfId="0" applyBorder="1" applyFont="1"/>
    <xf borderId="8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vertical="center"/>
    </xf>
    <xf borderId="3" fillId="0" fontId="3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left" shrinkToFit="0" vertical="center" wrapText="1"/>
    </xf>
    <xf borderId="15" fillId="0" fontId="5" numFmtId="0" xfId="0" applyBorder="1" applyFont="1"/>
    <xf borderId="7" fillId="0" fontId="3" numFmtId="0" xfId="0" applyAlignment="1" applyBorder="1" applyFont="1">
      <alignment horizontal="center" vertical="center"/>
    </xf>
    <xf borderId="14" fillId="0" fontId="5" numFmtId="0" xfId="0" applyBorder="1" applyFont="1"/>
    <xf borderId="1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shrinkToFit="0" vertical="center" wrapText="1"/>
    </xf>
    <xf borderId="16" fillId="2" fontId="3" numFmtId="0" xfId="0" applyAlignment="1" applyBorder="1" applyFill="1" applyFont="1">
      <alignment horizontal="center" vertical="center"/>
    </xf>
    <xf borderId="17" fillId="2" fontId="3" numFmtId="0" xfId="0" applyAlignment="1" applyBorder="1" applyFont="1">
      <alignment horizontal="center" vertical="center"/>
    </xf>
    <xf borderId="17" fillId="2" fontId="2" numFmtId="3" xfId="0" applyBorder="1" applyFont="1" applyNumberFormat="1"/>
    <xf borderId="17" fillId="2" fontId="2" numFmtId="0" xfId="0" applyBorder="1" applyFont="1"/>
    <xf borderId="13" fillId="0" fontId="3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1" fillId="0" fontId="6" numFmtId="0" xfId="0" applyAlignment="1" applyBorder="1" applyFont="1">
      <alignment horizontal="center" shrinkToFit="0" wrapText="1"/>
    </xf>
    <xf borderId="1" fillId="0" fontId="7" numFmtId="0" xfId="0" applyAlignment="1" applyBorder="1" applyFont="1">
      <alignment horizontal="center" vertical="bottom"/>
    </xf>
    <xf borderId="1" fillId="0" fontId="3" numFmtId="0" xfId="0" applyAlignment="1" applyBorder="1" applyFont="1">
      <alignment vertical="center"/>
    </xf>
    <xf borderId="1" fillId="0" fontId="8" numFmtId="0" xfId="0" applyBorder="1" applyFont="1"/>
    <xf borderId="1" fillId="0" fontId="1" numFmtId="0" xfId="0" applyAlignment="1" applyBorder="1" applyFont="1">
      <alignment vertical="center"/>
    </xf>
    <xf borderId="1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horizontal="center" vertical="center"/>
    </xf>
    <xf borderId="0" fillId="0" fontId="7" numFmtId="0" xfId="0" applyAlignment="1" applyFont="1">
      <alignment horizontal="center" vertical="bottom"/>
    </xf>
    <xf borderId="0" fillId="0" fontId="9" numFmtId="0" xfId="0" applyAlignment="1" applyFont="1">
      <alignment horizontal="center" vertical="bottom"/>
    </xf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4.0"/>
    <col customWidth="1" min="3" max="3" width="64.57"/>
    <col customWidth="1" min="4" max="4" width="6.57"/>
    <col customWidth="1" min="5" max="5" width="18.86"/>
    <col customWidth="1" min="6" max="7" width="10.14"/>
    <col customWidth="1" hidden="1" min="8" max="16" width="10.14"/>
    <col customWidth="1" hidden="1" min="17" max="25" width="8.71"/>
    <col customWidth="1" min="26" max="26" width="8.71"/>
  </cols>
  <sheetData>
    <row r="1" ht="15.0" customHeight="1"/>
    <row r="2" ht="15.0" customHeight="1"/>
    <row r="3" ht="15.0" customHeight="1"/>
    <row r="4" ht="15.0" customHeight="1"/>
    <row r="5" ht="15.75" customHeight="1">
      <c r="F5" s="1"/>
      <c r="G5" s="1"/>
      <c r="H5" s="1"/>
      <c r="I5" s="1"/>
      <c r="J5" s="1"/>
      <c r="K5" s="1"/>
      <c r="L5" s="1"/>
      <c r="M5" s="1"/>
      <c r="N5" s="1"/>
      <c r="O5" s="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F6" s="1"/>
      <c r="G6" s="1"/>
      <c r="H6" s="1"/>
      <c r="I6" s="1"/>
      <c r="J6" s="1"/>
      <c r="K6" s="1"/>
      <c r="L6" s="1"/>
      <c r="M6" s="1"/>
      <c r="N6" s="1"/>
      <c r="O6" s="1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F7" s="5"/>
      <c r="G7" s="5"/>
      <c r="H7" s="5"/>
      <c r="I7" s="5"/>
      <c r="J7" s="5"/>
      <c r="K7" s="5"/>
      <c r="L7" s="5"/>
      <c r="M7" s="5"/>
      <c r="N7" s="5"/>
      <c r="O7" s="5"/>
      <c r="P7" s="6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C8" s="8" t="s">
        <v>0</v>
      </c>
      <c r="D8" s="8" t="s">
        <v>1</v>
      </c>
      <c r="F8" s="5"/>
      <c r="G8" s="5"/>
      <c r="H8" s="5"/>
      <c r="I8" s="5"/>
      <c r="J8" s="5"/>
      <c r="K8" s="5"/>
      <c r="L8" s="5"/>
      <c r="M8" s="5"/>
      <c r="N8" s="5"/>
      <c r="O8" s="5"/>
      <c r="P8" s="6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C9" s="8" t="s">
        <v>2</v>
      </c>
      <c r="D9" s="8" t="s">
        <v>3</v>
      </c>
      <c r="F9" s="1"/>
      <c r="G9" s="1"/>
      <c r="H9" s="1"/>
      <c r="I9" s="1"/>
      <c r="J9" s="1"/>
      <c r="K9" s="1"/>
      <c r="L9" s="1"/>
      <c r="M9" s="1"/>
      <c r="N9" s="1"/>
      <c r="O9" s="1"/>
      <c r="P9" s="9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C10" s="8" t="s">
        <v>4</v>
      </c>
      <c r="D10" s="8" t="s">
        <v>5</v>
      </c>
      <c r="F10" s="5"/>
      <c r="G10" s="5"/>
      <c r="H10" s="5"/>
      <c r="I10" s="5"/>
      <c r="J10" s="5"/>
      <c r="K10" s="5"/>
      <c r="L10" s="5"/>
      <c r="M10" s="5"/>
      <c r="N10" s="5"/>
      <c r="O10" s="10"/>
      <c r="P10" s="11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"/>
      <c r="B11" s="12"/>
      <c r="C11" s="12"/>
      <c r="D11" s="12"/>
      <c r="E11" s="1"/>
      <c r="F11" s="5"/>
      <c r="G11" s="5"/>
      <c r="H11" s="5"/>
      <c r="I11" s="5"/>
      <c r="J11" s="5"/>
      <c r="K11" s="5"/>
      <c r="L11" s="5"/>
      <c r="M11" s="5"/>
      <c r="N11" s="5"/>
      <c r="O11" s="10"/>
      <c r="P11" s="11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3" t="s">
        <v>6</v>
      </c>
      <c r="B12" s="14" t="s">
        <v>7</v>
      </c>
      <c r="C12" s="15"/>
      <c r="D12" s="16"/>
      <c r="E12" s="17" t="s">
        <v>8</v>
      </c>
      <c r="F12" s="18"/>
      <c r="G12" s="5"/>
      <c r="H12" s="5"/>
      <c r="I12" s="5"/>
      <c r="J12" s="5"/>
      <c r="K12" s="5"/>
      <c r="L12" s="5"/>
      <c r="M12" s="5"/>
      <c r="N12" s="5"/>
      <c r="O12" s="5"/>
      <c r="P12" s="6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19" t="s">
        <v>9</v>
      </c>
      <c r="B13" s="20" t="s">
        <v>10</v>
      </c>
      <c r="C13" s="15"/>
      <c r="D13" s="16"/>
      <c r="E13" s="21"/>
      <c r="F13" s="18"/>
      <c r="G13" s="5"/>
      <c r="H13" s="5"/>
      <c r="I13" s="5"/>
      <c r="J13" s="5"/>
      <c r="K13" s="5"/>
      <c r="L13" s="5"/>
      <c r="M13" s="5"/>
      <c r="N13" s="5"/>
      <c r="O13" s="5"/>
      <c r="P13" s="6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18"/>
      <c r="B14" s="22" t="s">
        <v>11</v>
      </c>
      <c r="C14" s="23"/>
      <c r="D14" s="19" t="s">
        <v>12</v>
      </c>
      <c r="E14" s="24">
        <f>BANYUANYAR!AF14+KAJARHARJO!AY14+'KALIBARU KULON'!AF14+'KALIBARU MANIS'!AK14+'KALIBARU WETAN'!AU14+KEBONREJO!AJ14</f>
        <v>22324</v>
      </c>
      <c r="F14" s="25"/>
      <c r="G14" s="1"/>
      <c r="H14" s="1"/>
      <c r="I14" s="1"/>
      <c r="J14" s="1"/>
      <c r="K14" s="1"/>
      <c r="L14" s="1"/>
      <c r="M14" s="1"/>
      <c r="N14" s="1"/>
      <c r="O14" s="1"/>
      <c r="P14" s="9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8"/>
      <c r="B15" s="26"/>
      <c r="C15" s="27"/>
      <c r="D15" s="19" t="s">
        <v>13</v>
      </c>
      <c r="E15" s="24">
        <f>BANYUANYAR!AF15+KAJARHARJO!AY15+'KALIBARU KULON'!AF15+'KALIBARU MANIS'!AK15+'KALIBARU WETAN'!AU15+KEBONREJO!AJ15</f>
        <v>22867</v>
      </c>
      <c r="F15" s="18"/>
      <c r="G15" s="5"/>
      <c r="H15" s="5"/>
      <c r="I15" s="5"/>
      <c r="J15" s="5"/>
      <c r="K15" s="5"/>
      <c r="L15" s="5"/>
      <c r="M15" s="5"/>
      <c r="N15" s="5"/>
      <c r="O15" s="5"/>
      <c r="P15" s="6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25"/>
      <c r="B16" s="21"/>
      <c r="C16" s="28"/>
      <c r="D16" s="13" t="s">
        <v>14</v>
      </c>
      <c r="E16" s="29">
        <f>SUM(E14:E15)</f>
        <v>45191</v>
      </c>
      <c r="F16" s="18"/>
      <c r="G16" s="5"/>
      <c r="H16" s="5"/>
      <c r="I16" s="5"/>
      <c r="J16" s="5"/>
      <c r="K16" s="5"/>
      <c r="L16" s="5"/>
      <c r="M16" s="5"/>
      <c r="N16" s="5"/>
      <c r="O16" s="5"/>
      <c r="P16" s="6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24"/>
      <c r="B17" s="15"/>
      <c r="C17" s="15"/>
      <c r="D17" s="16"/>
      <c r="E17" s="24"/>
      <c r="F17" s="25"/>
      <c r="G17" s="1"/>
      <c r="H17" s="1"/>
      <c r="I17" s="1"/>
      <c r="J17" s="1"/>
      <c r="K17" s="1"/>
      <c r="L17" s="1"/>
      <c r="M17" s="1"/>
      <c r="N17" s="1"/>
      <c r="O17" s="1"/>
      <c r="P17" s="9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30" t="s">
        <v>15</v>
      </c>
      <c r="B18" s="20" t="s">
        <v>16</v>
      </c>
      <c r="C18" s="15"/>
      <c r="D18" s="16"/>
      <c r="E18" s="24"/>
      <c r="F18" s="18"/>
      <c r="G18" s="5"/>
      <c r="H18" s="5"/>
      <c r="I18" s="5"/>
      <c r="J18" s="5"/>
      <c r="K18" s="5"/>
      <c r="L18" s="5"/>
      <c r="M18" s="5"/>
      <c r="N18" s="5"/>
      <c r="O18" s="5"/>
      <c r="P18" s="6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30"/>
      <c r="B19" s="31" t="s">
        <v>17</v>
      </c>
      <c r="C19" s="32" t="s">
        <v>18</v>
      </c>
      <c r="D19" s="19" t="s">
        <v>12</v>
      </c>
      <c r="E19" s="24">
        <f>BANYUANYAR!AF19+KAJARHARJO!AY19+'KALIBARU KULON'!AF19+'KALIBARU MANIS'!AK19+'KALIBARU WETAN'!AU19+KEBONREJO!AJ19</f>
        <v>16053</v>
      </c>
      <c r="F19" s="18"/>
      <c r="G19" s="5"/>
      <c r="H19" s="5"/>
      <c r="I19" s="5"/>
      <c r="J19" s="5"/>
      <c r="K19" s="5"/>
      <c r="L19" s="5"/>
      <c r="M19" s="5"/>
      <c r="N19" s="5"/>
      <c r="O19" s="5"/>
      <c r="P19" s="6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33"/>
      <c r="B20" s="27"/>
      <c r="C20" s="34"/>
      <c r="D20" s="19" t="s">
        <v>13</v>
      </c>
      <c r="E20" s="24">
        <f>BANYUANYAR!AF20+KAJARHARJO!AY20+'KALIBARU KULON'!AF20+'KALIBARU MANIS'!AK20+'KALIBARU WETAN'!AU20+KEBONREJO!AJ20</f>
        <v>17970</v>
      </c>
      <c r="F20" s="25"/>
      <c r="G20" s="1"/>
      <c r="H20" s="1"/>
      <c r="I20" s="1"/>
      <c r="J20" s="1"/>
      <c r="K20" s="1"/>
      <c r="L20" s="1"/>
      <c r="M20" s="1"/>
      <c r="N20" s="1"/>
      <c r="O20" s="1"/>
      <c r="P20" s="9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5"/>
      <c r="B21" s="28"/>
      <c r="C21" s="36"/>
      <c r="D21" s="13" t="s">
        <v>14</v>
      </c>
      <c r="E21" s="29">
        <f>SUM(E19:E20)</f>
        <v>34023</v>
      </c>
      <c r="F21" s="25"/>
      <c r="G21" s="1"/>
      <c r="H21" s="1"/>
      <c r="I21" s="1"/>
      <c r="J21" s="1"/>
      <c r="K21" s="1"/>
      <c r="L21" s="1"/>
      <c r="M21" s="1"/>
      <c r="N21" s="1"/>
      <c r="O21" s="1"/>
      <c r="P21" s="9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3"/>
      <c r="B22" s="31" t="s">
        <v>19</v>
      </c>
      <c r="C22" s="32" t="s">
        <v>20</v>
      </c>
      <c r="D22" s="19" t="s">
        <v>12</v>
      </c>
      <c r="E22" s="24">
        <f>BANYUANYAR!AF22+KAJARHARJO!AY22+'KALIBARU KULON'!AF22+'KALIBARU MANIS'!AK22+'KALIBARU WETAN'!AU22+KEBONREJO!AJ22</f>
        <v>109</v>
      </c>
      <c r="F22" s="25"/>
      <c r="G22" s="1"/>
      <c r="H22" s="1"/>
      <c r="I22" s="1"/>
      <c r="J22" s="1"/>
      <c r="K22" s="1"/>
      <c r="L22" s="1"/>
      <c r="M22" s="1"/>
      <c r="N22" s="1"/>
      <c r="O22" s="1"/>
      <c r="P22" s="9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3"/>
      <c r="B23" s="27"/>
      <c r="C23" s="34"/>
      <c r="D23" s="19" t="s">
        <v>13</v>
      </c>
      <c r="E23" s="24">
        <f>BANYUANYAR!AF23+KAJARHARJO!AY23+'KALIBARU KULON'!AF23+'KALIBARU MANIS'!AK23+'KALIBARU WETAN'!AU23+KEBONREJO!AJ23</f>
        <v>90</v>
      </c>
      <c r="F23" s="25"/>
      <c r="G23" s="1"/>
      <c r="H23" s="1"/>
      <c r="I23" s="1"/>
      <c r="J23" s="1"/>
      <c r="K23" s="1"/>
      <c r="L23" s="1"/>
      <c r="M23" s="1"/>
      <c r="N23" s="1"/>
      <c r="O23" s="1"/>
      <c r="P23" s="9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5"/>
      <c r="B24" s="28"/>
      <c r="C24" s="36"/>
      <c r="D24" s="13" t="s">
        <v>14</v>
      </c>
      <c r="E24" s="29">
        <f>SUM(E22:E23)</f>
        <v>199</v>
      </c>
      <c r="F24" s="18"/>
      <c r="G24" s="5"/>
      <c r="H24" s="5"/>
      <c r="I24" s="5"/>
      <c r="J24" s="5"/>
      <c r="K24" s="5"/>
      <c r="L24" s="5"/>
      <c r="M24" s="5"/>
      <c r="N24" s="5"/>
      <c r="O24" s="10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3"/>
      <c r="B25" s="31" t="s">
        <v>21</v>
      </c>
      <c r="C25" s="32" t="s">
        <v>22</v>
      </c>
      <c r="D25" s="19" t="s">
        <v>12</v>
      </c>
      <c r="E25" s="24">
        <f>BANYUANYAR!AF25+KAJARHARJO!AY25+'KALIBARU KULON'!AF25+'KALIBARU MANIS'!AK25+'KALIBARU WETAN'!AU25+KEBONREJO!AJ25</f>
        <v>178</v>
      </c>
      <c r="F25" s="25"/>
      <c r="G25" s="1"/>
      <c r="H25" s="1"/>
      <c r="I25" s="1"/>
      <c r="J25" s="1"/>
      <c r="K25" s="1"/>
      <c r="L25" s="1"/>
      <c r="M25" s="1"/>
      <c r="N25" s="1"/>
      <c r="O25" s="2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3"/>
      <c r="B26" s="27"/>
      <c r="C26" s="34"/>
      <c r="D26" s="19" t="s">
        <v>13</v>
      </c>
      <c r="E26" s="24">
        <f>BANYUANYAR!AF26+KAJARHARJO!AY26+'KALIBARU KULON'!AF26+'KALIBARU MANIS'!AK26+'KALIBARU WETAN'!AU26+KEBONREJO!AJ26</f>
        <v>204</v>
      </c>
      <c r="F26" s="18"/>
      <c r="G26" s="5"/>
      <c r="H26" s="5"/>
      <c r="I26" s="5"/>
      <c r="J26" s="5"/>
      <c r="K26" s="5"/>
      <c r="L26" s="5"/>
      <c r="M26" s="5"/>
      <c r="N26" s="5"/>
      <c r="O26" s="5"/>
      <c r="P26" s="6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35"/>
      <c r="B27" s="28"/>
      <c r="C27" s="36"/>
      <c r="D27" s="13" t="s">
        <v>14</v>
      </c>
      <c r="E27" s="29">
        <f>SUM(E25:E26)</f>
        <v>382</v>
      </c>
      <c r="F27" s="25"/>
      <c r="G27" s="1"/>
      <c r="H27" s="1"/>
      <c r="I27" s="1"/>
      <c r="J27" s="1"/>
      <c r="K27" s="1"/>
      <c r="L27" s="1"/>
      <c r="M27" s="1"/>
      <c r="N27" s="1"/>
      <c r="O27" s="1"/>
      <c r="P27" s="9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5"/>
      <c r="B28" s="37" t="s">
        <v>23</v>
      </c>
      <c r="C28" s="38" t="s">
        <v>24</v>
      </c>
      <c r="D28" s="13" t="s">
        <v>12</v>
      </c>
      <c r="E28" s="29">
        <f t="shared" ref="E28:E29" si="1">E19+E22+E25</f>
        <v>16340</v>
      </c>
      <c r="F28" s="18"/>
      <c r="G28" s="5"/>
      <c r="H28" s="5"/>
      <c r="I28" s="5"/>
      <c r="J28" s="5"/>
      <c r="K28" s="5"/>
      <c r="L28" s="5"/>
      <c r="M28" s="5"/>
      <c r="N28" s="5"/>
      <c r="O28" s="5"/>
      <c r="P28" s="6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35"/>
      <c r="B29" s="27"/>
      <c r="C29" s="34"/>
      <c r="D29" s="13" t="s">
        <v>13</v>
      </c>
      <c r="E29" s="29">
        <f t="shared" si="1"/>
        <v>18264</v>
      </c>
      <c r="F29" s="25"/>
      <c r="G29" s="1"/>
      <c r="H29" s="1"/>
      <c r="I29" s="1"/>
      <c r="J29" s="1"/>
      <c r="K29" s="1"/>
      <c r="L29" s="1"/>
      <c r="M29" s="1"/>
      <c r="N29" s="1"/>
      <c r="O29" s="1"/>
      <c r="P29" s="9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5"/>
      <c r="B30" s="28"/>
      <c r="C30" s="36"/>
      <c r="D30" s="13" t="s">
        <v>14</v>
      </c>
      <c r="E30" s="29">
        <f>SUM(E28:E29)</f>
        <v>34604</v>
      </c>
      <c r="F30" s="39"/>
      <c r="G30" s="3"/>
      <c r="H30" s="3"/>
      <c r="I30" s="3"/>
      <c r="J30" s="3"/>
      <c r="K30" s="5"/>
      <c r="L30" s="5"/>
      <c r="M30" s="5"/>
      <c r="N30" s="5"/>
      <c r="O30" s="10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24"/>
      <c r="B31" s="15"/>
      <c r="C31" s="15"/>
      <c r="D31" s="16"/>
      <c r="E31" s="40"/>
      <c r="F31" s="25"/>
      <c r="G31" s="1"/>
      <c r="H31" s="1"/>
      <c r="I31" s="1"/>
      <c r="J31" s="1"/>
      <c r="K31" s="1"/>
      <c r="L31" s="1"/>
      <c r="M31" s="1"/>
      <c r="N31" s="1"/>
      <c r="O31" s="2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1" t="s">
        <v>25</v>
      </c>
      <c r="B32" s="14" t="s">
        <v>26</v>
      </c>
      <c r="C32" s="15"/>
      <c r="D32" s="16"/>
      <c r="E32" s="29"/>
      <c r="F32" s="18"/>
      <c r="G32" s="5"/>
      <c r="H32" s="5"/>
      <c r="I32" s="5"/>
      <c r="J32" s="5"/>
      <c r="K32" s="5"/>
      <c r="L32" s="5"/>
      <c r="M32" s="5"/>
      <c r="N32" s="5"/>
      <c r="O32" s="5"/>
      <c r="P32" s="6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9">
        <v>1.0</v>
      </c>
      <c r="B33" s="20" t="s">
        <v>27</v>
      </c>
      <c r="C33" s="15"/>
      <c r="D33" s="16"/>
      <c r="E33" s="24">
        <f>BANYUANYAR!AF33+KAJARHARJO!AY33+'KALIBARU KULON'!AF33+'KALIBARU MANIS'!AK33+'KALIBARU WETAN'!AU33+KEBONREJO!AJ33</f>
        <v>46091</v>
      </c>
      <c r="F33" s="18"/>
      <c r="G33" s="5"/>
      <c r="H33" s="5"/>
      <c r="I33" s="5"/>
      <c r="J33" s="5"/>
      <c r="K33" s="5"/>
      <c r="L33" s="5"/>
      <c r="M33" s="5"/>
      <c r="N33" s="5"/>
      <c r="O33" s="5"/>
      <c r="P33" s="6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9">
        <v>2.0</v>
      </c>
      <c r="B34" s="20" t="s">
        <v>28</v>
      </c>
      <c r="C34" s="15"/>
      <c r="D34" s="16"/>
      <c r="E34" s="24">
        <f>BANYUANYAR!AF34+KAJARHARJO!AY34+'KALIBARU KULON'!AF34+'KALIBARU MANIS'!AK34+'KALIBARU WETAN'!AU34+KEBONREJO!AJ34</f>
        <v>34605</v>
      </c>
      <c r="F34" s="25"/>
      <c r="G34" s="1"/>
      <c r="H34" s="1"/>
      <c r="I34" s="1"/>
      <c r="J34" s="1"/>
      <c r="K34" s="1"/>
      <c r="L34" s="1"/>
      <c r="M34" s="1"/>
      <c r="N34" s="1"/>
      <c r="O34" s="1"/>
      <c r="P34" s="9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9">
        <v>3.0</v>
      </c>
      <c r="B35" s="20" t="s">
        <v>29</v>
      </c>
      <c r="C35" s="15"/>
      <c r="D35" s="16"/>
      <c r="E35" s="24">
        <f>BANYUANYAR!AF35+KAJARHARJO!AY35+'KALIBARU KULON'!AF35+'KALIBARU MANIS'!AK35+'KALIBARU WETAN'!AU35+KEBONREJO!AJ35</f>
        <v>50</v>
      </c>
      <c r="F35" s="39"/>
      <c r="G35" s="3"/>
      <c r="H35" s="3"/>
      <c r="I35" s="3"/>
      <c r="J35" s="3"/>
      <c r="K35" s="5"/>
      <c r="L35" s="5"/>
      <c r="M35" s="5"/>
      <c r="N35" s="5"/>
      <c r="O35" s="10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9">
        <v>4.0</v>
      </c>
      <c r="B36" s="20" t="s">
        <v>30</v>
      </c>
      <c r="C36" s="15"/>
      <c r="D36" s="16"/>
      <c r="E36" s="29">
        <f>E33-(E34+E35)</f>
        <v>11436</v>
      </c>
      <c r="F36" s="25"/>
      <c r="G36" s="1"/>
      <c r="H36" s="1"/>
      <c r="I36" s="1"/>
      <c r="J36" s="1"/>
      <c r="K36" s="1"/>
      <c r="L36" s="1"/>
      <c r="M36" s="1"/>
      <c r="N36" s="1"/>
      <c r="O36" s="2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4"/>
      <c r="B37" s="15"/>
      <c r="C37" s="15"/>
      <c r="D37" s="15"/>
      <c r="E37" s="15"/>
      <c r="F37" s="18"/>
      <c r="G37" s="5"/>
      <c r="H37" s="5"/>
      <c r="I37" s="5"/>
      <c r="J37" s="5"/>
      <c r="K37" s="5"/>
      <c r="L37" s="5"/>
      <c r="M37" s="5"/>
      <c r="N37" s="5"/>
      <c r="O37" s="10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2" t="s">
        <v>31</v>
      </c>
      <c r="B38" s="14" t="s">
        <v>32</v>
      </c>
      <c r="C38" s="15"/>
      <c r="D38" s="16"/>
      <c r="E38" s="29"/>
      <c r="F38" s="18"/>
      <c r="G38" s="5"/>
      <c r="H38" s="5"/>
      <c r="I38" s="5"/>
      <c r="J38" s="5"/>
      <c r="K38" s="5"/>
      <c r="L38" s="5"/>
      <c r="M38" s="5"/>
      <c r="N38" s="5"/>
      <c r="O38" s="5"/>
      <c r="P38" s="6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30"/>
      <c r="B39" s="43" t="s">
        <v>33</v>
      </c>
      <c r="C39" s="23"/>
      <c r="D39" s="19" t="s">
        <v>12</v>
      </c>
      <c r="E39" s="24">
        <f>BANYUANYAR!AF39+KAJARHARJO!AY39+'KALIBARU KULON'!AF39+'KALIBARU MANIS'!AK39+'KALIBARU WETAN'!AU39+KEBONREJO!AJ39</f>
        <v>47</v>
      </c>
      <c r="F39" s="18"/>
      <c r="G39" s="5"/>
      <c r="H39" s="5"/>
      <c r="I39" s="5"/>
      <c r="J39" s="5"/>
      <c r="K39" s="5"/>
      <c r="L39" s="5"/>
      <c r="M39" s="5"/>
      <c r="N39" s="5"/>
      <c r="O39" s="5"/>
      <c r="P39" s="6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33"/>
      <c r="C40" s="27"/>
      <c r="D40" s="19" t="s">
        <v>13</v>
      </c>
      <c r="E40" s="24">
        <f>BANYUANYAR!AF40+KAJARHARJO!AY40+'KALIBARU KULON'!AF40+'KALIBARU MANIS'!AK40+'KALIBARU WETAN'!AU40+KEBONREJO!AJ40</f>
        <v>48</v>
      </c>
      <c r="F40" s="18"/>
      <c r="G40" s="5"/>
      <c r="H40" s="5"/>
      <c r="I40" s="5"/>
      <c r="J40" s="5"/>
      <c r="K40" s="5"/>
      <c r="L40" s="5"/>
      <c r="M40" s="5"/>
      <c r="N40" s="5"/>
      <c r="O40" s="5"/>
      <c r="P40" s="6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41"/>
      <c r="B41" s="44"/>
      <c r="C41" s="28"/>
      <c r="D41" s="13" t="s">
        <v>14</v>
      </c>
      <c r="E41" s="29">
        <f>SUM(E39:E40)</f>
        <v>95</v>
      </c>
      <c r="F41" s="18"/>
      <c r="G41" s="5"/>
      <c r="H41" s="5"/>
      <c r="I41" s="5"/>
      <c r="J41" s="5"/>
      <c r="K41" s="5"/>
      <c r="L41" s="5"/>
      <c r="M41" s="5"/>
      <c r="N41" s="5"/>
      <c r="O41" s="5"/>
      <c r="P41" s="6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45"/>
      <c r="B42" s="44"/>
      <c r="C42" s="44"/>
      <c r="D42" s="28"/>
      <c r="E42" s="24"/>
      <c r="F42" s="18"/>
      <c r="G42" s="5"/>
      <c r="H42" s="5"/>
      <c r="I42" s="5"/>
      <c r="J42" s="5"/>
      <c r="K42" s="5"/>
      <c r="L42" s="5"/>
      <c r="M42" s="5"/>
      <c r="N42" s="5"/>
      <c r="O42" s="5"/>
      <c r="P42" s="6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42" t="s">
        <v>34</v>
      </c>
      <c r="B43" s="14" t="s">
        <v>35</v>
      </c>
      <c r="C43" s="15"/>
      <c r="D43" s="16"/>
      <c r="E43" s="29"/>
      <c r="F43" s="18"/>
      <c r="G43" s="5"/>
      <c r="H43" s="5"/>
      <c r="I43" s="5"/>
      <c r="J43" s="5"/>
      <c r="K43" s="5"/>
      <c r="L43" s="5"/>
      <c r="M43" s="5"/>
      <c r="N43" s="5"/>
      <c r="O43" s="5"/>
      <c r="P43" s="6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43" t="s">
        <v>36</v>
      </c>
      <c r="B44" s="46"/>
      <c r="C44" s="46"/>
      <c r="D44" s="23"/>
      <c r="E44" s="24"/>
      <c r="F44" s="18"/>
      <c r="G44" s="5"/>
      <c r="H44" s="5"/>
      <c r="I44" s="5"/>
      <c r="J44" s="5"/>
      <c r="K44" s="5"/>
      <c r="L44" s="5"/>
      <c r="M44" s="5"/>
      <c r="N44" s="5"/>
      <c r="O44" s="5"/>
      <c r="P44" s="6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30"/>
      <c r="B45" s="47">
        <v>1.0</v>
      </c>
      <c r="C45" s="48" t="s">
        <v>37</v>
      </c>
      <c r="D45" s="16"/>
      <c r="E45" s="24">
        <f>BANYUANYAR!AF45+KAJARHARJO!AY45+'KALIBARU KULON'!AF45+'KALIBARU MANIS'!AK45+'KALIBARU WETAN'!AU45+KEBONREJO!AJ45</f>
        <v>5673</v>
      </c>
      <c r="F45" s="49"/>
      <c r="G45" s="50"/>
      <c r="H45" s="50"/>
      <c r="I45" s="50"/>
      <c r="J45" s="50"/>
      <c r="K45" s="50"/>
      <c r="L45" s="50"/>
      <c r="M45" s="50"/>
      <c r="N45" s="50"/>
      <c r="O45" s="50"/>
      <c r="P45" s="51"/>
      <c r="Q45" s="3"/>
      <c r="R45" s="3"/>
      <c r="S45" s="3"/>
      <c r="T45" s="3"/>
      <c r="U45" s="3"/>
      <c r="V45" s="3"/>
      <c r="W45" s="52"/>
      <c r="X45" s="3"/>
      <c r="Y45" s="3"/>
      <c r="Z45" s="3"/>
    </row>
    <row r="46" ht="15.75" customHeight="1">
      <c r="A46" s="33"/>
      <c r="B46" s="47">
        <v>2.0</v>
      </c>
      <c r="C46" s="48" t="s">
        <v>38</v>
      </c>
      <c r="D46" s="16"/>
      <c r="E46" s="24">
        <f>BANYUANYAR!AF46+KAJARHARJO!AY46+'KALIBARU KULON'!AF46+'KALIBARU MANIS'!AK46+'KALIBARU WETAN'!AU46+KEBONREJO!AJ46</f>
        <v>22219</v>
      </c>
      <c r="F46" s="18"/>
      <c r="G46" s="5"/>
      <c r="H46" s="5"/>
      <c r="I46" s="5"/>
      <c r="J46" s="5"/>
      <c r="K46" s="5"/>
      <c r="L46" s="5"/>
      <c r="M46" s="5"/>
      <c r="N46" s="5"/>
      <c r="O46" s="5"/>
      <c r="P46" s="6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53"/>
      <c r="B47" s="47">
        <v>3.0</v>
      </c>
      <c r="C47" s="48" t="s">
        <v>39</v>
      </c>
      <c r="D47" s="16"/>
      <c r="E47" s="24">
        <f>BANYUANYAR!AF47+KAJARHARJO!AY47+'KALIBARU KULON'!AF47+'KALIBARU MANIS'!AK47+'KALIBARU WETAN'!AU47+KEBONREJO!AJ47</f>
        <v>4495</v>
      </c>
      <c r="F47" s="18"/>
      <c r="G47" s="5"/>
      <c r="H47" s="5"/>
      <c r="I47" s="5"/>
      <c r="J47" s="5"/>
      <c r="K47" s="5"/>
      <c r="L47" s="5"/>
      <c r="M47" s="5"/>
      <c r="N47" s="5"/>
      <c r="O47" s="5"/>
      <c r="P47" s="6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F48" s="18"/>
      <c r="G48" s="5"/>
      <c r="H48" s="5"/>
      <c r="I48" s="5"/>
      <c r="J48" s="5"/>
      <c r="K48" s="5"/>
      <c r="L48" s="5"/>
      <c r="M48" s="5"/>
      <c r="N48" s="5"/>
      <c r="O48" s="5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42" t="s">
        <v>40</v>
      </c>
      <c r="B49" s="14" t="s">
        <v>41</v>
      </c>
      <c r="C49" s="15"/>
      <c r="D49" s="16"/>
      <c r="E49" s="13"/>
      <c r="F49" s="18"/>
      <c r="G49" s="5"/>
      <c r="H49" s="5"/>
      <c r="I49" s="5"/>
      <c r="J49" s="5"/>
      <c r="K49" s="5"/>
      <c r="L49" s="5"/>
      <c r="M49" s="5"/>
      <c r="N49" s="5"/>
      <c r="O49" s="5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42"/>
      <c r="B50" s="54" t="s">
        <v>42</v>
      </c>
      <c r="C50" s="55" t="s">
        <v>43</v>
      </c>
      <c r="D50" s="16"/>
      <c r="E50" s="24">
        <f>BANYUANYAR!AF50+KAJARHARJO!AY50+'KALIBARU KULON'!AF50+'KALIBARU MANIS'!AK50+'KALIBARU WETAN'!AU50+KEBONREJO!AJ50</f>
        <v>32385</v>
      </c>
      <c r="F50" s="18"/>
      <c r="G50" s="5"/>
      <c r="H50" s="5"/>
      <c r="I50" s="5"/>
      <c r="J50" s="5"/>
      <c r="K50" s="5"/>
      <c r="L50" s="5"/>
      <c r="M50" s="5"/>
      <c r="N50" s="5"/>
      <c r="O50" s="10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5"/>
      <c r="B51" s="54" t="s">
        <v>44</v>
      </c>
      <c r="C51" s="55" t="s">
        <v>45</v>
      </c>
      <c r="D51" s="16"/>
      <c r="E51" s="24">
        <f>BANYUANYAR!AF51+KAJARHARJO!AY51+'KALIBARU KULON'!AF51+'KALIBARU MANIS'!AK51+'KALIBARU WETAN'!AU51+KEBONREJO!AJ51</f>
        <v>990</v>
      </c>
      <c r="F51" s="18"/>
      <c r="G51" s="5"/>
      <c r="H51" s="5"/>
      <c r="I51" s="5"/>
      <c r="J51" s="5"/>
      <c r="K51" s="5"/>
      <c r="L51" s="5"/>
      <c r="M51" s="5"/>
      <c r="N51" s="5"/>
      <c r="O51" s="10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41"/>
      <c r="B52" s="54" t="s">
        <v>46</v>
      </c>
      <c r="C52" s="55" t="s">
        <v>47</v>
      </c>
      <c r="D52" s="16"/>
      <c r="E52" s="13">
        <f>SUM(E50:E51)</f>
        <v>33375</v>
      </c>
      <c r="F52" s="18"/>
      <c r="G52" s="5"/>
      <c r="H52" s="5"/>
      <c r="I52" s="5"/>
      <c r="J52" s="5"/>
      <c r="K52" s="5"/>
      <c r="L52" s="5"/>
      <c r="M52" s="5"/>
      <c r="N52" s="5"/>
      <c r="O52" s="10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5"/>
      <c r="B53" s="56"/>
      <c r="C53" s="57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10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5"/>
      <c r="B54" s="56"/>
      <c r="C54" s="57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10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5"/>
      <c r="B55" s="56"/>
      <c r="C55" s="57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10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hidden="1" customHeight="1">
      <c r="A56" s="5"/>
      <c r="B56" s="56"/>
      <c r="C56" s="57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10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hidden="1" customHeight="1">
      <c r="A57" s="5"/>
      <c r="B57" s="56"/>
      <c r="C57" s="57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10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hidden="1" customHeight="1">
      <c r="A58" s="5"/>
      <c r="B58" s="56"/>
      <c r="C58" s="57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10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hidden="1" customHeight="1">
      <c r="A59" s="5"/>
      <c r="B59" s="56"/>
      <c r="C59" s="57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10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hidden="1" customHeight="1">
      <c r="A60" s="5"/>
      <c r="B60" s="56"/>
      <c r="C60" s="57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10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hidden="1" customHeight="1">
      <c r="A61" s="5"/>
      <c r="B61" s="56"/>
      <c r="C61" s="57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10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hidden="1" customHeight="1">
      <c r="A62" s="5"/>
      <c r="B62" s="56"/>
      <c r="C62" s="57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10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hidden="1" customHeight="1">
      <c r="A63" s="5"/>
      <c r="B63" s="56"/>
      <c r="C63" s="57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10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hidden="1" customHeight="1">
      <c r="A64" s="5"/>
      <c r="B64" s="56"/>
      <c r="C64" s="57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10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hidden="1" customHeight="1">
      <c r="A65" s="5"/>
      <c r="B65" s="56"/>
      <c r="C65" s="57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10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hidden="1" customHeight="1">
      <c r="A66" s="5"/>
      <c r="B66" s="56"/>
      <c r="C66" s="57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10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hidden="1" customHeight="1">
      <c r="A67" s="5"/>
      <c r="B67" s="56"/>
      <c r="C67" s="57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10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hidden="1" customHeight="1">
      <c r="A68" s="5"/>
      <c r="B68" s="56"/>
      <c r="C68" s="57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10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hidden="1" customHeight="1">
      <c r="A69" s="5"/>
      <c r="B69" s="56"/>
      <c r="C69" s="57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10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hidden="1" customHeight="1">
      <c r="A70" s="5"/>
      <c r="B70" s="56"/>
      <c r="C70" s="57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10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hidden="1" customHeight="1">
      <c r="A71" s="5"/>
      <c r="B71" s="56"/>
      <c r="C71" s="57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10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hidden="1" customHeight="1">
      <c r="A72" s="5"/>
      <c r="B72" s="56"/>
      <c r="C72" s="57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10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hidden="1" customHeight="1">
      <c r="A73" s="5"/>
      <c r="B73" s="56"/>
      <c r="C73" s="57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10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hidden="1" customHeight="1">
      <c r="A74" s="5"/>
      <c r="B74" s="56"/>
      <c r="C74" s="57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10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hidden="1" customHeight="1">
      <c r="A75" s="5"/>
      <c r="B75" s="56"/>
      <c r="C75" s="57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10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hidden="1" customHeight="1">
      <c r="A76" s="5"/>
      <c r="B76" s="56"/>
      <c r="C76" s="57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10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hidden="1" customHeight="1">
      <c r="A77" s="5"/>
      <c r="B77" s="56"/>
      <c r="C77" s="57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10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hidden="1" customHeight="1">
      <c r="A78" s="5"/>
      <c r="B78" s="56"/>
      <c r="C78" s="57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10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hidden="1" customHeight="1">
      <c r="A79" s="5"/>
      <c r="B79" s="56"/>
      <c r="C79" s="57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10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hidden="1" customHeight="1">
      <c r="A80" s="5"/>
      <c r="B80" s="56"/>
      <c r="C80" s="57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10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hidden="1" customHeight="1">
      <c r="A81" s="5"/>
      <c r="B81" s="56"/>
      <c r="C81" s="57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10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hidden="1" customHeight="1">
      <c r="A82" s="5"/>
      <c r="B82" s="56"/>
      <c r="C82" s="57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10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hidden="1" customHeight="1">
      <c r="A83" s="5"/>
      <c r="B83" s="56"/>
      <c r="C83" s="57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10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hidden="1" customHeight="1">
      <c r="A84" s="5"/>
      <c r="B84" s="56"/>
      <c r="C84" s="57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10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hidden="1" customHeight="1">
      <c r="A85" s="5"/>
      <c r="B85" s="56"/>
      <c r="C85" s="57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10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hidden="1" customHeight="1">
      <c r="A86" s="5"/>
      <c r="B86" s="56"/>
      <c r="C86" s="57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10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hidden="1" customHeight="1">
      <c r="A87" s="5"/>
      <c r="B87" s="56"/>
      <c r="C87" s="57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10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hidden="1" customHeight="1">
      <c r="A88" s="5"/>
      <c r="B88" s="56"/>
      <c r="C88" s="57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10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hidden="1" customHeight="1">
      <c r="A89" s="5"/>
      <c r="B89" s="56"/>
      <c r="C89" s="57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10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hidden="1" customHeight="1">
      <c r="A90" s="5"/>
      <c r="B90" s="56"/>
      <c r="C90" s="57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10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hidden="1" customHeight="1">
      <c r="A91" s="5"/>
      <c r="B91" s="56"/>
      <c r="C91" s="57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10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hidden="1" customHeight="1">
      <c r="A92" s="5"/>
      <c r="B92" s="56"/>
      <c r="C92" s="57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10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hidden="1" customHeight="1">
      <c r="A93" s="5"/>
      <c r="B93" s="56"/>
      <c r="C93" s="57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10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hidden="1" customHeight="1">
      <c r="A94" s="5"/>
      <c r="B94" s="56"/>
      <c r="C94" s="57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10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hidden="1" customHeight="1">
      <c r="A95" s="5"/>
      <c r="B95" s="56"/>
      <c r="C95" s="57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10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hidden="1" customHeight="1">
      <c r="A96" s="5"/>
      <c r="B96" s="56"/>
      <c r="C96" s="57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10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hidden="1" customHeight="1">
      <c r="A97" s="5"/>
      <c r="B97" s="56"/>
      <c r="C97" s="57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10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hidden="1" customHeight="1">
      <c r="A98" s="5"/>
      <c r="B98" s="56"/>
      <c r="C98" s="57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10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hidden="1" customHeight="1">
      <c r="A99" s="5"/>
      <c r="B99" s="56"/>
      <c r="C99" s="57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10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hidden="1" customHeight="1">
      <c r="A100" s="5"/>
      <c r="B100" s="56"/>
      <c r="C100" s="57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10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hidden="1" customHeight="1">
      <c r="A101" s="5"/>
      <c r="B101" s="56"/>
      <c r="C101" s="57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10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hidden="1" customHeight="1">
      <c r="A102" s="5"/>
      <c r="B102" s="56"/>
      <c r="C102" s="57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10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hidden="1" customHeight="1">
      <c r="A103" s="5"/>
      <c r="B103" s="56"/>
      <c r="C103" s="57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10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hidden="1" customHeight="1">
      <c r="A104" s="5"/>
      <c r="B104" s="56"/>
      <c r="C104" s="57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10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hidden="1" customHeight="1">
      <c r="A105" s="5"/>
      <c r="B105" s="56"/>
      <c r="C105" s="57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10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hidden="1" customHeight="1">
      <c r="A106" s="5"/>
      <c r="B106" s="56"/>
      <c r="C106" s="57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10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hidden="1" customHeight="1">
      <c r="A107" s="5"/>
      <c r="B107" s="56"/>
      <c r="C107" s="57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10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hidden="1" customHeight="1">
      <c r="A108" s="5"/>
      <c r="B108" s="56"/>
      <c r="C108" s="57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10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hidden="1" customHeight="1">
      <c r="A109" s="5"/>
      <c r="B109" s="56"/>
      <c r="C109" s="57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10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hidden="1" customHeight="1">
      <c r="A110" s="5"/>
      <c r="B110" s="56"/>
      <c r="C110" s="57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10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hidden="1" customHeight="1">
      <c r="A111" s="5"/>
      <c r="B111" s="56"/>
      <c r="C111" s="57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10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hidden="1" customHeight="1">
      <c r="A112" s="5"/>
      <c r="B112" s="56"/>
      <c r="C112" s="57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10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hidden="1" customHeight="1">
      <c r="A113" s="5"/>
      <c r="B113" s="56"/>
      <c r="C113" s="57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10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hidden="1" customHeight="1">
      <c r="A114" s="5"/>
      <c r="B114" s="56"/>
      <c r="C114" s="57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10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hidden="1" customHeight="1">
      <c r="A115" s="5"/>
      <c r="B115" s="56"/>
      <c r="C115" s="57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10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hidden="1" customHeight="1">
      <c r="A116" s="5"/>
      <c r="B116" s="56"/>
      <c r="C116" s="57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10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hidden="1" customHeight="1">
      <c r="A117" s="5"/>
      <c r="B117" s="56"/>
      <c r="C117" s="57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10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hidden="1" customHeight="1">
      <c r="A118" s="5"/>
      <c r="B118" s="56"/>
      <c r="C118" s="57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10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hidden="1" customHeight="1">
      <c r="A119" s="5"/>
      <c r="B119" s="56"/>
      <c r="C119" s="57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10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hidden="1" customHeight="1">
      <c r="A120" s="5"/>
      <c r="B120" s="56"/>
      <c r="C120" s="57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10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hidden="1" customHeight="1">
      <c r="A121" s="5"/>
      <c r="B121" s="56"/>
      <c r="C121" s="57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10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hidden="1" customHeight="1">
      <c r="A122" s="5"/>
      <c r="B122" s="56"/>
      <c r="C122" s="57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10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hidden="1" customHeight="1">
      <c r="A123" s="5"/>
      <c r="B123" s="56"/>
      <c r="C123" s="57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10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hidden="1" customHeight="1">
      <c r="A124" s="5"/>
      <c r="B124" s="56"/>
      <c r="C124" s="57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10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hidden="1" customHeight="1">
      <c r="A125" s="5"/>
      <c r="B125" s="56"/>
      <c r="C125" s="57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10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hidden="1" customHeight="1">
      <c r="A126" s="5"/>
      <c r="B126" s="56"/>
      <c r="C126" s="57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10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hidden="1" customHeight="1">
      <c r="A127" s="5"/>
      <c r="B127" s="56"/>
      <c r="C127" s="57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10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hidden="1" customHeight="1">
      <c r="A128" s="5"/>
      <c r="B128" s="56"/>
      <c r="C128" s="57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10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hidden="1" customHeight="1">
      <c r="A129" s="5"/>
      <c r="B129" s="56"/>
      <c r="C129" s="57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10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hidden="1" customHeight="1">
      <c r="A130" s="5"/>
      <c r="B130" s="56"/>
      <c r="C130" s="57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10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hidden="1" customHeight="1">
      <c r="A131" s="5"/>
      <c r="B131" s="56"/>
      <c r="C131" s="57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10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hidden="1" customHeight="1">
      <c r="A132" s="5"/>
      <c r="B132" s="56"/>
      <c r="C132" s="57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10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hidden="1" customHeight="1">
      <c r="A133" s="5"/>
      <c r="B133" s="56"/>
      <c r="C133" s="57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10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hidden="1" customHeight="1">
      <c r="A134" s="5"/>
      <c r="B134" s="56"/>
      <c r="C134" s="57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10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hidden="1" customHeight="1">
      <c r="A135" s="5"/>
      <c r="B135" s="56"/>
      <c r="C135" s="57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10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hidden="1" customHeight="1">
      <c r="A136" s="5"/>
      <c r="B136" s="56"/>
      <c r="C136" s="57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10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hidden="1" customHeight="1">
      <c r="A137" s="5"/>
      <c r="B137" s="56"/>
      <c r="C137" s="57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10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hidden="1" customHeight="1">
      <c r="A138" s="5"/>
      <c r="B138" s="56"/>
      <c r="C138" s="57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10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hidden="1" customHeight="1">
      <c r="A139" s="5"/>
      <c r="B139" s="56"/>
      <c r="C139" s="57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10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hidden="1" customHeight="1">
      <c r="A140" s="5"/>
      <c r="B140" s="56"/>
      <c r="C140" s="57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10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hidden="1" customHeight="1">
      <c r="A141" s="5"/>
      <c r="B141" s="56"/>
      <c r="C141" s="57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10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hidden="1" customHeight="1">
      <c r="A142" s="5"/>
      <c r="B142" s="56"/>
      <c r="C142" s="57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10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hidden="1" customHeight="1">
      <c r="A143" s="5"/>
      <c r="B143" s="56"/>
      <c r="C143" s="57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10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hidden="1" customHeight="1">
      <c r="A144" s="5"/>
      <c r="B144" s="56"/>
      <c r="C144" s="57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10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hidden="1" customHeight="1">
      <c r="A145" s="5"/>
      <c r="B145" s="56"/>
      <c r="C145" s="57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10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hidden="1" customHeight="1">
      <c r="A146" s="5"/>
      <c r="B146" s="56"/>
      <c r="C146" s="57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10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hidden="1" customHeight="1">
      <c r="A147" s="5"/>
      <c r="B147" s="56"/>
      <c r="C147" s="57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10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hidden="1" customHeight="1">
      <c r="A148" s="5"/>
      <c r="B148" s="56"/>
      <c r="C148" s="57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10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hidden="1" customHeight="1">
      <c r="A149" s="5"/>
      <c r="B149" s="56"/>
      <c r="C149" s="57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10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hidden="1" customHeight="1">
      <c r="A150" s="5"/>
      <c r="B150" s="56"/>
      <c r="C150" s="57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10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hidden="1" customHeight="1">
      <c r="A151" s="5"/>
      <c r="B151" s="56"/>
      <c r="C151" s="57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10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hidden="1" customHeight="1">
      <c r="A152" s="5"/>
      <c r="B152" s="56"/>
      <c r="C152" s="57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10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hidden="1" customHeight="1">
      <c r="A153" s="5"/>
      <c r="B153" s="56"/>
      <c r="C153" s="57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10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hidden="1" customHeight="1">
      <c r="A154" s="5"/>
      <c r="B154" s="56"/>
      <c r="C154" s="57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10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hidden="1" customHeight="1">
      <c r="A155" s="5"/>
      <c r="B155" s="56"/>
      <c r="C155" s="57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10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hidden="1" customHeight="1">
      <c r="A156" s="5"/>
      <c r="B156" s="56"/>
      <c r="C156" s="57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10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hidden="1" customHeight="1">
      <c r="A157" s="5"/>
      <c r="B157" s="56"/>
      <c r="C157" s="57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10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hidden="1" customHeight="1">
      <c r="A158" s="5"/>
      <c r="B158" s="56"/>
      <c r="C158" s="57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10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hidden="1" customHeight="1">
      <c r="A159" s="5"/>
      <c r="B159" s="56"/>
      <c r="C159" s="57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10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hidden="1" customHeight="1">
      <c r="A160" s="5"/>
      <c r="B160" s="56"/>
      <c r="C160" s="57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10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hidden="1" customHeight="1">
      <c r="A161" s="5"/>
      <c r="B161" s="56"/>
      <c r="C161" s="57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10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hidden="1" customHeight="1">
      <c r="A162" s="5"/>
      <c r="B162" s="56"/>
      <c r="C162" s="57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10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hidden="1" customHeight="1">
      <c r="A163" s="5"/>
      <c r="B163" s="56"/>
      <c r="C163" s="57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10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hidden="1" customHeight="1">
      <c r="A164" s="5"/>
      <c r="B164" s="56"/>
      <c r="C164" s="57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10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hidden="1" customHeight="1">
      <c r="A165" s="5"/>
      <c r="B165" s="56"/>
      <c r="C165" s="57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10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hidden="1" customHeight="1">
      <c r="A166" s="5"/>
      <c r="B166" s="56"/>
      <c r="C166" s="57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10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hidden="1" customHeight="1">
      <c r="A167" s="5"/>
      <c r="B167" s="56"/>
      <c r="C167" s="57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10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hidden="1" customHeight="1">
      <c r="A168" s="5"/>
      <c r="B168" s="56"/>
      <c r="C168" s="57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10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hidden="1" customHeight="1">
      <c r="A169" s="5"/>
      <c r="B169" s="56"/>
      <c r="C169" s="57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10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hidden="1" customHeight="1">
      <c r="A170" s="5"/>
      <c r="B170" s="56"/>
      <c r="C170" s="57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10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hidden="1" customHeight="1">
      <c r="A171" s="5"/>
      <c r="B171" s="56"/>
      <c r="C171" s="57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10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hidden="1" customHeight="1">
      <c r="A172" s="5"/>
      <c r="B172" s="56"/>
      <c r="C172" s="57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10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hidden="1" customHeight="1">
      <c r="A173" s="5"/>
      <c r="B173" s="56"/>
      <c r="C173" s="57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10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hidden="1" customHeight="1">
      <c r="A174" s="5"/>
      <c r="B174" s="56"/>
      <c r="C174" s="57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10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hidden="1" customHeight="1">
      <c r="A175" s="5"/>
      <c r="B175" s="56"/>
      <c r="C175" s="57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10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hidden="1" customHeight="1">
      <c r="A176" s="5"/>
      <c r="B176" s="56"/>
      <c r="C176" s="57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10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hidden="1" customHeight="1">
      <c r="A177" s="5"/>
      <c r="B177" s="56"/>
      <c r="C177" s="57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10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hidden="1" customHeight="1">
      <c r="A178" s="5"/>
      <c r="B178" s="56"/>
      <c r="C178" s="57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10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hidden="1" customHeight="1">
      <c r="A179" s="5"/>
      <c r="B179" s="56"/>
      <c r="C179" s="57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10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hidden="1" customHeight="1">
      <c r="A180" s="5"/>
      <c r="B180" s="56"/>
      <c r="C180" s="57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10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hidden="1" customHeight="1">
      <c r="A181" s="5"/>
      <c r="B181" s="56"/>
      <c r="C181" s="57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10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hidden="1" customHeight="1">
      <c r="A182" s="5"/>
      <c r="B182" s="56"/>
      <c r="C182" s="57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10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hidden="1" customHeight="1">
      <c r="A183" s="5"/>
      <c r="B183" s="56"/>
      <c r="C183" s="57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10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hidden="1" customHeight="1">
      <c r="A184" s="5"/>
      <c r="B184" s="56"/>
      <c r="C184" s="57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10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hidden="1" customHeight="1">
      <c r="A185" s="5"/>
      <c r="B185" s="56"/>
      <c r="C185" s="57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10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hidden="1" customHeight="1">
      <c r="A186" s="5"/>
      <c r="B186" s="56"/>
      <c r="C186" s="57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10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hidden="1" customHeight="1">
      <c r="A187" s="5"/>
      <c r="B187" s="56"/>
      <c r="C187" s="57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10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hidden="1" customHeight="1">
      <c r="A188" s="5"/>
      <c r="B188" s="56"/>
      <c r="C188" s="57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10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hidden="1" customHeight="1">
      <c r="A189" s="5"/>
      <c r="B189" s="56"/>
      <c r="C189" s="57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10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hidden="1" customHeight="1">
      <c r="A190" s="5"/>
      <c r="B190" s="56"/>
      <c r="C190" s="57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10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hidden="1" customHeight="1">
      <c r="A191" s="5"/>
      <c r="B191" s="56"/>
      <c r="C191" s="57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10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hidden="1" customHeight="1">
      <c r="A192" s="5"/>
      <c r="B192" s="56"/>
      <c r="C192" s="57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10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hidden="1" customHeight="1">
      <c r="A193" s="5"/>
      <c r="B193" s="56"/>
      <c r="C193" s="57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10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hidden="1" customHeight="1">
      <c r="A194" s="5"/>
      <c r="B194" s="56"/>
      <c r="C194" s="57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10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hidden="1" customHeight="1">
      <c r="A195" s="5"/>
      <c r="B195" s="56"/>
      <c r="C195" s="57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10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hidden="1" customHeight="1">
      <c r="A196" s="5"/>
      <c r="B196" s="56"/>
      <c r="C196" s="57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10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hidden="1" customHeight="1">
      <c r="A197" s="5"/>
      <c r="B197" s="56"/>
      <c r="C197" s="57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10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hidden="1" customHeight="1">
      <c r="A198" s="5"/>
      <c r="B198" s="56"/>
      <c r="C198" s="57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10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hidden="1" customHeight="1">
      <c r="A199" s="5"/>
      <c r="B199" s="56"/>
      <c r="C199" s="57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10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hidden="1" customHeight="1">
      <c r="A200" s="5"/>
      <c r="B200" s="56"/>
      <c r="C200" s="57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10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hidden="1" customHeight="1">
      <c r="A201" s="5"/>
      <c r="B201" s="56"/>
      <c r="C201" s="57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10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hidden="1" customHeight="1">
      <c r="A202" s="5"/>
      <c r="B202" s="56"/>
      <c r="C202" s="57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10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hidden="1" customHeight="1">
      <c r="A203" s="5"/>
      <c r="B203" s="56"/>
      <c r="C203" s="57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10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hidden="1" customHeight="1">
      <c r="A204" s="5"/>
      <c r="B204" s="56"/>
      <c r="C204" s="57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10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hidden="1" customHeight="1">
      <c r="A205" s="5"/>
      <c r="B205" s="56"/>
      <c r="C205" s="57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10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hidden="1" customHeight="1">
      <c r="A206" s="5"/>
      <c r="B206" s="56"/>
      <c r="C206" s="57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10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hidden="1" customHeight="1">
      <c r="A207" s="5"/>
      <c r="B207" s="56"/>
      <c r="C207" s="57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10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hidden="1" customHeight="1">
      <c r="A208" s="5"/>
      <c r="B208" s="56"/>
      <c r="C208" s="57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10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hidden="1" customHeight="1">
      <c r="A209" s="5"/>
      <c r="B209" s="56"/>
      <c r="C209" s="57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10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hidden="1" customHeight="1">
      <c r="A210" s="5"/>
      <c r="B210" s="56"/>
      <c r="C210" s="57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10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hidden="1" customHeight="1">
      <c r="A211" s="5"/>
      <c r="B211" s="56"/>
      <c r="C211" s="57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10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hidden="1" customHeight="1">
      <c r="A212" s="5"/>
      <c r="B212" s="56"/>
      <c r="C212" s="57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10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hidden="1" customHeight="1">
      <c r="A213" s="5"/>
      <c r="B213" s="56"/>
      <c r="C213" s="57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10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hidden="1" customHeight="1">
      <c r="A214" s="5"/>
      <c r="B214" s="56"/>
      <c r="C214" s="57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10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hidden="1" customHeight="1">
      <c r="A215" s="5"/>
      <c r="B215" s="56"/>
      <c r="C215" s="57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10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hidden="1" customHeight="1">
      <c r="A216" s="5"/>
      <c r="B216" s="56"/>
      <c r="C216" s="57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10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hidden="1" customHeight="1">
      <c r="A217" s="5"/>
      <c r="B217" s="56"/>
      <c r="C217" s="57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10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hidden="1" customHeight="1">
      <c r="A218" s="5"/>
      <c r="B218" s="56"/>
      <c r="C218" s="57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10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hidden="1" customHeight="1">
      <c r="A219" s="5"/>
      <c r="B219" s="56"/>
      <c r="C219" s="57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10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hidden="1" customHeight="1">
      <c r="A220" s="5"/>
      <c r="B220" s="56"/>
      <c r="C220" s="57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10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hidden="1" customHeight="1">
      <c r="A221" s="5"/>
      <c r="B221" s="56"/>
      <c r="C221" s="57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10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hidden="1" customHeight="1">
      <c r="A222" s="5"/>
      <c r="B222" s="56"/>
      <c r="C222" s="57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10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hidden="1" customHeight="1">
      <c r="A223" s="5"/>
      <c r="B223" s="56"/>
      <c r="C223" s="57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10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hidden="1" customHeight="1">
      <c r="A224" s="5"/>
      <c r="B224" s="56"/>
      <c r="C224" s="57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10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hidden="1" customHeight="1">
      <c r="A225" s="5"/>
      <c r="B225" s="56"/>
      <c r="C225" s="57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10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hidden="1" customHeight="1">
      <c r="A226" s="5"/>
      <c r="B226" s="56"/>
      <c r="C226" s="57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10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hidden="1" customHeight="1">
      <c r="A227" s="5"/>
      <c r="B227" s="56"/>
      <c r="C227" s="57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10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hidden="1" customHeight="1">
      <c r="A228" s="5"/>
      <c r="B228" s="56"/>
      <c r="C228" s="57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10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hidden="1" customHeight="1">
      <c r="A229" s="5"/>
      <c r="B229" s="56"/>
      <c r="C229" s="57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10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hidden="1" customHeight="1">
      <c r="A230" s="5"/>
      <c r="B230" s="56"/>
      <c r="C230" s="57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10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hidden="1" customHeight="1">
      <c r="A231" s="5"/>
      <c r="B231" s="56"/>
      <c r="C231" s="57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10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hidden="1" customHeight="1">
      <c r="A232" s="5"/>
      <c r="B232" s="56"/>
      <c r="C232" s="57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10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hidden="1" customHeight="1">
      <c r="A233" s="5"/>
      <c r="B233" s="56"/>
      <c r="C233" s="57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10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hidden="1" customHeight="1">
      <c r="A234" s="5"/>
      <c r="B234" s="56"/>
      <c r="C234" s="57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10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hidden="1" customHeight="1">
      <c r="A235" s="5"/>
      <c r="B235" s="56"/>
      <c r="C235" s="57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10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hidden="1" customHeight="1">
      <c r="A236" s="5"/>
      <c r="B236" s="56"/>
      <c r="C236" s="57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10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hidden="1" customHeight="1">
      <c r="A237" s="5"/>
      <c r="B237" s="56"/>
      <c r="C237" s="57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10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hidden="1" customHeight="1">
      <c r="A238" s="5"/>
      <c r="B238" s="56"/>
      <c r="C238" s="57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10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hidden="1" customHeight="1">
      <c r="A239" s="5"/>
      <c r="B239" s="56"/>
      <c r="C239" s="57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10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hidden="1" customHeight="1">
      <c r="A240" s="5"/>
      <c r="B240" s="56"/>
      <c r="C240" s="57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10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hidden="1" customHeight="1">
      <c r="A241" s="5"/>
      <c r="B241" s="56"/>
      <c r="C241" s="57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10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hidden="1" customHeight="1">
      <c r="A242" s="5"/>
      <c r="B242" s="56"/>
      <c r="C242" s="57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10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hidden="1" customHeight="1">
      <c r="A243" s="5"/>
      <c r="B243" s="56"/>
      <c r="C243" s="57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10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hidden="1" customHeight="1">
      <c r="A244" s="5"/>
      <c r="B244" s="56"/>
      <c r="C244" s="57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10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hidden="1" customHeight="1">
      <c r="A245" s="5"/>
      <c r="B245" s="56"/>
      <c r="C245" s="57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10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hidden="1" customHeight="1">
      <c r="A246" s="5"/>
      <c r="B246" s="56"/>
      <c r="C246" s="57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10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hidden="1" customHeight="1">
      <c r="A247" s="5"/>
      <c r="B247" s="56"/>
      <c r="C247" s="57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10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hidden="1" customHeight="1">
      <c r="A248" s="5"/>
      <c r="B248" s="56"/>
      <c r="C248" s="57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10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hidden="1" customHeight="1">
      <c r="A249" s="5"/>
      <c r="B249" s="56"/>
      <c r="C249" s="57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10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hidden="1" customHeight="1">
      <c r="A250" s="5"/>
      <c r="B250" s="56"/>
      <c r="C250" s="57"/>
      <c r="D250" s="5"/>
      <c r="E250" s="5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hidden="1" customHeight="1">
      <c r="A251" s="5"/>
      <c r="B251" s="56"/>
      <c r="C251" s="57"/>
      <c r="D251" s="5"/>
      <c r="E251" s="5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hidden="1" customHeight="1">
      <c r="A252" s="5"/>
      <c r="B252" s="56"/>
      <c r="C252" s="57"/>
      <c r="D252" s="5"/>
      <c r="E252" s="5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B12:D12"/>
    <mergeCell ref="E12:E13"/>
    <mergeCell ref="B13:D13"/>
    <mergeCell ref="B14:C16"/>
    <mergeCell ref="A17:D17"/>
    <mergeCell ref="B18:D18"/>
    <mergeCell ref="C19:C21"/>
    <mergeCell ref="B19:B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34:D34"/>
    <mergeCell ref="B35:D35"/>
    <mergeCell ref="B36:D36"/>
    <mergeCell ref="A37:E37"/>
    <mergeCell ref="C47:D47"/>
    <mergeCell ref="B49:D49"/>
    <mergeCell ref="C50:D50"/>
    <mergeCell ref="C51:D51"/>
    <mergeCell ref="C52:D52"/>
    <mergeCell ref="B38:D38"/>
    <mergeCell ref="B39:C41"/>
    <mergeCell ref="A42:D42"/>
    <mergeCell ref="B43:D43"/>
    <mergeCell ref="A44:D44"/>
    <mergeCell ref="C45:D45"/>
    <mergeCell ref="C46:D46"/>
  </mergeCells>
  <conditionalFormatting sqref="E30">
    <cfRule type="expression" dxfId="0" priority="1">
      <formula>E30&lt;&gt;E52</formula>
    </cfRule>
  </conditionalFormatting>
  <conditionalFormatting sqref="E30">
    <cfRule type="expression" dxfId="0" priority="2">
      <formula>E30&lt;&gt;E34</formula>
    </cfRule>
  </conditionalFormatting>
  <conditionalFormatting sqref="F48:O49">
    <cfRule type="cellIs" dxfId="0" priority="3" operator="equal">
      <formula>"FALSE"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1" width="8.71"/>
    <col customWidth="1" min="32" max="32" width="13.29"/>
    <col customWidth="1" min="33" max="34" width="8.71"/>
  </cols>
  <sheetData>
    <row r="1" ht="12.75" customHeight="1"/>
    <row r="2" ht="12.75" customHeight="1">
      <c r="C2" s="8" t="s">
        <v>0</v>
      </c>
      <c r="D2" s="8" t="s">
        <v>48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49</v>
      </c>
      <c r="D9" s="8" t="s">
        <v>50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  <c r="AE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5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51</v>
      </c>
      <c r="F13" s="13" t="s">
        <v>52</v>
      </c>
      <c r="G13" s="13" t="s">
        <v>53</v>
      </c>
      <c r="H13" s="13" t="s">
        <v>54</v>
      </c>
      <c r="I13" s="13" t="s">
        <v>55</v>
      </c>
      <c r="J13" s="13" t="s">
        <v>56</v>
      </c>
      <c r="K13" s="13" t="s">
        <v>57</v>
      </c>
      <c r="L13" s="13" t="s">
        <v>58</v>
      </c>
      <c r="M13" s="13" t="s">
        <v>59</v>
      </c>
      <c r="N13" s="13" t="s">
        <v>60</v>
      </c>
      <c r="O13" s="13" t="s">
        <v>61</v>
      </c>
      <c r="P13" s="13" t="s">
        <v>62</v>
      </c>
      <c r="Q13" s="13" t="s">
        <v>63</v>
      </c>
      <c r="R13" s="13" t="s">
        <v>64</v>
      </c>
      <c r="S13" s="13" t="s">
        <v>65</v>
      </c>
      <c r="T13" s="13" t="s">
        <v>66</v>
      </c>
      <c r="U13" s="13" t="s">
        <v>67</v>
      </c>
      <c r="V13" s="13" t="s">
        <v>68</v>
      </c>
      <c r="W13" s="13" t="s">
        <v>69</v>
      </c>
      <c r="X13" s="13" t="s">
        <v>70</v>
      </c>
      <c r="Y13" s="13" t="s">
        <v>71</v>
      </c>
      <c r="Z13" s="13" t="s">
        <v>72</v>
      </c>
      <c r="AA13" s="13" t="s">
        <v>73</v>
      </c>
      <c r="AB13" s="13" t="s">
        <v>74</v>
      </c>
      <c r="AC13" s="13" t="s">
        <v>75</v>
      </c>
      <c r="AD13" s="13" t="s">
        <v>76</v>
      </c>
      <c r="AE13" s="13" t="s">
        <v>77</v>
      </c>
      <c r="AF13" s="36"/>
    </row>
    <row r="14" ht="12.75" customHeight="1">
      <c r="A14" s="18"/>
      <c r="B14" s="22" t="s">
        <v>11</v>
      </c>
      <c r="C14" s="23"/>
      <c r="D14" s="19" t="s">
        <v>12</v>
      </c>
      <c r="E14" s="59">
        <v>132.0</v>
      </c>
      <c r="F14" s="59">
        <v>144.0</v>
      </c>
      <c r="G14" s="59">
        <v>127.0</v>
      </c>
      <c r="H14" s="59">
        <v>133.0</v>
      </c>
      <c r="I14" s="59">
        <v>128.0</v>
      </c>
      <c r="J14" s="59">
        <v>153.0</v>
      </c>
      <c r="K14" s="59">
        <v>138.0</v>
      </c>
      <c r="L14" s="59">
        <v>139.0</v>
      </c>
      <c r="M14" s="59">
        <v>144.0</v>
      </c>
      <c r="N14" s="59">
        <v>151.0</v>
      </c>
      <c r="O14" s="59">
        <v>120.0</v>
      </c>
      <c r="P14" s="59">
        <v>109.0</v>
      </c>
      <c r="Q14" s="59">
        <v>156.0</v>
      </c>
      <c r="R14" s="59">
        <v>137.0</v>
      </c>
      <c r="S14" s="59">
        <v>148.0</v>
      </c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3">
        <f t="shared" ref="AF14:AF16" si="1">SUM(E14:AE14)</f>
        <v>2059</v>
      </c>
    </row>
    <row r="15" ht="12.75" customHeight="1">
      <c r="A15" s="18"/>
      <c r="B15" s="26"/>
      <c r="C15" s="27"/>
      <c r="D15" s="19" t="s">
        <v>13</v>
      </c>
      <c r="E15" s="59">
        <v>159.0</v>
      </c>
      <c r="F15" s="59">
        <v>140.0</v>
      </c>
      <c r="G15" s="59">
        <v>142.0</v>
      </c>
      <c r="H15" s="59">
        <v>148.0</v>
      </c>
      <c r="I15" s="59">
        <v>125.0</v>
      </c>
      <c r="J15" s="59">
        <v>145.0</v>
      </c>
      <c r="K15" s="59">
        <v>136.0</v>
      </c>
      <c r="L15" s="59">
        <v>130.0</v>
      </c>
      <c r="M15" s="59">
        <v>133.0</v>
      </c>
      <c r="N15" s="59">
        <v>139.0</v>
      </c>
      <c r="O15" s="59">
        <v>137.0</v>
      </c>
      <c r="P15" s="59">
        <v>114.0</v>
      </c>
      <c r="Q15" s="59">
        <v>122.0</v>
      </c>
      <c r="R15" s="59">
        <v>154.0</v>
      </c>
      <c r="S15" s="59">
        <v>134.0</v>
      </c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3">
        <f t="shared" si="1"/>
        <v>2058</v>
      </c>
    </row>
    <row r="16" ht="12.75" customHeight="1">
      <c r="A16" s="25"/>
      <c r="B16" s="21"/>
      <c r="C16" s="28"/>
      <c r="D16" s="13" t="s">
        <v>14</v>
      </c>
      <c r="E16" s="13">
        <f t="shared" ref="E16:AE16" si="2">SUM(E14:E15)</f>
        <v>291</v>
      </c>
      <c r="F16" s="13">
        <f t="shared" si="2"/>
        <v>284</v>
      </c>
      <c r="G16" s="13">
        <f t="shared" si="2"/>
        <v>269</v>
      </c>
      <c r="H16" s="13">
        <f t="shared" si="2"/>
        <v>281</v>
      </c>
      <c r="I16" s="13">
        <f t="shared" si="2"/>
        <v>253</v>
      </c>
      <c r="J16" s="13">
        <f t="shared" si="2"/>
        <v>298</v>
      </c>
      <c r="K16" s="13">
        <f t="shared" si="2"/>
        <v>274</v>
      </c>
      <c r="L16" s="13">
        <f t="shared" si="2"/>
        <v>269</v>
      </c>
      <c r="M16" s="13">
        <f t="shared" si="2"/>
        <v>277</v>
      </c>
      <c r="N16" s="13">
        <f t="shared" si="2"/>
        <v>290</v>
      </c>
      <c r="O16" s="13">
        <f t="shared" si="2"/>
        <v>257</v>
      </c>
      <c r="P16" s="13">
        <f t="shared" si="2"/>
        <v>223</v>
      </c>
      <c r="Q16" s="13">
        <f t="shared" si="2"/>
        <v>278</v>
      </c>
      <c r="R16" s="13">
        <f t="shared" si="2"/>
        <v>291</v>
      </c>
      <c r="S16" s="13">
        <f t="shared" si="2"/>
        <v>282</v>
      </c>
      <c r="T16" s="13">
        <f t="shared" si="2"/>
        <v>0</v>
      </c>
      <c r="U16" s="13">
        <f t="shared" si="2"/>
        <v>0</v>
      </c>
      <c r="V16" s="13">
        <f t="shared" si="2"/>
        <v>0</v>
      </c>
      <c r="W16" s="13">
        <f t="shared" si="2"/>
        <v>0</v>
      </c>
      <c r="X16" s="13">
        <f t="shared" si="2"/>
        <v>0</v>
      </c>
      <c r="Y16" s="13">
        <f t="shared" si="2"/>
        <v>0</v>
      </c>
      <c r="Z16" s="13">
        <f t="shared" si="2"/>
        <v>0</v>
      </c>
      <c r="AA16" s="13">
        <f t="shared" si="2"/>
        <v>0</v>
      </c>
      <c r="AB16" s="13">
        <f t="shared" si="2"/>
        <v>0</v>
      </c>
      <c r="AC16" s="13">
        <f t="shared" si="2"/>
        <v>0</v>
      </c>
      <c r="AD16" s="13">
        <f t="shared" si="2"/>
        <v>0</v>
      </c>
      <c r="AE16" s="13">
        <f t="shared" si="2"/>
        <v>0</v>
      </c>
      <c r="AF16" s="13">
        <f t="shared" si="1"/>
        <v>4117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0"/>
      <c r="O17" s="19"/>
      <c r="P17" s="19"/>
      <c r="Q17" s="19"/>
      <c r="R17" s="19"/>
      <c r="S17" s="60"/>
      <c r="T17" s="19"/>
      <c r="U17" s="19"/>
      <c r="V17" s="19"/>
      <c r="W17" s="19"/>
      <c r="X17" s="60"/>
      <c r="Y17" s="19"/>
      <c r="Z17" s="19"/>
      <c r="AA17" s="19"/>
      <c r="AB17" s="19"/>
      <c r="AC17" s="60"/>
      <c r="AD17" s="19"/>
      <c r="AE17" s="19"/>
      <c r="AF17" s="61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0"/>
      <c r="O18" s="19"/>
      <c r="P18" s="19"/>
      <c r="Q18" s="19"/>
      <c r="R18" s="19"/>
      <c r="S18" s="60"/>
      <c r="T18" s="19"/>
      <c r="U18" s="19"/>
      <c r="V18" s="19"/>
      <c r="W18" s="19"/>
      <c r="X18" s="60"/>
      <c r="Y18" s="19"/>
      <c r="Z18" s="19"/>
      <c r="AA18" s="19"/>
      <c r="AB18" s="19"/>
      <c r="AC18" s="60"/>
      <c r="AD18" s="19"/>
      <c r="AE18" s="19"/>
      <c r="AF18" s="61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59">
        <v>114.0</v>
      </c>
      <c r="F19" s="59">
        <v>116.0</v>
      </c>
      <c r="G19" s="59">
        <v>106.0</v>
      </c>
      <c r="H19" s="59">
        <v>104.0</v>
      </c>
      <c r="I19" s="59">
        <v>85.0</v>
      </c>
      <c r="J19" s="59">
        <v>113.0</v>
      </c>
      <c r="K19" s="59">
        <v>107.0</v>
      </c>
      <c r="L19" s="59">
        <v>110.0</v>
      </c>
      <c r="M19" s="59">
        <v>106.0</v>
      </c>
      <c r="N19" s="59">
        <v>118.0</v>
      </c>
      <c r="O19" s="59">
        <v>91.0</v>
      </c>
      <c r="P19" s="59">
        <v>95.0</v>
      </c>
      <c r="Q19" s="59">
        <v>124.0</v>
      </c>
      <c r="R19" s="59">
        <v>116.0</v>
      </c>
      <c r="S19" s="59">
        <v>115.0</v>
      </c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3">
        <f t="shared" ref="AF19:AF30" si="3">SUM(E19:AE19)</f>
        <v>1620</v>
      </c>
    </row>
    <row r="20" ht="12.75" customHeight="1">
      <c r="A20" s="33"/>
      <c r="B20" s="27"/>
      <c r="C20" s="34"/>
      <c r="D20" s="19" t="s">
        <v>13</v>
      </c>
      <c r="E20" s="59">
        <v>125.0</v>
      </c>
      <c r="F20" s="59">
        <v>117.0</v>
      </c>
      <c r="G20" s="59">
        <v>118.0</v>
      </c>
      <c r="H20" s="59">
        <v>116.0</v>
      </c>
      <c r="I20" s="59">
        <v>97.0</v>
      </c>
      <c r="J20" s="59">
        <v>117.0</v>
      </c>
      <c r="K20" s="59">
        <v>116.0</v>
      </c>
      <c r="L20" s="59">
        <v>112.0</v>
      </c>
      <c r="M20" s="59">
        <v>106.0</v>
      </c>
      <c r="N20" s="59">
        <v>115.0</v>
      </c>
      <c r="O20" s="59">
        <v>111.0</v>
      </c>
      <c r="P20" s="59">
        <v>107.0</v>
      </c>
      <c r="Q20" s="59">
        <v>108.0</v>
      </c>
      <c r="R20" s="59">
        <v>129.0</v>
      </c>
      <c r="S20" s="59">
        <v>112.0</v>
      </c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3">
        <f t="shared" si="3"/>
        <v>1706</v>
      </c>
    </row>
    <row r="21" ht="12.75" customHeight="1">
      <c r="A21" s="35"/>
      <c r="B21" s="28"/>
      <c r="C21" s="36"/>
      <c r="D21" s="13" t="s">
        <v>14</v>
      </c>
      <c r="E21" s="13">
        <f t="shared" ref="E21:AE21" si="4">SUM(E19:E20)</f>
        <v>239</v>
      </c>
      <c r="F21" s="13">
        <f t="shared" si="4"/>
        <v>233</v>
      </c>
      <c r="G21" s="13">
        <f t="shared" si="4"/>
        <v>224</v>
      </c>
      <c r="H21" s="13">
        <f t="shared" si="4"/>
        <v>220</v>
      </c>
      <c r="I21" s="13">
        <f t="shared" si="4"/>
        <v>182</v>
      </c>
      <c r="J21" s="13">
        <f t="shared" si="4"/>
        <v>230</v>
      </c>
      <c r="K21" s="13">
        <f t="shared" si="4"/>
        <v>223</v>
      </c>
      <c r="L21" s="13">
        <f t="shared" si="4"/>
        <v>222</v>
      </c>
      <c r="M21" s="13">
        <f t="shared" si="4"/>
        <v>212</v>
      </c>
      <c r="N21" s="13">
        <f t="shared" si="4"/>
        <v>233</v>
      </c>
      <c r="O21" s="13">
        <f t="shared" si="4"/>
        <v>202</v>
      </c>
      <c r="P21" s="13">
        <f t="shared" si="4"/>
        <v>202</v>
      </c>
      <c r="Q21" s="13">
        <f t="shared" si="4"/>
        <v>232</v>
      </c>
      <c r="R21" s="13">
        <f t="shared" si="4"/>
        <v>245</v>
      </c>
      <c r="S21" s="13">
        <f t="shared" si="4"/>
        <v>227</v>
      </c>
      <c r="T21" s="13">
        <f t="shared" si="4"/>
        <v>0</v>
      </c>
      <c r="U21" s="13">
        <f t="shared" si="4"/>
        <v>0</v>
      </c>
      <c r="V21" s="13">
        <f t="shared" si="4"/>
        <v>0</v>
      </c>
      <c r="W21" s="13">
        <f t="shared" si="4"/>
        <v>0</v>
      </c>
      <c r="X21" s="13">
        <f t="shared" si="4"/>
        <v>0</v>
      </c>
      <c r="Y21" s="13">
        <f t="shared" si="4"/>
        <v>0</v>
      </c>
      <c r="Z21" s="13">
        <f t="shared" si="4"/>
        <v>0</v>
      </c>
      <c r="AA21" s="13">
        <f t="shared" si="4"/>
        <v>0</v>
      </c>
      <c r="AB21" s="13">
        <f t="shared" si="4"/>
        <v>0</v>
      </c>
      <c r="AC21" s="13">
        <f t="shared" si="4"/>
        <v>0</v>
      </c>
      <c r="AD21" s="13">
        <f t="shared" si="4"/>
        <v>0</v>
      </c>
      <c r="AE21" s="13">
        <f t="shared" si="4"/>
        <v>0</v>
      </c>
      <c r="AF21" s="13">
        <f t="shared" si="3"/>
        <v>3326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59">
        <v>0.0</v>
      </c>
      <c r="F22" s="59">
        <v>0.0</v>
      </c>
      <c r="G22" s="59">
        <v>0.0</v>
      </c>
      <c r="H22" s="59">
        <v>1.0</v>
      </c>
      <c r="I22" s="59">
        <v>0.0</v>
      </c>
      <c r="J22" s="59">
        <v>0.0</v>
      </c>
      <c r="K22" s="59">
        <v>0.0</v>
      </c>
      <c r="L22" s="59">
        <v>0.0</v>
      </c>
      <c r="M22" s="59">
        <v>0.0</v>
      </c>
      <c r="N22" s="59">
        <v>1.0</v>
      </c>
      <c r="O22" s="59">
        <v>0.0</v>
      </c>
      <c r="P22" s="59">
        <v>0.0</v>
      </c>
      <c r="Q22" s="59">
        <v>0.0</v>
      </c>
      <c r="R22" s="59">
        <v>1.0</v>
      </c>
      <c r="S22" s="59">
        <v>0.0</v>
      </c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3">
        <f t="shared" si="3"/>
        <v>3</v>
      </c>
    </row>
    <row r="23" ht="12.75" customHeight="1">
      <c r="A23" s="33"/>
      <c r="B23" s="27"/>
      <c r="C23" s="34"/>
      <c r="D23" s="19" t="s">
        <v>13</v>
      </c>
      <c r="E23" s="59">
        <v>1.0</v>
      </c>
      <c r="F23" s="59">
        <v>2.0</v>
      </c>
      <c r="G23" s="59">
        <v>1.0</v>
      </c>
      <c r="H23" s="59">
        <v>2.0</v>
      </c>
      <c r="I23" s="59">
        <v>1.0</v>
      </c>
      <c r="J23" s="59">
        <v>1.0</v>
      </c>
      <c r="K23" s="59">
        <v>1.0</v>
      </c>
      <c r="L23" s="59">
        <v>1.0</v>
      </c>
      <c r="M23" s="59">
        <v>1.0</v>
      </c>
      <c r="N23" s="59">
        <v>0.0</v>
      </c>
      <c r="O23" s="59">
        <v>1.0</v>
      </c>
      <c r="P23" s="59">
        <v>1.0</v>
      </c>
      <c r="Q23" s="59">
        <v>1.0</v>
      </c>
      <c r="R23" s="59">
        <v>0.0</v>
      </c>
      <c r="S23" s="59">
        <v>1.0</v>
      </c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3">
        <f t="shared" si="3"/>
        <v>15</v>
      </c>
    </row>
    <row r="24" ht="12.75" customHeight="1">
      <c r="A24" s="35"/>
      <c r="B24" s="28"/>
      <c r="C24" s="36"/>
      <c r="D24" s="13" t="s">
        <v>14</v>
      </c>
      <c r="E24" s="13">
        <f t="shared" ref="E24:AE24" si="5">SUM(E22:E23)</f>
        <v>1</v>
      </c>
      <c r="F24" s="13">
        <f t="shared" si="5"/>
        <v>2</v>
      </c>
      <c r="G24" s="13">
        <f t="shared" si="5"/>
        <v>1</v>
      </c>
      <c r="H24" s="13">
        <f t="shared" si="5"/>
        <v>3</v>
      </c>
      <c r="I24" s="13">
        <f t="shared" si="5"/>
        <v>1</v>
      </c>
      <c r="J24" s="13">
        <f t="shared" si="5"/>
        <v>1</v>
      </c>
      <c r="K24" s="13">
        <f t="shared" si="5"/>
        <v>1</v>
      </c>
      <c r="L24" s="13">
        <f t="shared" si="5"/>
        <v>1</v>
      </c>
      <c r="M24" s="13">
        <f t="shared" si="5"/>
        <v>1</v>
      </c>
      <c r="N24" s="13">
        <f t="shared" si="5"/>
        <v>1</v>
      </c>
      <c r="O24" s="13">
        <f t="shared" si="5"/>
        <v>1</v>
      </c>
      <c r="P24" s="13">
        <f t="shared" si="5"/>
        <v>1</v>
      </c>
      <c r="Q24" s="13">
        <f t="shared" si="5"/>
        <v>1</v>
      </c>
      <c r="R24" s="13">
        <f t="shared" si="5"/>
        <v>1</v>
      </c>
      <c r="S24" s="13">
        <f t="shared" si="5"/>
        <v>1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3"/>
        <v>18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59">
        <v>3.0</v>
      </c>
      <c r="F25" s="59">
        <v>0.0</v>
      </c>
      <c r="G25" s="59">
        <v>1.0</v>
      </c>
      <c r="H25" s="59">
        <v>0.0</v>
      </c>
      <c r="I25" s="59">
        <v>0.0</v>
      </c>
      <c r="J25" s="59">
        <v>0.0</v>
      </c>
      <c r="K25" s="59">
        <v>0.0</v>
      </c>
      <c r="L25" s="59">
        <v>0.0</v>
      </c>
      <c r="M25" s="59">
        <v>0.0</v>
      </c>
      <c r="N25" s="59">
        <v>1.0</v>
      </c>
      <c r="O25" s="59">
        <v>0.0</v>
      </c>
      <c r="P25" s="59">
        <v>0.0</v>
      </c>
      <c r="Q25" s="59">
        <v>0.0</v>
      </c>
      <c r="R25" s="59">
        <v>0.0</v>
      </c>
      <c r="S25" s="59">
        <v>0.0</v>
      </c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3">
        <f t="shared" si="3"/>
        <v>5</v>
      </c>
    </row>
    <row r="26" ht="12.75" customHeight="1">
      <c r="A26" s="33"/>
      <c r="B26" s="27"/>
      <c r="C26" s="34"/>
      <c r="D26" s="19" t="s">
        <v>13</v>
      </c>
      <c r="E26" s="59">
        <v>0.0</v>
      </c>
      <c r="F26" s="59">
        <v>0.0</v>
      </c>
      <c r="G26" s="59">
        <v>2.0</v>
      </c>
      <c r="H26" s="59">
        <v>0.0</v>
      </c>
      <c r="I26" s="59">
        <v>0.0</v>
      </c>
      <c r="J26" s="59">
        <v>2.0</v>
      </c>
      <c r="K26" s="59">
        <v>1.0</v>
      </c>
      <c r="L26" s="59">
        <v>0.0</v>
      </c>
      <c r="M26" s="59">
        <v>0.0</v>
      </c>
      <c r="N26" s="59">
        <v>1.0</v>
      </c>
      <c r="O26" s="59">
        <v>0.0</v>
      </c>
      <c r="P26" s="59">
        <v>0.0</v>
      </c>
      <c r="Q26" s="59">
        <v>0.0</v>
      </c>
      <c r="R26" s="59">
        <v>1.0</v>
      </c>
      <c r="S26" s="59">
        <v>1.0</v>
      </c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3">
        <f t="shared" si="3"/>
        <v>8</v>
      </c>
    </row>
    <row r="27" ht="12.75" customHeight="1">
      <c r="A27" s="35"/>
      <c r="B27" s="28"/>
      <c r="C27" s="36"/>
      <c r="D27" s="13" t="s">
        <v>14</v>
      </c>
      <c r="E27" s="13">
        <f t="shared" ref="E27:AE27" si="6">SUM(E25:E26)</f>
        <v>3</v>
      </c>
      <c r="F27" s="13">
        <f t="shared" si="6"/>
        <v>0</v>
      </c>
      <c r="G27" s="13">
        <f t="shared" si="6"/>
        <v>3</v>
      </c>
      <c r="H27" s="13">
        <f t="shared" si="6"/>
        <v>0</v>
      </c>
      <c r="I27" s="13">
        <f t="shared" si="6"/>
        <v>0</v>
      </c>
      <c r="J27" s="13">
        <f t="shared" si="6"/>
        <v>2</v>
      </c>
      <c r="K27" s="13">
        <f t="shared" si="6"/>
        <v>1</v>
      </c>
      <c r="L27" s="13">
        <f t="shared" si="6"/>
        <v>0</v>
      </c>
      <c r="M27" s="13">
        <f t="shared" si="6"/>
        <v>0</v>
      </c>
      <c r="N27" s="13">
        <f t="shared" si="6"/>
        <v>2</v>
      </c>
      <c r="O27" s="13">
        <f t="shared" si="6"/>
        <v>0</v>
      </c>
      <c r="P27" s="13">
        <f t="shared" si="6"/>
        <v>0</v>
      </c>
      <c r="Q27" s="13">
        <f t="shared" si="6"/>
        <v>0</v>
      </c>
      <c r="R27" s="13">
        <f t="shared" si="6"/>
        <v>1</v>
      </c>
      <c r="S27" s="13">
        <f t="shared" si="6"/>
        <v>1</v>
      </c>
      <c r="T27" s="13">
        <f t="shared" si="6"/>
        <v>0</v>
      </c>
      <c r="U27" s="13">
        <f t="shared" si="6"/>
        <v>0</v>
      </c>
      <c r="V27" s="13">
        <f t="shared" si="6"/>
        <v>0</v>
      </c>
      <c r="W27" s="13">
        <f t="shared" si="6"/>
        <v>0</v>
      </c>
      <c r="X27" s="13">
        <f t="shared" si="6"/>
        <v>0</v>
      </c>
      <c r="Y27" s="13">
        <f t="shared" si="6"/>
        <v>0</v>
      </c>
      <c r="Z27" s="13">
        <f t="shared" si="6"/>
        <v>0</v>
      </c>
      <c r="AA27" s="13">
        <f t="shared" si="6"/>
        <v>0</v>
      </c>
      <c r="AB27" s="13">
        <f t="shared" si="6"/>
        <v>0</v>
      </c>
      <c r="AC27" s="13">
        <f t="shared" si="6"/>
        <v>0</v>
      </c>
      <c r="AD27" s="13">
        <f t="shared" si="6"/>
        <v>0</v>
      </c>
      <c r="AE27" s="13">
        <f t="shared" si="6"/>
        <v>0</v>
      </c>
      <c r="AF27" s="13">
        <f t="shared" si="3"/>
        <v>13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E28" si="7">SUM(E19,E22,E25)</f>
        <v>117</v>
      </c>
      <c r="F28" s="13">
        <f t="shared" si="7"/>
        <v>116</v>
      </c>
      <c r="G28" s="13">
        <f t="shared" si="7"/>
        <v>107</v>
      </c>
      <c r="H28" s="13">
        <f t="shared" si="7"/>
        <v>105</v>
      </c>
      <c r="I28" s="13">
        <f t="shared" si="7"/>
        <v>85</v>
      </c>
      <c r="J28" s="13">
        <f t="shared" si="7"/>
        <v>113</v>
      </c>
      <c r="K28" s="13">
        <f t="shared" si="7"/>
        <v>107</v>
      </c>
      <c r="L28" s="13">
        <f t="shared" si="7"/>
        <v>110</v>
      </c>
      <c r="M28" s="13">
        <f t="shared" si="7"/>
        <v>106</v>
      </c>
      <c r="N28" s="13">
        <f t="shared" si="7"/>
        <v>120</v>
      </c>
      <c r="O28" s="13">
        <f t="shared" si="7"/>
        <v>91</v>
      </c>
      <c r="P28" s="13">
        <f t="shared" si="7"/>
        <v>95</v>
      </c>
      <c r="Q28" s="13">
        <f t="shared" si="7"/>
        <v>124</v>
      </c>
      <c r="R28" s="13">
        <f t="shared" si="7"/>
        <v>117</v>
      </c>
      <c r="S28" s="13">
        <f t="shared" si="7"/>
        <v>115</v>
      </c>
      <c r="T28" s="13">
        <f t="shared" si="7"/>
        <v>0</v>
      </c>
      <c r="U28" s="13">
        <f t="shared" si="7"/>
        <v>0</v>
      </c>
      <c r="V28" s="13">
        <f t="shared" si="7"/>
        <v>0</v>
      </c>
      <c r="W28" s="13">
        <f t="shared" si="7"/>
        <v>0</v>
      </c>
      <c r="X28" s="13">
        <f t="shared" si="7"/>
        <v>0</v>
      </c>
      <c r="Y28" s="13">
        <f t="shared" si="7"/>
        <v>0</v>
      </c>
      <c r="Z28" s="13">
        <f t="shared" si="7"/>
        <v>0</v>
      </c>
      <c r="AA28" s="13">
        <f t="shared" si="7"/>
        <v>0</v>
      </c>
      <c r="AB28" s="13">
        <f t="shared" si="7"/>
        <v>0</v>
      </c>
      <c r="AC28" s="13">
        <f t="shared" si="7"/>
        <v>0</v>
      </c>
      <c r="AD28" s="13">
        <f t="shared" si="7"/>
        <v>0</v>
      </c>
      <c r="AE28" s="13">
        <f t="shared" si="7"/>
        <v>0</v>
      </c>
      <c r="AF28" s="13">
        <f t="shared" si="3"/>
        <v>1628</v>
      </c>
    </row>
    <row r="29" ht="12.75" customHeight="1">
      <c r="A29" s="35"/>
      <c r="B29" s="27"/>
      <c r="C29" s="34"/>
      <c r="D29" s="13" t="s">
        <v>13</v>
      </c>
      <c r="E29" s="13">
        <f t="shared" ref="E29:AE29" si="8">SUM(E20,E23,E26)</f>
        <v>126</v>
      </c>
      <c r="F29" s="13">
        <f t="shared" si="8"/>
        <v>119</v>
      </c>
      <c r="G29" s="13">
        <f t="shared" si="8"/>
        <v>121</v>
      </c>
      <c r="H29" s="13">
        <f t="shared" si="8"/>
        <v>118</v>
      </c>
      <c r="I29" s="13">
        <f t="shared" si="8"/>
        <v>98</v>
      </c>
      <c r="J29" s="13">
        <f t="shared" si="8"/>
        <v>120</v>
      </c>
      <c r="K29" s="13">
        <f t="shared" si="8"/>
        <v>118</v>
      </c>
      <c r="L29" s="13">
        <f t="shared" si="8"/>
        <v>113</v>
      </c>
      <c r="M29" s="13">
        <f t="shared" si="8"/>
        <v>107</v>
      </c>
      <c r="N29" s="13">
        <f t="shared" si="8"/>
        <v>116</v>
      </c>
      <c r="O29" s="13">
        <f t="shared" si="8"/>
        <v>112</v>
      </c>
      <c r="P29" s="13">
        <f t="shared" si="8"/>
        <v>108</v>
      </c>
      <c r="Q29" s="13">
        <f t="shared" si="8"/>
        <v>109</v>
      </c>
      <c r="R29" s="13">
        <f t="shared" si="8"/>
        <v>130</v>
      </c>
      <c r="S29" s="13">
        <f t="shared" si="8"/>
        <v>114</v>
      </c>
      <c r="T29" s="13">
        <f t="shared" si="8"/>
        <v>0</v>
      </c>
      <c r="U29" s="13">
        <f t="shared" si="8"/>
        <v>0</v>
      </c>
      <c r="V29" s="13">
        <f t="shared" si="8"/>
        <v>0</v>
      </c>
      <c r="W29" s="13">
        <f t="shared" si="8"/>
        <v>0</v>
      </c>
      <c r="X29" s="13">
        <f t="shared" si="8"/>
        <v>0</v>
      </c>
      <c r="Y29" s="13">
        <f t="shared" si="8"/>
        <v>0</v>
      </c>
      <c r="Z29" s="13">
        <f t="shared" si="8"/>
        <v>0</v>
      </c>
      <c r="AA29" s="13">
        <f t="shared" si="8"/>
        <v>0</v>
      </c>
      <c r="AB29" s="13">
        <f t="shared" si="8"/>
        <v>0</v>
      </c>
      <c r="AC29" s="13">
        <f t="shared" si="8"/>
        <v>0</v>
      </c>
      <c r="AD29" s="13">
        <f t="shared" si="8"/>
        <v>0</v>
      </c>
      <c r="AE29" s="13">
        <f t="shared" si="8"/>
        <v>0</v>
      </c>
      <c r="AF29" s="13">
        <f t="shared" si="3"/>
        <v>1729</v>
      </c>
    </row>
    <row r="30" ht="12.75" customHeight="1">
      <c r="A30" s="35"/>
      <c r="B30" s="28"/>
      <c r="C30" s="36"/>
      <c r="D30" s="13" t="s">
        <v>14</v>
      </c>
      <c r="E30" s="13">
        <f t="shared" ref="E30:AE30" si="9">SUM(E28:E29)</f>
        <v>243</v>
      </c>
      <c r="F30" s="13">
        <f t="shared" si="9"/>
        <v>235</v>
      </c>
      <c r="G30" s="13">
        <f t="shared" si="9"/>
        <v>228</v>
      </c>
      <c r="H30" s="13">
        <f t="shared" si="9"/>
        <v>223</v>
      </c>
      <c r="I30" s="13">
        <f t="shared" si="9"/>
        <v>183</v>
      </c>
      <c r="J30" s="13">
        <f t="shared" si="9"/>
        <v>233</v>
      </c>
      <c r="K30" s="13">
        <f t="shared" si="9"/>
        <v>225</v>
      </c>
      <c r="L30" s="13">
        <f t="shared" si="9"/>
        <v>223</v>
      </c>
      <c r="M30" s="13">
        <f t="shared" si="9"/>
        <v>213</v>
      </c>
      <c r="N30" s="13">
        <f t="shared" si="9"/>
        <v>236</v>
      </c>
      <c r="O30" s="13">
        <f t="shared" si="9"/>
        <v>203</v>
      </c>
      <c r="P30" s="13">
        <f t="shared" si="9"/>
        <v>203</v>
      </c>
      <c r="Q30" s="13">
        <f t="shared" si="9"/>
        <v>233</v>
      </c>
      <c r="R30" s="13">
        <f t="shared" si="9"/>
        <v>247</v>
      </c>
      <c r="S30" s="13">
        <f t="shared" si="9"/>
        <v>229</v>
      </c>
      <c r="T30" s="13">
        <f t="shared" si="9"/>
        <v>0</v>
      </c>
      <c r="U30" s="13">
        <f t="shared" si="9"/>
        <v>0</v>
      </c>
      <c r="V30" s="13">
        <f t="shared" si="9"/>
        <v>0</v>
      </c>
      <c r="W30" s="13">
        <f t="shared" si="9"/>
        <v>0</v>
      </c>
      <c r="X30" s="13">
        <f t="shared" si="9"/>
        <v>0</v>
      </c>
      <c r="Y30" s="13">
        <f t="shared" si="9"/>
        <v>0</v>
      </c>
      <c r="Z30" s="13">
        <f t="shared" si="9"/>
        <v>0</v>
      </c>
      <c r="AA30" s="13">
        <f t="shared" si="9"/>
        <v>0</v>
      </c>
      <c r="AB30" s="13">
        <f t="shared" si="9"/>
        <v>0</v>
      </c>
      <c r="AC30" s="13">
        <f t="shared" si="9"/>
        <v>0</v>
      </c>
      <c r="AD30" s="13">
        <f t="shared" si="9"/>
        <v>0</v>
      </c>
      <c r="AE30" s="13">
        <f t="shared" si="9"/>
        <v>0</v>
      </c>
      <c r="AF30" s="13">
        <f t="shared" si="3"/>
        <v>3357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0"/>
      <c r="O31" s="19"/>
      <c r="P31" s="19"/>
      <c r="Q31" s="19"/>
      <c r="R31" s="19"/>
      <c r="S31" s="60"/>
      <c r="T31" s="19"/>
      <c r="U31" s="19"/>
      <c r="V31" s="19"/>
      <c r="W31" s="19"/>
      <c r="X31" s="60"/>
      <c r="Y31" s="19"/>
      <c r="Z31" s="19"/>
      <c r="AA31" s="19"/>
      <c r="AB31" s="19"/>
      <c r="AC31" s="60"/>
      <c r="AD31" s="19"/>
      <c r="AE31" s="19"/>
      <c r="AF31" s="61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2"/>
      <c r="O32" s="13"/>
      <c r="P32" s="13"/>
      <c r="Q32" s="13"/>
      <c r="R32" s="13"/>
      <c r="S32" s="62"/>
      <c r="T32" s="13"/>
      <c r="U32" s="13"/>
      <c r="V32" s="13"/>
      <c r="W32" s="13"/>
      <c r="X32" s="62"/>
      <c r="Y32" s="13"/>
      <c r="Z32" s="13"/>
      <c r="AA32" s="13"/>
      <c r="AB32" s="13"/>
      <c r="AC32" s="62"/>
      <c r="AD32" s="13"/>
      <c r="AE32" s="13"/>
      <c r="AF32" s="61"/>
    </row>
    <row r="33" ht="12.75" customHeight="1">
      <c r="A33" s="19">
        <v>1.0</v>
      </c>
      <c r="B33" s="20" t="s">
        <v>27</v>
      </c>
      <c r="C33" s="15"/>
      <c r="D33" s="16"/>
      <c r="E33" s="59">
        <v>297.0</v>
      </c>
      <c r="F33" s="59">
        <v>290.0</v>
      </c>
      <c r="G33" s="59">
        <v>275.0</v>
      </c>
      <c r="H33" s="59">
        <v>287.0</v>
      </c>
      <c r="I33" s="59">
        <v>261.0</v>
      </c>
      <c r="J33" s="59">
        <v>303.0</v>
      </c>
      <c r="K33" s="59">
        <v>279.0</v>
      </c>
      <c r="L33" s="59">
        <v>275.0</v>
      </c>
      <c r="M33" s="59">
        <v>277.0</v>
      </c>
      <c r="N33" s="59">
        <v>295.0</v>
      </c>
      <c r="O33" s="59">
        <v>265.0</v>
      </c>
      <c r="P33" s="59">
        <v>228.0</v>
      </c>
      <c r="Q33" s="59">
        <v>287.0</v>
      </c>
      <c r="R33" s="59">
        <v>296.0</v>
      </c>
      <c r="S33" s="59">
        <v>287.0</v>
      </c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3">
        <f t="shared" ref="AF33:AF36" si="10">SUM(E33:AE33)</f>
        <v>4202</v>
      </c>
    </row>
    <row r="34" ht="12.75" customHeight="1">
      <c r="A34" s="19">
        <v>2.0</v>
      </c>
      <c r="B34" s="20" t="s">
        <v>28</v>
      </c>
      <c r="C34" s="15"/>
      <c r="D34" s="16"/>
      <c r="E34" s="59">
        <v>243.0</v>
      </c>
      <c r="F34" s="59">
        <v>235.0</v>
      </c>
      <c r="G34" s="59">
        <v>228.0</v>
      </c>
      <c r="H34" s="59">
        <v>223.0</v>
      </c>
      <c r="I34" s="59">
        <v>183.0</v>
      </c>
      <c r="J34" s="59">
        <v>233.0</v>
      </c>
      <c r="K34" s="59">
        <v>225.0</v>
      </c>
      <c r="L34" s="59">
        <v>223.0</v>
      </c>
      <c r="M34" s="59">
        <v>213.0</v>
      </c>
      <c r="N34" s="59">
        <v>236.0</v>
      </c>
      <c r="O34" s="59">
        <v>203.0</v>
      </c>
      <c r="P34" s="59">
        <v>203.0</v>
      </c>
      <c r="Q34" s="59">
        <v>233.0</v>
      </c>
      <c r="R34" s="59">
        <v>247.0</v>
      </c>
      <c r="S34" s="59">
        <v>229.0</v>
      </c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>
        <f t="shared" si="10"/>
        <v>3357</v>
      </c>
    </row>
    <row r="35" ht="12.75" customHeight="1">
      <c r="A35" s="19">
        <v>3.0</v>
      </c>
      <c r="B35" s="20" t="s">
        <v>29</v>
      </c>
      <c r="C35" s="15"/>
      <c r="D35" s="16"/>
      <c r="E35" s="59">
        <v>1.0</v>
      </c>
      <c r="F35" s="59">
        <v>0.0</v>
      </c>
      <c r="G35" s="59">
        <v>1.0</v>
      </c>
      <c r="H35" s="59">
        <v>0.0</v>
      </c>
      <c r="I35" s="59">
        <v>0.0</v>
      </c>
      <c r="J35" s="59">
        <v>0.0</v>
      </c>
      <c r="K35" s="59">
        <v>1.0</v>
      </c>
      <c r="L35" s="59">
        <v>0.0</v>
      </c>
      <c r="M35" s="59">
        <v>0.0</v>
      </c>
      <c r="N35" s="59">
        <v>0.0</v>
      </c>
      <c r="O35" s="59">
        <v>0.0</v>
      </c>
      <c r="P35" s="59">
        <v>0.0</v>
      </c>
      <c r="Q35" s="59">
        <v>0.0</v>
      </c>
      <c r="R35" s="59">
        <v>0.0</v>
      </c>
      <c r="S35" s="59">
        <v>1.0</v>
      </c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3">
        <f t="shared" si="10"/>
        <v>4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E36" si="11">E33-(E34+E35)</f>
        <v>53</v>
      </c>
      <c r="F36" s="13">
        <f t="shared" si="11"/>
        <v>55</v>
      </c>
      <c r="G36" s="13">
        <f t="shared" si="11"/>
        <v>46</v>
      </c>
      <c r="H36" s="13">
        <f t="shared" si="11"/>
        <v>64</v>
      </c>
      <c r="I36" s="13">
        <f t="shared" si="11"/>
        <v>78</v>
      </c>
      <c r="J36" s="13">
        <f t="shared" si="11"/>
        <v>70</v>
      </c>
      <c r="K36" s="13">
        <f t="shared" si="11"/>
        <v>53</v>
      </c>
      <c r="L36" s="13">
        <f t="shared" si="11"/>
        <v>52</v>
      </c>
      <c r="M36" s="13">
        <f t="shared" si="11"/>
        <v>64</v>
      </c>
      <c r="N36" s="13">
        <f t="shared" si="11"/>
        <v>59</v>
      </c>
      <c r="O36" s="13">
        <f t="shared" si="11"/>
        <v>62</v>
      </c>
      <c r="P36" s="13">
        <f t="shared" si="11"/>
        <v>25</v>
      </c>
      <c r="Q36" s="13">
        <f t="shared" si="11"/>
        <v>54</v>
      </c>
      <c r="R36" s="13">
        <f t="shared" si="11"/>
        <v>49</v>
      </c>
      <c r="S36" s="13">
        <f t="shared" si="11"/>
        <v>57</v>
      </c>
      <c r="T36" s="13">
        <f t="shared" si="11"/>
        <v>0</v>
      </c>
      <c r="U36" s="13">
        <f t="shared" si="11"/>
        <v>0</v>
      </c>
      <c r="V36" s="13">
        <f t="shared" si="11"/>
        <v>0</v>
      </c>
      <c r="W36" s="13">
        <f t="shared" si="11"/>
        <v>0</v>
      </c>
      <c r="X36" s="13">
        <f t="shared" si="11"/>
        <v>0</v>
      </c>
      <c r="Y36" s="13">
        <f t="shared" si="11"/>
        <v>0</v>
      </c>
      <c r="Z36" s="13">
        <f t="shared" si="11"/>
        <v>0</v>
      </c>
      <c r="AA36" s="13">
        <f t="shared" si="11"/>
        <v>0</v>
      </c>
      <c r="AB36" s="13">
        <f t="shared" si="11"/>
        <v>0</v>
      </c>
      <c r="AC36" s="13">
        <f t="shared" si="11"/>
        <v>0</v>
      </c>
      <c r="AD36" s="13">
        <f t="shared" si="11"/>
        <v>0</v>
      </c>
      <c r="AE36" s="13">
        <f t="shared" si="11"/>
        <v>0</v>
      </c>
      <c r="AF36" s="13">
        <f t="shared" si="10"/>
        <v>841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60"/>
      <c r="O37" s="19"/>
      <c r="P37" s="19"/>
      <c r="Q37" s="19"/>
      <c r="R37" s="19"/>
      <c r="S37" s="60"/>
      <c r="T37" s="19"/>
      <c r="U37" s="19"/>
      <c r="V37" s="19"/>
      <c r="W37" s="19"/>
      <c r="X37" s="60"/>
      <c r="Y37" s="19"/>
      <c r="Z37" s="19"/>
      <c r="AA37" s="19"/>
      <c r="AB37" s="19"/>
      <c r="AC37" s="60"/>
      <c r="AD37" s="19"/>
      <c r="AE37" s="19"/>
      <c r="AF37" s="61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2"/>
      <c r="O38" s="13"/>
      <c r="P38" s="13"/>
      <c r="Q38" s="13"/>
      <c r="R38" s="13"/>
      <c r="S38" s="62"/>
      <c r="T38" s="13"/>
      <c r="U38" s="13"/>
      <c r="V38" s="13"/>
      <c r="W38" s="13"/>
      <c r="X38" s="62"/>
      <c r="Y38" s="13"/>
      <c r="Z38" s="13"/>
      <c r="AA38" s="13"/>
      <c r="AB38" s="13"/>
      <c r="AC38" s="62"/>
      <c r="AD38" s="13"/>
      <c r="AE38" s="13"/>
      <c r="AF38" s="61"/>
    </row>
    <row r="39" ht="12.75" customHeight="1">
      <c r="A39" s="30"/>
      <c r="B39" s="43" t="s">
        <v>33</v>
      </c>
      <c r="C39" s="23"/>
      <c r="D39" s="19" t="s">
        <v>12</v>
      </c>
      <c r="E39" s="63">
        <v>0.0</v>
      </c>
      <c r="F39" s="63">
        <v>0.0</v>
      </c>
      <c r="G39" s="63">
        <v>1.0</v>
      </c>
      <c r="H39" s="63">
        <v>0.0</v>
      </c>
      <c r="I39" s="63">
        <v>0.0</v>
      </c>
      <c r="J39" s="63">
        <v>0.0</v>
      </c>
      <c r="K39" s="63">
        <v>0.0</v>
      </c>
      <c r="L39" s="63">
        <v>0.0</v>
      </c>
      <c r="M39" s="63">
        <v>0.0</v>
      </c>
      <c r="N39" s="63">
        <v>0.0</v>
      </c>
      <c r="O39" s="63">
        <v>1.0</v>
      </c>
      <c r="P39" s="63">
        <v>0.0</v>
      </c>
      <c r="Q39" s="63">
        <v>0.0</v>
      </c>
      <c r="R39" s="63">
        <v>0.0</v>
      </c>
      <c r="S39" s="63">
        <v>1.0</v>
      </c>
      <c r="T39" s="63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3">
        <f t="shared" ref="AF39:AF41" si="12">SUM(E39:AE39)</f>
        <v>3</v>
      </c>
    </row>
    <row r="40" ht="12.75" customHeight="1">
      <c r="A40" s="33"/>
      <c r="C40" s="27"/>
      <c r="D40" s="19" t="s">
        <v>13</v>
      </c>
      <c r="E40" s="63">
        <v>1.0</v>
      </c>
      <c r="F40" s="63">
        <v>0.0</v>
      </c>
      <c r="G40" s="63">
        <v>0.0</v>
      </c>
      <c r="H40" s="63">
        <v>0.0</v>
      </c>
      <c r="I40" s="63">
        <v>0.0</v>
      </c>
      <c r="J40" s="63">
        <v>0.0</v>
      </c>
      <c r="K40" s="63">
        <v>0.0</v>
      </c>
      <c r="L40" s="63">
        <v>0.0</v>
      </c>
      <c r="M40" s="63">
        <v>0.0</v>
      </c>
      <c r="N40" s="63">
        <v>0.0</v>
      </c>
      <c r="O40" s="63">
        <v>0.0</v>
      </c>
      <c r="P40" s="63">
        <v>0.0</v>
      </c>
      <c r="Q40" s="63">
        <v>0.0</v>
      </c>
      <c r="R40" s="63">
        <v>0.0</v>
      </c>
      <c r="S40" s="63">
        <v>0.0</v>
      </c>
      <c r="T40" s="63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3">
        <f t="shared" si="12"/>
        <v>1</v>
      </c>
    </row>
    <row r="41" ht="12.75" customHeight="1">
      <c r="A41" s="41"/>
      <c r="B41" s="44"/>
      <c r="C41" s="28"/>
      <c r="D41" s="13" t="s">
        <v>14</v>
      </c>
      <c r="E41" s="13">
        <f t="shared" ref="E41:AE41" si="13">SUM(E39:E40)</f>
        <v>1</v>
      </c>
      <c r="F41" s="13">
        <f t="shared" si="13"/>
        <v>0</v>
      </c>
      <c r="G41" s="13">
        <f t="shared" si="13"/>
        <v>1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1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1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2"/>
        <v>4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60"/>
      <c r="O42" s="19"/>
      <c r="P42" s="19"/>
      <c r="Q42" s="19"/>
      <c r="R42" s="19"/>
      <c r="S42" s="60"/>
      <c r="T42" s="19"/>
      <c r="U42" s="19"/>
      <c r="V42" s="19"/>
      <c r="W42" s="19"/>
      <c r="X42" s="60"/>
      <c r="Y42" s="19"/>
      <c r="Z42" s="19"/>
      <c r="AA42" s="19"/>
      <c r="AB42" s="19"/>
      <c r="AC42" s="60"/>
      <c r="AD42" s="19"/>
      <c r="AE42" s="19"/>
      <c r="AF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2"/>
      <c r="O43" s="13"/>
      <c r="P43" s="13"/>
      <c r="Q43" s="13"/>
      <c r="R43" s="13"/>
      <c r="S43" s="62"/>
      <c r="T43" s="13"/>
      <c r="U43" s="13"/>
      <c r="V43" s="13"/>
      <c r="W43" s="13"/>
      <c r="X43" s="62"/>
      <c r="Y43" s="13"/>
      <c r="Z43" s="13"/>
      <c r="AA43" s="13"/>
      <c r="AB43" s="13"/>
      <c r="AC43" s="62"/>
      <c r="AD43" s="13"/>
      <c r="AE43" s="13"/>
      <c r="AF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60"/>
      <c r="O44" s="19"/>
      <c r="P44" s="19"/>
      <c r="Q44" s="19"/>
      <c r="R44" s="19"/>
      <c r="S44" s="60"/>
      <c r="T44" s="19"/>
      <c r="U44" s="19"/>
      <c r="V44" s="19"/>
      <c r="W44" s="19"/>
      <c r="X44" s="60"/>
      <c r="Y44" s="19"/>
      <c r="Z44" s="19"/>
      <c r="AA44" s="19"/>
      <c r="AB44" s="19"/>
      <c r="AC44" s="60"/>
      <c r="AD44" s="19"/>
      <c r="AE44" s="19"/>
      <c r="AF44" s="13"/>
    </row>
    <row r="45" ht="12.75" customHeight="1">
      <c r="A45" s="64"/>
      <c r="B45" s="47">
        <v>1.0</v>
      </c>
      <c r="C45" s="48" t="s">
        <v>37</v>
      </c>
      <c r="D45" s="16"/>
      <c r="E45" s="19">
        <v>32.0</v>
      </c>
      <c r="F45" s="19">
        <v>38.0</v>
      </c>
      <c r="G45" s="19">
        <v>70.0</v>
      </c>
      <c r="H45" s="19">
        <v>64.0</v>
      </c>
      <c r="I45" s="19">
        <v>48.0</v>
      </c>
      <c r="J45" s="19">
        <v>73.0</v>
      </c>
      <c r="K45" s="19">
        <v>38.0</v>
      </c>
      <c r="L45" s="19">
        <v>42.0</v>
      </c>
      <c r="M45" s="19">
        <v>29.0</v>
      </c>
      <c r="N45" s="19">
        <v>19.0</v>
      </c>
      <c r="O45" s="19">
        <v>61.0</v>
      </c>
      <c r="P45" s="19">
        <v>27.0</v>
      </c>
      <c r="Q45" s="19">
        <v>72.0</v>
      </c>
      <c r="R45" s="19">
        <v>96.0</v>
      </c>
      <c r="S45" s="19">
        <v>107.0</v>
      </c>
      <c r="T45" s="19">
        <v>45.0</v>
      </c>
      <c r="U45" s="19">
        <v>53.0</v>
      </c>
      <c r="V45" s="19">
        <v>24.0</v>
      </c>
      <c r="W45" s="19">
        <v>52.0</v>
      </c>
      <c r="X45" s="19">
        <v>13.0</v>
      </c>
      <c r="Y45" s="19">
        <v>12.0</v>
      </c>
      <c r="Z45" s="19">
        <v>44.0</v>
      </c>
      <c r="AA45" s="19">
        <v>30.0</v>
      </c>
      <c r="AB45" s="19">
        <v>64.0</v>
      </c>
      <c r="AC45" s="19">
        <v>59.0</v>
      </c>
      <c r="AD45" s="19">
        <v>62.0</v>
      </c>
      <c r="AE45" s="19">
        <v>49.0</v>
      </c>
      <c r="AF45" s="13">
        <f t="shared" ref="AF45:AF47" si="14">SUM(E45:AE45)</f>
        <v>1323</v>
      </c>
    </row>
    <row r="46" ht="12.75" customHeight="1">
      <c r="A46" s="18"/>
      <c r="B46" s="47">
        <v>2.0</v>
      </c>
      <c r="C46" s="48" t="s">
        <v>38</v>
      </c>
      <c r="D46" s="16"/>
      <c r="E46" s="19">
        <v>144.0</v>
      </c>
      <c r="F46" s="19">
        <v>109.0</v>
      </c>
      <c r="G46" s="19">
        <v>127.0</v>
      </c>
      <c r="H46" s="19">
        <v>117.0</v>
      </c>
      <c r="I46" s="19">
        <v>92.0</v>
      </c>
      <c r="J46" s="19">
        <v>114.0</v>
      </c>
      <c r="K46" s="19">
        <v>143.0</v>
      </c>
      <c r="L46" s="19">
        <v>141.0</v>
      </c>
      <c r="M46" s="19">
        <v>130.0</v>
      </c>
      <c r="N46" s="19">
        <v>151.0</v>
      </c>
      <c r="O46" s="19">
        <v>103.0</v>
      </c>
      <c r="P46" s="19">
        <v>162.0</v>
      </c>
      <c r="Q46" s="19">
        <v>126.0</v>
      </c>
      <c r="R46" s="19">
        <v>109.0</v>
      </c>
      <c r="S46" s="19">
        <v>88.0</v>
      </c>
      <c r="T46" s="19">
        <v>144.0</v>
      </c>
      <c r="U46" s="19">
        <v>77.0</v>
      </c>
      <c r="V46" s="19">
        <v>55.0</v>
      </c>
      <c r="W46" s="19">
        <v>110.0</v>
      </c>
      <c r="X46" s="19">
        <v>87.0</v>
      </c>
      <c r="Y46" s="19">
        <v>74.0</v>
      </c>
      <c r="Z46" s="19">
        <v>111.0</v>
      </c>
      <c r="AA46" s="19">
        <v>102.0</v>
      </c>
      <c r="AB46" s="19">
        <v>103.0</v>
      </c>
      <c r="AC46" s="19">
        <v>119.0</v>
      </c>
      <c r="AD46" s="19">
        <v>84.0</v>
      </c>
      <c r="AE46" s="19">
        <v>80.0</v>
      </c>
      <c r="AF46" s="13">
        <f t="shared" si="14"/>
        <v>3002</v>
      </c>
    </row>
    <row r="47" ht="12.75" customHeight="1">
      <c r="A47" s="45"/>
      <c r="B47" s="47">
        <v>3.0</v>
      </c>
      <c r="C47" s="48" t="s">
        <v>39</v>
      </c>
      <c r="D47" s="16"/>
      <c r="E47" s="19">
        <v>57.0</v>
      </c>
      <c r="F47" s="19">
        <v>74.0</v>
      </c>
      <c r="G47" s="19">
        <v>27.0</v>
      </c>
      <c r="H47" s="19">
        <v>32.0</v>
      </c>
      <c r="I47" s="19">
        <v>33.0</v>
      </c>
      <c r="J47" s="19">
        <v>40.0</v>
      </c>
      <c r="K47" s="19">
        <v>34.0</v>
      </c>
      <c r="L47" s="19">
        <v>34.0</v>
      </c>
      <c r="M47" s="19">
        <v>49.0</v>
      </c>
      <c r="N47" s="19">
        <v>56.0</v>
      </c>
      <c r="O47" s="19">
        <v>24.0</v>
      </c>
      <c r="P47" s="19">
        <v>13.0</v>
      </c>
      <c r="Q47" s="19">
        <v>22.0</v>
      </c>
      <c r="R47" s="19">
        <v>27.0</v>
      </c>
      <c r="S47" s="19">
        <v>24.0</v>
      </c>
      <c r="T47" s="19">
        <v>34.0</v>
      </c>
      <c r="U47" s="19">
        <v>31.0</v>
      </c>
      <c r="V47" s="19">
        <v>6.0</v>
      </c>
      <c r="W47" s="19">
        <v>41.0</v>
      </c>
      <c r="X47" s="19">
        <v>30.0</v>
      </c>
      <c r="Y47" s="19">
        <v>22.0</v>
      </c>
      <c r="Z47" s="19">
        <v>21.0</v>
      </c>
      <c r="AA47" s="19">
        <v>9.0</v>
      </c>
      <c r="AB47" s="19">
        <v>16.0</v>
      </c>
      <c r="AC47" s="19">
        <v>11.0</v>
      </c>
      <c r="AD47" s="19">
        <v>20.0</v>
      </c>
      <c r="AE47" s="19">
        <v>12.0</v>
      </c>
      <c r="AF47" s="13">
        <f t="shared" si="14"/>
        <v>799</v>
      </c>
    </row>
    <row r="48" ht="12.75" customHeight="1">
      <c r="AF48" s="13"/>
    </row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</row>
    <row r="50" ht="12.75" customHeight="1">
      <c r="A50" s="42"/>
      <c r="B50" s="54" t="s">
        <v>42</v>
      </c>
      <c r="C50" s="55" t="s">
        <v>43</v>
      </c>
      <c r="D50" s="16"/>
      <c r="E50" s="19">
        <f t="shared" ref="E50:AE50" si="15">SUM(E45:E47)</f>
        <v>233</v>
      </c>
      <c r="F50" s="19">
        <f t="shared" si="15"/>
        <v>221</v>
      </c>
      <c r="G50" s="19">
        <f t="shared" si="15"/>
        <v>224</v>
      </c>
      <c r="H50" s="19">
        <f t="shared" si="15"/>
        <v>213</v>
      </c>
      <c r="I50" s="19">
        <f t="shared" si="15"/>
        <v>173</v>
      </c>
      <c r="J50" s="19">
        <f t="shared" si="15"/>
        <v>227</v>
      </c>
      <c r="K50" s="19">
        <f t="shared" si="15"/>
        <v>215</v>
      </c>
      <c r="L50" s="19">
        <f t="shared" si="15"/>
        <v>217</v>
      </c>
      <c r="M50" s="19">
        <f t="shared" si="15"/>
        <v>208</v>
      </c>
      <c r="N50" s="19">
        <f t="shared" si="15"/>
        <v>226</v>
      </c>
      <c r="O50" s="19">
        <f t="shared" si="15"/>
        <v>188</v>
      </c>
      <c r="P50" s="19">
        <f t="shared" si="15"/>
        <v>202</v>
      </c>
      <c r="Q50" s="19">
        <f t="shared" si="15"/>
        <v>220</v>
      </c>
      <c r="R50" s="19">
        <f t="shared" si="15"/>
        <v>232</v>
      </c>
      <c r="S50" s="19">
        <f t="shared" si="15"/>
        <v>219</v>
      </c>
      <c r="T50" s="19">
        <f t="shared" si="15"/>
        <v>223</v>
      </c>
      <c r="U50" s="19">
        <f t="shared" si="15"/>
        <v>161</v>
      </c>
      <c r="V50" s="19">
        <f t="shared" si="15"/>
        <v>85</v>
      </c>
      <c r="W50" s="19">
        <f t="shared" si="15"/>
        <v>203</v>
      </c>
      <c r="X50" s="19">
        <f t="shared" si="15"/>
        <v>130</v>
      </c>
      <c r="Y50" s="19">
        <f t="shared" si="15"/>
        <v>108</v>
      </c>
      <c r="Z50" s="19">
        <f t="shared" si="15"/>
        <v>176</v>
      </c>
      <c r="AA50" s="19">
        <f t="shared" si="15"/>
        <v>141</v>
      </c>
      <c r="AB50" s="19">
        <f t="shared" si="15"/>
        <v>183</v>
      </c>
      <c r="AC50" s="19">
        <f t="shared" si="15"/>
        <v>189</v>
      </c>
      <c r="AD50" s="19">
        <f t="shared" si="15"/>
        <v>166</v>
      </c>
      <c r="AE50" s="19">
        <f t="shared" si="15"/>
        <v>141</v>
      </c>
      <c r="AF50" s="13">
        <f t="shared" ref="AF50:AF52" si="16">SUM(E50:AE50)</f>
        <v>5124</v>
      </c>
    </row>
    <row r="51" ht="12.75" customHeight="1">
      <c r="A51" s="35"/>
      <c r="B51" s="54" t="s">
        <v>44</v>
      </c>
      <c r="C51" s="55" t="s">
        <v>45</v>
      </c>
      <c r="D51" s="16"/>
      <c r="E51" s="19">
        <v>10.0</v>
      </c>
      <c r="F51" s="19">
        <v>14.0</v>
      </c>
      <c r="G51" s="19">
        <v>4.0</v>
      </c>
      <c r="H51" s="19">
        <v>10.0</v>
      </c>
      <c r="I51" s="19">
        <v>10.0</v>
      </c>
      <c r="J51" s="19">
        <v>6.0</v>
      </c>
      <c r="K51" s="19">
        <v>10.0</v>
      </c>
      <c r="L51" s="19">
        <v>6.0</v>
      </c>
      <c r="M51" s="19">
        <v>5.0</v>
      </c>
      <c r="N51" s="19">
        <v>10.0</v>
      </c>
      <c r="O51" s="19">
        <v>15.0</v>
      </c>
      <c r="P51" s="19">
        <v>1.0</v>
      </c>
      <c r="Q51" s="19">
        <v>13.0</v>
      </c>
      <c r="R51" s="19">
        <v>13.0</v>
      </c>
      <c r="S51" s="19">
        <v>10.0</v>
      </c>
      <c r="T51" s="19">
        <v>8.0</v>
      </c>
      <c r="U51" s="19">
        <v>5.0</v>
      </c>
      <c r="V51" s="19">
        <v>11.0</v>
      </c>
      <c r="W51" s="19">
        <v>8.0</v>
      </c>
      <c r="X51" s="19">
        <v>3.0</v>
      </c>
      <c r="Y51" s="19">
        <v>2.0</v>
      </c>
      <c r="Z51" s="19">
        <v>7.0</v>
      </c>
      <c r="AA51" s="19">
        <v>6.0</v>
      </c>
      <c r="AB51" s="19">
        <v>3.0</v>
      </c>
      <c r="AC51" s="19">
        <v>11.0</v>
      </c>
      <c r="AD51" s="19">
        <v>2.0</v>
      </c>
      <c r="AE51" s="19">
        <v>2.0</v>
      </c>
      <c r="AF51" s="13">
        <f t="shared" si="16"/>
        <v>205</v>
      </c>
    </row>
    <row r="52" ht="12.75" customHeight="1">
      <c r="A52" s="41"/>
      <c r="B52" s="54" t="s">
        <v>46</v>
      </c>
      <c r="C52" s="55" t="s">
        <v>47</v>
      </c>
      <c r="D52" s="16"/>
      <c r="E52" s="13">
        <f t="shared" ref="E52:AE52" si="17">SUM(E50:E51)</f>
        <v>243</v>
      </c>
      <c r="F52" s="13">
        <f t="shared" si="17"/>
        <v>235</v>
      </c>
      <c r="G52" s="13">
        <f t="shared" si="17"/>
        <v>228</v>
      </c>
      <c r="H52" s="13">
        <f t="shared" si="17"/>
        <v>223</v>
      </c>
      <c r="I52" s="13">
        <f t="shared" si="17"/>
        <v>183</v>
      </c>
      <c r="J52" s="13">
        <f t="shared" si="17"/>
        <v>233</v>
      </c>
      <c r="K52" s="13">
        <f t="shared" si="17"/>
        <v>225</v>
      </c>
      <c r="L52" s="13">
        <f t="shared" si="17"/>
        <v>223</v>
      </c>
      <c r="M52" s="13">
        <f t="shared" si="17"/>
        <v>213</v>
      </c>
      <c r="N52" s="13">
        <f t="shared" si="17"/>
        <v>236</v>
      </c>
      <c r="O52" s="13">
        <f t="shared" si="17"/>
        <v>203</v>
      </c>
      <c r="P52" s="13">
        <f t="shared" si="17"/>
        <v>203</v>
      </c>
      <c r="Q52" s="13">
        <f t="shared" si="17"/>
        <v>233</v>
      </c>
      <c r="R52" s="13">
        <f t="shared" si="17"/>
        <v>245</v>
      </c>
      <c r="S52" s="13">
        <f t="shared" si="17"/>
        <v>229</v>
      </c>
      <c r="T52" s="13">
        <f t="shared" si="17"/>
        <v>231</v>
      </c>
      <c r="U52" s="13">
        <f t="shared" si="17"/>
        <v>166</v>
      </c>
      <c r="V52" s="13">
        <f t="shared" si="17"/>
        <v>96</v>
      </c>
      <c r="W52" s="13">
        <f t="shared" si="17"/>
        <v>211</v>
      </c>
      <c r="X52" s="13">
        <f t="shared" si="17"/>
        <v>133</v>
      </c>
      <c r="Y52" s="13">
        <f t="shared" si="17"/>
        <v>110</v>
      </c>
      <c r="Z52" s="13">
        <f t="shared" si="17"/>
        <v>183</v>
      </c>
      <c r="AA52" s="13">
        <f t="shared" si="17"/>
        <v>147</v>
      </c>
      <c r="AB52" s="13">
        <f t="shared" si="17"/>
        <v>186</v>
      </c>
      <c r="AC52" s="13">
        <f t="shared" si="17"/>
        <v>200</v>
      </c>
      <c r="AD52" s="13">
        <f t="shared" si="17"/>
        <v>168</v>
      </c>
      <c r="AE52" s="13">
        <f t="shared" si="17"/>
        <v>143</v>
      </c>
      <c r="AF52" s="13">
        <f t="shared" si="16"/>
        <v>5329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>
      <c r="AG117" s="5"/>
      <c r="AH117" s="5"/>
    </row>
    <row r="118" ht="12.75" customHeight="1">
      <c r="AG118" s="5"/>
      <c r="AH118" s="5"/>
    </row>
    <row r="119" ht="12.75" customHeight="1">
      <c r="AG119" s="5"/>
      <c r="AH119" s="5"/>
    </row>
    <row r="120" ht="12.75" customHeight="1">
      <c r="AG120" s="5"/>
      <c r="AH120" s="5"/>
    </row>
    <row r="121" ht="12.75" customHeight="1">
      <c r="AG121" s="5"/>
      <c r="AH121" s="5"/>
    </row>
    <row r="122" ht="12.75" customHeight="1">
      <c r="AG122" s="5"/>
      <c r="AH122" s="5"/>
    </row>
    <row r="123" ht="12.75" customHeight="1">
      <c r="AG123" s="5"/>
      <c r="AH123" s="5"/>
    </row>
    <row r="124" ht="12.75" customHeight="1">
      <c r="AG124" s="5"/>
      <c r="AH124" s="5"/>
    </row>
    <row r="125" ht="12.75" customHeight="1">
      <c r="AG125" s="5"/>
      <c r="AH125" s="5"/>
    </row>
    <row r="126" ht="12.75" customHeight="1">
      <c r="AG126" s="5"/>
      <c r="AH126" s="5"/>
    </row>
    <row r="127" ht="12.75" customHeight="1">
      <c r="AG127" s="5"/>
      <c r="AH127" s="5"/>
    </row>
    <row r="128" ht="12.75" customHeight="1">
      <c r="AG128" s="5"/>
      <c r="AH128" s="5"/>
    </row>
    <row r="129" ht="12.75" customHeight="1">
      <c r="AG129" s="5"/>
      <c r="AH129" s="5"/>
    </row>
    <row r="130" ht="12.75" customHeight="1">
      <c r="AG130" s="1"/>
      <c r="AH130" s="1"/>
    </row>
    <row r="131" ht="12.75" customHeight="1">
      <c r="AG131" s="50"/>
      <c r="AH131" s="50"/>
    </row>
    <row r="132" ht="12.75" customHeight="1">
      <c r="AG132" s="5"/>
      <c r="AH132" s="5"/>
    </row>
    <row r="133" ht="12.75" customHeight="1">
      <c r="AG133" s="5"/>
      <c r="AH133" s="5"/>
    </row>
    <row r="134" ht="12.75" customHeight="1">
      <c r="AG134" s="5"/>
      <c r="AH134" s="5"/>
    </row>
    <row r="135" ht="12.75" customHeight="1">
      <c r="AG135" s="5"/>
      <c r="AH135" s="5"/>
    </row>
    <row r="136" ht="12.75" customHeight="1">
      <c r="AG136" s="5"/>
      <c r="AH136" s="5"/>
    </row>
    <row r="137" ht="12.75" customHeight="1">
      <c r="AG137" s="5"/>
      <c r="AH137" s="5"/>
    </row>
    <row r="138" ht="12.75" customHeight="1">
      <c r="AG138" s="5"/>
      <c r="AH138" s="5"/>
    </row>
    <row r="139" ht="12.75" customHeight="1">
      <c r="AG139" s="5"/>
      <c r="AH139" s="5"/>
    </row>
    <row r="140" ht="12.75" customHeight="1">
      <c r="AG140" s="5"/>
      <c r="AH140" s="5"/>
    </row>
    <row r="141" ht="12.75" customHeight="1">
      <c r="AG141" s="1"/>
      <c r="AH141" s="1"/>
    </row>
    <row r="142" ht="12.75" customHeight="1">
      <c r="AG142" s="50"/>
      <c r="AH142" s="50"/>
    </row>
    <row r="143" ht="12.75" customHeight="1">
      <c r="AG143" s="5"/>
      <c r="AH143" s="5"/>
    </row>
    <row r="144" ht="12.75" customHeight="1">
      <c r="AG144" s="5"/>
      <c r="AH144" s="5"/>
    </row>
    <row r="145" ht="12.75" customHeight="1">
      <c r="AG145" s="5"/>
      <c r="AH145" s="5"/>
    </row>
    <row r="146" ht="12.75" customHeight="1">
      <c r="AG146" s="5"/>
      <c r="AH146" s="5"/>
    </row>
    <row r="147" ht="12.75" customHeight="1">
      <c r="AG147" s="5"/>
      <c r="AH147" s="5"/>
    </row>
    <row r="148" ht="12.75" customHeight="1">
      <c r="AG148" s="5"/>
      <c r="AH148" s="5"/>
    </row>
    <row r="149" ht="12.75" customHeight="1">
      <c r="AG149" s="5"/>
      <c r="AH149" s="5"/>
    </row>
    <row r="150" ht="12.75" customHeight="1">
      <c r="AG150" s="5"/>
      <c r="AH150" s="5"/>
    </row>
    <row r="151" ht="12.75" customHeight="1">
      <c r="AG151" s="1"/>
      <c r="AH151" s="1"/>
    </row>
    <row r="152" ht="12.75" customHeight="1">
      <c r="AG152" s="50"/>
      <c r="AH152" s="50"/>
    </row>
    <row r="153" ht="12.75" customHeight="1">
      <c r="AG153" s="5"/>
      <c r="AH153" s="5"/>
    </row>
    <row r="154" ht="12.75" customHeight="1">
      <c r="AG154" s="5"/>
      <c r="AH154" s="5"/>
    </row>
    <row r="155" ht="12.75" customHeight="1">
      <c r="AG155" s="5"/>
      <c r="AH155" s="5"/>
    </row>
    <row r="156" ht="12.75" customHeight="1">
      <c r="AG156" s="5"/>
      <c r="AH156" s="5"/>
    </row>
    <row r="157" ht="12.75" customHeight="1">
      <c r="AG157" s="5"/>
      <c r="AH157" s="5"/>
    </row>
    <row r="158" ht="12.75" customHeight="1">
      <c r="AG158" s="5"/>
      <c r="AH158" s="5"/>
    </row>
    <row r="159" ht="12.75" customHeight="1">
      <c r="AG159" s="5"/>
      <c r="AH159" s="5"/>
    </row>
    <row r="160" ht="12.75" customHeight="1">
      <c r="AG160" s="5"/>
      <c r="AH160" s="5"/>
    </row>
    <row r="161" ht="12.75" customHeight="1">
      <c r="AG161" s="5"/>
      <c r="AH161" s="5"/>
    </row>
    <row r="162" ht="12.75" customHeight="1">
      <c r="AG162" s="5"/>
      <c r="AH162" s="5"/>
    </row>
    <row r="163" ht="12.75" customHeight="1">
      <c r="AG163" s="5"/>
      <c r="AH163" s="5"/>
    </row>
    <row r="164" ht="12.75" customHeight="1">
      <c r="AG164" s="5"/>
      <c r="AH164" s="5"/>
    </row>
    <row r="165" ht="12.75" customHeight="1">
      <c r="AG165" s="1"/>
      <c r="AH165" s="1"/>
    </row>
    <row r="166" ht="12.75" customHeight="1">
      <c r="AG166" s="50"/>
      <c r="AH166" s="50"/>
    </row>
    <row r="167" ht="12.75" customHeight="1">
      <c r="AG167" s="5"/>
      <c r="AH167" s="5"/>
    </row>
    <row r="168" ht="12.75" customHeight="1">
      <c r="AG168" s="5"/>
      <c r="AH168" s="5"/>
    </row>
    <row r="169" ht="12.75" customHeight="1">
      <c r="AG169" s="5"/>
      <c r="AH169" s="5"/>
    </row>
    <row r="170" ht="12.75" customHeight="1">
      <c r="AG170" s="5"/>
      <c r="AH170" s="5"/>
    </row>
    <row r="171" ht="12.75" customHeight="1">
      <c r="AG171" s="5"/>
      <c r="AH171" s="5"/>
    </row>
    <row r="172" ht="12.75" customHeight="1">
      <c r="AG172" s="5"/>
      <c r="AH172" s="5"/>
    </row>
    <row r="173" ht="12.75" customHeight="1">
      <c r="AG173" s="5"/>
      <c r="AH173" s="5"/>
    </row>
    <row r="174" ht="12.75" customHeight="1">
      <c r="AG174" s="5"/>
      <c r="AH174" s="5"/>
    </row>
    <row r="175" ht="12.75" customHeight="1">
      <c r="AG175" s="5"/>
      <c r="AH175" s="5"/>
    </row>
    <row r="176" ht="12.75" customHeight="1">
      <c r="AG176" s="1"/>
      <c r="AH176" s="1"/>
    </row>
    <row r="177" ht="12.75" customHeight="1"/>
    <row r="178" ht="12.75" customHeight="1">
      <c r="AG178" s="5"/>
      <c r="AH178" s="5"/>
    </row>
    <row r="179" ht="12.75" customHeight="1">
      <c r="AG179" s="5"/>
      <c r="AH179" s="5"/>
    </row>
    <row r="180" ht="12.75" customHeight="1">
      <c r="AG180" s="5"/>
      <c r="AH180" s="5"/>
    </row>
    <row r="181" ht="12.75" customHeight="1">
      <c r="AG181" s="5"/>
      <c r="AH181" s="5"/>
    </row>
    <row r="182" ht="12.75" customHeight="1">
      <c r="AG182" s="5"/>
      <c r="AH182" s="5"/>
    </row>
    <row r="183" ht="12.75" customHeight="1">
      <c r="AG183" s="5"/>
      <c r="AH183" s="5"/>
    </row>
    <row r="184" ht="12.75" customHeight="1">
      <c r="AG184" s="5"/>
      <c r="AH184" s="5"/>
    </row>
    <row r="185" ht="12.75" customHeight="1">
      <c r="AG185" s="5"/>
      <c r="AH185" s="5"/>
    </row>
    <row r="186" ht="12.75" customHeight="1">
      <c r="AG186" s="5"/>
      <c r="AH186" s="5"/>
    </row>
    <row r="187" ht="12.75" customHeight="1">
      <c r="AG187" s="1"/>
      <c r="AH187" s="1"/>
    </row>
    <row r="188" ht="12.75" customHeight="1"/>
    <row r="189" ht="12.75" customHeight="1">
      <c r="AG189" s="5"/>
      <c r="AH189" s="5"/>
    </row>
    <row r="190" ht="12.75" customHeight="1">
      <c r="AG190" s="5"/>
      <c r="AH190" s="5"/>
    </row>
    <row r="191" ht="12.75" customHeight="1">
      <c r="AG191" s="5"/>
      <c r="AH191" s="5"/>
    </row>
    <row r="192" ht="12.75" customHeight="1">
      <c r="AG192" s="5"/>
      <c r="AH192" s="5"/>
    </row>
    <row r="193" ht="12.75" customHeight="1">
      <c r="AG193" s="5"/>
      <c r="AH193" s="5"/>
    </row>
    <row r="194" ht="12.75" customHeight="1">
      <c r="AG194" s="5"/>
      <c r="AH194" s="5"/>
    </row>
    <row r="195" ht="12.75" customHeight="1">
      <c r="AG195" s="5"/>
      <c r="AH195" s="5"/>
    </row>
    <row r="196" ht="12.75" customHeight="1">
      <c r="AG196" s="1"/>
      <c r="AH196" s="1"/>
    </row>
    <row r="197" ht="12.75" customHeight="1">
      <c r="AG197" s="1"/>
      <c r="AH197" s="1"/>
    </row>
    <row r="198" ht="12.75" customHeight="1">
      <c r="AG198" s="1"/>
      <c r="AH198" s="1"/>
    </row>
    <row r="199" ht="12.75" customHeight="1">
      <c r="AG199" s="50"/>
      <c r="AH199" s="50"/>
    </row>
    <row r="200" ht="12.75" customHeight="1">
      <c r="AG200" s="5"/>
      <c r="AH200" s="5"/>
    </row>
    <row r="201" ht="12.75" customHeight="1">
      <c r="AG201" s="5"/>
      <c r="AH201" s="5"/>
    </row>
    <row r="202" ht="12.75" customHeight="1">
      <c r="AG202" s="5"/>
      <c r="AH202" s="5"/>
    </row>
    <row r="203" ht="12.75" customHeight="1">
      <c r="AG203" s="5"/>
      <c r="AH203" s="5"/>
    </row>
    <row r="204" ht="12.75" customHeight="1">
      <c r="AG204" s="5"/>
      <c r="AH204" s="5"/>
    </row>
    <row r="205" ht="12.75" customHeight="1">
      <c r="AG205" s="5"/>
      <c r="AH205" s="5"/>
    </row>
    <row r="206" ht="12.75" customHeight="1">
      <c r="AG206" s="5"/>
      <c r="AH206" s="5"/>
    </row>
    <row r="207" ht="12.75" customHeight="1">
      <c r="AG207" s="1"/>
      <c r="AH207" s="1"/>
    </row>
    <row r="208" ht="12.75" customHeight="1">
      <c r="AG208" s="50"/>
      <c r="AH208" s="50"/>
    </row>
    <row r="209" ht="12.75" customHeight="1">
      <c r="AG209" s="50"/>
      <c r="AH209" s="50"/>
    </row>
    <row r="210" ht="12.75" customHeight="1">
      <c r="AG210" s="50"/>
      <c r="AH210" s="50"/>
    </row>
    <row r="211" ht="12.75" customHeight="1">
      <c r="AG211" s="5"/>
      <c r="AH211" s="5"/>
    </row>
    <row r="212" ht="12.75" customHeight="1">
      <c r="AG212" s="5"/>
      <c r="AH212" s="5"/>
    </row>
    <row r="213" ht="12.75" customHeight="1">
      <c r="AG213" s="5"/>
      <c r="AH213" s="5"/>
    </row>
    <row r="214" ht="12.75" customHeight="1">
      <c r="AG214" s="5"/>
      <c r="AH214" s="5"/>
    </row>
    <row r="215" ht="12.75" customHeight="1">
      <c r="AG215" s="5"/>
      <c r="AH215" s="5"/>
    </row>
    <row r="216" ht="12.75" customHeight="1">
      <c r="AG216" s="5"/>
      <c r="AH216" s="5"/>
    </row>
    <row r="217" ht="12.75" customHeight="1">
      <c r="AG217" s="5"/>
      <c r="AH217" s="5"/>
    </row>
    <row r="218" ht="12.75" customHeight="1">
      <c r="AG218" s="1"/>
      <c r="AH218" s="1"/>
    </row>
    <row r="219" ht="12.75" customHeight="1">
      <c r="AG219" s="50"/>
      <c r="AH219" s="50"/>
    </row>
    <row r="220" ht="12.75" customHeight="1">
      <c r="AG220" s="5"/>
      <c r="AH220" s="5"/>
    </row>
    <row r="221" ht="12.75" customHeight="1">
      <c r="AG221" s="5"/>
      <c r="AH221" s="5"/>
    </row>
    <row r="222" ht="12.75" customHeight="1">
      <c r="AG222" s="5"/>
      <c r="AH222" s="5"/>
    </row>
    <row r="223" ht="12.75" customHeight="1">
      <c r="AG223" s="5"/>
      <c r="AH223" s="5"/>
    </row>
    <row r="224" ht="12.75" customHeight="1">
      <c r="AG224" s="5"/>
      <c r="AH224" s="5"/>
    </row>
    <row r="225" ht="12.75" customHeight="1">
      <c r="AG225" s="5"/>
      <c r="AH225" s="5"/>
    </row>
    <row r="226" ht="12.75" customHeight="1">
      <c r="AG226" s="5"/>
      <c r="AH226" s="5"/>
    </row>
    <row r="227" ht="12.75" customHeight="1">
      <c r="AG227" s="5"/>
      <c r="AH227" s="5"/>
    </row>
    <row r="228" ht="12.75" customHeight="1">
      <c r="AG228" s="5"/>
      <c r="AH228" s="5"/>
    </row>
    <row r="229" ht="12.75" customHeight="1">
      <c r="AG229" s="1"/>
      <c r="AH229" s="1"/>
    </row>
    <row r="230" ht="12.75" customHeight="1">
      <c r="AG230" s="50"/>
      <c r="AH230" s="50"/>
    </row>
    <row r="231" ht="12.75" customHeight="1">
      <c r="AG231" s="5"/>
      <c r="AH231" s="5"/>
    </row>
    <row r="232" ht="12.75" customHeight="1">
      <c r="AG232" s="5"/>
      <c r="AH232" s="5"/>
    </row>
    <row r="233" ht="12.75" customHeight="1">
      <c r="AG233" s="5"/>
      <c r="AH233" s="5"/>
    </row>
    <row r="234" ht="12.75" customHeight="1">
      <c r="AG234" s="5"/>
      <c r="AH234" s="5"/>
    </row>
    <row r="235" ht="12.75" customHeight="1">
      <c r="AG235" s="5"/>
      <c r="AH235" s="5"/>
    </row>
    <row r="236" ht="12.75" customHeight="1">
      <c r="AG236" s="5"/>
      <c r="AH236" s="5"/>
    </row>
    <row r="237" ht="12.75" customHeight="1">
      <c r="AG237" s="5"/>
      <c r="AH237" s="5"/>
    </row>
    <row r="238" ht="12.75" customHeight="1">
      <c r="AG238" s="5"/>
      <c r="AH238" s="5"/>
    </row>
    <row r="239" ht="12.75" customHeight="1">
      <c r="AG239" s="5"/>
      <c r="AH239" s="5"/>
    </row>
    <row r="240" ht="12.75" customHeight="1">
      <c r="AG240" s="1"/>
      <c r="AH240" s="1"/>
    </row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AE12"/>
    <mergeCell ref="AF12:AF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14:AE15">
    <cfRule type="containsBlanks" dxfId="1" priority="1">
      <formula>LEN(TRIM(E14))=0</formula>
    </cfRule>
  </conditionalFormatting>
  <conditionalFormatting sqref="E19:AE20">
    <cfRule type="containsBlanks" dxfId="1" priority="2">
      <formula>LEN(TRIM(E19))=0</formula>
    </cfRule>
  </conditionalFormatting>
  <conditionalFormatting sqref="E22:AE23 E25:AE26 E33:AE33 E35:AE35 E39:AE40">
    <cfRule type="containsBlanks" dxfId="1" priority="3">
      <formula>LEN(TRIM(E22))=0</formula>
    </cfRule>
  </conditionalFormatting>
  <conditionalFormatting sqref="E30:AE30">
    <cfRule type="expression" dxfId="0" priority="4">
      <formula>E30&lt;&gt;E47</formula>
    </cfRule>
  </conditionalFormatting>
  <conditionalFormatting sqref="E30:AE30">
    <cfRule type="expression" dxfId="0" priority="5">
      <formula>E30&lt;&gt;E34</formula>
    </cfRule>
  </conditionalFormatting>
  <conditionalFormatting sqref="E34:AE34">
    <cfRule type="expression" dxfId="2" priority="6">
      <formula>E30&lt;&gt;E34</formula>
    </cfRule>
  </conditionalFormatting>
  <conditionalFormatting sqref="E34:AE34">
    <cfRule type="expression" dxfId="3" priority="7">
      <formula>E30=E34</formula>
    </cfRule>
  </conditionalFormatting>
  <conditionalFormatting sqref="E34:AE34">
    <cfRule type="expression" dxfId="0" priority="8">
      <formula>E34&lt;&gt;E30</formula>
    </cfRule>
  </conditionalFormatting>
  <conditionalFormatting sqref="E45:AE47">
    <cfRule type="containsBlanks" dxfId="1" priority="9">
      <formula>LEN(TRIM(E45))=0</formula>
    </cfRule>
  </conditionalFormatting>
  <conditionalFormatting sqref="E50:AE51">
    <cfRule type="containsBlanks" dxfId="1" priority="10">
      <formula>LEN(TRIM(E50))=0</formula>
    </cfRule>
  </conditionalFormatting>
  <conditionalFormatting sqref="E34:AE34">
    <cfRule type="expression" dxfId="0" priority="11">
      <formula>E34&lt;&gt;#REF!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50" width="8.71"/>
    <col customWidth="1" min="51" max="51" width="13.29"/>
    <col customWidth="1" min="52" max="53" width="8.71"/>
  </cols>
  <sheetData>
    <row r="1" ht="12.75" customHeight="1"/>
    <row r="2" ht="12.75" customHeight="1">
      <c r="C2" s="8" t="s">
        <v>0</v>
      </c>
      <c r="D2" s="8" t="s">
        <v>48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49</v>
      </c>
      <c r="D9" s="8" t="s">
        <v>78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  <c r="AE11" s="1"/>
      <c r="AF11" s="1"/>
      <c r="AG11" s="1"/>
      <c r="AH11" s="2"/>
      <c r="AI11" s="1"/>
      <c r="AJ11" s="1"/>
      <c r="AK11" s="1"/>
      <c r="AL11" s="1"/>
      <c r="AM11" s="2"/>
      <c r="AN11" s="1"/>
      <c r="AO11" s="1"/>
      <c r="AP11" s="1"/>
      <c r="AQ11" s="1"/>
      <c r="AR11" s="2"/>
      <c r="AS11" s="1"/>
      <c r="AT11" s="1"/>
      <c r="AU11" s="1"/>
      <c r="AV11" s="1"/>
      <c r="AW11" s="2"/>
      <c r="AX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5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51</v>
      </c>
      <c r="F13" s="13" t="s">
        <v>52</v>
      </c>
      <c r="G13" s="13" t="s">
        <v>53</v>
      </c>
      <c r="H13" s="13" t="s">
        <v>54</v>
      </c>
      <c r="I13" s="13" t="s">
        <v>55</v>
      </c>
      <c r="J13" s="13" t="s">
        <v>56</v>
      </c>
      <c r="K13" s="13" t="s">
        <v>57</v>
      </c>
      <c r="L13" s="13" t="s">
        <v>58</v>
      </c>
      <c r="M13" s="13" t="s">
        <v>59</v>
      </c>
      <c r="N13" s="13" t="s">
        <v>60</v>
      </c>
      <c r="O13" s="13" t="s">
        <v>61</v>
      </c>
      <c r="P13" s="13" t="s">
        <v>62</v>
      </c>
      <c r="Q13" s="13" t="s">
        <v>63</v>
      </c>
      <c r="R13" s="13" t="s">
        <v>64</v>
      </c>
      <c r="S13" s="13" t="s">
        <v>65</v>
      </c>
      <c r="T13" s="13" t="s">
        <v>66</v>
      </c>
      <c r="U13" s="13" t="s">
        <v>67</v>
      </c>
      <c r="V13" s="13" t="s">
        <v>68</v>
      </c>
      <c r="W13" s="13" t="s">
        <v>69</v>
      </c>
      <c r="X13" s="13" t="s">
        <v>70</v>
      </c>
      <c r="Y13" s="13" t="s">
        <v>71</v>
      </c>
      <c r="Z13" s="13" t="s">
        <v>72</v>
      </c>
      <c r="AA13" s="13" t="s">
        <v>73</v>
      </c>
      <c r="AB13" s="13" t="s">
        <v>74</v>
      </c>
      <c r="AC13" s="13" t="s">
        <v>75</v>
      </c>
      <c r="AD13" s="13" t="s">
        <v>76</v>
      </c>
      <c r="AE13" s="13" t="s">
        <v>77</v>
      </c>
      <c r="AF13" s="13" t="s">
        <v>79</v>
      </c>
      <c r="AG13" s="13" t="s">
        <v>80</v>
      </c>
      <c r="AH13" s="13" t="s">
        <v>81</v>
      </c>
      <c r="AI13" s="13" t="s">
        <v>82</v>
      </c>
      <c r="AJ13" s="13" t="s">
        <v>83</v>
      </c>
      <c r="AK13" s="13" t="s">
        <v>84</v>
      </c>
      <c r="AL13" s="13" t="s">
        <v>85</v>
      </c>
      <c r="AM13" s="13" t="s">
        <v>86</v>
      </c>
      <c r="AN13" s="13" t="s">
        <v>87</v>
      </c>
      <c r="AO13" s="13" t="s">
        <v>88</v>
      </c>
      <c r="AP13" s="13" t="s">
        <v>89</v>
      </c>
      <c r="AQ13" s="13" t="s">
        <v>90</v>
      </c>
      <c r="AR13" s="13" t="s">
        <v>91</v>
      </c>
      <c r="AS13" s="13" t="s">
        <v>92</v>
      </c>
      <c r="AT13" s="13" t="s">
        <v>93</v>
      </c>
      <c r="AU13" s="13" t="s">
        <v>94</v>
      </c>
      <c r="AV13" s="13" t="s">
        <v>95</v>
      </c>
      <c r="AW13" s="13" t="s">
        <v>96</v>
      </c>
      <c r="AX13" s="13" t="s">
        <v>97</v>
      </c>
      <c r="AY13" s="36"/>
    </row>
    <row r="14" ht="12.75" customHeight="1">
      <c r="A14" s="18"/>
      <c r="B14" s="22" t="s">
        <v>11</v>
      </c>
      <c r="C14" s="23"/>
      <c r="D14" s="19" t="s">
        <v>12</v>
      </c>
      <c r="E14" s="63">
        <v>141.0</v>
      </c>
      <c r="F14" s="63">
        <v>140.0</v>
      </c>
      <c r="G14" s="63">
        <v>111.0</v>
      </c>
      <c r="H14" s="63">
        <v>122.0</v>
      </c>
      <c r="I14" s="63">
        <v>125.0</v>
      </c>
      <c r="J14" s="63">
        <v>111.0</v>
      </c>
      <c r="K14" s="63">
        <v>135.0</v>
      </c>
      <c r="L14" s="63">
        <v>141.0</v>
      </c>
      <c r="M14" s="63">
        <v>153.0</v>
      </c>
      <c r="N14" s="63">
        <v>142.0</v>
      </c>
      <c r="O14" s="63">
        <v>127.0</v>
      </c>
      <c r="P14" s="63">
        <v>144.0</v>
      </c>
      <c r="Q14" s="63">
        <v>124.0</v>
      </c>
      <c r="R14" s="63">
        <v>126.0</v>
      </c>
      <c r="S14" s="63">
        <v>116.0</v>
      </c>
      <c r="T14" s="19">
        <v>132.0</v>
      </c>
      <c r="U14" s="19">
        <v>89.0</v>
      </c>
      <c r="V14" s="19">
        <v>132.0</v>
      </c>
      <c r="W14" s="19">
        <v>111.0</v>
      </c>
      <c r="X14" s="19">
        <v>142.0</v>
      </c>
      <c r="Y14" s="19">
        <v>118.0</v>
      </c>
      <c r="Z14" s="19">
        <v>127.0</v>
      </c>
      <c r="AA14" s="19">
        <v>149.0</v>
      </c>
      <c r="AB14" s="19">
        <v>142.0</v>
      </c>
      <c r="AC14" s="19">
        <v>125.0</v>
      </c>
      <c r="AD14" s="19">
        <v>92.0</v>
      </c>
      <c r="AE14" s="19">
        <v>122.0</v>
      </c>
      <c r="AF14" s="19">
        <v>129.0</v>
      </c>
      <c r="AG14" s="19">
        <v>91.0</v>
      </c>
      <c r="AH14" s="19">
        <v>99.0</v>
      </c>
      <c r="AI14" s="19">
        <v>86.0</v>
      </c>
      <c r="AJ14" s="19">
        <v>65.0</v>
      </c>
      <c r="AK14" s="19">
        <v>81.0</v>
      </c>
      <c r="AL14" s="19">
        <v>93.0</v>
      </c>
      <c r="AM14" s="19">
        <v>68.0</v>
      </c>
      <c r="AN14" s="19">
        <v>92.0</v>
      </c>
      <c r="AO14" s="19">
        <v>103.0</v>
      </c>
      <c r="AP14" s="19">
        <v>143.0</v>
      </c>
      <c r="AQ14" s="19">
        <v>98.0</v>
      </c>
      <c r="AR14" s="19">
        <v>105.0</v>
      </c>
      <c r="AS14" s="19">
        <v>134.0</v>
      </c>
      <c r="AT14" s="19">
        <v>113.0</v>
      </c>
      <c r="AU14" s="19">
        <v>128.0</v>
      </c>
      <c r="AV14" s="19">
        <v>136.0</v>
      </c>
      <c r="AW14" s="19">
        <v>86.0</v>
      </c>
      <c r="AX14" s="65">
        <v>53.0</v>
      </c>
      <c r="AY14" s="13">
        <f t="shared" ref="AY14:AY16" si="1">SUM(E14:AX14)</f>
        <v>5342</v>
      </c>
    </row>
    <row r="15" ht="12.75" customHeight="1">
      <c r="A15" s="18"/>
      <c r="B15" s="26"/>
      <c r="C15" s="27"/>
      <c r="D15" s="19" t="s">
        <v>13</v>
      </c>
      <c r="E15" s="63">
        <v>141.0</v>
      </c>
      <c r="F15" s="63">
        <v>142.0</v>
      </c>
      <c r="G15" s="63">
        <v>104.0</v>
      </c>
      <c r="H15" s="63">
        <v>127.0</v>
      </c>
      <c r="I15" s="63">
        <v>114.0</v>
      </c>
      <c r="J15" s="63">
        <v>125.0</v>
      </c>
      <c r="K15" s="63">
        <v>129.0</v>
      </c>
      <c r="L15" s="63">
        <v>156.0</v>
      </c>
      <c r="M15" s="63">
        <v>139.0</v>
      </c>
      <c r="N15" s="63">
        <v>132.0</v>
      </c>
      <c r="O15" s="63">
        <v>141.0</v>
      </c>
      <c r="P15" s="63">
        <v>150.0</v>
      </c>
      <c r="Q15" s="63">
        <v>127.0</v>
      </c>
      <c r="R15" s="63">
        <v>134.0</v>
      </c>
      <c r="S15" s="63">
        <v>118.0</v>
      </c>
      <c r="T15" s="19">
        <v>145.0</v>
      </c>
      <c r="U15" s="19">
        <v>94.0</v>
      </c>
      <c r="V15" s="19">
        <v>139.0</v>
      </c>
      <c r="W15" s="19">
        <v>127.0</v>
      </c>
      <c r="X15" s="19">
        <v>154.0</v>
      </c>
      <c r="Y15" s="19">
        <v>109.0</v>
      </c>
      <c r="Z15" s="19">
        <v>140.0</v>
      </c>
      <c r="AA15" s="19">
        <v>148.0</v>
      </c>
      <c r="AB15" s="19">
        <v>150.0</v>
      </c>
      <c r="AC15" s="19">
        <v>128.0</v>
      </c>
      <c r="AD15" s="19">
        <v>99.0</v>
      </c>
      <c r="AE15" s="19">
        <v>144.0</v>
      </c>
      <c r="AF15" s="19">
        <v>121.0</v>
      </c>
      <c r="AG15" s="19">
        <v>96.0</v>
      </c>
      <c r="AH15" s="19">
        <v>104.0</v>
      </c>
      <c r="AI15" s="19">
        <v>88.0</v>
      </c>
      <c r="AJ15" s="19">
        <v>72.0</v>
      </c>
      <c r="AK15" s="19">
        <v>86.0</v>
      </c>
      <c r="AL15" s="19">
        <v>90.0</v>
      </c>
      <c r="AM15" s="19">
        <v>60.0</v>
      </c>
      <c r="AN15" s="19">
        <v>98.0</v>
      </c>
      <c r="AO15" s="19">
        <v>96.0</v>
      </c>
      <c r="AP15" s="19">
        <v>150.0</v>
      </c>
      <c r="AQ15" s="19">
        <v>110.0</v>
      </c>
      <c r="AR15" s="19">
        <v>115.0</v>
      </c>
      <c r="AS15" s="19">
        <v>109.0</v>
      </c>
      <c r="AT15" s="19">
        <v>140.0</v>
      </c>
      <c r="AU15" s="19">
        <v>125.0</v>
      </c>
      <c r="AV15" s="19">
        <v>128.0</v>
      </c>
      <c r="AW15" s="19">
        <v>92.0</v>
      </c>
      <c r="AX15" s="65">
        <v>69.0</v>
      </c>
      <c r="AY15" s="13">
        <f t="shared" si="1"/>
        <v>5505</v>
      </c>
    </row>
    <row r="16" ht="12.75" customHeight="1">
      <c r="A16" s="25"/>
      <c r="B16" s="21"/>
      <c r="C16" s="28"/>
      <c r="D16" s="13" t="s">
        <v>14</v>
      </c>
      <c r="E16" s="13">
        <f t="shared" ref="E16:AX16" si="2">SUM(E14:E15)</f>
        <v>282</v>
      </c>
      <c r="F16" s="13">
        <f t="shared" si="2"/>
        <v>282</v>
      </c>
      <c r="G16" s="13">
        <f t="shared" si="2"/>
        <v>215</v>
      </c>
      <c r="H16" s="13">
        <f t="shared" si="2"/>
        <v>249</v>
      </c>
      <c r="I16" s="13">
        <f t="shared" si="2"/>
        <v>239</v>
      </c>
      <c r="J16" s="13">
        <f t="shared" si="2"/>
        <v>236</v>
      </c>
      <c r="K16" s="13">
        <f t="shared" si="2"/>
        <v>264</v>
      </c>
      <c r="L16" s="13">
        <f t="shared" si="2"/>
        <v>297</v>
      </c>
      <c r="M16" s="13">
        <f t="shared" si="2"/>
        <v>292</v>
      </c>
      <c r="N16" s="13">
        <f t="shared" si="2"/>
        <v>274</v>
      </c>
      <c r="O16" s="13">
        <f t="shared" si="2"/>
        <v>268</v>
      </c>
      <c r="P16" s="13">
        <f t="shared" si="2"/>
        <v>294</v>
      </c>
      <c r="Q16" s="13">
        <f t="shared" si="2"/>
        <v>251</v>
      </c>
      <c r="R16" s="13">
        <f t="shared" si="2"/>
        <v>260</v>
      </c>
      <c r="S16" s="13">
        <f t="shared" si="2"/>
        <v>234</v>
      </c>
      <c r="T16" s="13">
        <f t="shared" si="2"/>
        <v>277</v>
      </c>
      <c r="U16" s="13">
        <f t="shared" si="2"/>
        <v>183</v>
      </c>
      <c r="V16" s="13">
        <f t="shared" si="2"/>
        <v>271</v>
      </c>
      <c r="W16" s="13">
        <f t="shared" si="2"/>
        <v>238</v>
      </c>
      <c r="X16" s="13">
        <f t="shared" si="2"/>
        <v>296</v>
      </c>
      <c r="Y16" s="13">
        <f t="shared" si="2"/>
        <v>227</v>
      </c>
      <c r="Z16" s="13">
        <f t="shared" si="2"/>
        <v>267</v>
      </c>
      <c r="AA16" s="13">
        <f t="shared" si="2"/>
        <v>297</v>
      </c>
      <c r="AB16" s="13">
        <f t="shared" si="2"/>
        <v>292</v>
      </c>
      <c r="AC16" s="13">
        <f t="shared" si="2"/>
        <v>253</v>
      </c>
      <c r="AD16" s="13">
        <f t="shared" si="2"/>
        <v>191</v>
      </c>
      <c r="AE16" s="13">
        <f t="shared" si="2"/>
        <v>266</v>
      </c>
      <c r="AF16" s="13">
        <f t="shared" si="2"/>
        <v>250</v>
      </c>
      <c r="AG16" s="13">
        <f t="shared" si="2"/>
        <v>187</v>
      </c>
      <c r="AH16" s="13">
        <f t="shared" si="2"/>
        <v>203</v>
      </c>
      <c r="AI16" s="13">
        <f t="shared" si="2"/>
        <v>174</v>
      </c>
      <c r="AJ16" s="13">
        <f t="shared" si="2"/>
        <v>137</v>
      </c>
      <c r="AK16" s="13">
        <f t="shared" si="2"/>
        <v>167</v>
      </c>
      <c r="AL16" s="13">
        <f t="shared" si="2"/>
        <v>183</v>
      </c>
      <c r="AM16" s="13">
        <f t="shared" si="2"/>
        <v>128</v>
      </c>
      <c r="AN16" s="13">
        <f t="shared" si="2"/>
        <v>190</v>
      </c>
      <c r="AO16" s="13">
        <f t="shared" si="2"/>
        <v>199</v>
      </c>
      <c r="AP16" s="13">
        <f t="shared" si="2"/>
        <v>293</v>
      </c>
      <c r="AQ16" s="13">
        <f t="shared" si="2"/>
        <v>208</v>
      </c>
      <c r="AR16" s="13">
        <f t="shared" si="2"/>
        <v>220</v>
      </c>
      <c r="AS16" s="13">
        <f t="shared" si="2"/>
        <v>243</v>
      </c>
      <c r="AT16" s="13">
        <f t="shared" si="2"/>
        <v>253</v>
      </c>
      <c r="AU16" s="13">
        <f t="shared" si="2"/>
        <v>253</v>
      </c>
      <c r="AV16" s="13">
        <f t="shared" si="2"/>
        <v>264</v>
      </c>
      <c r="AW16" s="13">
        <f t="shared" si="2"/>
        <v>178</v>
      </c>
      <c r="AX16" s="13">
        <f t="shared" si="2"/>
        <v>122</v>
      </c>
      <c r="AY16" s="13">
        <f t="shared" si="1"/>
        <v>10847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0"/>
      <c r="O17" s="19"/>
      <c r="P17" s="19"/>
      <c r="Q17" s="19"/>
      <c r="R17" s="19"/>
      <c r="S17" s="60"/>
      <c r="T17" s="19"/>
      <c r="U17" s="19"/>
      <c r="V17" s="19"/>
      <c r="W17" s="19"/>
      <c r="X17" s="60"/>
      <c r="Y17" s="19"/>
      <c r="Z17" s="19"/>
      <c r="AA17" s="19"/>
      <c r="AB17" s="19"/>
      <c r="AC17" s="60"/>
      <c r="AD17" s="19"/>
      <c r="AE17" s="19"/>
      <c r="AF17" s="19"/>
      <c r="AG17" s="19"/>
      <c r="AH17" s="60"/>
      <c r="AI17" s="19"/>
      <c r="AJ17" s="19"/>
      <c r="AK17" s="19"/>
      <c r="AL17" s="19"/>
      <c r="AM17" s="60"/>
      <c r="AN17" s="19"/>
      <c r="AO17" s="19"/>
      <c r="AP17" s="19"/>
      <c r="AQ17" s="19"/>
      <c r="AR17" s="60"/>
      <c r="AS17" s="19"/>
      <c r="AT17" s="19"/>
      <c r="AU17" s="19"/>
      <c r="AV17" s="19"/>
      <c r="AW17" s="60"/>
      <c r="AX17" s="19"/>
      <c r="AY17" s="61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0"/>
      <c r="O18" s="19"/>
      <c r="P18" s="19"/>
      <c r="Q18" s="19"/>
      <c r="R18" s="19"/>
      <c r="S18" s="60"/>
      <c r="T18" s="19"/>
      <c r="U18" s="19"/>
      <c r="V18" s="19"/>
      <c r="W18" s="19"/>
      <c r="X18" s="60"/>
      <c r="Y18" s="19"/>
      <c r="Z18" s="19"/>
      <c r="AA18" s="19"/>
      <c r="AB18" s="19"/>
      <c r="AC18" s="60"/>
      <c r="AD18" s="19"/>
      <c r="AE18" s="19"/>
      <c r="AF18" s="19"/>
      <c r="AG18" s="19"/>
      <c r="AH18" s="60"/>
      <c r="AI18" s="19"/>
      <c r="AJ18" s="19"/>
      <c r="AK18" s="19"/>
      <c r="AL18" s="19"/>
      <c r="AM18" s="60"/>
      <c r="AN18" s="19"/>
      <c r="AO18" s="19"/>
      <c r="AP18" s="19"/>
      <c r="AQ18" s="19"/>
      <c r="AR18" s="60"/>
      <c r="AS18" s="19"/>
      <c r="AT18" s="19"/>
      <c r="AU18" s="19"/>
      <c r="AV18" s="19"/>
      <c r="AW18" s="60"/>
      <c r="AX18" s="19"/>
      <c r="AY18" s="61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66">
        <v>92.0</v>
      </c>
      <c r="F19" s="66">
        <v>98.0</v>
      </c>
      <c r="G19" s="66">
        <v>89.0</v>
      </c>
      <c r="H19" s="66">
        <v>90.0</v>
      </c>
      <c r="I19" s="66">
        <v>87.0</v>
      </c>
      <c r="J19" s="66">
        <v>84.0</v>
      </c>
      <c r="K19" s="66">
        <v>104.0</v>
      </c>
      <c r="L19" s="66">
        <v>108.0</v>
      </c>
      <c r="M19" s="66">
        <v>115.0</v>
      </c>
      <c r="N19" s="66">
        <v>106.0</v>
      </c>
      <c r="O19" s="66">
        <v>101.0</v>
      </c>
      <c r="P19" s="66">
        <v>113.0</v>
      </c>
      <c r="Q19" s="66">
        <v>95.0</v>
      </c>
      <c r="R19" s="66">
        <v>103.0</v>
      </c>
      <c r="S19" s="66">
        <v>92.0</v>
      </c>
      <c r="T19" s="19">
        <v>91.0</v>
      </c>
      <c r="U19" s="19">
        <v>65.0</v>
      </c>
      <c r="V19" s="19">
        <v>92.0</v>
      </c>
      <c r="W19" s="19">
        <v>77.0</v>
      </c>
      <c r="X19" s="19">
        <v>108.0</v>
      </c>
      <c r="Y19" s="19">
        <v>87.0</v>
      </c>
      <c r="Z19" s="19">
        <v>92.0</v>
      </c>
      <c r="AA19" s="19">
        <v>119.0</v>
      </c>
      <c r="AB19" s="19">
        <v>104.0</v>
      </c>
      <c r="AC19" s="19">
        <v>73.0</v>
      </c>
      <c r="AD19" s="19">
        <v>53.0</v>
      </c>
      <c r="AE19" s="19">
        <v>85.0</v>
      </c>
      <c r="AF19" s="19">
        <v>74.0</v>
      </c>
      <c r="AG19" s="19">
        <v>56.0</v>
      </c>
      <c r="AH19" s="19">
        <v>52.0</v>
      </c>
      <c r="AI19" s="19">
        <v>53.0</v>
      </c>
      <c r="AJ19" s="19">
        <v>42.0</v>
      </c>
      <c r="AK19" s="19">
        <v>69.0</v>
      </c>
      <c r="AL19" s="19">
        <v>63.0</v>
      </c>
      <c r="AM19" s="19">
        <v>50.0</v>
      </c>
      <c r="AN19" s="19">
        <v>67.0</v>
      </c>
      <c r="AO19" s="19">
        <v>73.0</v>
      </c>
      <c r="AP19" s="19">
        <v>112.0</v>
      </c>
      <c r="AQ19" s="19">
        <v>74.0</v>
      </c>
      <c r="AR19" s="19">
        <v>69.0</v>
      </c>
      <c r="AS19" s="19">
        <v>108.0</v>
      </c>
      <c r="AT19" s="19">
        <v>69.0</v>
      </c>
      <c r="AU19" s="19">
        <v>77.0</v>
      </c>
      <c r="AV19" s="19">
        <v>89.0</v>
      </c>
      <c r="AW19" s="19">
        <v>63.0</v>
      </c>
      <c r="AX19" s="65">
        <v>84.0</v>
      </c>
      <c r="AY19" s="13">
        <f t="shared" ref="AY19:AY30" si="3">SUM(E19:AX19)</f>
        <v>3867</v>
      </c>
    </row>
    <row r="20" ht="12.75" customHeight="1">
      <c r="A20" s="33"/>
      <c r="B20" s="27"/>
      <c r="C20" s="34"/>
      <c r="D20" s="19" t="s">
        <v>13</v>
      </c>
      <c r="E20" s="66">
        <v>114.0</v>
      </c>
      <c r="F20" s="66">
        <v>116.0</v>
      </c>
      <c r="G20" s="66">
        <v>84.0</v>
      </c>
      <c r="H20" s="66">
        <v>106.0</v>
      </c>
      <c r="I20" s="66">
        <v>97.0</v>
      </c>
      <c r="J20" s="66">
        <v>100.0</v>
      </c>
      <c r="K20" s="66">
        <v>108.0</v>
      </c>
      <c r="L20" s="66">
        <v>123.0</v>
      </c>
      <c r="M20" s="66">
        <v>110.0</v>
      </c>
      <c r="N20" s="66">
        <v>100.0</v>
      </c>
      <c r="O20" s="66">
        <v>113.0</v>
      </c>
      <c r="P20" s="66">
        <v>118.0</v>
      </c>
      <c r="Q20" s="66">
        <v>108.0</v>
      </c>
      <c r="R20" s="66">
        <v>109.0</v>
      </c>
      <c r="S20" s="66">
        <v>97.0</v>
      </c>
      <c r="T20" s="19">
        <v>106.0</v>
      </c>
      <c r="U20" s="19">
        <v>75.0</v>
      </c>
      <c r="V20" s="19">
        <v>104.0</v>
      </c>
      <c r="W20" s="19">
        <v>94.0</v>
      </c>
      <c r="X20" s="19">
        <v>125.0</v>
      </c>
      <c r="Y20" s="19">
        <v>96.0</v>
      </c>
      <c r="Z20" s="19">
        <v>108.0</v>
      </c>
      <c r="AA20" s="19">
        <v>121.0</v>
      </c>
      <c r="AB20" s="19">
        <v>116.0</v>
      </c>
      <c r="AC20" s="19">
        <v>101.0</v>
      </c>
      <c r="AD20" s="19">
        <v>79.0</v>
      </c>
      <c r="AE20" s="19">
        <v>113.0</v>
      </c>
      <c r="AF20" s="19">
        <v>92.0</v>
      </c>
      <c r="AG20" s="19">
        <v>82.0</v>
      </c>
      <c r="AH20" s="19">
        <v>76.0</v>
      </c>
      <c r="AI20" s="19">
        <v>70.0</v>
      </c>
      <c r="AJ20" s="19">
        <v>57.0</v>
      </c>
      <c r="AK20" s="19">
        <v>56.0</v>
      </c>
      <c r="AL20" s="19">
        <v>70.0</v>
      </c>
      <c r="AM20" s="19">
        <v>54.0</v>
      </c>
      <c r="AN20" s="19">
        <v>78.0</v>
      </c>
      <c r="AO20" s="19">
        <v>77.0</v>
      </c>
      <c r="AP20" s="19">
        <v>127.0</v>
      </c>
      <c r="AQ20" s="19">
        <v>85.0</v>
      </c>
      <c r="AR20" s="19">
        <v>102.0</v>
      </c>
      <c r="AS20" s="19">
        <v>83.0</v>
      </c>
      <c r="AT20" s="19">
        <v>101.0</v>
      </c>
      <c r="AU20" s="19">
        <v>91.0</v>
      </c>
      <c r="AV20" s="19">
        <v>103.0</v>
      </c>
      <c r="AW20" s="19">
        <v>76.0</v>
      </c>
      <c r="AX20" s="65">
        <v>70.0</v>
      </c>
      <c r="AY20" s="13">
        <f t="shared" si="3"/>
        <v>4391</v>
      </c>
    </row>
    <row r="21" ht="12.75" customHeight="1">
      <c r="A21" s="35"/>
      <c r="B21" s="28"/>
      <c r="C21" s="36"/>
      <c r="D21" s="13" t="s">
        <v>14</v>
      </c>
      <c r="E21" s="13">
        <f t="shared" ref="E21:AX21" si="4">SUM(E19:E20)</f>
        <v>206</v>
      </c>
      <c r="F21" s="13">
        <f t="shared" si="4"/>
        <v>214</v>
      </c>
      <c r="G21" s="13">
        <f t="shared" si="4"/>
        <v>173</v>
      </c>
      <c r="H21" s="13">
        <f t="shared" si="4"/>
        <v>196</v>
      </c>
      <c r="I21" s="13">
        <f t="shared" si="4"/>
        <v>184</v>
      </c>
      <c r="J21" s="13">
        <f t="shared" si="4"/>
        <v>184</v>
      </c>
      <c r="K21" s="13">
        <f t="shared" si="4"/>
        <v>212</v>
      </c>
      <c r="L21" s="13">
        <f t="shared" si="4"/>
        <v>231</v>
      </c>
      <c r="M21" s="13">
        <f t="shared" si="4"/>
        <v>225</v>
      </c>
      <c r="N21" s="13">
        <f t="shared" si="4"/>
        <v>206</v>
      </c>
      <c r="O21" s="13">
        <f t="shared" si="4"/>
        <v>214</v>
      </c>
      <c r="P21" s="13">
        <f t="shared" si="4"/>
        <v>231</v>
      </c>
      <c r="Q21" s="13">
        <f t="shared" si="4"/>
        <v>203</v>
      </c>
      <c r="R21" s="13">
        <f t="shared" si="4"/>
        <v>212</v>
      </c>
      <c r="S21" s="13">
        <f t="shared" si="4"/>
        <v>189</v>
      </c>
      <c r="T21" s="13">
        <f t="shared" si="4"/>
        <v>197</v>
      </c>
      <c r="U21" s="13">
        <f t="shared" si="4"/>
        <v>140</v>
      </c>
      <c r="V21" s="13">
        <f t="shared" si="4"/>
        <v>196</v>
      </c>
      <c r="W21" s="13">
        <f t="shared" si="4"/>
        <v>171</v>
      </c>
      <c r="X21" s="13">
        <f t="shared" si="4"/>
        <v>233</v>
      </c>
      <c r="Y21" s="13">
        <f t="shared" si="4"/>
        <v>183</v>
      </c>
      <c r="Z21" s="13">
        <f t="shared" si="4"/>
        <v>200</v>
      </c>
      <c r="AA21" s="13">
        <f t="shared" si="4"/>
        <v>240</v>
      </c>
      <c r="AB21" s="13">
        <f t="shared" si="4"/>
        <v>220</v>
      </c>
      <c r="AC21" s="13">
        <f t="shared" si="4"/>
        <v>174</v>
      </c>
      <c r="AD21" s="13">
        <f t="shared" si="4"/>
        <v>132</v>
      </c>
      <c r="AE21" s="13">
        <f t="shared" si="4"/>
        <v>198</v>
      </c>
      <c r="AF21" s="13">
        <f t="shared" si="4"/>
        <v>166</v>
      </c>
      <c r="AG21" s="13">
        <f t="shared" si="4"/>
        <v>138</v>
      </c>
      <c r="AH21" s="13">
        <f t="shared" si="4"/>
        <v>128</v>
      </c>
      <c r="AI21" s="13">
        <f t="shared" si="4"/>
        <v>123</v>
      </c>
      <c r="AJ21" s="13">
        <f t="shared" si="4"/>
        <v>99</v>
      </c>
      <c r="AK21" s="13">
        <f t="shared" si="4"/>
        <v>125</v>
      </c>
      <c r="AL21" s="13">
        <f t="shared" si="4"/>
        <v>133</v>
      </c>
      <c r="AM21" s="13">
        <f t="shared" si="4"/>
        <v>104</v>
      </c>
      <c r="AN21" s="13">
        <f t="shared" si="4"/>
        <v>145</v>
      </c>
      <c r="AO21" s="13">
        <f t="shared" si="4"/>
        <v>150</v>
      </c>
      <c r="AP21" s="13">
        <f t="shared" si="4"/>
        <v>239</v>
      </c>
      <c r="AQ21" s="13">
        <f t="shared" si="4"/>
        <v>159</v>
      </c>
      <c r="AR21" s="13">
        <f t="shared" si="4"/>
        <v>171</v>
      </c>
      <c r="AS21" s="13">
        <f t="shared" si="4"/>
        <v>191</v>
      </c>
      <c r="AT21" s="13">
        <f t="shared" si="4"/>
        <v>170</v>
      </c>
      <c r="AU21" s="13">
        <f t="shared" si="4"/>
        <v>168</v>
      </c>
      <c r="AV21" s="13">
        <f t="shared" si="4"/>
        <v>192</v>
      </c>
      <c r="AW21" s="13">
        <f t="shared" si="4"/>
        <v>139</v>
      </c>
      <c r="AX21" s="13">
        <f t="shared" si="4"/>
        <v>154</v>
      </c>
      <c r="AY21" s="13">
        <f t="shared" si="3"/>
        <v>8258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63">
        <v>0.0</v>
      </c>
      <c r="F22" s="63">
        <v>0.0</v>
      </c>
      <c r="G22" s="63">
        <v>0.0</v>
      </c>
      <c r="H22" s="63">
        <v>2.0</v>
      </c>
      <c r="I22" s="63">
        <v>0.0</v>
      </c>
      <c r="J22" s="63">
        <v>0.0</v>
      </c>
      <c r="K22" s="63">
        <v>2.0</v>
      </c>
      <c r="L22" s="63">
        <v>1.0</v>
      </c>
      <c r="M22" s="63">
        <v>0.0</v>
      </c>
      <c r="N22" s="63">
        <v>0.0</v>
      </c>
      <c r="O22" s="63">
        <v>1.0</v>
      </c>
      <c r="P22" s="63">
        <v>1.0</v>
      </c>
      <c r="Q22" s="63">
        <v>2.0</v>
      </c>
      <c r="R22" s="63">
        <v>1.0</v>
      </c>
      <c r="S22" s="63">
        <v>1.0</v>
      </c>
      <c r="T22" s="19">
        <v>0.0</v>
      </c>
      <c r="U22" s="19">
        <v>0.0</v>
      </c>
      <c r="V22" s="19">
        <v>0.0</v>
      </c>
      <c r="W22" s="19">
        <v>3.0</v>
      </c>
      <c r="X22" s="19">
        <v>0.0</v>
      </c>
      <c r="Y22" s="19">
        <v>0.0</v>
      </c>
      <c r="Z22" s="19">
        <v>0.0</v>
      </c>
      <c r="AA22" s="19">
        <v>1.0</v>
      </c>
      <c r="AB22" s="19">
        <v>1.0</v>
      </c>
      <c r="AC22" s="19">
        <v>0.0</v>
      </c>
      <c r="AD22" s="19">
        <v>1.0</v>
      </c>
      <c r="AE22" s="19">
        <v>0.0</v>
      </c>
      <c r="AF22" s="19">
        <v>0.0</v>
      </c>
      <c r="AG22" s="19">
        <v>2.0</v>
      </c>
      <c r="AH22" s="19">
        <v>1.0</v>
      </c>
      <c r="AI22" s="19">
        <v>3.0</v>
      </c>
      <c r="AJ22" s="19">
        <v>1.0</v>
      </c>
      <c r="AK22" s="19">
        <v>1.0</v>
      </c>
      <c r="AL22" s="19">
        <v>2.0</v>
      </c>
      <c r="AM22" s="19">
        <v>3.0</v>
      </c>
      <c r="AN22" s="19">
        <v>1.0</v>
      </c>
      <c r="AO22" s="19">
        <v>2.0</v>
      </c>
      <c r="AP22" s="19">
        <v>2.0</v>
      </c>
      <c r="AQ22" s="19">
        <v>2.0</v>
      </c>
      <c r="AR22" s="19">
        <v>1.0</v>
      </c>
      <c r="AS22" s="19">
        <v>0.0</v>
      </c>
      <c r="AT22" s="19">
        <v>1.0</v>
      </c>
      <c r="AU22" s="19">
        <v>1.0</v>
      </c>
      <c r="AV22" s="19">
        <v>1.0</v>
      </c>
      <c r="AW22" s="19">
        <v>1.0</v>
      </c>
      <c r="AX22" s="65">
        <v>3.0</v>
      </c>
      <c r="AY22" s="13">
        <f t="shared" si="3"/>
        <v>45</v>
      </c>
    </row>
    <row r="23" ht="12.75" customHeight="1">
      <c r="A23" s="33"/>
      <c r="B23" s="27"/>
      <c r="C23" s="34"/>
      <c r="D23" s="19" t="s">
        <v>13</v>
      </c>
      <c r="E23" s="63">
        <v>2.0</v>
      </c>
      <c r="F23" s="63">
        <v>1.0</v>
      </c>
      <c r="G23" s="63">
        <v>1.0</v>
      </c>
      <c r="H23" s="63">
        <v>0.0</v>
      </c>
      <c r="I23" s="63">
        <v>1.0</v>
      </c>
      <c r="J23" s="63">
        <v>1.0</v>
      </c>
      <c r="K23" s="63">
        <v>3.0</v>
      </c>
      <c r="L23" s="63">
        <v>0.0</v>
      </c>
      <c r="M23" s="63">
        <v>1.0</v>
      </c>
      <c r="N23" s="63">
        <v>1.0</v>
      </c>
      <c r="O23" s="63">
        <v>0.0</v>
      </c>
      <c r="P23" s="63">
        <v>0.0</v>
      </c>
      <c r="Q23" s="63">
        <v>0.0</v>
      </c>
      <c r="R23" s="63">
        <v>0.0</v>
      </c>
      <c r="S23" s="63">
        <v>0.0</v>
      </c>
      <c r="T23" s="19">
        <v>1.0</v>
      </c>
      <c r="U23" s="19">
        <v>1.0</v>
      </c>
      <c r="V23" s="19">
        <v>1.0</v>
      </c>
      <c r="W23" s="19">
        <v>1.0</v>
      </c>
      <c r="X23" s="19">
        <v>0.0</v>
      </c>
      <c r="Y23" s="19">
        <v>1.0</v>
      </c>
      <c r="Z23" s="19">
        <v>1.0</v>
      </c>
      <c r="AA23" s="19">
        <v>0.0</v>
      </c>
      <c r="AB23" s="19">
        <v>0.0</v>
      </c>
      <c r="AC23" s="19">
        <v>1.0</v>
      </c>
      <c r="AD23" s="19">
        <v>2.0</v>
      </c>
      <c r="AE23" s="19">
        <v>1.0</v>
      </c>
      <c r="AF23" s="19">
        <v>1.0</v>
      </c>
      <c r="AG23" s="19">
        <v>0.0</v>
      </c>
      <c r="AH23" s="19">
        <v>0.0</v>
      </c>
      <c r="AI23" s="19">
        <v>1.0</v>
      </c>
      <c r="AJ23" s="19">
        <v>0.0</v>
      </c>
      <c r="AK23" s="19">
        <v>0.0</v>
      </c>
      <c r="AL23" s="19">
        <v>0.0</v>
      </c>
      <c r="AM23" s="19">
        <v>0.0</v>
      </c>
      <c r="AN23" s="19">
        <v>1.0</v>
      </c>
      <c r="AO23" s="19">
        <v>0.0</v>
      </c>
      <c r="AP23" s="19">
        <v>0.0</v>
      </c>
      <c r="AQ23" s="19">
        <v>0.0</v>
      </c>
      <c r="AR23" s="19">
        <v>0.0</v>
      </c>
      <c r="AS23" s="19">
        <v>1.0</v>
      </c>
      <c r="AT23" s="19">
        <v>0.0</v>
      </c>
      <c r="AU23" s="19">
        <v>1.0</v>
      </c>
      <c r="AV23" s="19">
        <v>0.0</v>
      </c>
      <c r="AW23" s="19">
        <v>0.0</v>
      </c>
      <c r="AX23" s="65">
        <v>3.0</v>
      </c>
      <c r="AY23" s="13">
        <f t="shared" si="3"/>
        <v>29</v>
      </c>
    </row>
    <row r="24" ht="12.75" customHeight="1">
      <c r="A24" s="35"/>
      <c r="B24" s="28"/>
      <c r="C24" s="36"/>
      <c r="D24" s="13" t="s">
        <v>14</v>
      </c>
      <c r="E24" s="13">
        <f t="shared" ref="E24:AX24" si="5">SUM(E22:E23)</f>
        <v>2</v>
      </c>
      <c r="F24" s="13">
        <f t="shared" si="5"/>
        <v>1</v>
      </c>
      <c r="G24" s="13">
        <f t="shared" si="5"/>
        <v>1</v>
      </c>
      <c r="H24" s="13">
        <f t="shared" si="5"/>
        <v>2</v>
      </c>
      <c r="I24" s="13">
        <f t="shared" si="5"/>
        <v>1</v>
      </c>
      <c r="J24" s="13">
        <f t="shared" si="5"/>
        <v>1</v>
      </c>
      <c r="K24" s="13">
        <f t="shared" si="5"/>
        <v>5</v>
      </c>
      <c r="L24" s="13">
        <f t="shared" si="5"/>
        <v>1</v>
      </c>
      <c r="M24" s="13">
        <f t="shared" si="5"/>
        <v>1</v>
      </c>
      <c r="N24" s="13">
        <f t="shared" si="5"/>
        <v>1</v>
      </c>
      <c r="O24" s="13">
        <f t="shared" si="5"/>
        <v>1</v>
      </c>
      <c r="P24" s="13">
        <f t="shared" si="5"/>
        <v>1</v>
      </c>
      <c r="Q24" s="13">
        <f t="shared" si="5"/>
        <v>2</v>
      </c>
      <c r="R24" s="13">
        <f t="shared" si="5"/>
        <v>1</v>
      </c>
      <c r="S24" s="13">
        <f t="shared" si="5"/>
        <v>1</v>
      </c>
      <c r="T24" s="13">
        <f t="shared" si="5"/>
        <v>1</v>
      </c>
      <c r="U24" s="13">
        <f t="shared" si="5"/>
        <v>1</v>
      </c>
      <c r="V24" s="13">
        <f t="shared" si="5"/>
        <v>1</v>
      </c>
      <c r="W24" s="13">
        <f t="shared" si="5"/>
        <v>4</v>
      </c>
      <c r="X24" s="13">
        <f t="shared" si="5"/>
        <v>0</v>
      </c>
      <c r="Y24" s="13">
        <f t="shared" si="5"/>
        <v>1</v>
      </c>
      <c r="Z24" s="13">
        <f t="shared" si="5"/>
        <v>1</v>
      </c>
      <c r="AA24" s="13">
        <f t="shared" si="5"/>
        <v>1</v>
      </c>
      <c r="AB24" s="13">
        <f t="shared" si="5"/>
        <v>1</v>
      </c>
      <c r="AC24" s="13">
        <f t="shared" si="5"/>
        <v>1</v>
      </c>
      <c r="AD24" s="13">
        <f t="shared" si="5"/>
        <v>3</v>
      </c>
      <c r="AE24" s="13">
        <f t="shared" si="5"/>
        <v>1</v>
      </c>
      <c r="AF24" s="13">
        <f t="shared" si="5"/>
        <v>1</v>
      </c>
      <c r="AG24" s="13">
        <f t="shared" si="5"/>
        <v>2</v>
      </c>
      <c r="AH24" s="13">
        <f t="shared" si="5"/>
        <v>1</v>
      </c>
      <c r="AI24" s="13">
        <f t="shared" si="5"/>
        <v>4</v>
      </c>
      <c r="AJ24" s="13">
        <f t="shared" si="5"/>
        <v>1</v>
      </c>
      <c r="AK24" s="13">
        <f t="shared" si="5"/>
        <v>1</v>
      </c>
      <c r="AL24" s="13">
        <f t="shared" si="5"/>
        <v>2</v>
      </c>
      <c r="AM24" s="13">
        <f t="shared" si="5"/>
        <v>3</v>
      </c>
      <c r="AN24" s="13">
        <f t="shared" si="5"/>
        <v>2</v>
      </c>
      <c r="AO24" s="13">
        <f t="shared" si="5"/>
        <v>2</v>
      </c>
      <c r="AP24" s="13">
        <f t="shared" si="5"/>
        <v>2</v>
      </c>
      <c r="AQ24" s="13">
        <f t="shared" si="5"/>
        <v>2</v>
      </c>
      <c r="AR24" s="13">
        <f t="shared" si="5"/>
        <v>1</v>
      </c>
      <c r="AS24" s="13">
        <f t="shared" si="5"/>
        <v>1</v>
      </c>
      <c r="AT24" s="13">
        <f t="shared" si="5"/>
        <v>1</v>
      </c>
      <c r="AU24" s="13">
        <f t="shared" si="5"/>
        <v>2</v>
      </c>
      <c r="AV24" s="13">
        <f t="shared" si="5"/>
        <v>1</v>
      </c>
      <c r="AW24" s="13">
        <f t="shared" si="5"/>
        <v>1</v>
      </c>
      <c r="AX24" s="13">
        <f t="shared" si="5"/>
        <v>6</v>
      </c>
      <c r="AY24" s="13">
        <f t="shared" si="3"/>
        <v>74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65">
        <v>1.0</v>
      </c>
      <c r="F25" s="65">
        <v>0.0</v>
      </c>
      <c r="G25" s="65">
        <v>2.0</v>
      </c>
      <c r="H25" s="65">
        <v>1.0</v>
      </c>
      <c r="I25" s="65">
        <v>2.0</v>
      </c>
      <c r="J25" s="65">
        <v>0.0</v>
      </c>
      <c r="K25" s="65">
        <v>2.0</v>
      </c>
      <c r="L25" s="65">
        <v>2.0</v>
      </c>
      <c r="M25" s="65">
        <v>0.0</v>
      </c>
      <c r="N25" s="65">
        <v>2.0</v>
      </c>
      <c r="O25" s="65">
        <v>0.0</v>
      </c>
      <c r="P25" s="65">
        <v>1.0</v>
      </c>
      <c r="Q25" s="65">
        <v>1.0</v>
      </c>
      <c r="R25" s="65">
        <v>0.0</v>
      </c>
      <c r="S25" s="65">
        <v>0.0</v>
      </c>
      <c r="T25" s="19">
        <v>1.0</v>
      </c>
      <c r="U25" s="19">
        <v>1.0</v>
      </c>
      <c r="V25" s="19">
        <v>2.0</v>
      </c>
      <c r="W25" s="19">
        <v>1.0</v>
      </c>
      <c r="X25" s="19">
        <v>3.0</v>
      </c>
      <c r="Y25" s="19">
        <v>2.0</v>
      </c>
      <c r="Z25" s="19">
        <v>1.0</v>
      </c>
      <c r="AA25" s="19">
        <v>0.0</v>
      </c>
      <c r="AB25" s="19">
        <v>0.0</v>
      </c>
      <c r="AC25" s="19">
        <v>0.0</v>
      </c>
      <c r="AD25" s="19">
        <v>0.0</v>
      </c>
      <c r="AE25" s="19">
        <v>1.0</v>
      </c>
      <c r="AF25" s="19">
        <v>0.0</v>
      </c>
      <c r="AG25" s="19">
        <v>0.0</v>
      </c>
      <c r="AH25" s="19">
        <v>0.0</v>
      </c>
      <c r="AI25" s="19">
        <v>1.0</v>
      </c>
      <c r="AJ25" s="19">
        <v>1.0</v>
      </c>
      <c r="AK25" s="19">
        <v>2.0</v>
      </c>
      <c r="AL25" s="19">
        <v>0.0</v>
      </c>
      <c r="AM25" s="19">
        <v>0.0</v>
      </c>
      <c r="AN25" s="19">
        <v>2.0</v>
      </c>
      <c r="AO25" s="19">
        <v>0.0</v>
      </c>
      <c r="AP25" s="19">
        <v>1.0</v>
      </c>
      <c r="AQ25" s="19">
        <v>0.0</v>
      </c>
      <c r="AR25" s="19">
        <v>1.0</v>
      </c>
      <c r="AS25" s="19">
        <v>2.0</v>
      </c>
      <c r="AT25" s="19">
        <v>0.0</v>
      </c>
      <c r="AU25" s="19">
        <v>0.0</v>
      </c>
      <c r="AV25" s="19">
        <v>0.0</v>
      </c>
      <c r="AW25" s="19">
        <v>0.0</v>
      </c>
      <c r="AX25" s="65">
        <v>4.0</v>
      </c>
      <c r="AY25" s="13">
        <f t="shared" si="3"/>
        <v>40</v>
      </c>
    </row>
    <row r="26" ht="12.75" customHeight="1">
      <c r="A26" s="33"/>
      <c r="B26" s="27"/>
      <c r="C26" s="34"/>
      <c r="D26" s="19" t="s">
        <v>13</v>
      </c>
      <c r="E26" s="65">
        <v>1.0</v>
      </c>
      <c r="F26" s="65">
        <v>0.0</v>
      </c>
      <c r="G26" s="65">
        <v>5.0</v>
      </c>
      <c r="H26" s="65">
        <v>1.0</v>
      </c>
      <c r="I26" s="65">
        <v>4.0</v>
      </c>
      <c r="J26" s="65">
        <v>0.0</v>
      </c>
      <c r="K26" s="65">
        <v>1.0</v>
      </c>
      <c r="L26" s="65">
        <v>2.0</v>
      </c>
      <c r="M26" s="65">
        <v>0.0</v>
      </c>
      <c r="N26" s="65">
        <v>2.0</v>
      </c>
      <c r="O26" s="65">
        <v>1.0</v>
      </c>
      <c r="P26" s="65">
        <v>0.0</v>
      </c>
      <c r="Q26" s="65">
        <v>1.0</v>
      </c>
      <c r="R26" s="65">
        <v>2.0</v>
      </c>
      <c r="S26" s="65">
        <v>0.0</v>
      </c>
      <c r="T26" s="19">
        <v>1.0</v>
      </c>
      <c r="U26" s="19">
        <v>1.0</v>
      </c>
      <c r="V26" s="19">
        <v>3.0</v>
      </c>
      <c r="W26" s="19">
        <v>2.0</v>
      </c>
      <c r="X26" s="19">
        <v>1.0</v>
      </c>
      <c r="Y26" s="19">
        <v>0.0</v>
      </c>
      <c r="Z26" s="19">
        <v>0.0</v>
      </c>
      <c r="AA26" s="19">
        <v>0.0</v>
      </c>
      <c r="AB26" s="19">
        <v>0.0</v>
      </c>
      <c r="AC26" s="19">
        <v>0.0</v>
      </c>
      <c r="AD26" s="19">
        <v>0.0</v>
      </c>
      <c r="AE26" s="19">
        <v>0.0</v>
      </c>
      <c r="AF26" s="19">
        <v>0.0</v>
      </c>
      <c r="AG26" s="19">
        <v>0.0</v>
      </c>
      <c r="AH26" s="19">
        <v>0.0</v>
      </c>
      <c r="AI26" s="19">
        <v>2.0</v>
      </c>
      <c r="AJ26" s="19">
        <v>0.0</v>
      </c>
      <c r="AK26" s="19">
        <v>1.0</v>
      </c>
      <c r="AL26" s="19">
        <v>0.0</v>
      </c>
      <c r="AM26" s="19">
        <v>0.0</v>
      </c>
      <c r="AN26" s="19">
        <v>0.0</v>
      </c>
      <c r="AO26" s="19">
        <v>0.0</v>
      </c>
      <c r="AP26" s="19">
        <v>0.0</v>
      </c>
      <c r="AQ26" s="19">
        <v>0.0</v>
      </c>
      <c r="AR26" s="19">
        <v>2.0</v>
      </c>
      <c r="AS26" s="19">
        <v>6.0</v>
      </c>
      <c r="AT26" s="19">
        <v>0.0</v>
      </c>
      <c r="AU26" s="19">
        <v>0.0</v>
      </c>
      <c r="AV26" s="19">
        <v>0.0</v>
      </c>
      <c r="AW26" s="19">
        <v>0.0</v>
      </c>
      <c r="AX26" s="65">
        <v>4.0</v>
      </c>
      <c r="AY26" s="13">
        <f t="shared" si="3"/>
        <v>43</v>
      </c>
    </row>
    <row r="27" ht="12.75" customHeight="1">
      <c r="A27" s="35"/>
      <c r="B27" s="28"/>
      <c r="C27" s="36"/>
      <c r="D27" s="13" t="s">
        <v>14</v>
      </c>
      <c r="E27" s="13">
        <f t="shared" ref="E27:AX27" si="6">SUM(E25:E26)</f>
        <v>2</v>
      </c>
      <c r="F27" s="13">
        <f t="shared" si="6"/>
        <v>0</v>
      </c>
      <c r="G27" s="13">
        <f t="shared" si="6"/>
        <v>7</v>
      </c>
      <c r="H27" s="13">
        <f t="shared" si="6"/>
        <v>2</v>
      </c>
      <c r="I27" s="13">
        <f t="shared" si="6"/>
        <v>6</v>
      </c>
      <c r="J27" s="13">
        <f t="shared" si="6"/>
        <v>0</v>
      </c>
      <c r="K27" s="13">
        <f t="shared" si="6"/>
        <v>3</v>
      </c>
      <c r="L27" s="13">
        <f t="shared" si="6"/>
        <v>4</v>
      </c>
      <c r="M27" s="13">
        <f t="shared" si="6"/>
        <v>0</v>
      </c>
      <c r="N27" s="13">
        <f t="shared" si="6"/>
        <v>4</v>
      </c>
      <c r="O27" s="13">
        <f t="shared" si="6"/>
        <v>1</v>
      </c>
      <c r="P27" s="13">
        <f t="shared" si="6"/>
        <v>1</v>
      </c>
      <c r="Q27" s="13">
        <f t="shared" si="6"/>
        <v>2</v>
      </c>
      <c r="R27" s="13">
        <f t="shared" si="6"/>
        <v>2</v>
      </c>
      <c r="S27" s="13">
        <f t="shared" si="6"/>
        <v>0</v>
      </c>
      <c r="T27" s="13">
        <f t="shared" si="6"/>
        <v>2</v>
      </c>
      <c r="U27" s="13">
        <f t="shared" si="6"/>
        <v>2</v>
      </c>
      <c r="V27" s="13">
        <f t="shared" si="6"/>
        <v>5</v>
      </c>
      <c r="W27" s="13">
        <f t="shared" si="6"/>
        <v>3</v>
      </c>
      <c r="X27" s="13">
        <f t="shared" si="6"/>
        <v>4</v>
      </c>
      <c r="Y27" s="13">
        <f t="shared" si="6"/>
        <v>2</v>
      </c>
      <c r="Z27" s="13">
        <f t="shared" si="6"/>
        <v>1</v>
      </c>
      <c r="AA27" s="13">
        <f t="shared" si="6"/>
        <v>0</v>
      </c>
      <c r="AB27" s="13">
        <f t="shared" si="6"/>
        <v>0</v>
      </c>
      <c r="AC27" s="13">
        <f t="shared" si="6"/>
        <v>0</v>
      </c>
      <c r="AD27" s="13">
        <f t="shared" si="6"/>
        <v>0</v>
      </c>
      <c r="AE27" s="13">
        <f t="shared" si="6"/>
        <v>1</v>
      </c>
      <c r="AF27" s="13">
        <f t="shared" si="6"/>
        <v>0</v>
      </c>
      <c r="AG27" s="13">
        <f t="shared" si="6"/>
        <v>0</v>
      </c>
      <c r="AH27" s="13">
        <f t="shared" si="6"/>
        <v>0</v>
      </c>
      <c r="AI27" s="13">
        <f t="shared" si="6"/>
        <v>3</v>
      </c>
      <c r="AJ27" s="13">
        <f t="shared" si="6"/>
        <v>1</v>
      </c>
      <c r="AK27" s="13">
        <f t="shared" si="6"/>
        <v>3</v>
      </c>
      <c r="AL27" s="13">
        <f t="shared" si="6"/>
        <v>0</v>
      </c>
      <c r="AM27" s="13">
        <f t="shared" si="6"/>
        <v>0</v>
      </c>
      <c r="AN27" s="13">
        <f t="shared" si="6"/>
        <v>2</v>
      </c>
      <c r="AO27" s="13">
        <f t="shared" si="6"/>
        <v>0</v>
      </c>
      <c r="AP27" s="13">
        <f t="shared" si="6"/>
        <v>1</v>
      </c>
      <c r="AQ27" s="13">
        <f t="shared" si="6"/>
        <v>0</v>
      </c>
      <c r="AR27" s="13">
        <f t="shared" si="6"/>
        <v>3</v>
      </c>
      <c r="AS27" s="13">
        <f t="shared" si="6"/>
        <v>8</v>
      </c>
      <c r="AT27" s="13">
        <f t="shared" si="6"/>
        <v>0</v>
      </c>
      <c r="AU27" s="13">
        <f t="shared" si="6"/>
        <v>0</v>
      </c>
      <c r="AV27" s="13">
        <f t="shared" si="6"/>
        <v>0</v>
      </c>
      <c r="AW27" s="13">
        <f t="shared" si="6"/>
        <v>0</v>
      </c>
      <c r="AX27" s="13">
        <f t="shared" si="6"/>
        <v>8</v>
      </c>
      <c r="AY27" s="13">
        <f t="shared" si="3"/>
        <v>83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X28" si="7">SUM(E19,E22,E25)</f>
        <v>93</v>
      </c>
      <c r="F28" s="13">
        <f t="shared" si="7"/>
        <v>98</v>
      </c>
      <c r="G28" s="13">
        <f t="shared" si="7"/>
        <v>91</v>
      </c>
      <c r="H28" s="13">
        <f t="shared" si="7"/>
        <v>93</v>
      </c>
      <c r="I28" s="13">
        <f t="shared" si="7"/>
        <v>89</v>
      </c>
      <c r="J28" s="13">
        <f t="shared" si="7"/>
        <v>84</v>
      </c>
      <c r="K28" s="13">
        <f t="shared" si="7"/>
        <v>108</v>
      </c>
      <c r="L28" s="13">
        <f t="shared" si="7"/>
        <v>111</v>
      </c>
      <c r="M28" s="13">
        <f t="shared" si="7"/>
        <v>115</v>
      </c>
      <c r="N28" s="13">
        <f t="shared" si="7"/>
        <v>108</v>
      </c>
      <c r="O28" s="13">
        <f t="shared" si="7"/>
        <v>102</v>
      </c>
      <c r="P28" s="13">
        <f t="shared" si="7"/>
        <v>115</v>
      </c>
      <c r="Q28" s="13">
        <f t="shared" si="7"/>
        <v>98</v>
      </c>
      <c r="R28" s="13">
        <f t="shared" si="7"/>
        <v>104</v>
      </c>
      <c r="S28" s="13">
        <f t="shared" si="7"/>
        <v>93</v>
      </c>
      <c r="T28" s="13">
        <f t="shared" si="7"/>
        <v>92</v>
      </c>
      <c r="U28" s="13">
        <f t="shared" si="7"/>
        <v>66</v>
      </c>
      <c r="V28" s="13">
        <f t="shared" si="7"/>
        <v>94</v>
      </c>
      <c r="W28" s="13">
        <f t="shared" si="7"/>
        <v>81</v>
      </c>
      <c r="X28" s="13">
        <f t="shared" si="7"/>
        <v>111</v>
      </c>
      <c r="Y28" s="13">
        <f t="shared" si="7"/>
        <v>89</v>
      </c>
      <c r="Z28" s="13">
        <f t="shared" si="7"/>
        <v>93</v>
      </c>
      <c r="AA28" s="13">
        <f t="shared" si="7"/>
        <v>120</v>
      </c>
      <c r="AB28" s="13">
        <f t="shared" si="7"/>
        <v>105</v>
      </c>
      <c r="AC28" s="13">
        <f t="shared" si="7"/>
        <v>73</v>
      </c>
      <c r="AD28" s="13">
        <f t="shared" si="7"/>
        <v>54</v>
      </c>
      <c r="AE28" s="13">
        <f t="shared" si="7"/>
        <v>86</v>
      </c>
      <c r="AF28" s="13">
        <f t="shared" si="7"/>
        <v>74</v>
      </c>
      <c r="AG28" s="13">
        <f t="shared" si="7"/>
        <v>58</v>
      </c>
      <c r="AH28" s="13">
        <f t="shared" si="7"/>
        <v>53</v>
      </c>
      <c r="AI28" s="13">
        <f t="shared" si="7"/>
        <v>57</v>
      </c>
      <c r="AJ28" s="13">
        <f t="shared" si="7"/>
        <v>44</v>
      </c>
      <c r="AK28" s="13">
        <f t="shared" si="7"/>
        <v>72</v>
      </c>
      <c r="AL28" s="13">
        <f t="shared" si="7"/>
        <v>65</v>
      </c>
      <c r="AM28" s="13">
        <f t="shared" si="7"/>
        <v>53</v>
      </c>
      <c r="AN28" s="13">
        <f t="shared" si="7"/>
        <v>70</v>
      </c>
      <c r="AO28" s="13">
        <f t="shared" si="7"/>
        <v>75</v>
      </c>
      <c r="AP28" s="13">
        <f t="shared" si="7"/>
        <v>115</v>
      </c>
      <c r="AQ28" s="13">
        <f t="shared" si="7"/>
        <v>76</v>
      </c>
      <c r="AR28" s="13">
        <f t="shared" si="7"/>
        <v>71</v>
      </c>
      <c r="AS28" s="13">
        <f t="shared" si="7"/>
        <v>110</v>
      </c>
      <c r="AT28" s="13">
        <f t="shared" si="7"/>
        <v>70</v>
      </c>
      <c r="AU28" s="13">
        <f t="shared" si="7"/>
        <v>78</v>
      </c>
      <c r="AV28" s="13">
        <f t="shared" si="7"/>
        <v>90</v>
      </c>
      <c r="AW28" s="13">
        <f t="shared" si="7"/>
        <v>64</v>
      </c>
      <c r="AX28" s="13">
        <f t="shared" si="7"/>
        <v>91</v>
      </c>
      <c r="AY28" s="13">
        <f t="shared" si="3"/>
        <v>3952</v>
      </c>
    </row>
    <row r="29" ht="12.75" customHeight="1">
      <c r="A29" s="35"/>
      <c r="B29" s="27"/>
      <c r="C29" s="34"/>
      <c r="D29" s="13" t="s">
        <v>13</v>
      </c>
      <c r="E29" s="13">
        <f t="shared" ref="E29:AX29" si="8">SUM(E20,E23,E26)</f>
        <v>117</v>
      </c>
      <c r="F29" s="13">
        <f t="shared" si="8"/>
        <v>117</v>
      </c>
      <c r="G29" s="13">
        <f t="shared" si="8"/>
        <v>90</v>
      </c>
      <c r="H29" s="13">
        <f t="shared" si="8"/>
        <v>107</v>
      </c>
      <c r="I29" s="13">
        <f t="shared" si="8"/>
        <v>102</v>
      </c>
      <c r="J29" s="13">
        <f t="shared" si="8"/>
        <v>101</v>
      </c>
      <c r="K29" s="13">
        <f t="shared" si="8"/>
        <v>112</v>
      </c>
      <c r="L29" s="13">
        <f t="shared" si="8"/>
        <v>125</v>
      </c>
      <c r="M29" s="13">
        <f t="shared" si="8"/>
        <v>111</v>
      </c>
      <c r="N29" s="13">
        <f t="shared" si="8"/>
        <v>103</v>
      </c>
      <c r="O29" s="13">
        <f t="shared" si="8"/>
        <v>114</v>
      </c>
      <c r="P29" s="13">
        <f t="shared" si="8"/>
        <v>118</v>
      </c>
      <c r="Q29" s="13">
        <f t="shared" si="8"/>
        <v>109</v>
      </c>
      <c r="R29" s="13">
        <f t="shared" si="8"/>
        <v>111</v>
      </c>
      <c r="S29" s="13">
        <f t="shared" si="8"/>
        <v>97</v>
      </c>
      <c r="T29" s="13">
        <f t="shared" si="8"/>
        <v>108</v>
      </c>
      <c r="U29" s="13">
        <f t="shared" si="8"/>
        <v>77</v>
      </c>
      <c r="V29" s="13">
        <f t="shared" si="8"/>
        <v>108</v>
      </c>
      <c r="W29" s="13">
        <f t="shared" si="8"/>
        <v>97</v>
      </c>
      <c r="X29" s="13">
        <f t="shared" si="8"/>
        <v>126</v>
      </c>
      <c r="Y29" s="13">
        <f t="shared" si="8"/>
        <v>97</v>
      </c>
      <c r="Z29" s="13">
        <f t="shared" si="8"/>
        <v>109</v>
      </c>
      <c r="AA29" s="13">
        <f t="shared" si="8"/>
        <v>121</v>
      </c>
      <c r="AB29" s="13">
        <f t="shared" si="8"/>
        <v>116</v>
      </c>
      <c r="AC29" s="13">
        <f t="shared" si="8"/>
        <v>102</v>
      </c>
      <c r="AD29" s="13">
        <f t="shared" si="8"/>
        <v>81</v>
      </c>
      <c r="AE29" s="13">
        <f t="shared" si="8"/>
        <v>114</v>
      </c>
      <c r="AF29" s="13">
        <f t="shared" si="8"/>
        <v>93</v>
      </c>
      <c r="AG29" s="13">
        <f t="shared" si="8"/>
        <v>82</v>
      </c>
      <c r="AH29" s="13">
        <f t="shared" si="8"/>
        <v>76</v>
      </c>
      <c r="AI29" s="13">
        <f t="shared" si="8"/>
        <v>73</v>
      </c>
      <c r="AJ29" s="13">
        <f t="shared" si="8"/>
        <v>57</v>
      </c>
      <c r="AK29" s="13">
        <f t="shared" si="8"/>
        <v>57</v>
      </c>
      <c r="AL29" s="13">
        <f t="shared" si="8"/>
        <v>70</v>
      </c>
      <c r="AM29" s="13">
        <f t="shared" si="8"/>
        <v>54</v>
      </c>
      <c r="AN29" s="13">
        <f t="shared" si="8"/>
        <v>79</v>
      </c>
      <c r="AO29" s="13">
        <f t="shared" si="8"/>
        <v>77</v>
      </c>
      <c r="AP29" s="13">
        <f t="shared" si="8"/>
        <v>127</v>
      </c>
      <c r="AQ29" s="13">
        <f t="shared" si="8"/>
        <v>85</v>
      </c>
      <c r="AR29" s="13">
        <f t="shared" si="8"/>
        <v>104</v>
      </c>
      <c r="AS29" s="13">
        <f t="shared" si="8"/>
        <v>90</v>
      </c>
      <c r="AT29" s="13">
        <f t="shared" si="8"/>
        <v>101</v>
      </c>
      <c r="AU29" s="13">
        <f t="shared" si="8"/>
        <v>92</v>
      </c>
      <c r="AV29" s="13">
        <f t="shared" si="8"/>
        <v>103</v>
      </c>
      <c r="AW29" s="13">
        <f t="shared" si="8"/>
        <v>76</v>
      </c>
      <c r="AX29" s="13">
        <f t="shared" si="8"/>
        <v>77</v>
      </c>
      <c r="AY29" s="13">
        <f t="shared" si="3"/>
        <v>4463</v>
      </c>
    </row>
    <row r="30" ht="12.75" customHeight="1">
      <c r="A30" s="35"/>
      <c r="B30" s="28"/>
      <c r="C30" s="36"/>
      <c r="D30" s="13" t="s">
        <v>14</v>
      </c>
      <c r="E30" s="13">
        <f t="shared" ref="E30:AX30" si="9">SUM(E28:E29)</f>
        <v>210</v>
      </c>
      <c r="F30" s="13">
        <f t="shared" si="9"/>
        <v>215</v>
      </c>
      <c r="G30" s="13">
        <f t="shared" si="9"/>
        <v>181</v>
      </c>
      <c r="H30" s="13">
        <f t="shared" si="9"/>
        <v>200</v>
      </c>
      <c r="I30" s="13">
        <f t="shared" si="9"/>
        <v>191</v>
      </c>
      <c r="J30" s="13">
        <f t="shared" si="9"/>
        <v>185</v>
      </c>
      <c r="K30" s="13">
        <f t="shared" si="9"/>
        <v>220</v>
      </c>
      <c r="L30" s="13">
        <f t="shared" si="9"/>
        <v>236</v>
      </c>
      <c r="M30" s="13">
        <f t="shared" si="9"/>
        <v>226</v>
      </c>
      <c r="N30" s="13">
        <f t="shared" si="9"/>
        <v>211</v>
      </c>
      <c r="O30" s="13">
        <f t="shared" si="9"/>
        <v>216</v>
      </c>
      <c r="P30" s="13">
        <f t="shared" si="9"/>
        <v>233</v>
      </c>
      <c r="Q30" s="13">
        <f t="shared" si="9"/>
        <v>207</v>
      </c>
      <c r="R30" s="13">
        <f t="shared" si="9"/>
        <v>215</v>
      </c>
      <c r="S30" s="13">
        <f t="shared" si="9"/>
        <v>190</v>
      </c>
      <c r="T30" s="13">
        <f t="shared" si="9"/>
        <v>200</v>
      </c>
      <c r="U30" s="13">
        <f t="shared" si="9"/>
        <v>143</v>
      </c>
      <c r="V30" s="13">
        <f t="shared" si="9"/>
        <v>202</v>
      </c>
      <c r="W30" s="13">
        <f t="shared" si="9"/>
        <v>178</v>
      </c>
      <c r="X30" s="13">
        <f t="shared" si="9"/>
        <v>237</v>
      </c>
      <c r="Y30" s="13">
        <f t="shared" si="9"/>
        <v>186</v>
      </c>
      <c r="Z30" s="13">
        <f t="shared" si="9"/>
        <v>202</v>
      </c>
      <c r="AA30" s="13">
        <f t="shared" si="9"/>
        <v>241</v>
      </c>
      <c r="AB30" s="13">
        <f t="shared" si="9"/>
        <v>221</v>
      </c>
      <c r="AC30" s="13">
        <f t="shared" si="9"/>
        <v>175</v>
      </c>
      <c r="AD30" s="13">
        <f t="shared" si="9"/>
        <v>135</v>
      </c>
      <c r="AE30" s="13">
        <f t="shared" si="9"/>
        <v>200</v>
      </c>
      <c r="AF30" s="13">
        <f t="shared" si="9"/>
        <v>167</v>
      </c>
      <c r="AG30" s="13">
        <f t="shared" si="9"/>
        <v>140</v>
      </c>
      <c r="AH30" s="13">
        <f t="shared" si="9"/>
        <v>129</v>
      </c>
      <c r="AI30" s="13">
        <f t="shared" si="9"/>
        <v>130</v>
      </c>
      <c r="AJ30" s="13">
        <f t="shared" si="9"/>
        <v>101</v>
      </c>
      <c r="AK30" s="13">
        <f t="shared" si="9"/>
        <v>129</v>
      </c>
      <c r="AL30" s="13">
        <f t="shared" si="9"/>
        <v>135</v>
      </c>
      <c r="AM30" s="13">
        <f t="shared" si="9"/>
        <v>107</v>
      </c>
      <c r="AN30" s="13">
        <f t="shared" si="9"/>
        <v>149</v>
      </c>
      <c r="AO30" s="13">
        <f t="shared" si="9"/>
        <v>152</v>
      </c>
      <c r="AP30" s="13">
        <f t="shared" si="9"/>
        <v>242</v>
      </c>
      <c r="AQ30" s="13">
        <f t="shared" si="9"/>
        <v>161</v>
      </c>
      <c r="AR30" s="13">
        <f t="shared" si="9"/>
        <v>175</v>
      </c>
      <c r="AS30" s="13">
        <f t="shared" si="9"/>
        <v>200</v>
      </c>
      <c r="AT30" s="13">
        <f t="shared" si="9"/>
        <v>171</v>
      </c>
      <c r="AU30" s="13">
        <f t="shared" si="9"/>
        <v>170</v>
      </c>
      <c r="AV30" s="13">
        <f t="shared" si="9"/>
        <v>193</v>
      </c>
      <c r="AW30" s="13">
        <f t="shared" si="9"/>
        <v>140</v>
      </c>
      <c r="AX30" s="13">
        <f t="shared" si="9"/>
        <v>168</v>
      </c>
      <c r="AY30" s="13">
        <f t="shared" si="3"/>
        <v>8415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0"/>
      <c r="O31" s="19"/>
      <c r="P31" s="19"/>
      <c r="Q31" s="19"/>
      <c r="R31" s="19"/>
      <c r="S31" s="60"/>
      <c r="T31" s="19"/>
      <c r="U31" s="19"/>
      <c r="V31" s="19"/>
      <c r="W31" s="19"/>
      <c r="X31" s="60"/>
      <c r="Y31" s="19"/>
      <c r="Z31" s="19"/>
      <c r="AA31" s="19"/>
      <c r="AB31" s="19"/>
      <c r="AC31" s="60"/>
      <c r="AD31" s="19"/>
      <c r="AE31" s="19"/>
      <c r="AF31" s="19"/>
      <c r="AG31" s="19"/>
      <c r="AH31" s="60"/>
      <c r="AI31" s="19"/>
      <c r="AJ31" s="19"/>
      <c r="AK31" s="19"/>
      <c r="AL31" s="19"/>
      <c r="AM31" s="60"/>
      <c r="AN31" s="19"/>
      <c r="AO31" s="19"/>
      <c r="AP31" s="19"/>
      <c r="AQ31" s="19"/>
      <c r="AR31" s="60"/>
      <c r="AS31" s="19"/>
      <c r="AT31" s="19"/>
      <c r="AU31" s="19"/>
      <c r="AV31" s="19"/>
      <c r="AW31" s="60"/>
      <c r="AX31" s="19"/>
      <c r="AY31" s="61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2"/>
      <c r="O32" s="13"/>
      <c r="P32" s="13"/>
      <c r="Q32" s="13"/>
      <c r="R32" s="13"/>
      <c r="S32" s="62"/>
      <c r="T32" s="13"/>
      <c r="U32" s="13"/>
      <c r="V32" s="13"/>
      <c r="W32" s="13"/>
      <c r="X32" s="62"/>
      <c r="Y32" s="13"/>
      <c r="Z32" s="13"/>
      <c r="AA32" s="13"/>
      <c r="AB32" s="13"/>
      <c r="AC32" s="62"/>
      <c r="AD32" s="13"/>
      <c r="AE32" s="13"/>
      <c r="AF32" s="13"/>
      <c r="AG32" s="13"/>
      <c r="AH32" s="62"/>
      <c r="AI32" s="13"/>
      <c r="AJ32" s="13"/>
      <c r="AK32" s="13"/>
      <c r="AL32" s="13"/>
      <c r="AM32" s="62"/>
      <c r="AN32" s="13"/>
      <c r="AO32" s="13"/>
      <c r="AP32" s="13"/>
      <c r="AQ32" s="13"/>
      <c r="AR32" s="62"/>
      <c r="AS32" s="13"/>
      <c r="AT32" s="13"/>
      <c r="AU32" s="13"/>
      <c r="AV32" s="13"/>
      <c r="AW32" s="62"/>
      <c r="AX32" s="13"/>
      <c r="AY32" s="61"/>
    </row>
    <row r="33" ht="12.75" customHeight="1">
      <c r="A33" s="19">
        <v>1.0</v>
      </c>
      <c r="B33" s="20" t="s">
        <v>27</v>
      </c>
      <c r="C33" s="15"/>
      <c r="D33" s="16"/>
      <c r="E33" s="63">
        <v>288.0</v>
      </c>
      <c r="F33" s="63">
        <v>280.0</v>
      </c>
      <c r="G33" s="63">
        <v>220.0</v>
      </c>
      <c r="H33" s="63">
        <v>254.0</v>
      </c>
      <c r="I33" s="63">
        <v>244.0</v>
      </c>
      <c r="J33" s="63">
        <v>240.0</v>
      </c>
      <c r="K33" s="63">
        <v>270.0</v>
      </c>
      <c r="L33" s="63">
        <v>303.0</v>
      </c>
      <c r="M33" s="63">
        <v>298.0</v>
      </c>
      <c r="N33" s="63">
        <v>283.0</v>
      </c>
      <c r="O33" s="63">
        <v>274.0</v>
      </c>
      <c r="P33" s="63">
        <v>300.0</v>
      </c>
      <c r="Q33" s="63">
        <v>257.0</v>
      </c>
      <c r="R33" s="63">
        <v>266.0</v>
      </c>
      <c r="S33" s="63">
        <v>239.0</v>
      </c>
      <c r="T33" s="19">
        <v>283.0</v>
      </c>
      <c r="U33" s="19">
        <v>189.0</v>
      </c>
      <c r="V33" s="19">
        <v>278.0</v>
      </c>
      <c r="W33" s="19">
        <v>243.0</v>
      </c>
      <c r="X33" s="19">
        <v>302.0</v>
      </c>
      <c r="Y33" s="19">
        <v>232.0</v>
      </c>
      <c r="Z33" s="19">
        <v>272.0</v>
      </c>
      <c r="AA33" s="19">
        <v>303.0</v>
      </c>
      <c r="AB33" s="19">
        <v>298.0</v>
      </c>
      <c r="AC33" s="19">
        <v>259.0</v>
      </c>
      <c r="AD33" s="19">
        <v>196.0</v>
      </c>
      <c r="AE33" s="19">
        <v>273.0</v>
      </c>
      <c r="AF33" s="19">
        <v>255.0</v>
      </c>
      <c r="AG33" s="19">
        <v>191.0</v>
      </c>
      <c r="AH33" s="19">
        <v>208.0</v>
      </c>
      <c r="AI33" s="19">
        <v>178.0</v>
      </c>
      <c r="AJ33" s="19">
        <v>140.0</v>
      </c>
      <c r="AK33" s="19">
        <v>171.0</v>
      </c>
      <c r="AL33" s="19">
        <v>187.0</v>
      </c>
      <c r="AM33" s="19">
        <v>132.0</v>
      </c>
      <c r="AN33" s="19">
        <v>196.0</v>
      </c>
      <c r="AO33" s="19">
        <v>202.0</v>
      </c>
      <c r="AP33" s="19">
        <v>299.0</v>
      </c>
      <c r="AQ33" s="19">
        <v>214.0</v>
      </c>
      <c r="AR33" s="19">
        <v>223.0</v>
      </c>
      <c r="AS33" s="19">
        <v>250.0</v>
      </c>
      <c r="AT33" s="19">
        <v>259.0</v>
      </c>
      <c r="AU33" s="19">
        <v>258.0</v>
      </c>
      <c r="AV33" s="19">
        <v>270.0</v>
      </c>
      <c r="AW33" s="19">
        <v>182.0</v>
      </c>
      <c r="AX33" s="65">
        <v>180.0</v>
      </c>
      <c r="AY33" s="13">
        <f t="shared" ref="AY33:AY36" si="10">SUM(E33:AX33)</f>
        <v>11139</v>
      </c>
    </row>
    <row r="34" ht="12.75" customHeight="1">
      <c r="A34" s="19">
        <v>2.0</v>
      </c>
      <c r="B34" s="20" t="s">
        <v>28</v>
      </c>
      <c r="C34" s="15"/>
      <c r="D34" s="16"/>
      <c r="E34" s="63">
        <v>210.0</v>
      </c>
      <c r="F34" s="63">
        <v>215.0</v>
      </c>
      <c r="G34" s="63">
        <v>181.0</v>
      </c>
      <c r="H34" s="63">
        <v>200.0</v>
      </c>
      <c r="I34" s="63">
        <v>191.0</v>
      </c>
      <c r="J34" s="63">
        <v>185.0</v>
      </c>
      <c r="K34" s="63">
        <v>220.0</v>
      </c>
      <c r="L34" s="63">
        <v>236.0</v>
      </c>
      <c r="M34" s="63">
        <v>226.0</v>
      </c>
      <c r="N34" s="63">
        <v>211.0</v>
      </c>
      <c r="O34" s="63">
        <v>216.0</v>
      </c>
      <c r="P34" s="63">
        <v>233.0</v>
      </c>
      <c r="Q34" s="63">
        <v>207.0</v>
      </c>
      <c r="R34" s="63">
        <v>215.0</v>
      </c>
      <c r="S34" s="63">
        <v>190.0</v>
      </c>
      <c r="T34" s="13">
        <v>200.0</v>
      </c>
      <c r="U34" s="13">
        <v>143.0</v>
      </c>
      <c r="V34" s="13">
        <v>202.0</v>
      </c>
      <c r="W34" s="13">
        <v>178.0</v>
      </c>
      <c r="X34" s="13">
        <v>237.0</v>
      </c>
      <c r="Y34" s="13">
        <v>186.0</v>
      </c>
      <c r="Z34" s="13">
        <v>202.0</v>
      </c>
      <c r="AA34" s="13">
        <v>241.0</v>
      </c>
      <c r="AB34" s="13">
        <v>221.0</v>
      </c>
      <c r="AC34" s="13">
        <v>175.0</v>
      </c>
      <c r="AD34" s="13">
        <v>135.0</v>
      </c>
      <c r="AE34" s="13">
        <v>200.0</v>
      </c>
      <c r="AF34" s="13">
        <v>167.0</v>
      </c>
      <c r="AG34" s="13">
        <v>140.0</v>
      </c>
      <c r="AH34" s="13">
        <v>129.0</v>
      </c>
      <c r="AI34" s="13">
        <v>130.0</v>
      </c>
      <c r="AJ34" s="13">
        <v>101.0</v>
      </c>
      <c r="AK34" s="13">
        <v>129.0</v>
      </c>
      <c r="AL34" s="13">
        <v>135.0</v>
      </c>
      <c r="AM34" s="13">
        <v>107.0</v>
      </c>
      <c r="AN34" s="13">
        <v>149.0</v>
      </c>
      <c r="AO34" s="13">
        <v>152.0</v>
      </c>
      <c r="AP34" s="13">
        <v>242.0</v>
      </c>
      <c r="AQ34" s="13">
        <v>161.0</v>
      </c>
      <c r="AR34" s="13">
        <v>175.0</v>
      </c>
      <c r="AS34" s="13">
        <v>200.0</v>
      </c>
      <c r="AT34" s="13">
        <v>171.0</v>
      </c>
      <c r="AU34" s="13">
        <v>170.0</v>
      </c>
      <c r="AV34" s="13">
        <v>193.0</v>
      </c>
      <c r="AW34" s="13">
        <v>140.0</v>
      </c>
      <c r="AX34" s="65">
        <v>168.0</v>
      </c>
      <c r="AY34" s="13">
        <f t="shared" si="10"/>
        <v>8415</v>
      </c>
    </row>
    <row r="35" ht="12.75" customHeight="1">
      <c r="A35" s="19">
        <v>3.0</v>
      </c>
      <c r="B35" s="20" t="s">
        <v>29</v>
      </c>
      <c r="C35" s="15"/>
      <c r="D35" s="16"/>
      <c r="E35" s="63">
        <v>0.0</v>
      </c>
      <c r="F35" s="63">
        <v>0.0</v>
      </c>
      <c r="G35" s="63">
        <v>0.0</v>
      </c>
      <c r="H35" s="63">
        <v>0.0</v>
      </c>
      <c r="I35" s="63">
        <v>2.0</v>
      </c>
      <c r="J35" s="63">
        <v>0.0</v>
      </c>
      <c r="K35" s="63">
        <v>0.0</v>
      </c>
      <c r="L35" s="63">
        <v>0.0</v>
      </c>
      <c r="M35" s="63">
        <v>1.0</v>
      </c>
      <c r="N35" s="63">
        <v>0.0</v>
      </c>
      <c r="O35" s="63">
        <v>0.0</v>
      </c>
      <c r="P35" s="63">
        <v>3.0</v>
      </c>
      <c r="Q35" s="63">
        <v>0.0</v>
      </c>
      <c r="R35" s="63">
        <v>1.0</v>
      </c>
      <c r="S35" s="63">
        <v>1.0</v>
      </c>
      <c r="T35" s="19">
        <v>0.0</v>
      </c>
      <c r="U35" s="19">
        <v>0.0</v>
      </c>
      <c r="V35" s="19">
        <v>0.0</v>
      </c>
      <c r="W35" s="19">
        <v>0.0</v>
      </c>
      <c r="X35" s="19">
        <v>0.0</v>
      </c>
      <c r="Y35" s="19">
        <v>0.0</v>
      </c>
      <c r="Z35" s="19">
        <v>0.0</v>
      </c>
      <c r="AA35" s="19">
        <v>0.0</v>
      </c>
      <c r="AB35" s="19">
        <v>0.0</v>
      </c>
      <c r="AC35" s="19">
        <v>0.0</v>
      </c>
      <c r="AD35" s="19">
        <v>0.0</v>
      </c>
      <c r="AE35" s="19">
        <v>0.0</v>
      </c>
      <c r="AF35" s="19">
        <v>0.0</v>
      </c>
      <c r="AG35" s="19">
        <v>0.0</v>
      </c>
      <c r="AH35" s="19">
        <v>0.0</v>
      </c>
      <c r="AI35" s="19">
        <v>0.0</v>
      </c>
      <c r="AJ35" s="19">
        <v>0.0</v>
      </c>
      <c r="AK35" s="19">
        <v>0.0</v>
      </c>
      <c r="AL35" s="19">
        <v>1.0</v>
      </c>
      <c r="AM35" s="19">
        <v>1.0</v>
      </c>
      <c r="AN35" s="19">
        <v>0.0</v>
      </c>
      <c r="AO35" s="19">
        <v>0.0</v>
      </c>
      <c r="AP35" s="19">
        <v>0.0</v>
      </c>
      <c r="AQ35" s="19">
        <v>0.0</v>
      </c>
      <c r="AR35" s="19">
        <v>0.0</v>
      </c>
      <c r="AS35" s="19">
        <v>2.0</v>
      </c>
      <c r="AT35" s="19">
        <v>0.0</v>
      </c>
      <c r="AU35" s="19">
        <v>0.0</v>
      </c>
      <c r="AV35" s="19">
        <v>0.0</v>
      </c>
      <c r="AW35" s="19">
        <v>0.0</v>
      </c>
      <c r="AX35" s="65">
        <v>0.0</v>
      </c>
      <c r="AY35" s="13">
        <f t="shared" si="10"/>
        <v>12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X36" si="11">E33-(E34+E35)</f>
        <v>78</v>
      </c>
      <c r="F36" s="13">
        <f t="shared" si="11"/>
        <v>65</v>
      </c>
      <c r="G36" s="13">
        <f t="shared" si="11"/>
        <v>39</v>
      </c>
      <c r="H36" s="13">
        <f t="shared" si="11"/>
        <v>54</v>
      </c>
      <c r="I36" s="13">
        <f t="shared" si="11"/>
        <v>51</v>
      </c>
      <c r="J36" s="13">
        <f t="shared" si="11"/>
        <v>55</v>
      </c>
      <c r="K36" s="13">
        <f t="shared" si="11"/>
        <v>50</v>
      </c>
      <c r="L36" s="13">
        <f t="shared" si="11"/>
        <v>67</v>
      </c>
      <c r="M36" s="13">
        <f t="shared" si="11"/>
        <v>71</v>
      </c>
      <c r="N36" s="13">
        <f t="shared" si="11"/>
        <v>72</v>
      </c>
      <c r="O36" s="13">
        <f t="shared" si="11"/>
        <v>58</v>
      </c>
      <c r="P36" s="13">
        <f t="shared" si="11"/>
        <v>64</v>
      </c>
      <c r="Q36" s="13">
        <f t="shared" si="11"/>
        <v>50</v>
      </c>
      <c r="R36" s="13">
        <f t="shared" si="11"/>
        <v>50</v>
      </c>
      <c r="S36" s="13">
        <f t="shared" si="11"/>
        <v>48</v>
      </c>
      <c r="T36" s="13">
        <f t="shared" si="11"/>
        <v>83</v>
      </c>
      <c r="U36" s="13">
        <f t="shared" si="11"/>
        <v>46</v>
      </c>
      <c r="V36" s="13">
        <f t="shared" si="11"/>
        <v>76</v>
      </c>
      <c r="W36" s="13">
        <f t="shared" si="11"/>
        <v>65</v>
      </c>
      <c r="X36" s="13">
        <f t="shared" si="11"/>
        <v>65</v>
      </c>
      <c r="Y36" s="13">
        <f t="shared" si="11"/>
        <v>46</v>
      </c>
      <c r="Z36" s="13">
        <f t="shared" si="11"/>
        <v>70</v>
      </c>
      <c r="AA36" s="13">
        <f t="shared" si="11"/>
        <v>62</v>
      </c>
      <c r="AB36" s="13">
        <f t="shared" si="11"/>
        <v>77</v>
      </c>
      <c r="AC36" s="13">
        <f t="shared" si="11"/>
        <v>84</v>
      </c>
      <c r="AD36" s="13">
        <f t="shared" si="11"/>
        <v>61</v>
      </c>
      <c r="AE36" s="13">
        <f t="shared" si="11"/>
        <v>73</v>
      </c>
      <c r="AF36" s="13">
        <f t="shared" si="11"/>
        <v>88</v>
      </c>
      <c r="AG36" s="13">
        <f t="shared" si="11"/>
        <v>51</v>
      </c>
      <c r="AH36" s="13">
        <f t="shared" si="11"/>
        <v>79</v>
      </c>
      <c r="AI36" s="13">
        <f t="shared" si="11"/>
        <v>48</v>
      </c>
      <c r="AJ36" s="13">
        <f t="shared" si="11"/>
        <v>39</v>
      </c>
      <c r="AK36" s="13">
        <f t="shared" si="11"/>
        <v>42</v>
      </c>
      <c r="AL36" s="13">
        <f t="shared" si="11"/>
        <v>51</v>
      </c>
      <c r="AM36" s="13">
        <f t="shared" si="11"/>
        <v>24</v>
      </c>
      <c r="AN36" s="13">
        <f t="shared" si="11"/>
        <v>47</v>
      </c>
      <c r="AO36" s="13">
        <f t="shared" si="11"/>
        <v>50</v>
      </c>
      <c r="AP36" s="13">
        <f t="shared" si="11"/>
        <v>57</v>
      </c>
      <c r="AQ36" s="13">
        <f t="shared" si="11"/>
        <v>53</v>
      </c>
      <c r="AR36" s="13">
        <f t="shared" si="11"/>
        <v>48</v>
      </c>
      <c r="AS36" s="13">
        <f t="shared" si="11"/>
        <v>48</v>
      </c>
      <c r="AT36" s="13">
        <f t="shared" si="11"/>
        <v>88</v>
      </c>
      <c r="AU36" s="13">
        <f t="shared" si="11"/>
        <v>88</v>
      </c>
      <c r="AV36" s="13">
        <f t="shared" si="11"/>
        <v>77</v>
      </c>
      <c r="AW36" s="13">
        <f t="shared" si="11"/>
        <v>42</v>
      </c>
      <c r="AX36" s="13">
        <f t="shared" si="11"/>
        <v>12</v>
      </c>
      <c r="AY36" s="13">
        <f t="shared" si="10"/>
        <v>2712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60"/>
      <c r="O37" s="19"/>
      <c r="P37" s="19"/>
      <c r="Q37" s="19"/>
      <c r="R37" s="19"/>
      <c r="S37" s="60"/>
      <c r="T37" s="19"/>
      <c r="U37" s="19"/>
      <c r="V37" s="19"/>
      <c r="W37" s="19"/>
      <c r="X37" s="60"/>
      <c r="Y37" s="19"/>
      <c r="Z37" s="19"/>
      <c r="AA37" s="19"/>
      <c r="AB37" s="19"/>
      <c r="AC37" s="60"/>
      <c r="AD37" s="19"/>
      <c r="AE37" s="19"/>
      <c r="AF37" s="19"/>
      <c r="AG37" s="19"/>
      <c r="AH37" s="60"/>
      <c r="AI37" s="19"/>
      <c r="AJ37" s="19"/>
      <c r="AK37" s="19"/>
      <c r="AL37" s="19"/>
      <c r="AM37" s="60"/>
      <c r="AN37" s="19"/>
      <c r="AO37" s="19"/>
      <c r="AP37" s="19"/>
      <c r="AQ37" s="19"/>
      <c r="AR37" s="60"/>
      <c r="AS37" s="19"/>
      <c r="AT37" s="19"/>
      <c r="AU37" s="19"/>
      <c r="AV37" s="19"/>
      <c r="AW37" s="60"/>
      <c r="AX37" s="19"/>
      <c r="AY37" s="61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2"/>
      <c r="O38" s="13"/>
      <c r="P38" s="13"/>
      <c r="Q38" s="13"/>
      <c r="R38" s="13"/>
      <c r="S38" s="62"/>
      <c r="T38" s="13"/>
      <c r="U38" s="13"/>
      <c r="V38" s="13"/>
      <c r="W38" s="13"/>
      <c r="X38" s="62"/>
      <c r="Y38" s="13"/>
      <c r="Z38" s="13"/>
      <c r="AA38" s="13"/>
      <c r="AB38" s="13"/>
      <c r="AC38" s="62"/>
      <c r="AD38" s="13"/>
      <c r="AE38" s="13"/>
      <c r="AF38" s="13"/>
      <c r="AG38" s="13"/>
      <c r="AH38" s="62"/>
      <c r="AI38" s="13"/>
      <c r="AJ38" s="13"/>
      <c r="AK38" s="13"/>
      <c r="AL38" s="13"/>
      <c r="AM38" s="62"/>
      <c r="AN38" s="13"/>
      <c r="AO38" s="13"/>
      <c r="AP38" s="13"/>
      <c r="AQ38" s="13"/>
      <c r="AR38" s="62"/>
      <c r="AS38" s="13"/>
      <c r="AT38" s="13"/>
      <c r="AU38" s="13"/>
      <c r="AV38" s="13"/>
      <c r="AW38" s="62"/>
      <c r="AX38" s="13"/>
      <c r="AY38" s="61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1.0</v>
      </c>
      <c r="M39" s="19">
        <v>0.0</v>
      </c>
      <c r="N39" s="19">
        <v>0.0</v>
      </c>
      <c r="O39" s="19">
        <v>0.0</v>
      </c>
      <c r="P39" s="19">
        <v>0.0</v>
      </c>
      <c r="Q39" s="19">
        <v>2.0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9">
        <v>0.0</v>
      </c>
      <c r="AB39" s="19">
        <v>0.0</v>
      </c>
      <c r="AC39" s="19">
        <v>0.0</v>
      </c>
      <c r="AD39" s="19">
        <v>0.0</v>
      </c>
      <c r="AE39" s="19">
        <v>0.0</v>
      </c>
      <c r="AF39" s="19">
        <v>0.0</v>
      </c>
      <c r="AG39" s="19">
        <v>0.0</v>
      </c>
      <c r="AH39" s="19">
        <v>0.0</v>
      </c>
      <c r="AI39" s="19">
        <v>0.0</v>
      </c>
      <c r="AJ39" s="19">
        <v>0.0</v>
      </c>
      <c r="AK39" s="19">
        <v>1.0</v>
      </c>
      <c r="AL39" s="19">
        <v>0.0</v>
      </c>
      <c r="AM39" s="19">
        <v>0.0</v>
      </c>
      <c r="AN39" s="19">
        <v>0.0</v>
      </c>
      <c r="AO39" s="19">
        <v>0.0</v>
      </c>
      <c r="AP39" s="19">
        <v>0.0</v>
      </c>
      <c r="AQ39" s="19">
        <v>0.0</v>
      </c>
      <c r="AR39" s="19">
        <v>0.0</v>
      </c>
      <c r="AS39" s="19">
        <v>0.0</v>
      </c>
      <c r="AT39" s="19">
        <v>0.0</v>
      </c>
      <c r="AU39" s="19">
        <v>0.0</v>
      </c>
      <c r="AV39" s="19">
        <v>0.0</v>
      </c>
      <c r="AW39" s="19">
        <v>0.0</v>
      </c>
      <c r="AX39" s="19">
        <v>0.0</v>
      </c>
      <c r="AY39" s="13">
        <f t="shared" ref="AY39:AY41" si="12">SUM(E39:AX39)</f>
        <v>4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3.0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1.0</v>
      </c>
      <c r="AA40" s="19">
        <v>0.0</v>
      </c>
      <c r="AB40" s="19">
        <v>0.0</v>
      </c>
      <c r="AC40" s="19">
        <v>0.0</v>
      </c>
      <c r="AD40" s="19">
        <v>0.0</v>
      </c>
      <c r="AE40" s="19">
        <v>0.0</v>
      </c>
      <c r="AF40" s="19">
        <v>0.0</v>
      </c>
      <c r="AG40" s="19">
        <v>0.0</v>
      </c>
      <c r="AH40" s="19">
        <v>0.0</v>
      </c>
      <c r="AI40" s="19">
        <v>0.0</v>
      </c>
      <c r="AJ40" s="19">
        <v>0.0</v>
      </c>
      <c r="AK40" s="19">
        <v>2.0</v>
      </c>
      <c r="AL40" s="19">
        <v>0.0</v>
      </c>
      <c r="AM40" s="19">
        <v>0.0</v>
      </c>
      <c r="AN40" s="19">
        <v>0.0</v>
      </c>
      <c r="AO40" s="19">
        <v>0.0</v>
      </c>
      <c r="AP40" s="19">
        <v>0.0</v>
      </c>
      <c r="AQ40" s="19">
        <v>0.0</v>
      </c>
      <c r="AR40" s="19">
        <v>1.0</v>
      </c>
      <c r="AS40" s="19">
        <v>0.0</v>
      </c>
      <c r="AT40" s="19">
        <v>0.0</v>
      </c>
      <c r="AU40" s="19">
        <v>0.0</v>
      </c>
      <c r="AV40" s="19">
        <v>0.0</v>
      </c>
      <c r="AW40" s="19">
        <v>0.0</v>
      </c>
      <c r="AX40" s="19">
        <v>0.0</v>
      </c>
      <c r="AY40" s="13">
        <f t="shared" si="12"/>
        <v>7</v>
      </c>
    </row>
    <row r="41" ht="12.75" customHeight="1">
      <c r="A41" s="41"/>
      <c r="B41" s="44"/>
      <c r="C41" s="28"/>
      <c r="D41" s="13" t="s">
        <v>14</v>
      </c>
      <c r="E41" s="13">
        <f t="shared" ref="E41:AX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1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5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1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3"/>
        <v>0</v>
      </c>
      <c r="AH41" s="13">
        <f t="shared" si="13"/>
        <v>0</v>
      </c>
      <c r="AI41" s="13">
        <f t="shared" si="13"/>
        <v>0</v>
      </c>
      <c r="AJ41" s="13">
        <f t="shared" si="13"/>
        <v>0</v>
      </c>
      <c r="AK41" s="13">
        <f t="shared" si="13"/>
        <v>3</v>
      </c>
      <c r="AL41" s="13">
        <f t="shared" si="13"/>
        <v>0</v>
      </c>
      <c r="AM41" s="13">
        <f t="shared" si="13"/>
        <v>0</v>
      </c>
      <c r="AN41" s="13">
        <f t="shared" si="13"/>
        <v>0</v>
      </c>
      <c r="AO41" s="13">
        <f t="shared" si="13"/>
        <v>0</v>
      </c>
      <c r="AP41" s="13">
        <f t="shared" si="13"/>
        <v>0</v>
      </c>
      <c r="AQ41" s="13">
        <f t="shared" si="13"/>
        <v>0</v>
      </c>
      <c r="AR41" s="13">
        <f t="shared" si="13"/>
        <v>1</v>
      </c>
      <c r="AS41" s="13">
        <f t="shared" si="13"/>
        <v>0</v>
      </c>
      <c r="AT41" s="13">
        <f t="shared" si="13"/>
        <v>0</v>
      </c>
      <c r="AU41" s="13">
        <f t="shared" si="13"/>
        <v>0</v>
      </c>
      <c r="AV41" s="13">
        <f t="shared" si="13"/>
        <v>0</v>
      </c>
      <c r="AW41" s="13">
        <f t="shared" si="13"/>
        <v>0</v>
      </c>
      <c r="AX41" s="13">
        <f t="shared" si="13"/>
        <v>0</v>
      </c>
      <c r="AY41" s="13">
        <f t="shared" si="12"/>
        <v>11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60"/>
      <c r="O42" s="19"/>
      <c r="P42" s="19"/>
      <c r="Q42" s="19"/>
      <c r="R42" s="19"/>
      <c r="S42" s="60"/>
      <c r="T42" s="19"/>
      <c r="U42" s="19"/>
      <c r="V42" s="19"/>
      <c r="W42" s="19"/>
      <c r="X42" s="60"/>
      <c r="Y42" s="19"/>
      <c r="Z42" s="19"/>
      <c r="AA42" s="19"/>
      <c r="AB42" s="19"/>
      <c r="AC42" s="60"/>
      <c r="AD42" s="19"/>
      <c r="AE42" s="19"/>
      <c r="AF42" s="19"/>
      <c r="AG42" s="19"/>
      <c r="AH42" s="60"/>
      <c r="AI42" s="19"/>
      <c r="AJ42" s="19"/>
      <c r="AK42" s="19"/>
      <c r="AL42" s="19"/>
      <c r="AM42" s="60"/>
      <c r="AN42" s="19"/>
      <c r="AO42" s="19"/>
      <c r="AP42" s="19"/>
      <c r="AQ42" s="19"/>
      <c r="AR42" s="60"/>
      <c r="AS42" s="19"/>
      <c r="AT42" s="19"/>
      <c r="AU42" s="19"/>
      <c r="AV42" s="19"/>
      <c r="AW42" s="60"/>
      <c r="AX42" s="19"/>
      <c r="AY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2"/>
      <c r="O43" s="13"/>
      <c r="P43" s="13"/>
      <c r="Q43" s="13"/>
      <c r="R43" s="13"/>
      <c r="S43" s="62"/>
      <c r="T43" s="13"/>
      <c r="U43" s="13"/>
      <c r="V43" s="13"/>
      <c r="W43" s="13"/>
      <c r="X43" s="62"/>
      <c r="Y43" s="13"/>
      <c r="Z43" s="13"/>
      <c r="AA43" s="13"/>
      <c r="AB43" s="13"/>
      <c r="AC43" s="62"/>
      <c r="AD43" s="13"/>
      <c r="AE43" s="13"/>
      <c r="AF43" s="13"/>
      <c r="AG43" s="13"/>
      <c r="AH43" s="62"/>
      <c r="AI43" s="13"/>
      <c r="AJ43" s="13"/>
      <c r="AK43" s="13"/>
      <c r="AL43" s="13"/>
      <c r="AM43" s="62"/>
      <c r="AN43" s="13"/>
      <c r="AO43" s="13"/>
      <c r="AP43" s="13"/>
      <c r="AQ43" s="13"/>
      <c r="AR43" s="62"/>
      <c r="AS43" s="13"/>
      <c r="AT43" s="13"/>
      <c r="AU43" s="13"/>
      <c r="AV43" s="13"/>
      <c r="AW43" s="62"/>
      <c r="AX43" s="13"/>
      <c r="AY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60"/>
      <c r="O44" s="19"/>
      <c r="P44" s="19"/>
      <c r="Q44" s="19"/>
      <c r="R44" s="19"/>
      <c r="S44" s="60"/>
      <c r="T44" s="19"/>
      <c r="U44" s="19"/>
      <c r="V44" s="19"/>
      <c r="W44" s="19"/>
      <c r="X44" s="60"/>
      <c r="Y44" s="19"/>
      <c r="Z44" s="19"/>
      <c r="AA44" s="19"/>
      <c r="AB44" s="19"/>
      <c r="AC44" s="60"/>
      <c r="AD44" s="19"/>
      <c r="AE44" s="19"/>
      <c r="AF44" s="19"/>
      <c r="AG44" s="19"/>
      <c r="AH44" s="60"/>
      <c r="AI44" s="19"/>
      <c r="AJ44" s="19"/>
      <c r="AK44" s="19"/>
      <c r="AL44" s="19"/>
      <c r="AM44" s="60"/>
      <c r="AN44" s="19"/>
      <c r="AO44" s="19"/>
      <c r="AP44" s="19"/>
      <c r="AQ44" s="19"/>
      <c r="AR44" s="60"/>
      <c r="AS44" s="19"/>
      <c r="AT44" s="19"/>
      <c r="AU44" s="19"/>
      <c r="AV44" s="19"/>
      <c r="AW44" s="60"/>
      <c r="AX44" s="19"/>
      <c r="AY44" s="13"/>
    </row>
    <row r="45" ht="12.75" customHeight="1">
      <c r="A45" s="64"/>
      <c r="B45" s="47">
        <v>1.0</v>
      </c>
      <c r="C45" s="48" t="s">
        <v>37</v>
      </c>
      <c r="D45" s="16"/>
      <c r="E45" s="19">
        <v>19.0</v>
      </c>
      <c r="F45" s="19">
        <v>24.0</v>
      </c>
      <c r="G45" s="19">
        <v>15.0</v>
      </c>
      <c r="H45" s="19">
        <v>50.0</v>
      </c>
      <c r="I45" s="19">
        <v>32.0</v>
      </c>
      <c r="J45" s="19">
        <v>31.0</v>
      </c>
      <c r="K45" s="19">
        <v>26.0</v>
      </c>
      <c r="L45" s="19">
        <v>46.0</v>
      </c>
      <c r="M45" s="19">
        <v>39.0</v>
      </c>
      <c r="N45" s="19">
        <v>58.0</v>
      </c>
      <c r="O45" s="19">
        <v>32.0</v>
      </c>
      <c r="P45" s="19">
        <v>39.0</v>
      </c>
      <c r="Q45" s="19">
        <v>62.0</v>
      </c>
      <c r="R45" s="19">
        <v>51.0</v>
      </c>
      <c r="S45" s="19">
        <v>11.0</v>
      </c>
      <c r="T45" s="19">
        <v>42.0</v>
      </c>
      <c r="U45" s="19">
        <v>39.0</v>
      </c>
      <c r="V45" s="19">
        <v>29.0</v>
      </c>
      <c r="W45" s="19">
        <v>26.0</v>
      </c>
      <c r="X45" s="19">
        <v>40.0</v>
      </c>
      <c r="Y45" s="19">
        <v>25.0</v>
      </c>
      <c r="Z45" s="19">
        <v>46.0</v>
      </c>
      <c r="AA45" s="19">
        <v>27.0</v>
      </c>
      <c r="AB45" s="19">
        <v>43.0</v>
      </c>
      <c r="AC45" s="19">
        <v>30.0</v>
      </c>
      <c r="AD45" s="19">
        <v>14.0</v>
      </c>
      <c r="AE45" s="19">
        <v>38.0</v>
      </c>
      <c r="AF45" s="19">
        <v>14.0</v>
      </c>
      <c r="AG45" s="19">
        <v>39.0</v>
      </c>
      <c r="AH45" s="19">
        <v>16.0</v>
      </c>
      <c r="AI45" s="19">
        <v>32.0</v>
      </c>
      <c r="AJ45" s="19">
        <v>15.0</v>
      </c>
      <c r="AK45" s="19">
        <v>20.0</v>
      </c>
      <c r="AL45" s="19">
        <v>32.0</v>
      </c>
      <c r="AM45" s="19">
        <v>44.0</v>
      </c>
      <c r="AN45" s="19">
        <v>41.0</v>
      </c>
      <c r="AO45" s="19">
        <v>12.0</v>
      </c>
      <c r="AP45" s="19">
        <v>35.0</v>
      </c>
      <c r="AQ45" s="19">
        <v>33.0</v>
      </c>
      <c r="AR45" s="19">
        <v>52.0</v>
      </c>
      <c r="AS45" s="19">
        <v>34.0</v>
      </c>
      <c r="AT45" s="19">
        <v>24.0</v>
      </c>
      <c r="AU45" s="19">
        <v>32.0</v>
      </c>
      <c r="AV45" s="19">
        <v>20.0</v>
      </c>
      <c r="AW45" s="19">
        <v>34.0</v>
      </c>
      <c r="AX45" s="19">
        <v>29.0</v>
      </c>
      <c r="AY45" s="13">
        <f t="shared" ref="AY45:AY47" si="14">SUM(E45:AX45)</f>
        <v>1492</v>
      </c>
    </row>
    <row r="46" ht="12.75" customHeight="1">
      <c r="A46" s="18"/>
      <c r="B46" s="47">
        <v>2.0</v>
      </c>
      <c r="C46" s="48" t="s">
        <v>38</v>
      </c>
      <c r="D46" s="16"/>
      <c r="E46" s="19">
        <v>154.0</v>
      </c>
      <c r="F46" s="19">
        <v>153.0</v>
      </c>
      <c r="G46" s="19">
        <v>144.0</v>
      </c>
      <c r="H46" s="19">
        <v>131.0</v>
      </c>
      <c r="I46" s="19">
        <v>125.0</v>
      </c>
      <c r="J46" s="19">
        <v>127.0</v>
      </c>
      <c r="K46" s="19">
        <v>149.0</v>
      </c>
      <c r="L46" s="19">
        <v>147.0</v>
      </c>
      <c r="M46" s="19">
        <v>160.0</v>
      </c>
      <c r="N46" s="19">
        <v>126.0</v>
      </c>
      <c r="O46" s="19">
        <v>159.0</v>
      </c>
      <c r="P46" s="19">
        <v>146.0</v>
      </c>
      <c r="Q46" s="19">
        <v>121.0</v>
      </c>
      <c r="R46" s="19">
        <v>137.0</v>
      </c>
      <c r="S46" s="19">
        <v>155.0</v>
      </c>
      <c r="T46" s="19">
        <v>130.0</v>
      </c>
      <c r="U46" s="19">
        <v>91.0</v>
      </c>
      <c r="V46" s="19">
        <v>135.0</v>
      </c>
      <c r="W46" s="19">
        <v>114.0</v>
      </c>
      <c r="X46" s="19">
        <v>159.0</v>
      </c>
      <c r="Y46" s="19">
        <v>134.0</v>
      </c>
      <c r="Z46" s="19">
        <v>136.0</v>
      </c>
      <c r="AA46" s="19">
        <v>189.0</v>
      </c>
      <c r="AB46" s="19">
        <v>119.0</v>
      </c>
      <c r="AC46" s="19">
        <v>130.0</v>
      </c>
      <c r="AD46" s="19">
        <v>95.0</v>
      </c>
      <c r="AE46" s="19">
        <v>145.0</v>
      </c>
      <c r="AF46" s="19">
        <v>141.0</v>
      </c>
      <c r="AG46" s="19">
        <v>82.0</v>
      </c>
      <c r="AH46" s="19">
        <v>96.0</v>
      </c>
      <c r="AI46" s="19">
        <v>77.0</v>
      </c>
      <c r="AJ46" s="19">
        <v>74.0</v>
      </c>
      <c r="AK46" s="19">
        <v>99.0</v>
      </c>
      <c r="AL46" s="19">
        <v>85.0</v>
      </c>
      <c r="AM46" s="19">
        <v>47.0</v>
      </c>
      <c r="AN46" s="19">
        <v>59.0</v>
      </c>
      <c r="AO46" s="19">
        <v>110.0</v>
      </c>
      <c r="AP46" s="19">
        <v>172.0</v>
      </c>
      <c r="AQ46" s="19">
        <v>88.0</v>
      </c>
      <c r="AR46" s="19">
        <v>125.0</v>
      </c>
      <c r="AS46" s="19">
        <v>133.0</v>
      </c>
      <c r="AT46" s="19">
        <v>129.0</v>
      </c>
      <c r="AU46" s="19">
        <v>124.0</v>
      </c>
      <c r="AV46" s="19">
        <v>154.0</v>
      </c>
      <c r="AW46" s="19">
        <v>88.0</v>
      </c>
      <c r="AX46" s="19">
        <v>94.0</v>
      </c>
      <c r="AY46" s="13">
        <f t="shared" si="14"/>
        <v>5688</v>
      </c>
    </row>
    <row r="47" ht="12.75" customHeight="1">
      <c r="A47" s="45"/>
      <c r="B47" s="47">
        <v>3.0</v>
      </c>
      <c r="C47" s="48" t="s">
        <v>39</v>
      </c>
      <c r="D47" s="16"/>
      <c r="E47" s="19">
        <v>29.0</v>
      </c>
      <c r="F47" s="19">
        <v>30.0</v>
      </c>
      <c r="G47" s="19">
        <v>16.0</v>
      </c>
      <c r="H47" s="19">
        <v>15.0</v>
      </c>
      <c r="I47" s="19">
        <v>30.0</v>
      </c>
      <c r="J47" s="19">
        <v>22.0</v>
      </c>
      <c r="K47" s="19">
        <v>39.0</v>
      </c>
      <c r="L47" s="19">
        <v>35.0</v>
      </c>
      <c r="M47" s="19">
        <v>23.0</v>
      </c>
      <c r="N47" s="19">
        <v>25.0</v>
      </c>
      <c r="O47" s="19">
        <v>17.0</v>
      </c>
      <c r="P47" s="19">
        <v>39.0</v>
      </c>
      <c r="Q47" s="19">
        <v>16.0</v>
      </c>
      <c r="R47" s="19">
        <v>19.0</v>
      </c>
      <c r="S47" s="19">
        <v>19.0</v>
      </c>
      <c r="T47" s="19">
        <v>26.0</v>
      </c>
      <c r="U47" s="19">
        <v>8.0</v>
      </c>
      <c r="V47" s="19">
        <v>33.0</v>
      </c>
      <c r="W47" s="19">
        <v>28.0</v>
      </c>
      <c r="X47" s="19">
        <v>31.0</v>
      </c>
      <c r="Y47" s="19">
        <v>20.0</v>
      </c>
      <c r="Z47" s="19">
        <v>14.0</v>
      </c>
      <c r="AA47" s="19">
        <v>9.0</v>
      </c>
      <c r="AB47" s="19">
        <v>46.0</v>
      </c>
      <c r="AC47" s="19">
        <v>12.0</v>
      </c>
      <c r="AD47" s="19">
        <v>23.0</v>
      </c>
      <c r="AE47" s="19">
        <v>11.0</v>
      </c>
      <c r="AF47" s="19">
        <v>9.0</v>
      </c>
      <c r="AG47" s="19">
        <v>10.0</v>
      </c>
      <c r="AH47" s="19">
        <v>16.0</v>
      </c>
      <c r="AI47" s="19">
        <v>19.0</v>
      </c>
      <c r="AJ47" s="19">
        <v>9.0</v>
      </c>
      <c r="AK47" s="19">
        <v>9.0</v>
      </c>
      <c r="AL47" s="19">
        <v>12.0</v>
      </c>
      <c r="AM47" s="19">
        <v>14.0</v>
      </c>
      <c r="AN47" s="19">
        <v>42.0</v>
      </c>
      <c r="AO47" s="19">
        <v>30.0</v>
      </c>
      <c r="AP47" s="19">
        <v>24.0</v>
      </c>
      <c r="AQ47" s="19">
        <v>30.0</v>
      </c>
      <c r="AR47" s="19">
        <v>4.0</v>
      </c>
      <c r="AS47" s="19">
        <v>30.0</v>
      </c>
      <c r="AT47" s="19">
        <v>16.0</v>
      </c>
      <c r="AU47" s="19">
        <v>7.0</v>
      </c>
      <c r="AV47" s="19">
        <v>17.0</v>
      </c>
      <c r="AW47" s="19">
        <v>13.0</v>
      </c>
      <c r="AX47" s="19">
        <v>21.0</v>
      </c>
      <c r="AY47" s="13">
        <f t="shared" si="14"/>
        <v>967</v>
      </c>
    </row>
    <row r="48" ht="12.75" customHeight="1">
      <c r="AY48" s="13"/>
    </row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</row>
    <row r="50" ht="12.75" customHeight="1">
      <c r="A50" s="42"/>
      <c r="B50" s="54" t="s">
        <v>42</v>
      </c>
      <c r="C50" s="55" t="s">
        <v>43</v>
      </c>
      <c r="D50" s="16"/>
      <c r="E50" s="19">
        <f t="shared" ref="E50:AF50" si="15">SUM(E45:E47)</f>
        <v>202</v>
      </c>
      <c r="F50" s="19">
        <f t="shared" si="15"/>
        <v>207</v>
      </c>
      <c r="G50" s="19">
        <f t="shared" si="15"/>
        <v>175</v>
      </c>
      <c r="H50" s="19">
        <f t="shared" si="15"/>
        <v>196</v>
      </c>
      <c r="I50" s="19">
        <f t="shared" si="15"/>
        <v>187</v>
      </c>
      <c r="J50" s="19">
        <f t="shared" si="15"/>
        <v>180</v>
      </c>
      <c r="K50" s="19">
        <f t="shared" si="15"/>
        <v>214</v>
      </c>
      <c r="L50" s="19">
        <f t="shared" si="15"/>
        <v>228</v>
      </c>
      <c r="M50" s="19">
        <f t="shared" si="15"/>
        <v>222</v>
      </c>
      <c r="N50" s="19">
        <f t="shared" si="15"/>
        <v>209</v>
      </c>
      <c r="O50" s="19">
        <f t="shared" si="15"/>
        <v>208</v>
      </c>
      <c r="P50" s="19">
        <f t="shared" si="15"/>
        <v>224</v>
      </c>
      <c r="Q50" s="19">
        <f t="shared" si="15"/>
        <v>199</v>
      </c>
      <c r="R50" s="19">
        <f t="shared" si="15"/>
        <v>207</v>
      </c>
      <c r="S50" s="19">
        <f t="shared" si="15"/>
        <v>185</v>
      </c>
      <c r="T50" s="19">
        <f t="shared" si="15"/>
        <v>198</v>
      </c>
      <c r="U50" s="19">
        <f t="shared" si="15"/>
        <v>138</v>
      </c>
      <c r="V50" s="19">
        <f t="shared" si="15"/>
        <v>197</v>
      </c>
      <c r="W50" s="19">
        <f t="shared" si="15"/>
        <v>168</v>
      </c>
      <c r="X50" s="19">
        <f t="shared" si="15"/>
        <v>230</v>
      </c>
      <c r="Y50" s="19">
        <f t="shared" si="15"/>
        <v>179</v>
      </c>
      <c r="Z50" s="19">
        <f t="shared" si="15"/>
        <v>196</v>
      </c>
      <c r="AA50" s="19">
        <f t="shared" si="15"/>
        <v>225</v>
      </c>
      <c r="AB50" s="19">
        <f t="shared" si="15"/>
        <v>208</v>
      </c>
      <c r="AC50" s="19">
        <f t="shared" si="15"/>
        <v>172</v>
      </c>
      <c r="AD50" s="19">
        <f t="shared" si="15"/>
        <v>132</v>
      </c>
      <c r="AE50" s="19">
        <f t="shared" si="15"/>
        <v>194</v>
      </c>
      <c r="AF50" s="19">
        <f t="shared" si="15"/>
        <v>164</v>
      </c>
      <c r="AG50" s="19">
        <v>139.0</v>
      </c>
      <c r="AH50" s="19">
        <f t="shared" ref="AH50:AX50" si="16">SUM(AH45:AH47)</f>
        <v>128</v>
      </c>
      <c r="AI50" s="19">
        <f t="shared" si="16"/>
        <v>128</v>
      </c>
      <c r="AJ50" s="19">
        <f t="shared" si="16"/>
        <v>98</v>
      </c>
      <c r="AK50" s="19">
        <f t="shared" si="16"/>
        <v>128</v>
      </c>
      <c r="AL50" s="19">
        <f t="shared" si="16"/>
        <v>129</v>
      </c>
      <c r="AM50" s="19">
        <f t="shared" si="16"/>
        <v>105</v>
      </c>
      <c r="AN50" s="19">
        <f t="shared" si="16"/>
        <v>142</v>
      </c>
      <c r="AO50" s="19">
        <f t="shared" si="16"/>
        <v>152</v>
      </c>
      <c r="AP50" s="19">
        <f t="shared" si="16"/>
        <v>231</v>
      </c>
      <c r="AQ50" s="19">
        <f t="shared" si="16"/>
        <v>151</v>
      </c>
      <c r="AR50" s="19">
        <f t="shared" si="16"/>
        <v>181</v>
      </c>
      <c r="AS50" s="19">
        <f t="shared" si="16"/>
        <v>197</v>
      </c>
      <c r="AT50" s="19">
        <f t="shared" si="16"/>
        <v>169</v>
      </c>
      <c r="AU50" s="19">
        <f t="shared" si="16"/>
        <v>163</v>
      </c>
      <c r="AV50" s="19">
        <f t="shared" si="16"/>
        <v>191</v>
      </c>
      <c r="AW50" s="19">
        <f t="shared" si="16"/>
        <v>135</v>
      </c>
      <c r="AX50" s="19">
        <f t="shared" si="16"/>
        <v>144</v>
      </c>
      <c r="AY50" s="13">
        <f t="shared" ref="AY50:AY52" si="17">SUM(E50:AX50)</f>
        <v>8155</v>
      </c>
    </row>
    <row r="51" ht="12.75" customHeight="1">
      <c r="A51" s="35"/>
      <c r="B51" s="54" t="s">
        <v>44</v>
      </c>
      <c r="C51" s="55" t="s">
        <v>45</v>
      </c>
      <c r="D51" s="16"/>
      <c r="E51" s="19">
        <v>8.0</v>
      </c>
      <c r="F51" s="19">
        <v>8.0</v>
      </c>
      <c r="G51" s="19">
        <v>6.0</v>
      </c>
      <c r="H51" s="19">
        <v>4.0</v>
      </c>
      <c r="I51" s="19">
        <v>4.0</v>
      </c>
      <c r="J51" s="19">
        <v>5.0</v>
      </c>
      <c r="K51" s="19">
        <v>6.0</v>
      </c>
      <c r="L51" s="19">
        <v>8.0</v>
      </c>
      <c r="M51" s="19">
        <v>4.0</v>
      </c>
      <c r="N51" s="19">
        <v>2.0</v>
      </c>
      <c r="O51" s="19">
        <v>8.0</v>
      </c>
      <c r="P51" s="19">
        <v>9.0</v>
      </c>
      <c r="Q51" s="19">
        <v>8.0</v>
      </c>
      <c r="R51" s="19">
        <v>8.0</v>
      </c>
      <c r="S51" s="19">
        <v>5.0</v>
      </c>
      <c r="T51" s="19">
        <v>2.0</v>
      </c>
      <c r="U51" s="19">
        <v>5.0</v>
      </c>
      <c r="V51" s="19">
        <v>5.0</v>
      </c>
      <c r="W51" s="19">
        <v>10.0</v>
      </c>
      <c r="X51" s="19">
        <v>7.0</v>
      </c>
      <c r="Y51" s="19">
        <v>7.0</v>
      </c>
      <c r="Z51" s="19">
        <v>6.0</v>
      </c>
      <c r="AA51" s="19">
        <v>16.0</v>
      </c>
      <c r="AB51" s="19">
        <v>13.0</v>
      </c>
      <c r="AC51" s="19">
        <v>3.0</v>
      </c>
      <c r="AD51" s="19">
        <v>3.0</v>
      </c>
      <c r="AE51" s="19">
        <v>6.0</v>
      </c>
      <c r="AF51" s="19">
        <v>3.0</v>
      </c>
      <c r="AG51" s="19">
        <v>1.0</v>
      </c>
      <c r="AH51" s="19">
        <v>1.0</v>
      </c>
      <c r="AI51" s="19">
        <v>2.0</v>
      </c>
      <c r="AJ51" s="19">
        <v>3.0</v>
      </c>
      <c r="AK51" s="19">
        <v>1.0</v>
      </c>
      <c r="AL51" s="19">
        <v>6.0</v>
      </c>
      <c r="AM51" s="19">
        <v>2.0</v>
      </c>
      <c r="AN51" s="19">
        <v>7.0</v>
      </c>
      <c r="AO51" s="19">
        <v>0.0</v>
      </c>
      <c r="AP51" s="19">
        <v>11.0</v>
      </c>
      <c r="AQ51" s="19">
        <v>10.0</v>
      </c>
      <c r="AR51" s="19">
        <v>7.0</v>
      </c>
      <c r="AS51" s="19">
        <v>3.0</v>
      </c>
      <c r="AT51" s="19">
        <v>2.0</v>
      </c>
      <c r="AU51" s="19">
        <v>7.0</v>
      </c>
      <c r="AV51" s="19">
        <v>4.0</v>
      </c>
      <c r="AW51" s="19">
        <v>5.0</v>
      </c>
      <c r="AX51" s="19">
        <v>21.0</v>
      </c>
      <c r="AY51" s="13">
        <f t="shared" si="17"/>
        <v>272</v>
      </c>
    </row>
    <row r="52" ht="12.75" customHeight="1">
      <c r="A52" s="41"/>
      <c r="B52" s="54" t="s">
        <v>46</v>
      </c>
      <c r="C52" s="55" t="s">
        <v>47</v>
      </c>
      <c r="D52" s="16"/>
      <c r="E52" s="13">
        <f t="shared" ref="E52:AX52" si="18">SUM(E50:E51)</f>
        <v>210</v>
      </c>
      <c r="F52" s="13">
        <f t="shared" si="18"/>
        <v>215</v>
      </c>
      <c r="G52" s="13">
        <f t="shared" si="18"/>
        <v>181</v>
      </c>
      <c r="H52" s="13">
        <f t="shared" si="18"/>
        <v>200</v>
      </c>
      <c r="I52" s="13">
        <f t="shared" si="18"/>
        <v>191</v>
      </c>
      <c r="J52" s="13">
        <f t="shared" si="18"/>
        <v>185</v>
      </c>
      <c r="K52" s="13">
        <f t="shared" si="18"/>
        <v>220</v>
      </c>
      <c r="L52" s="13">
        <f t="shared" si="18"/>
        <v>236</v>
      </c>
      <c r="M52" s="13">
        <f t="shared" si="18"/>
        <v>226</v>
      </c>
      <c r="N52" s="13">
        <f t="shared" si="18"/>
        <v>211</v>
      </c>
      <c r="O52" s="13">
        <f t="shared" si="18"/>
        <v>216</v>
      </c>
      <c r="P52" s="13">
        <f t="shared" si="18"/>
        <v>233</v>
      </c>
      <c r="Q52" s="13">
        <f t="shared" si="18"/>
        <v>207</v>
      </c>
      <c r="R52" s="13">
        <f t="shared" si="18"/>
        <v>215</v>
      </c>
      <c r="S52" s="13">
        <f t="shared" si="18"/>
        <v>190</v>
      </c>
      <c r="T52" s="13">
        <f t="shared" si="18"/>
        <v>200</v>
      </c>
      <c r="U52" s="13">
        <f t="shared" si="18"/>
        <v>143</v>
      </c>
      <c r="V52" s="13">
        <f t="shared" si="18"/>
        <v>202</v>
      </c>
      <c r="W52" s="13">
        <f t="shared" si="18"/>
        <v>178</v>
      </c>
      <c r="X52" s="13">
        <f t="shared" si="18"/>
        <v>237</v>
      </c>
      <c r="Y52" s="13">
        <f t="shared" si="18"/>
        <v>186</v>
      </c>
      <c r="Z52" s="13">
        <f t="shared" si="18"/>
        <v>202</v>
      </c>
      <c r="AA52" s="13">
        <f t="shared" si="18"/>
        <v>241</v>
      </c>
      <c r="AB52" s="13">
        <f t="shared" si="18"/>
        <v>221</v>
      </c>
      <c r="AC52" s="13">
        <f t="shared" si="18"/>
        <v>175</v>
      </c>
      <c r="AD52" s="13">
        <f t="shared" si="18"/>
        <v>135</v>
      </c>
      <c r="AE52" s="13">
        <f t="shared" si="18"/>
        <v>200</v>
      </c>
      <c r="AF52" s="13">
        <f t="shared" si="18"/>
        <v>167</v>
      </c>
      <c r="AG52" s="13">
        <f t="shared" si="18"/>
        <v>140</v>
      </c>
      <c r="AH52" s="13">
        <f t="shared" si="18"/>
        <v>129</v>
      </c>
      <c r="AI52" s="13">
        <f t="shared" si="18"/>
        <v>130</v>
      </c>
      <c r="AJ52" s="13">
        <f t="shared" si="18"/>
        <v>101</v>
      </c>
      <c r="AK52" s="13">
        <f t="shared" si="18"/>
        <v>129</v>
      </c>
      <c r="AL52" s="13">
        <f t="shared" si="18"/>
        <v>135</v>
      </c>
      <c r="AM52" s="13">
        <f t="shared" si="18"/>
        <v>107</v>
      </c>
      <c r="AN52" s="13">
        <f t="shared" si="18"/>
        <v>149</v>
      </c>
      <c r="AO52" s="13">
        <f t="shared" si="18"/>
        <v>152</v>
      </c>
      <c r="AP52" s="13">
        <f t="shared" si="18"/>
        <v>242</v>
      </c>
      <c r="AQ52" s="13">
        <f t="shared" si="18"/>
        <v>161</v>
      </c>
      <c r="AR52" s="13">
        <f t="shared" si="18"/>
        <v>188</v>
      </c>
      <c r="AS52" s="13">
        <f t="shared" si="18"/>
        <v>200</v>
      </c>
      <c r="AT52" s="13">
        <f t="shared" si="18"/>
        <v>171</v>
      </c>
      <c r="AU52" s="13">
        <f t="shared" si="18"/>
        <v>170</v>
      </c>
      <c r="AV52" s="13">
        <f t="shared" si="18"/>
        <v>195</v>
      </c>
      <c r="AW52" s="13">
        <f t="shared" si="18"/>
        <v>140</v>
      </c>
      <c r="AX52" s="13">
        <f t="shared" si="18"/>
        <v>165</v>
      </c>
      <c r="AY52" s="13">
        <f t="shared" si="17"/>
        <v>8427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>
      <c r="AZ117" s="5"/>
      <c r="BA117" s="5"/>
    </row>
    <row r="118" ht="12.75" customHeight="1">
      <c r="AZ118" s="5"/>
      <c r="BA118" s="5"/>
    </row>
    <row r="119" ht="12.75" customHeight="1">
      <c r="AZ119" s="5"/>
      <c r="BA119" s="5"/>
    </row>
    <row r="120" ht="12.75" customHeight="1">
      <c r="AZ120" s="5"/>
      <c r="BA120" s="5"/>
    </row>
    <row r="121" ht="12.75" customHeight="1">
      <c r="AZ121" s="5"/>
      <c r="BA121" s="5"/>
    </row>
    <row r="122" ht="12.75" customHeight="1">
      <c r="AZ122" s="5"/>
      <c r="BA122" s="5"/>
    </row>
    <row r="123" ht="12.75" customHeight="1">
      <c r="AZ123" s="5"/>
      <c r="BA123" s="5"/>
    </row>
    <row r="124" ht="12.75" customHeight="1">
      <c r="AZ124" s="5"/>
      <c r="BA124" s="5"/>
    </row>
    <row r="125" ht="12.75" customHeight="1">
      <c r="AZ125" s="5"/>
      <c r="BA125" s="5"/>
    </row>
    <row r="126" ht="12.75" customHeight="1">
      <c r="AZ126" s="5"/>
      <c r="BA126" s="5"/>
    </row>
    <row r="127" ht="12.75" customHeight="1">
      <c r="AZ127" s="5"/>
      <c r="BA127" s="5"/>
    </row>
    <row r="128" ht="12.75" customHeight="1">
      <c r="AZ128" s="5"/>
      <c r="BA128" s="5"/>
    </row>
    <row r="129" ht="12.75" customHeight="1">
      <c r="AZ129" s="5"/>
      <c r="BA129" s="5"/>
    </row>
    <row r="130" ht="12.75" customHeight="1">
      <c r="AZ130" s="1"/>
      <c r="BA130" s="1"/>
    </row>
    <row r="131" ht="12.75" customHeight="1">
      <c r="AZ131" s="50"/>
      <c r="BA131" s="50"/>
    </row>
    <row r="132" ht="12.75" customHeight="1">
      <c r="AZ132" s="5"/>
      <c r="BA132" s="5"/>
    </row>
    <row r="133" ht="12.75" customHeight="1">
      <c r="AZ133" s="5"/>
      <c r="BA133" s="5"/>
    </row>
    <row r="134" ht="12.75" customHeight="1">
      <c r="AZ134" s="5"/>
      <c r="BA134" s="5"/>
    </row>
    <row r="135" ht="12.75" customHeight="1">
      <c r="AZ135" s="5"/>
      <c r="BA135" s="5"/>
    </row>
    <row r="136" ht="12.75" customHeight="1">
      <c r="AZ136" s="5"/>
      <c r="BA136" s="5"/>
    </row>
    <row r="137" ht="12.75" customHeight="1">
      <c r="AZ137" s="5"/>
      <c r="BA137" s="5"/>
    </row>
    <row r="138" ht="12.75" customHeight="1">
      <c r="AZ138" s="5"/>
      <c r="BA138" s="5"/>
    </row>
    <row r="139" ht="12.75" customHeight="1">
      <c r="AZ139" s="5"/>
      <c r="BA139" s="5"/>
    </row>
    <row r="140" ht="12.75" customHeight="1">
      <c r="AZ140" s="5"/>
      <c r="BA140" s="5"/>
    </row>
    <row r="141" ht="12.75" customHeight="1">
      <c r="AZ141" s="1"/>
      <c r="BA141" s="1"/>
    </row>
    <row r="142" ht="12.75" customHeight="1">
      <c r="AZ142" s="50"/>
      <c r="BA142" s="50"/>
    </row>
    <row r="143" ht="12.75" customHeight="1">
      <c r="AZ143" s="5"/>
      <c r="BA143" s="5"/>
    </row>
    <row r="144" ht="12.75" customHeight="1">
      <c r="AZ144" s="5"/>
      <c r="BA144" s="5"/>
    </row>
    <row r="145" ht="12.75" customHeight="1">
      <c r="AZ145" s="5"/>
      <c r="BA145" s="5"/>
    </row>
    <row r="146" ht="12.75" customHeight="1">
      <c r="AZ146" s="5"/>
      <c r="BA146" s="5"/>
    </row>
    <row r="147" ht="12.75" customHeight="1">
      <c r="AZ147" s="5"/>
      <c r="BA147" s="5"/>
    </row>
    <row r="148" ht="12.75" customHeight="1">
      <c r="AZ148" s="5"/>
      <c r="BA148" s="5"/>
    </row>
    <row r="149" ht="12.75" customHeight="1">
      <c r="AZ149" s="5"/>
      <c r="BA149" s="5"/>
    </row>
    <row r="150" ht="12.75" customHeight="1">
      <c r="AZ150" s="5"/>
      <c r="BA150" s="5"/>
    </row>
    <row r="151" ht="12.75" customHeight="1">
      <c r="AZ151" s="1"/>
      <c r="BA151" s="1"/>
    </row>
    <row r="152" ht="12.75" customHeight="1">
      <c r="AZ152" s="50"/>
      <c r="BA152" s="50"/>
    </row>
    <row r="153" ht="12.75" customHeight="1">
      <c r="AZ153" s="5"/>
      <c r="BA153" s="5"/>
    </row>
    <row r="154" ht="12.75" customHeight="1">
      <c r="AZ154" s="5"/>
      <c r="BA154" s="5"/>
    </row>
    <row r="155" ht="12.75" customHeight="1">
      <c r="AZ155" s="5"/>
      <c r="BA155" s="5"/>
    </row>
    <row r="156" ht="12.75" customHeight="1">
      <c r="AZ156" s="5"/>
      <c r="BA156" s="5"/>
    </row>
    <row r="157" ht="12.75" customHeight="1">
      <c r="AZ157" s="5"/>
      <c r="BA157" s="5"/>
    </row>
    <row r="158" ht="12.75" customHeight="1">
      <c r="AZ158" s="5"/>
      <c r="BA158" s="5"/>
    </row>
    <row r="159" ht="12.75" customHeight="1">
      <c r="AZ159" s="5"/>
      <c r="BA159" s="5"/>
    </row>
    <row r="160" ht="12.75" customHeight="1">
      <c r="AZ160" s="5"/>
      <c r="BA160" s="5"/>
    </row>
    <row r="161" ht="12.75" customHeight="1">
      <c r="AZ161" s="5"/>
      <c r="BA161" s="5"/>
    </row>
    <row r="162" ht="12.75" customHeight="1">
      <c r="AZ162" s="5"/>
      <c r="BA162" s="5"/>
    </row>
    <row r="163" ht="12.75" customHeight="1">
      <c r="AZ163" s="5"/>
      <c r="BA163" s="5"/>
    </row>
    <row r="164" ht="12.75" customHeight="1">
      <c r="AZ164" s="5"/>
      <c r="BA164" s="5"/>
    </row>
    <row r="165" ht="12.75" customHeight="1">
      <c r="AZ165" s="1"/>
      <c r="BA165" s="1"/>
    </row>
    <row r="166" ht="12.75" customHeight="1">
      <c r="AZ166" s="50"/>
      <c r="BA166" s="50"/>
    </row>
    <row r="167" ht="12.75" customHeight="1">
      <c r="AZ167" s="5"/>
      <c r="BA167" s="5"/>
    </row>
    <row r="168" ht="12.75" customHeight="1">
      <c r="AZ168" s="5"/>
      <c r="BA168" s="5"/>
    </row>
    <row r="169" ht="12.75" customHeight="1">
      <c r="AZ169" s="5"/>
      <c r="BA169" s="5"/>
    </row>
    <row r="170" ht="12.75" customHeight="1">
      <c r="AZ170" s="5"/>
      <c r="BA170" s="5"/>
    </row>
    <row r="171" ht="12.75" customHeight="1">
      <c r="AZ171" s="5"/>
      <c r="BA171" s="5"/>
    </row>
    <row r="172" ht="12.75" customHeight="1">
      <c r="AZ172" s="5"/>
      <c r="BA172" s="5"/>
    </row>
    <row r="173" ht="12.75" customHeight="1">
      <c r="AZ173" s="5"/>
      <c r="BA173" s="5"/>
    </row>
    <row r="174" ht="12.75" customHeight="1">
      <c r="AZ174" s="5"/>
      <c r="BA174" s="5"/>
    </row>
    <row r="175" ht="12.75" customHeight="1">
      <c r="AZ175" s="5"/>
      <c r="BA175" s="5"/>
    </row>
    <row r="176" ht="12.75" customHeight="1">
      <c r="AZ176" s="1"/>
      <c r="BA176" s="1"/>
    </row>
    <row r="177" ht="12.75" customHeight="1"/>
    <row r="178" ht="12.75" customHeight="1">
      <c r="AZ178" s="5"/>
      <c r="BA178" s="5"/>
    </row>
    <row r="179" ht="12.75" customHeight="1">
      <c r="AZ179" s="5"/>
      <c r="BA179" s="5"/>
    </row>
    <row r="180" ht="12.75" customHeight="1">
      <c r="AZ180" s="5"/>
      <c r="BA180" s="5"/>
    </row>
    <row r="181" ht="12.75" customHeight="1">
      <c r="AZ181" s="5"/>
      <c r="BA181" s="5"/>
    </row>
    <row r="182" ht="12.75" customHeight="1">
      <c r="AZ182" s="5"/>
      <c r="BA182" s="5"/>
    </row>
    <row r="183" ht="12.75" customHeight="1">
      <c r="AZ183" s="5"/>
      <c r="BA183" s="5"/>
    </row>
    <row r="184" ht="12.75" customHeight="1">
      <c r="AZ184" s="5"/>
      <c r="BA184" s="5"/>
    </row>
    <row r="185" ht="12.75" customHeight="1">
      <c r="AZ185" s="5"/>
      <c r="BA185" s="5"/>
    </row>
    <row r="186" ht="12.75" customHeight="1">
      <c r="AZ186" s="5"/>
      <c r="BA186" s="5"/>
    </row>
    <row r="187" ht="12.75" customHeight="1">
      <c r="AZ187" s="1"/>
      <c r="BA187" s="1"/>
    </row>
    <row r="188" ht="12.75" customHeight="1"/>
    <row r="189" ht="12.75" customHeight="1">
      <c r="AZ189" s="5"/>
      <c r="BA189" s="5"/>
    </row>
    <row r="190" ht="12.75" customHeight="1">
      <c r="AZ190" s="5"/>
      <c r="BA190" s="5"/>
    </row>
    <row r="191" ht="12.75" customHeight="1">
      <c r="AZ191" s="5"/>
      <c r="BA191" s="5"/>
    </row>
    <row r="192" ht="12.75" customHeight="1">
      <c r="AZ192" s="5"/>
      <c r="BA192" s="5"/>
    </row>
    <row r="193" ht="12.75" customHeight="1">
      <c r="AZ193" s="5"/>
      <c r="BA193" s="5"/>
    </row>
    <row r="194" ht="12.75" customHeight="1">
      <c r="AZ194" s="5"/>
      <c r="BA194" s="5"/>
    </row>
    <row r="195" ht="12.75" customHeight="1">
      <c r="AZ195" s="5"/>
      <c r="BA195" s="5"/>
    </row>
    <row r="196" ht="12.75" customHeight="1">
      <c r="AZ196" s="1"/>
      <c r="BA196" s="1"/>
    </row>
    <row r="197" ht="12.75" customHeight="1">
      <c r="AZ197" s="1"/>
      <c r="BA197" s="1"/>
    </row>
    <row r="198" ht="12.75" customHeight="1">
      <c r="AZ198" s="1"/>
      <c r="BA198" s="1"/>
    </row>
    <row r="199" ht="12.75" customHeight="1">
      <c r="AZ199" s="50"/>
      <c r="BA199" s="50"/>
    </row>
    <row r="200" ht="12.75" customHeight="1">
      <c r="AZ200" s="5"/>
      <c r="BA200" s="5"/>
    </row>
    <row r="201" ht="12.75" customHeight="1">
      <c r="AZ201" s="5"/>
      <c r="BA201" s="5"/>
    </row>
    <row r="202" ht="12.75" customHeight="1">
      <c r="AZ202" s="5"/>
      <c r="BA202" s="5"/>
    </row>
    <row r="203" ht="12.75" customHeight="1">
      <c r="AZ203" s="5"/>
      <c r="BA203" s="5"/>
    </row>
    <row r="204" ht="12.75" customHeight="1">
      <c r="AZ204" s="5"/>
      <c r="BA204" s="5"/>
    </row>
    <row r="205" ht="12.75" customHeight="1">
      <c r="AZ205" s="5"/>
      <c r="BA205" s="5"/>
    </row>
    <row r="206" ht="12.75" customHeight="1">
      <c r="AZ206" s="5"/>
      <c r="BA206" s="5"/>
    </row>
    <row r="207" ht="12.75" customHeight="1">
      <c r="AZ207" s="1"/>
      <c r="BA207" s="1"/>
    </row>
    <row r="208" ht="12.75" customHeight="1">
      <c r="AZ208" s="50"/>
      <c r="BA208" s="50"/>
    </row>
    <row r="209" ht="12.75" customHeight="1">
      <c r="AZ209" s="50"/>
      <c r="BA209" s="50"/>
    </row>
    <row r="210" ht="12.75" customHeight="1">
      <c r="AZ210" s="50"/>
      <c r="BA210" s="50"/>
    </row>
    <row r="211" ht="12.75" customHeight="1">
      <c r="AZ211" s="5"/>
      <c r="BA211" s="5"/>
    </row>
    <row r="212" ht="12.75" customHeight="1">
      <c r="AZ212" s="5"/>
      <c r="BA212" s="5"/>
    </row>
    <row r="213" ht="12.75" customHeight="1">
      <c r="AZ213" s="5"/>
      <c r="BA213" s="5"/>
    </row>
    <row r="214" ht="12.75" customHeight="1">
      <c r="AZ214" s="5"/>
      <c r="BA214" s="5"/>
    </row>
    <row r="215" ht="12.75" customHeight="1">
      <c r="AZ215" s="5"/>
      <c r="BA215" s="5"/>
    </row>
    <row r="216" ht="12.75" customHeight="1">
      <c r="AZ216" s="5"/>
      <c r="BA216" s="5"/>
    </row>
    <row r="217" ht="12.75" customHeight="1">
      <c r="AZ217" s="5"/>
      <c r="BA217" s="5"/>
    </row>
    <row r="218" ht="12.75" customHeight="1">
      <c r="AZ218" s="1"/>
      <c r="BA218" s="1"/>
    </row>
    <row r="219" ht="12.75" customHeight="1">
      <c r="AZ219" s="50"/>
      <c r="BA219" s="50"/>
    </row>
    <row r="220" ht="12.75" customHeight="1">
      <c r="AZ220" s="5"/>
      <c r="BA220" s="5"/>
    </row>
    <row r="221" ht="12.75" customHeight="1">
      <c r="AZ221" s="5"/>
      <c r="BA221" s="5"/>
    </row>
    <row r="222" ht="12.75" customHeight="1">
      <c r="AZ222" s="5"/>
      <c r="BA222" s="5"/>
    </row>
    <row r="223" ht="12.75" customHeight="1">
      <c r="AZ223" s="5"/>
      <c r="BA223" s="5"/>
    </row>
    <row r="224" ht="12.75" customHeight="1">
      <c r="AZ224" s="5"/>
      <c r="BA224" s="5"/>
    </row>
    <row r="225" ht="12.75" customHeight="1">
      <c r="AZ225" s="5"/>
      <c r="BA225" s="5"/>
    </row>
    <row r="226" ht="12.75" customHeight="1">
      <c r="AZ226" s="5"/>
      <c r="BA226" s="5"/>
    </row>
    <row r="227" ht="12.75" customHeight="1">
      <c r="AZ227" s="5"/>
      <c r="BA227" s="5"/>
    </row>
    <row r="228" ht="12.75" customHeight="1">
      <c r="AZ228" s="5"/>
      <c r="BA228" s="5"/>
    </row>
    <row r="229" ht="12.75" customHeight="1">
      <c r="AZ229" s="1"/>
      <c r="BA229" s="1"/>
    </row>
    <row r="230" ht="12.75" customHeight="1">
      <c r="AZ230" s="50"/>
      <c r="BA230" s="50"/>
    </row>
    <row r="231" ht="12.75" customHeight="1">
      <c r="AZ231" s="5"/>
      <c r="BA231" s="5"/>
    </row>
    <row r="232" ht="12.75" customHeight="1">
      <c r="AZ232" s="5"/>
      <c r="BA232" s="5"/>
    </row>
    <row r="233" ht="12.75" customHeight="1">
      <c r="AZ233" s="5"/>
      <c r="BA233" s="5"/>
    </row>
    <row r="234" ht="12.75" customHeight="1">
      <c r="AZ234" s="5"/>
      <c r="BA234" s="5"/>
    </row>
    <row r="235" ht="12.75" customHeight="1">
      <c r="AZ235" s="5"/>
      <c r="BA235" s="5"/>
    </row>
    <row r="236" ht="12.75" customHeight="1">
      <c r="AZ236" s="5"/>
      <c r="BA236" s="5"/>
    </row>
    <row r="237" ht="12.75" customHeight="1">
      <c r="AZ237" s="5"/>
      <c r="BA237" s="5"/>
    </row>
    <row r="238" ht="12.75" customHeight="1">
      <c r="AZ238" s="5"/>
      <c r="BA238" s="5"/>
    </row>
    <row r="239" ht="12.75" customHeight="1">
      <c r="AZ239" s="5"/>
      <c r="BA239" s="5"/>
    </row>
    <row r="240" ht="12.75" customHeight="1">
      <c r="AZ240" s="1"/>
      <c r="BA240" s="1"/>
    </row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AX12"/>
    <mergeCell ref="AY12:AY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14:AX15">
    <cfRule type="containsBlanks" dxfId="1" priority="1">
      <formula>LEN(TRIM(E14))=0</formula>
    </cfRule>
  </conditionalFormatting>
  <conditionalFormatting sqref="E19:AX20">
    <cfRule type="containsBlanks" dxfId="1" priority="2">
      <formula>LEN(TRIM(E19))=0</formula>
    </cfRule>
  </conditionalFormatting>
  <conditionalFormatting sqref="E22:AX23 E25:AX26 E33:AX33 E35:AX35 E39:AX40">
    <cfRule type="containsBlanks" dxfId="1" priority="3">
      <formula>LEN(TRIM(E22))=0</formula>
    </cfRule>
  </conditionalFormatting>
  <conditionalFormatting sqref="E30:AX30">
    <cfRule type="expression" dxfId="0" priority="4">
      <formula>E30&lt;&gt;E47</formula>
    </cfRule>
  </conditionalFormatting>
  <conditionalFormatting sqref="E30:AX30">
    <cfRule type="expression" dxfId="0" priority="5">
      <formula>E30&lt;&gt;E34</formula>
    </cfRule>
  </conditionalFormatting>
  <conditionalFormatting sqref="E34:AX34">
    <cfRule type="expression" dxfId="2" priority="6">
      <formula>E30&lt;&gt;E34</formula>
    </cfRule>
  </conditionalFormatting>
  <conditionalFormatting sqref="E34:AX34">
    <cfRule type="expression" dxfId="3" priority="7">
      <formula>E30=E34</formula>
    </cfRule>
  </conditionalFormatting>
  <conditionalFormatting sqref="E34:AX34">
    <cfRule type="expression" dxfId="0" priority="8">
      <formula>E34&lt;&gt;E30</formula>
    </cfRule>
  </conditionalFormatting>
  <conditionalFormatting sqref="E45:AX47">
    <cfRule type="containsBlanks" dxfId="1" priority="9">
      <formula>LEN(TRIM(E45))=0</formula>
    </cfRule>
  </conditionalFormatting>
  <conditionalFormatting sqref="E50:AX51">
    <cfRule type="containsBlanks" dxfId="1" priority="10">
      <formula>LEN(TRIM(E50))=0</formula>
    </cfRule>
  </conditionalFormatting>
  <conditionalFormatting sqref="E34:AX34">
    <cfRule type="expression" dxfId="0" priority="11">
      <formula>E34&lt;&gt;#REF!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1" width="8.71"/>
    <col customWidth="1" min="32" max="32" width="13.29"/>
    <col customWidth="1" min="33" max="34" width="8.71"/>
  </cols>
  <sheetData>
    <row r="1" ht="12.75" customHeight="1"/>
    <row r="2" ht="12.75" customHeight="1">
      <c r="C2" s="8" t="s">
        <v>0</v>
      </c>
      <c r="D2" s="8" t="s">
        <v>48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49</v>
      </c>
      <c r="D9" s="8" t="s">
        <v>98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  <c r="AE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5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51</v>
      </c>
      <c r="F13" s="13" t="s">
        <v>52</v>
      </c>
      <c r="G13" s="13" t="s">
        <v>53</v>
      </c>
      <c r="H13" s="13" t="s">
        <v>54</v>
      </c>
      <c r="I13" s="13" t="s">
        <v>55</v>
      </c>
      <c r="J13" s="13" t="s">
        <v>56</v>
      </c>
      <c r="K13" s="13" t="s">
        <v>57</v>
      </c>
      <c r="L13" s="13" t="s">
        <v>58</v>
      </c>
      <c r="M13" s="13" t="s">
        <v>59</v>
      </c>
      <c r="N13" s="13" t="s">
        <v>60</v>
      </c>
      <c r="O13" s="13" t="s">
        <v>61</v>
      </c>
      <c r="P13" s="13" t="s">
        <v>62</v>
      </c>
      <c r="Q13" s="13" t="s">
        <v>63</v>
      </c>
      <c r="R13" s="13" t="s">
        <v>64</v>
      </c>
      <c r="S13" s="13" t="s">
        <v>65</v>
      </c>
      <c r="T13" s="13" t="s">
        <v>66</v>
      </c>
      <c r="U13" s="13" t="s">
        <v>67</v>
      </c>
      <c r="V13" s="13" t="s">
        <v>68</v>
      </c>
      <c r="W13" s="13" t="s">
        <v>69</v>
      </c>
      <c r="X13" s="13" t="s">
        <v>70</v>
      </c>
      <c r="Y13" s="13" t="s">
        <v>71</v>
      </c>
      <c r="Z13" s="13" t="s">
        <v>72</v>
      </c>
      <c r="AA13" s="13" t="s">
        <v>73</v>
      </c>
      <c r="AB13" s="13" t="s">
        <v>74</v>
      </c>
      <c r="AC13" s="13" t="s">
        <v>75</v>
      </c>
      <c r="AD13" s="13" t="s">
        <v>76</v>
      </c>
      <c r="AE13" s="13" t="s">
        <v>77</v>
      </c>
      <c r="AF13" s="36"/>
    </row>
    <row r="14" ht="12.75" customHeight="1">
      <c r="A14" s="18"/>
      <c r="B14" s="22" t="s">
        <v>11</v>
      </c>
      <c r="C14" s="23"/>
      <c r="D14" s="19" t="s">
        <v>12</v>
      </c>
      <c r="E14" s="19">
        <v>121.0</v>
      </c>
      <c r="F14" s="19">
        <v>105.0</v>
      </c>
      <c r="G14" s="19">
        <v>122.0</v>
      </c>
      <c r="H14" s="19">
        <v>112.0</v>
      </c>
      <c r="I14" s="19">
        <v>100.0</v>
      </c>
      <c r="J14" s="19">
        <v>104.0</v>
      </c>
      <c r="K14" s="19">
        <v>131.0</v>
      </c>
      <c r="L14" s="19">
        <v>115.0</v>
      </c>
      <c r="M14" s="19">
        <v>115.0</v>
      </c>
      <c r="N14" s="19">
        <v>128.0</v>
      </c>
      <c r="O14" s="19">
        <v>137.0</v>
      </c>
      <c r="P14" s="19">
        <v>129.0</v>
      </c>
      <c r="Q14" s="19">
        <v>142.0</v>
      </c>
      <c r="R14" s="19">
        <v>95.0</v>
      </c>
      <c r="S14" s="19">
        <v>65.0</v>
      </c>
      <c r="T14" s="19">
        <v>145.0</v>
      </c>
      <c r="U14" s="19">
        <v>118.0</v>
      </c>
      <c r="V14" s="19">
        <v>104.0</v>
      </c>
      <c r="W14" s="19">
        <v>104.0</v>
      </c>
      <c r="X14" s="19">
        <v>138.0</v>
      </c>
      <c r="Y14" s="19">
        <v>100.0</v>
      </c>
      <c r="Z14" s="19">
        <v>153.0</v>
      </c>
      <c r="AA14" s="19">
        <v>91.0</v>
      </c>
      <c r="AB14" s="19">
        <v>98.0</v>
      </c>
      <c r="AC14" s="19">
        <v>74.0</v>
      </c>
      <c r="AD14" s="19">
        <v>140.0</v>
      </c>
      <c r="AE14" s="19">
        <v>125.0</v>
      </c>
      <c r="AF14" s="13">
        <f t="shared" ref="AF14:AF16" si="1">SUM(E14:AE14)</f>
        <v>3111</v>
      </c>
    </row>
    <row r="15" ht="12.75" customHeight="1">
      <c r="A15" s="18"/>
      <c r="B15" s="26"/>
      <c r="C15" s="27"/>
      <c r="D15" s="19" t="s">
        <v>13</v>
      </c>
      <c r="E15" s="19">
        <v>124.0</v>
      </c>
      <c r="F15" s="19">
        <v>131.0</v>
      </c>
      <c r="G15" s="19">
        <v>126.0</v>
      </c>
      <c r="H15" s="19">
        <v>114.0</v>
      </c>
      <c r="I15" s="19">
        <v>113.0</v>
      </c>
      <c r="J15" s="19">
        <v>102.0</v>
      </c>
      <c r="K15" s="19">
        <v>136.0</v>
      </c>
      <c r="L15" s="19">
        <v>139.0</v>
      </c>
      <c r="M15" s="19">
        <v>108.0</v>
      </c>
      <c r="N15" s="19">
        <v>141.0</v>
      </c>
      <c r="O15" s="19">
        <v>146.0</v>
      </c>
      <c r="P15" s="19">
        <v>121.0</v>
      </c>
      <c r="Q15" s="19">
        <v>157.0</v>
      </c>
      <c r="R15" s="19">
        <v>106.0</v>
      </c>
      <c r="S15" s="19">
        <v>58.0</v>
      </c>
      <c r="T15" s="19">
        <v>153.0</v>
      </c>
      <c r="U15" s="19">
        <v>108.0</v>
      </c>
      <c r="V15" s="19">
        <v>119.0</v>
      </c>
      <c r="W15" s="19">
        <v>113.0</v>
      </c>
      <c r="X15" s="19">
        <v>143.0</v>
      </c>
      <c r="Y15" s="19">
        <v>104.0</v>
      </c>
      <c r="Z15" s="19">
        <v>143.0</v>
      </c>
      <c r="AA15" s="19">
        <v>97.0</v>
      </c>
      <c r="AB15" s="19">
        <v>95.0</v>
      </c>
      <c r="AC15" s="19">
        <v>77.0</v>
      </c>
      <c r="AD15" s="19">
        <v>155.0</v>
      </c>
      <c r="AE15" s="19">
        <v>136.0</v>
      </c>
      <c r="AF15" s="13">
        <f t="shared" si="1"/>
        <v>3265</v>
      </c>
    </row>
    <row r="16" ht="12.75" customHeight="1">
      <c r="A16" s="25"/>
      <c r="B16" s="21"/>
      <c r="C16" s="28"/>
      <c r="D16" s="13" t="s">
        <v>14</v>
      </c>
      <c r="E16" s="13">
        <f t="shared" ref="E16:AE16" si="2">SUM(E14:E15)</f>
        <v>245</v>
      </c>
      <c r="F16" s="13">
        <f t="shared" si="2"/>
        <v>236</v>
      </c>
      <c r="G16" s="13">
        <f t="shared" si="2"/>
        <v>248</v>
      </c>
      <c r="H16" s="13">
        <f t="shared" si="2"/>
        <v>226</v>
      </c>
      <c r="I16" s="13">
        <f t="shared" si="2"/>
        <v>213</v>
      </c>
      <c r="J16" s="13">
        <f t="shared" si="2"/>
        <v>206</v>
      </c>
      <c r="K16" s="13">
        <f t="shared" si="2"/>
        <v>267</v>
      </c>
      <c r="L16" s="13">
        <f t="shared" si="2"/>
        <v>254</v>
      </c>
      <c r="M16" s="13">
        <f t="shared" si="2"/>
        <v>223</v>
      </c>
      <c r="N16" s="13">
        <f t="shared" si="2"/>
        <v>269</v>
      </c>
      <c r="O16" s="13">
        <f t="shared" si="2"/>
        <v>283</v>
      </c>
      <c r="P16" s="13">
        <f t="shared" si="2"/>
        <v>250</v>
      </c>
      <c r="Q16" s="13">
        <f t="shared" si="2"/>
        <v>299</v>
      </c>
      <c r="R16" s="13">
        <f t="shared" si="2"/>
        <v>201</v>
      </c>
      <c r="S16" s="13">
        <f t="shared" si="2"/>
        <v>123</v>
      </c>
      <c r="T16" s="13">
        <f t="shared" si="2"/>
        <v>298</v>
      </c>
      <c r="U16" s="13">
        <f t="shared" si="2"/>
        <v>226</v>
      </c>
      <c r="V16" s="13">
        <f t="shared" si="2"/>
        <v>223</v>
      </c>
      <c r="W16" s="13">
        <f t="shared" si="2"/>
        <v>217</v>
      </c>
      <c r="X16" s="13">
        <f t="shared" si="2"/>
        <v>281</v>
      </c>
      <c r="Y16" s="13">
        <f t="shared" si="2"/>
        <v>204</v>
      </c>
      <c r="Z16" s="13">
        <f t="shared" si="2"/>
        <v>296</v>
      </c>
      <c r="AA16" s="13">
        <f t="shared" si="2"/>
        <v>188</v>
      </c>
      <c r="AB16" s="13">
        <f t="shared" si="2"/>
        <v>193</v>
      </c>
      <c r="AC16" s="13">
        <f t="shared" si="2"/>
        <v>151</v>
      </c>
      <c r="AD16" s="13">
        <f t="shared" si="2"/>
        <v>295</v>
      </c>
      <c r="AE16" s="13">
        <f t="shared" si="2"/>
        <v>261</v>
      </c>
      <c r="AF16" s="13">
        <f t="shared" si="1"/>
        <v>6376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0"/>
      <c r="O17" s="19"/>
      <c r="P17" s="19"/>
      <c r="Q17" s="19"/>
      <c r="R17" s="19"/>
      <c r="S17" s="60"/>
      <c r="T17" s="19"/>
      <c r="U17" s="19"/>
      <c r="V17" s="19"/>
      <c r="W17" s="19"/>
      <c r="X17" s="60"/>
      <c r="Y17" s="19"/>
      <c r="Z17" s="19"/>
      <c r="AA17" s="19"/>
      <c r="AB17" s="19"/>
      <c r="AC17" s="60"/>
      <c r="AD17" s="19"/>
      <c r="AE17" s="19"/>
      <c r="AF17" s="61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0"/>
      <c r="O18" s="19"/>
      <c r="P18" s="19"/>
      <c r="Q18" s="19"/>
      <c r="R18" s="19"/>
      <c r="S18" s="60"/>
      <c r="T18" s="19"/>
      <c r="U18" s="19"/>
      <c r="V18" s="19"/>
      <c r="W18" s="19"/>
      <c r="X18" s="60"/>
      <c r="Y18" s="19"/>
      <c r="Z18" s="19"/>
      <c r="AA18" s="19"/>
      <c r="AB18" s="19"/>
      <c r="AC18" s="60"/>
      <c r="AD18" s="19"/>
      <c r="AE18" s="19"/>
      <c r="AF18" s="61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90.0</v>
      </c>
      <c r="F19" s="19">
        <v>86.0</v>
      </c>
      <c r="G19" s="19">
        <v>102.0</v>
      </c>
      <c r="H19" s="19">
        <v>88.0</v>
      </c>
      <c r="I19" s="19">
        <v>76.0</v>
      </c>
      <c r="J19" s="19">
        <v>80.0</v>
      </c>
      <c r="K19" s="19">
        <v>96.0</v>
      </c>
      <c r="L19" s="19">
        <v>85.0</v>
      </c>
      <c r="M19" s="19">
        <v>89.0</v>
      </c>
      <c r="N19" s="19">
        <v>80.0</v>
      </c>
      <c r="O19" s="19">
        <v>96.0</v>
      </c>
      <c r="P19" s="19">
        <v>94.0</v>
      </c>
      <c r="Q19" s="19">
        <v>103.0</v>
      </c>
      <c r="R19" s="19">
        <v>84.0</v>
      </c>
      <c r="S19" s="19">
        <v>49.0</v>
      </c>
      <c r="T19" s="19">
        <v>101.0</v>
      </c>
      <c r="U19" s="19">
        <v>88.0</v>
      </c>
      <c r="V19" s="19">
        <v>77.0</v>
      </c>
      <c r="W19" s="19">
        <v>87.0</v>
      </c>
      <c r="X19" s="19">
        <v>98.0</v>
      </c>
      <c r="Y19" s="19">
        <v>75.0</v>
      </c>
      <c r="Z19" s="19">
        <v>116.0</v>
      </c>
      <c r="AA19" s="19">
        <v>71.0</v>
      </c>
      <c r="AB19" s="19">
        <v>65.0</v>
      </c>
      <c r="AC19" s="19">
        <v>48.0</v>
      </c>
      <c r="AD19" s="19">
        <v>103.0</v>
      </c>
      <c r="AE19" s="19">
        <v>82.0</v>
      </c>
      <c r="AF19" s="13">
        <f t="shared" ref="AF19:AF30" si="3">SUM(E19:AE19)</f>
        <v>2309</v>
      </c>
    </row>
    <row r="20" ht="12.75" customHeight="1">
      <c r="A20" s="33"/>
      <c r="B20" s="27"/>
      <c r="C20" s="34"/>
      <c r="D20" s="19" t="s">
        <v>13</v>
      </c>
      <c r="E20" s="19">
        <v>99.0</v>
      </c>
      <c r="F20" s="19">
        <v>110.0</v>
      </c>
      <c r="G20" s="19">
        <v>102.0</v>
      </c>
      <c r="H20" s="19">
        <v>95.0</v>
      </c>
      <c r="I20" s="19">
        <v>94.0</v>
      </c>
      <c r="J20" s="19">
        <v>87.0</v>
      </c>
      <c r="K20" s="19">
        <v>105.0</v>
      </c>
      <c r="L20" s="19">
        <v>118.0</v>
      </c>
      <c r="M20" s="19">
        <v>91.0</v>
      </c>
      <c r="N20" s="19">
        <v>105.0</v>
      </c>
      <c r="O20" s="19">
        <v>108.0</v>
      </c>
      <c r="P20" s="19">
        <v>93.0</v>
      </c>
      <c r="Q20" s="19">
        <v>118.0</v>
      </c>
      <c r="R20" s="19">
        <v>92.0</v>
      </c>
      <c r="S20" s="19">
        <v>46.0</v>
      </c>
      <c r="T20" s="19">
        <v>136.0</v>
      </c>
      <c r="U20" s="19">
        <v>95.0</v>
      </c>
      <c r="V20" s="19">
        <v>86.0</v>
      </c>
      <c r="W20" s="19">
        <v>91.0</v>
      </c>
      <c r="X20" s="19">
        <v>113.0</v>
      </c>
      <c r="Y20" s="19">
        <v>83.0</v>
      </c>
      <c r="Z20" s="19">
        <v>111.0</v>
      </c>
      <c r="AA20" s="19">
        <v>76.0</v>
      </c>
      <c r="AB20" s="19">
        <v>76.0</v>
      </c>
      <c r="AC20" s="19">
        <v>59.0</v>
      </c>
      <c r="AD20" s="19">
        <v>127.0</v>
      </c>
      <c r="AE20" s="19">
        <v>117.0</v>
      </c>
      <c r="AF20" s="13">
        <f t="shared" si="3"/>
        <v>2633</v>
      </c>
    </row>
    <row r="21" ht="12.75" customHeight="1">
      <c r="A21" s="35"/>
      <c r="B21" s="28"/>
      <c r="C21" s="36"/>
      <c r="D21" s="13" t="s">
        <v>14</v>
      </c>
      <c r="E21" s="13">
        <f t="shared" ref="E21:AE21" si="4">SUM(E19:E20)</f>
        <v>189</v>
      </c>
      <c r="F21" s="13">
        <f t="shared" si="4"/>
        <v>196</v>
      </c>
      <c r="G21" s="13">
        <f t="shared" si="4"/>
        <v>204</v>
      </c>
      <c r="H21" s="13">
        <f t="shared" si="4"/>
        <v>183</v>
      </c>
      <c r="I21" s="13">
        <f t="shared" si="4"/>
        <v>170</v>
      </c>
      <c r="J21" s="13">
        <f t="shared" si="4"/>
        <v>167</v>
      </c>
      <c r="K21" s="13">
        <f t="shared" si="4"/>
        <v>201</v>
      </c>
      <c r="L21" s="13">
        <f t="shared" si="4"/>
        <v>203</v>
      </c>
      <c r="M21" s="13">
        <f t="shared" si="4"/>
        <v>180</v>
      </c>
      <c r="N21" s="13">
        <f t="shared" si="4"/>
        <v>185</v>
      </c>
      <c r="O21" s="13">
        <f t="shared" si="4"/>
        <v>204</v>
      </c>
      <c r="P21" s="13">
        <f t="shared" si="4"/>
        <v>187</v>
      </c>
      <c r="Q21" s="13">
        <f t="shared" si="4"/>
        <v>221</v>
      </c>
      <c r="R21" s="13">
        <f t="shared" si="4"/>
        <v>176</v>
      </c>
      <c r="S21" s="13">
        <f t="shared" si="4"/>
        <v>95</v>
      </c>
      <c r="T21" s="13">
        <f t="shared" si="4"/>
        <v>237</v>
      </c>
      <c r="U21" s="13">
        <f t="shared" si="4"/>
        <v>183</v>
      </c>
      <c r="V21" s="13">
        <f t="shared" si="4"/>
        <v>163</v>
      </c>
      <c r="W21" s="13">
        <f t="shared" si="4"/>
        <v>178</v>
      </c>
      <c r="X21" s="13">
        <f t="shared" si="4"/>
        <v>211</v>
      </c>
      <c r="Y21" s="13">
        <f t="shared" si="4"/>
        <v>158</v>
      </c>
      <c r="Z21" s="13">
        <f t="shared" si="4"/>
        <v>227</v>
      </c>
      <c r="AA21" s="13">
        <f t="shared" si="4"/>
        <v>147</v>
      </c>
      <c r="AB21" s="13">
        <f t="shared" si="4"/>
        <v>141</v>
      </c>
      <c r="AC21" s="13">
        <f t="shared" si="4"/>
        <v>107</v>
      </c>
      <c r="AD21" s="13">
        <f t="shared" si="4"/>
        <v>230</v>
      </c>
      <c r="AE21" s="13">
        <f t="shared" si="4"/>
        <v>199</v>
      </c>
      <c r="AF21" s="13">
        <f t="shared" si="3"/>
        <v>4942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2.0</v>
      </c>
      <c r="F22" s="19">
        <v>0.0</v>
      </c>
      <c r="G22" s="19">
        <v>1.0</v>
      </c>
      <c r="H22" s="19">
        <v>0.0</v>
      </c>
      <c r="I22" s="19">
        <v>1.0</v>
      </c>
      <c r="J22" s="19">
        <v>0.0</v>
      </c>
      <c r="K22" s="19">
        <v>1.0</v>
      </c>
      <c r="L22" s="19">
        <v>1.0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1.0</v>
      </c>
      <c r="W22" s="19">
        <v>0.0</v>
      </c>
      <c r="X22" s="19">
        <v>0.0</v>
      </c>
      <c r="Y22" s="19">
        <v>1.0</v>
      </c>
      <c r="Z22" s="19">
        <v>0.0</v>
      </c>
      <c r="AA22" s="19">
        <v>0.0</v>
      </c>
      <c r="AB22" s="19">
        <v>0.0</v>
      </c>
      <c r="AC22" s="19">
        <v>0.0</v>
      </c>
      <c r="AD22" s="19">
        <v>0.0</v>
      </c>
      <c r="AE22" s="19">
        <v>1.0</v>
      </c>
      <c r="AF22" s="13">
        <f t="shared" si="3"/>
        <v>9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1.0</v>
      </c>
      <c r="G23" s="19">
        <v>0.0</v>
      </c>
      <c r="H23" s="19">
        <v>0.0</v>
      </c>
      <c r="I23" s="19">
        <v>1.0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1.0</v>
      </c>
      <c r="P23" s="19">
        <v>1.0</v>
      </c>
      <c r="Q23" s="19">
        <v>0.0</v>
      </c>
      <c r="R23" s="19">
        <v>0.0</v>
      </c>
      <c r="S23" s="19">
        <v>1.0</v>
      </c>
      <c r="T23" s="19">
        <v>1.0</v>
      </c>
      <c r="U23" s="19">
        <v>0.0</v>
      </c>
      <c r="V23" s="19">
        <v>1.0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1.0</v>
      </c>
      <c r="AC23" s="19">
        <v>0.0</v>
      </c>
      <c r="AD23" s="19">
        <v>0.0</v>
      </c>
      <c r="AE23" s="19">
        <v>0.0</v>
      </c>
      <c r="AF23" s="13">
        <f t="shared" si="3"/>
        <v>8</v>
      </c>
    </row>
    <row r="24" ht="12.75" customHeight="1">
      <c r="A24" s="35"/>
      <c r="B24" s="28"/>
      <c r="C24" s="36"/>
      <c r="D24" s="13" t="s">
        <v>14</v>
      </c>
      <c r="E24" s="13">
        <f t="shared" ref="E24:AE24" si="5">SUM(E22:E23)</f>
        <v>2</v>
      </c>
      <c r="F24" s="13">
        <f t="shared" si="5"/>
        <v>1</v>
      </c>
      <c r="G24" s="13">
        <f t="shared" si="5"/>
        <v>1</v>
      </c>
      <c r="H24" s="13">
        <f t="shared" si="5"/>
        <v>0</v>
      </c>
      <c r="I24" s="13">
        <f t="shared" si="5"/>
        <v>2</v>
      </c>
      <c r="J24" s="13">
        <f t="shared" si="5"/>
        <v>0</v>
      </c>
      <c r="K24" s="13">
        <f t="shared" si="5"/>
        <v>1</v>
      </c>
      <c r="L24" s="13">
        <f t="shared" si="5"/>
        <v>1</v>
      </c>
      <c r="M24" s="13">
        <f t="shared" si="5"/>
        <v>0</v>
      </c>
      <c r="N24" s="13">
        <f t="shared" si="5"/>
        <v>0</v>
      </c>
      <c r="O24" s="13">
        <f t="shared" si="5"/>
        <v>1</v>
      </c>
      <c r="P24" s="13">
        <f t="shared" si="5"/>
        <v>1</v>
      </c>
      <c r="Q24" s="13">
        <f t="shared" si="5"/>
        <v>0</v>
      </c>
      <c r="R24" s="13">
        <f t="shared" si="5"/>
        <v>0</v>
      </c>
      <c r="S24" s="13">
        <f t="shared" si="5"/>
        <v>1</v>
      </c>
      <c r="T24" s="13">
        <f t="shared" si="5"/>
        <v>1</v>
      </c>
      <c r="U24" s="13">
        <f t="shared" si="5"/>
        <v>0</v>
      </c>
      <c r="V24" s="13">
        <f t="shared" si="5"/>
        <v>2</v>
      </c>
      <c r="W24" s="13">
        <f t="shared" si="5"/>
        <v>0</v>
      </c>
      <c r="X24" s="13">
        <f t="shared" si="5"/>
        <v>0</v>
      </c>
      <c r="Y24" s="13">
        <f t="shared" si="5"/>
        <v>1</v>
      </c>
      <c r="Z24" s="13">
        <f t="shared" si="5"/>
        <v>0</v>
      </c>
      <c r="AA24" s="13">
        <f t="shared" si="5"/>
        <v>0</v>
      </c>
      <c r="AB24" s="13">
        <f t="shared" si="5"/>
        <v>1</v>
      </c>
      <c r="AC24" s="13">
        <f t="shared" si="5"/>
        <v>0</v>
      </c>
      <c r="AD24" s="13">
        <f t="shared" si="5"/>
        <v>0</v>
      </c>
      <c r="AE24" s="13">
        <f t="shared" si="5"/>
        <v>1</v>
      </c>
      <c r="AF24" s="13">
        <f t="shared" si="3"/>
        <v>17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7.0</v>
      </c>
      <c r="F25" s="19">
        <v>2.0</v>
      </c>
      <c r="G25" s="19">
        <v>1.0</v>
      </c>
      <c r="H25" s="19">
        <v>2.0</v>
      </c>
      <c r="I25" s="19">
        <v>4.0</v>
      </c>
      <c r="J25" s="19">
        <v>2.0</v>
      </c>
      <c r="K25" s="19">
        <v>1.0</v>
      </c>
      <c r="L25" s="19">
        <v>1.0</v>
      </c>
      <c r="M25" s="19">
        <v>1.0</v>
      </c>
      <c r="N25" s="19">
        <v>3.0</v>
      </c>
      <c r="O25" s="19">
        <v>1.0</v>
      </c>
      <c r="P25" s="19">
        <v>1.0</v>
      </c>
      <c r="Q25" s="19">
        <v>4.0</v>
      </c>
      <c r="R25" s="19">
        <v>1.0</v>
      </c>
      <c r="S25" s="19">
        <v>2.0</v>
      </c>
      <c r="T25" s="19">
        <v>1.0</v>
      </c>
      <c r="U25" s="19">
        <v>1.0</v>
      </c>
      <c r="V25" s="19">
        <v>2.0</v>
      </c>
      <c r="W25" s="19">
        <v>3.0</v>
      </c>
      <c r="X25" s="19">
        <v>0.0</v>
      </c>
      <c r="Y25" s="19">
        <v>1.0</v>
      </c>
      <c r="Z25" s="19">
        <v>3.0</v>
      </c>
      <c r="AA25" s="19">
        <v>5.0</v>
      </c>
      <c r="AB25" s="19">
        <v>2.0</v>
      </c>
      <c r="AC25" s="19">
        <v>2.0</v>
      </c>
      <c r="AD25" s="19">
        <v>2.0</v>
      </c>
      <c r="AE25" s="19">
        <v>0.0</v>
      </c>
      <c r="AF25" s="13">
        <f t="shared" si="3"/>
        <v>55</v>
      </c>
    </row>
    <row r="26" ht="12.75" customHeight="1">
      <c r="A26" s="33"/>
      <c r="B26" s="27"/>
      <c r="C26" s="34"/>
      <c r="D26" s="19" t="s">
        <v>13</v>
      </c>
      <c r="E26" s="19">
        <v>7.0</v>
      </c>
      <c r="F26" s="19">
        <v>2.0</v>
      </c>
      <c r="G26" s="19">
        <v>1.0</v>
      </c>
      <c r="H26" s="19">
        <v>2.0</v>
      </c>
      <c r="I26" s="19">
        <v>4.0</v>
      </c>
      <c r="J26" s="19">
        <v>1.0</v>
      </c>
      <c r="K26" s="19">
        <v>5.0</v>
      </c>
      <c r="L26" s="19">
        <v>1.0</v>
      </c>
      <c r="M26" s="19">
        <v>0.0</v>
      </c>
      <c r="N26" s="19">
        <v>1.0</v>
      </c>
      <c r="O26" s="19">
        <v>1.0</v>
      </c>
      <c r="P26" s="19">
        <v>2.0</v>
      </c>
      <c r="Q26" s="19">
        <v>4.0</v>
      </c>
      <c r="R26" s="19">
        <v>3.0</v>
      </c>
      <c r="S26" s="19">
        <v>5.0</v>
      </c>
      <c r="T26" s="19">
        <v>1.0</v>
      </c>
      <c r="U26" s="19">
        <v>2.0</v>
      </c>
      <c r="V26" s="19">
        <v>5.0</v>
      </c>
      <c r="W26" s="19">
        <v>2.0</v>
      </c>
      <c r="X26" s="19">
        <v>0.0</v>
      </c>
      <c r="Y26" s="19">
        <v>0.0</v>
      </c>
      <c r="Z26" s="19">
        <v>4.0</v>
      </c>
      <c r="AA26" s="19">
        <v>5.0</v>
      </c>
      <c r="AB26" s="19">
        <v>2.0</v>
      </c>
      <c r="AC26" s="19">
        <v>2.0</v>
      </c>
      <c r="AD26" s="19">
        <v>2.0</v>
      </c>
      <c r="AE26" s="19">
        <v>0.0</v>
      </c>
      <c r="AF26" s="13">
        <f t="shared" si="3"/>
        <v>64</v>
      </c>
    </row>
    <row r="27" ht="12.75" customHeight="1">
      <c r="A27" s="35"/>
      <c r="B27" s="28"/>
      <c r="C27" s="36"/>
      <c r="D27" s="13" t="s">
        <v>14</v>
      </c>
      <c r="E27" s="13">
        <f t="shared" ref="E27:AE27" si="6">SUM(E25:E26)</f>
        <v>14</v>
      </c>
      <c r="F27" s="13">
        <f t="shared" si="6"/>
        <v>4</v>
      </c>
      <c r="G27" s="13">
        <f t="shared" si="6"/>
        <v>2</v>
      </c>
      <c r="H27" s="13">
        <f t="shared" si="6"/>
        <v>4</v>
      </c>
      <c r="I27" s="13">
        <f t="shared" si="6"/>
        <v>8</v>
      </c>
      <c r="J27" s="13">
        <f t="shared" si="6"/>
        <v>3</v>
      </c>
      <c r="K27" s="13">
        <f t="shared" si="6"/>
        <v>6</v>
      </c>
      <c r="L27" s="13">
        <f t="shared" si="6"/>
        <v>2</v>
      </c>
      <c r="M27" s="13">
        <f t="shared" si="6"/>
        <v>1</v>
      </c>
      <c r="N27" s="13">
        <f t="shared" si="6"/>
        <v>4</v>
      </c>
      <c r="O27" s="13">
        <f t="shared" si="6"/>
        <v>2</v>
      </c>
      <c r="P27" s="13">
        <f t="shared" si="6"/>
        <v>3</v>
      </c>
      <c r="Q27" s="13">
        <f t="shared" si="6"/>
        <v>8</v>
      </c>
      <c r="R27" s="13">
        <f t="shared" si="6"/>
        <v>4</v>
      </c>
      <c r="S27" s="13">
        <f t="shared" si="6"/>
        <v>7</v>
      </c>
      <c r="T27" s="13">
        <f t="shared" si="6"/>
        <v>2</v>
      </c>
      <c r="U27" s="13">
        <f t="shared" si="6"/>
        <v>3</v>
      </c>
      <c r="V27" s="13">
        <f t="shared" si="6"/>
        <v>7</v>
      </c>
      <c r="W27" s="13">
        <f t="shared" si="6"/>
        <v>5</v>
      </c>
      <c r="X27" s="13">
        <f t="shared" si="6"/>
        <v>0</v>
      </c>
      <c r="Y27" s="13">
        <f t="shared" si="6"/>
        <v>1</v>
      </c>
      <c r="Z27" s="13">
        <f t="shared" si="6"/>
        <v>7</v>
      </c>
      <c r="AA27" s="13">
        <f t="shared" si="6"/>
        <v>10</v>
      </c>
      <c r="AB27" s="13">
        <f t="shared" si="6"/>
        <v>4</v>
      </c>
      <c r="AC27" s="13">
        <f t="shared" si="6"/>
        <v>4</v>
      </c>
      <c r="AD27" s="13">
        <f t="shared" si="6"/>
        <v>4</v>
      </c>
      <c r="AE27" s="13">
        <f t="shared" si="6"/>
        <v>0</v>
      </c>
      <c r="AF27" s="13">
        <f t="shared" si="3"/>
        <v>119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E28" si="7">SUM(E19,E22,E25)</f>
        <v>99</v>
      </c>
      <c r="F28" s="13">
        <f t="shared" si="7"/>
        <v>88</v>
      </c>
      <c r="G28" s="13">
        <f t="shared" si="7"/>
        <v>104</v>
      </c>
      <c r="H28" s="13">
        <f t="shared" si="7"/>
        <v>90</v>
      </c>
      <c r="I28" s="13">
        <f t="shared" si="7"/>
        <v>81</v>
      </c>
      <c r="J28" s="13">
        <f t="shared" si="7"/>
        <v>82</v>
      </c>
      <c r="K28" s="13">
        <f t="shared" si="7"/>
        <v>98</v>
      </c>
      <c r="L28" s="13">
        <f t="shared" si="7"/>
        <v>87</v>
      </c>
      <c r="M28" s="13">
        <f t="shared" si="7"/>
        <v>90</v>
      </c>
      <c r="N28" s="13">
        <f t="shared" si="7"/>
        <v>83</v>
      </c>
      <c r="O28" s="13">
        <f t="shared" si="7"/>
        <v>97</v>
      </c>
      <c r="P28" s="13">
        <f t="shared" si="7"/>
        <v>95</v>
      </c>
      <c r="Q28" s="13">
        <f t="shared" si="7"/>
        <v>107</v>
      </c>
      <c r="R28" s="13">
        <f t="shared" si="7"/>
        <v>85</v>
      </c>
      <c r="S28" s="13">
        <f t="shared" si="7"/>
        <v>51</v>
      </c>
      <c r="T28" s="13">
        <f t="shared" si="7"/>
        <v>102</v>
      </c>
      <c r="U28" s="13">
        <f t="shared" si="7"/>
        <v>89</v>
      </c>
      <c r="V28" s="13">
        <f t="shared" si="7"/>
        <v>80</v>
      </c>
      <c r="W28" s="13">
        <f t="shared" si="7"/>
        <v>90</v>
      </c>
      <c r="X28" s="13">
        <f t="shared" si="7"/>
        <v>98</v>
      </c>
      <c r="Y28" s="13">
        <f t="shared" si="7"/>
        <v>77</v>
      </c>
      <c r="Z28" s="13">
        <f t="shared" si="7"/>
        <v>119</v>
      </c>
      <c r="AA28" s="13">
        <f t="shared" si="7"/>
        <v>76</v>
      </c>
      <c r="AB28" s="13">
        <f t="shared" si="7"/>
        <v>67</v>
      </c>
      <c r="AC28" s="13">
        <f t="shared" si="7"/>
        <v>50</v>
      </c>
      <c r="AD28" s="13">
        <f t="shared" si="7"/>
        <v>105</v>
      </c>
      <c r="AE28" s="13">
        <f t="shared" si="7"/>
        <v>83</v>
      </c>
      <c r="AF28" s="13">
        <f t="shared" si="3"/>
        <v>2373</v>
      </c>
    </row>
    <row r="29" ht="12.75" customHeight="1">
      <c r="A29" s="35"/>
      <c r="B29" s="27"/>
      <c r="C29" s="34"/>
      <c r="D29" s="13" t="s">
        <v>13</v>
      </c>
      <c r="E29" s="13">
        <f t="shared" ref="E29:AE29" si="8">SUM(E20,E23,E26)</f>
        <v>106</v>
      </c>
      <c r="F29" s="13">
        <f t="shared" si="8"/>
        <v>113</v>
      </c>
      <c r="G29" s="13">
        <f t="shared" si="8"/>
        <v>103</v>
      </c>
      <c r="H29" s="13">
        <f t="shared" si="8"/>
        <v>97</v>
      </c>
      <c r="I29" s="13">
        <f t="shared" si="8"/>
        <v>99</v>
      </c>
      <c r="J29" s="13">
        <f t="shared" si="8"/>
        <v>88</v>
      </c>
      <c r="K29" s="13">
        <f t="shared" si="8"/>
        <v>110</v>
      </c>
      <c r="L29" s="13">
        <f t="shared" si="8"/>
        <v>119</v>
      </c>
      <c r="M29" s="13">
        <f t="shared" si="8"/>
        <v>91</v>
      </c>
      <c r="N29" s="13">
        <f t="shared" si="8"/>
        <v>106</v>
      </c>
      <c r="O29" s="13">
        <f t="shared" si="8"/>
        <v>110</v>
      </c>
      <c r="P29" s="13">
        <f t="shared" si="8"/>
        <v>96</v>
      </c>
      <c r="Q29" s="13">
        <f t="shared" si="8"/>
        <v>122</v>
      </c>
      <c r="R29" s="13">
        <f t="shared" si="8"/>
        <v>95</v>
      </c>
      <c r="S29" s="13">
        <f t="shared" si="8"/>
        <v>52</v>
      </c>
      <c r="T29" s="13">
        <f t="shared" si="8"/>
        <v>138</v>
      </c>
      <c r="U29" s="13">
        <f t="shared" si="8"/>
        <v>97</v>
      </c>
      <c r="V29" s="13">
        <f t="shared" si="8"/>
        <v>92</v>
      </c>
      <c r="W29" s="13">
        <f t="shared" si="8"/>
        <v>93</v>
      </c>
      <c r="X29" s="13">
        <f t="shared" si="8"/>
        <v>113</v>
      </c>
      <c r="Y29" s="13">
        <f t="shared" si="8"/>
        <v>83</v>
      </c>
      <c r="Z29" s="13">
        <f t="shared" si="8"/>
        <v>115</v>
      </c>
      <c r="AA29" s="13">
        <f t="shared" si="8"/>
        <v>81</v>
      </c>
      <c r="AB29" s="13">
        <f t="shared" si="8"/>
        <v>79</v>
      </c>
      <c r="AC29" s="13">
        <f t="shared" si="8"/>
        <v>61</v>
      </c>
      <c r="AD29" s="13">
        <f t="shared" si="8"/>
        <v>129</v>
      </c>
      <c r="AE29" s="13">
        <f t="shared" si="8"/>
        <v>117</v>
      </c>
      <c r="AF29" s="13">
        <f t="shared" si="3"/>
        <v>2705</v>
      </c>
    </row>
    <row r="30" ht="12.75" customHeight="1">
      <c r="A30" s="35"/>
      <c r="B30" s="28"/>
      <c r="C30" s="36"/>
      <c r="D30" s="13" t="s">
        <v>14</v>
      </c>
      <c r="E30" s="13">
        <f t="shared" ref="E30:AE30" si="9">SUM(E28:E29)</f>
        <v>205</v>
      </c>
      <c r="F30" s="13">
        <f t="shared" si="9"/>
        <v>201</v>
      </c>
      <c r="G30" s="13">
        <f t="shared" si="9"/>
        <v>207</v>
      </c>
      <c r="H30" s="13">
        <f t="shared" si="9"/>
        <v>187</v>
      </c>
      <c r="I30" s="13">
        <f t="shared" si="9"/>
        <v>180</v>
      </c>
      <c r="J30" s="13">
        <f t="shared" si="9"/>
        <v>170</v>
      </c>
      <c r="K30" s="13">
        <f t="shared" si="9"/>
        <v>208</v>
      </c>
      <c r="L30" s="13">
        <f t="shared" si="9"/>
        <v>206</v>
      </c>
      <c r="M30" s="13">
        <f t="shared" si="9"/>
        <v>181</v>
      </c>
      <c r="N30" s="13">
        <f t="shared" si="9"/>
        <v>189</v>
      </c>
      <c r="O30" s="13">
        <f t="shared" si="9"/>
        <v>207</v>
      </c>
      <c r="P30" s="13">
        <f t="shared" si="9"/>
        <v>191</v>
      </c>
      <c r="Q30" s="13">
        <f t="shared" si="9"/>
        <v>229</v>
      </c>
      <c r="R30" s="13">
        <f t="shared" si="9"/>
        <v>180</v>
      </c>
      <c r="S30" s="13">
        <f t="shared" si="9"/>
        <v>103</v>
      </c>
      <c r="T30" s="13">
        <f t="shared" si="9"/>
        <v>240</v>
      </c>
      <c r="U30" s="13">
        <f t="shared" si="9"/>
        <v>186</v>
      </c>
      <c r="V30" s="13">
        <f t="shared" si="9"/>
        <v>172</v>
      </c>
      <c r="W30" s="13">
        <f t="shared" si="9"/>
        <v>183</v>
      </c>
      <c r="X30" s="13">
        <f t="shared" si="9"/>
        <v>211</v>
      </c>
      <c r="Y30" s="13">
        <f t="shared" si="9"/>
        <v>160</v>
      </c>
      <c r="Z30" s="13">
        <f t="shared" si="9"/>
        <v>234</v>
      </c>
      <c r="AA30" s="13">
        <f t="shared" si="9"/>
        <v>157</v>
      </c>
      <c r="AB30" s="13">
        <f t="shared" si="9"/>
        <v>146</v>
      </c>
      <c r="AC30" s="13">
        <f t="shared" si="9"/>
        <v>111</v>
      </c>
      <c r="AD30" s="13">
        <f t="shared" si="9"/>
        <v>234</v>
      </c>
      <c r="AE30" s="13">
        <f t="shared" si="9"/>
        <v>200</v>
      </c>
      <c r="AF30" s="13">
        <f t="shared" si="3"/>
        <v>5078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0"/>
      <c r="O31" s="19"/>
      <c r="P31" s="19"/>
      <c r="Q31" s="19"/>
      <c r="R31" s="19"/>
      <c r="S31" s="60"/>
      <c r="T31" s="19"/>
      <c r="U31" s="19"/>
      <c r="V31" s="19"/>
      <c r="W31" s="19"/>
      <c r="X31" s="60"/>
      <c r="Y31" s="19"/>
      <c r="Z31" s="19"/>
      <c r="AA31" s="19"/>
      <c r="AB31" s="19"/>
      <c r="AC31" s="60"/>
      <c r="AD31" s="19"/>
      <c r="AE31" s="19"/>
      <c r="AF31" s="61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2"/>
      <c r="O32" s="13"/>
      <c r="P32" s="13"/>
      <c r="Q32" s="13"/>
      <c r="R32" s="13"/>
      <c r="S32" s="62"/>
      <c r="T32" s="13"/>
      <c r="U32" s="13"/>
      <c r="V32" s="13"/>
      <c r="W32" s="13"/>
      <c r="X32" s="62"/>
      <c r="Y32" s="13"/>
      <c r="Z32" s="13"/>
      <c r="AA32" s="13"/>
      <c r="AB32" s="13"/>
      <c r="AC32" s="62"/>
      <c r="AD32" s="13"/>
      <c r="AE32" s="13"/>
      <c r="AF32" s="61"/>
    </row>
    <row r="33" ht="12.75" customHeight="1">
      <c r="A33" s="19">
        <v>1.0</v>
      </c>
      <c r="B33" s="20" t="s">
        <v>27</v>
      </c>
      <c r="C33" s="15"/>
      <c r="D33" s="16"/>
      <c r="E33" s="19">
        <v>251.0</v>
      </c>
      <c r="F33" s="19">
        <v>243.0</v>
      </c>
      <c r="G33" s="19">
        <v>249.0</v>
      </c>
      <c r="H33" s="19">
        <v>231.0</v>
      </c>
      <c r="I33" s="19">
        <v>218.0</v>
      </c>
      <c r="J33" s="19">
        <v>212.0</v>
      </c>
      <c r="K33" s="19">
        <v>274.0</v>
      </c>
      <c r="L33" s="19">
        <v>268.0</v>
      </c>
      <c r="M33" s="19">
        <v>228.0</v>
      </c>
      <c r="N33" s="19">
        <v>271.0</v>
      </c>
      <c r="O33" s="19">
        <v>291.0</v>
      </c>
      <c r="P33" s="19">
        <v>255.0</v>
      </c>
      <c r="Q33" s="19">
        <v>280.0</v>
      </c>
      <c r="R33" s="19">
        <v>207.0</v>
      </c>
      <c r="S33" s="19">
        <v>127.0</v>
      </c>
      <c r="T33" s="19">
        <v>304.0</v>
      </c>
      <c r="U33" s="19">
        <v>232.0</v>
      </c>
      <c r="V33" s="19">
        <v>228.0</v>
      </c>
      <c r="W33" s="19">
        <v>224.0</v>
      </c>
      <c r="X33" s="19">
        <v>287.0</v>
      </c>
      <c r="Y33" s="19">
        <v>210.0</v>
      </c>
      <c r="Z33" s="19">
        <v>303.0</v>
      </c>
      <c r="AA33" s="19">
        <v>193.0</v>
      </c>
      <c r="AB33" s="19">
        <v>197.0</v>
      </c>
      <c r="AC33" s="19">
        <v>155.0</v>
      </c>
      <c r="AD33" s="19">
        <v>301.0</v>
      </c>
      <c r="AE33" s="19">
        <v>262.0</v>
      </c>
      <c r="AF33" s="13">
        <f t="shared" ref="AF33:AF36" si="10">SUM(E33:AE33)</f>
        <v>6501</v>
      </c>
    </row>
    <row r="34" ht="12.75" customHeight="1">
      <c r="A34" s="19">
        <v>2.0</v>
      </c>
      <c r="B34" s="20" t="s">
        <v>28</v>
      </c>
      <c r="C34" s="15"/>
      <c r="D34" s="16"/>
      <c r="E34" s="13">
        <v>205.0</v>
      </c>
      <c r="F34" s="13">
        <v>201.0</v>
      </c>
      <c r="G34" s="13">
        <v>207.0</v>
      </c>
      <c r="H34" s="13">
        <v>187.0</v>
      </c>
      <c r="I34" s="13">
        <v>180.0</v>
      </c>
      <c r="J34" s="13">
        <v>170.0</v>
      </c>
      <c r="K34" s="13">
        <v>208.0</v>
      </c>
      <c r="L34" s="13">
        <v>206.0</v>
      </c>
      <c r="M34" s="13">
        <v>181.0</v>
      </c>
      <c r="N34" s="13">
        <v>189.0</v>
      </c>
      <c r="O34" s="13">
        <v>207.0</v>
      </c>
      <c r="P34" s="13">
        <v>191.0</v>
      </c>
      <c r="Q34" s="13">
        <v>229.0</v>
      </c>
      <c r="R34" s="13">
        <v>180.0</v>
      </c>
      <c r="S34" s="13">
        <v>103.0</v>
      </c>
      <c r="T34" s="13">
        <v>240.0</v>
      </c>
      <c r="U34" s="13">
        <v>186.0</v>
      </c>
      <c r="V34" s="13">
        <v>172.0</v>
      </c>
      <c r="W34" s="13">
        <v>183.0</v>
      </c>
      <c r="X34" s="13">
        <v>211.0</v>
      </c>
      <c r="Y34" s="13">
        <v>160.0</v>
      </c>
      <c r="Z34" s="13">
        <v>234.0</v>
      </c>
      <c r="AA34" s="13">
        <v>157.0</v>
      </c>
      <c r="AB34" s="13">
        <v>146.0</v>
      </c>
      <c r="AC34" s="13">
        <v>111.0</v>
      </c>
      <c r="AD34" s="13">
        <v>234.0</v>
      </c>
      <c r="AE34" s="13">
        <v>200.0</v>
      </c>
      <c r="AF34" s="13">
        <f t="shared" si="10"/>
        <v>5078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1.0</v>
      </c>
      <c r="K35" s="19">
        <v>0.0</v>
      </c>
      <c r="L35" s="19">
        <v>3.0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0.0</v>
      </c>
      <c r="X35" s="19">
        <v>0.0</v>
      </c>
      <c r="Y35" s="19">
        <v>0.0</v>
      </c>
      <c r="Z35" s="19">
        <v>2.0</v>
      </c>
      <c r="AA35" s="19">
        <v>0.0</v>
      </c>
      <c r="AB35" s="19">
        <v>0.0</v>
      </c>
      <c r="AC35" s="19">
        <v>0.0</v>
      </c>
      <c r="AD35" s="19">
        <v>0.0</v>
      </c>
      <c r="AE35" s="19">
        <v>1.0</v>
      </c>
      <c r="AF35" s="13">
        <f t="shared" si="10"/>
        <v>7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E36" si="11">E33-(E34+E35)</f>
        <v>46</v>
      </c>
      <c r="F36" s="13">
        <f t="shared" si="11"/>
        <v>42</v>
      </c>
      <c r="G36" s="13">
        <f t="shared" si="11"/>
        <v>42</v>
      </c>
      <c r="H36" s="13">
        <f t="shared" si="11"/>
        <v>44</v>
      </c>
      <c r="I36" s="13">
        <f t="shared" si="11"/>
        <v>38</v>
      </c>
      <c r="J36" s="13">
        <f t="shared" si="11"/>
        <v>41</v>
      </c>
      <c r="K36" s="13">
        <f t="shared" si="11"/>
        <v>66</v>
      </c>
      <c r="L36" s="13">
        <f t="shared" si="11"/>
        <v>59</v>
      </c>
      <c r="M36" s="13">
        <f t="shared" si="11"/>
        <v>47</v>
      </c>
      <c r="N36" s="13">
        <f t="shared" si="11"/>
        <v>82</v>
      </c>
      <c r="O36" s="13">
        <f t="shared" si="11"/>
        <v>84</v>
      </c>
      <c r="P36" s="13">
        <f t="shared" si="11"/>
        <v>64</v>
      </c>
      <c r="Q36" s="13">
        <f t="shared" si="11"/>
        <v>51</v>
      </c>
      <c r="R36" s="13">
        <f t="shared" si="11"/>
        <v>27</v>
      </c>
      <c r="S36" s="13">
        <f t="shared" si="11"/>
        <v>24</v>
      </c>
      <c r="T36" s="13">
        <f t="shared" si="11"/>
        <v>64</v>
      </c>
      <c r="U36" s="13">
        <f t="shared" si="11"/>
        <v>46</v>
      </c>
      <c r="V36" s="13">
        <f t="shared" si="11"/>
        <v>56</v>
      </c>
      <c r="W36" s="13">
        <f t="shared" si="11"/>
        <v>41</v>
      </c>
      <c r="X36" s="13">
        <f t="shared" si="11"/>
        <v>76</v>
      </c>
      <c r="Y36" s="13">
        <f t="shared" si="11"/>
        <v>50</v>
      </c>
      <c r="Z36" s="13">
        <f t="shared" si="11"/>
        <v>67</v>
      </c>
      <c r="AA36" s="13">
        <f t="shared" si="11"/>
        <v>36</v>
      </c>
      <c r="AB36" s="13">
        <f t="shared" si="11"/>
        <v>51</v>
      </c>
      <c r="AC36" s="13">
        <f t="shared" si="11"/>
        <v>44</v>
      </c>
      <c r="AD36" s="13">
        <f t="shared" si="11"/>
        <v>67</v>
      </c>
      <c r="AE36" s="13">
        <f t="shared" si="11"/>
        <v>61</v>
      </c>
      <c r="AF36" s="13">
        <f t="shared" si="10"/>
        <v>1416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60"/>
      <c r="O37" s="19"/>
      <c r="P37" s="19"/>
      <c r="Q37" s="19"/>
      <c r="R37" s="19"/>
      <c r="S37" s="60"/>
      <c r="T37" s="19"/>
      <c r="U37" s="19"/>
      <c r="V37" s="19"/>
      <c r="W37" s="19"/>
      <c r="X37" s="60"/>
      <c r="Y37" s="19"/>
      <c r="Z37" s="19"/>
      <c r="AA37" s="19"/>
      <c r="AB37" s="19"/>
      <c r="AC37" s="60"/>
      <c r="AD37" s="19"/>
      <c r="AE37" s="19"/>
      <c r="AF37" s="61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2"/>
      <c r="O38" s="13"/>
      <c r="P38" s="13"/>
      <c r="Q38" s="13"/>
      <c r="R38" s="13"/>
      <c r="S38" s="62"/>
      <c r="T38" s="13"/>
      <c r="U38" s="13"/>
      <c r="V38" s="13"/>
      <c r="W38" s="13"/>
      <c r="X38" s="62"/>
      <c r="Y38" s="13"/>
      <c r="Z38" s="13"/>
      <c r="AA38" s="13"/>
      <c r="AB38" s="13"/>
      <c r="AC38" s="62"/>
      <c r="AD38" s="13"/>
      <c r="AE38" s="13"/>
      <c r="AF38" s="61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1.0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2.0</v>
      </c>
      <c r="M39" s="19">
        <v>0.0</v>
      </c>
      <c r="N39" s="19">
        <v>2.0</v>
      </c>
      <c r="O39" s="19">
        <v>1.0</v>
      </c>
      <c r="P39" s="19">
        <v>0.0</v>
      </c>
      <c r="Q39" s="19">
        <v>0.0</v>
      </c>
      <c r="R39" s="19">
        <v>0.0</v>
      </c>
      <c r="S39" s="19">
        <v>2.0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9">
        <v>0.0</v>
      </c>
      <c r="AB39" s="19">
        <v>1.0</v>
      </c>
      <c r="AC39" s="19">
        <v>0.0</v>
      </c>
      <c r="AD39" s="19">
        <v>0.0</v>
      </c>
      <c r="AE39" s="19">
        <v>0.0</v>
      </c>
      <c r="AF39" s="13">
        <f t="shared" ref="AF39:AF41" si="12">SUM(E39:AE39)</f>
        <v>9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3.0</v>
      </c>
      <c r="M40" s="19">
        <v>0.0</v>
      </c>
      <c r="N40" s="19">
        <v>8.0</v>
      </c>
      <c r="O40" s="19">
        <v>0.0</v>
      </c>
      <c r="P40" s="19">
        <v>0.0</v>
      </c>
      <c r="Q40" s="19">
        <v>1.0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0.0</v>
      </c>
      <c r="AB40" s="19">
        <v>1.0</v>
      </c>
      <c r="AC40" s="19">
        <v>0.0</v>
      </c>
      <c r="AD40" s="19">
        <v>0.0</v>
      </c>
      <c r="AE40" s="19">
        <v>0.0</v>
      </c>
      <c r="AF40" s="13">
        <f t="shared" si="12"/>
        <v>13</v>
      </c>
    </row>
    <row r="41" ht="12.75" customHeight="1">
      <c r="A41" s="41"/>
      <c r="B41" s="44"/>
      <c r="C41" s="28"/>
      <c r="D41" s="13" t="s">
        <v>14</v>
      </c>
      <c r="E41" s="13">
        <f t="shared" ref="E41:AE41" si="13">SUM(E39:E40)</f>
        <v>0</v>
      </c>
      <c r="F41" s="13">
        <f t="shared" si="13"/>
        <v>1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5</v>
      </c>
      <c r="M41" s="13">
        <f t="shared" si="13"/>
        <v>0</v>
      </c>
      <c r="N41" s="13">
        <f t="shared" si="13"/>
        <v>10</v>
      </c>
      <c r="O41" s="13">
        <f t="shared" si="13"/>
        <v>1</v>
      </c>
      <c r="P41" s="13">
        <f t="shared" si="13"/>
        <v>0</v>
      </c>
      <c r="Q41" s="13">
        <f t="shared" si="13"/>
        <v>1</v>
      </c>
      <c r="R41" s="13">
        <f t="shared" si="13"/>
        <v>0</v>
      </c>
      <c r="S41" s="13">
        <f t="shared" si="13"/>
        <v>2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2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2"/>
        <v>22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60"/>
      <c r="O42" s="19"/>
      <c r="P42" s="19"/>
      <c r="Q42" s="19"/>
      <c r="R42" s="19"/>
      <c r="S42" s="60"/>
      <c r="T42" s="19"/>
      <c r="U42" s="19"/>
      <c r="V42" s="19"/>
      <c r="W42" s="19"/>
      <c r="X42" s="60"/>
      <c r="Y42" s="19"/>
      <c r="Z42" s="19"/>
      <c r="AA42" s="19"/>
      <c r="AB42" s="19"/>
      <c r="AC42" s="60"/>
      <c r="AD42" s="19"/>
      <c r="AE42" s="19"/>
      <c r="AF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2"/>
      <c r="O43" s="13"/>
      <c r="P43" s="13"/>
      <c r="Q43" s="13"/>
      <c r="R43" s="13"/>
      <c r="S43" s="62"/>
      <c r="T43" s="13"/>
      <c r="U43" s="13"/>
      <c r="V43" s="13"/>
      <c r="W43" s="13"/>
      <c r="X43" s="62"/>
      <c r="Y43" s="13"/>
      <c r="Z43" s="13"/>
      <c r="AA43" s="13"/>
      <c r="AB43" s="13"/>
      <c r="AC43" s="62"/>
      <c r="AD43" s="13"/>
      <c r="AE43" s="13"/>
      <c r="AF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60"/>
      <c r="O44" s="19"/>
      <c r="P44" s="19"/>
      <c r="Q44" s="19"/>
      <c r="R44" s="19"/>
      <c r="S44" s="60"/>
      <c r="T44" s="19"/>
      <c r="U44" s="19"/>
      <c r="V44" s="19"/>
      <c r="W44" s="19"/>
      <c r="X44" s="60"/>
      <c r="Y44" s="19"/>
      <c r="Z44" s="19"/>
      <c r="AA44" s="19"/>
      <c r="AB44" s="19"/>
      <c r="AC44" s="60"/>
      <c r="AD44" s="19"/>
      <c r="AE44" s="19"/>
      <c r="AF44" s="13"/>
    </row>
    <row r="45" ht="12.75" customHeight="1">
      <c r="A45" s="64"/>
      <c r="B45" s="47">
        <v>1.0</v>
      </c>
      <c r="C45" s="48" t="s">
        <v>37</v>
      </c>
      <c r="D45" s="16"/>
      <c r="E45" s="19">
        <v>23.0</v>
      </c>
      <c r="F45" s="19">
        <v>38.0</v>
      </c>
      <c r="G45" s="19">
        <v>18.0</v>
      </c>
      <c r="H45" s="19">
        <v>27.0</v>
      </c>
      <c r="I45" s="19">
        <v>18.0</v>
      </c>
      <c r="J45" s="19">
        <v>17.0</v>
      </c>
      <c r="K45" s="19">
        <v>33.0</v>
      </c>
      <c r="L45" s="19">
        <v>44.0</v>
      </c>
      <c r="M45" s="19">
        <v>35.0</v>
      </c>
      <c r="N45" s="19">
        <v>24.0</v>
      </c>
      <c r="O45" s="19">
        <v>27.0</v>
      </c>
      <c r="P45" s="19">
        <v>13.0</v>
      </c>
      <c r="Q45" s="19">
        <v>25.0</v>
      </c>
      <c r="R45" s="19">
        <v>16.0</v>
      </c>
      <c r="S45" s="19">
        <v>16.0</v>
      </c>
      <c r="T45" s="19">
        <v>34.0</v>
      </c>
      <c r="U45" s="19">
        <v>28.0</v>
      </c>
      <c r="V45" s="19">
        <v>25.0</v>
      </c>
      <c r="W45" s="19">
        <v>27.0</v>
      </c>
      <c r="X45" s="19">
        <v>27.0</v>
      </c>
      <c r="Y45" s="19">
        <v>21.0</v>
      </c>
      <c r="Z45" s="19">
        <v>37.0</v>
      </c>
      <c r="AA45" s="19">
        <v>14.0</v>
      </c>
      <c r="AB45" s="19">
        <v>17.0</v>
      </c>
      <c r="AC45" s="19">
        <v>25.0</v>
      </c>
      <c r="AD45" s="19">
        <v>20.0</v>
      </c>
      <c r="AE45" s="19">
        <v>35.0</v>
      </c>
      <c r="AF45" s="13">
        <f t="shared" ref="AF45:AF47" si="14">SUM(E45:AE45)</f>
        <v>684</v>
      </c>
    </row>
    <row r="46" ht="12.75" customHeight="1">
      <c r="A46" s="18"/>
      <c r="B46" s="47">
        <v>2.0</v>
      </c>
      <c r="C46" s="48" t="s">
        <v>38</v>
      </c>
      <c r="D46" s="16"/>
      <c r="E46" s="19">
        <v>158.0</v>
      </c>
      <c r="F46" s="19">
        <v>121.0</v>
      </c>
      <c r="G46" s="19">
        <v>134.0</v>
      </c>
      <c r="H46" s="19">
        <v>123.0</v>
      </c>
      <c r="I46" s="19">
        <v>133.0</v>
      </c>
      <c r="J46" s="19">
        <v>122.0</v>
      </c>
      <c r="K46" s="19">
        <v>129.0</v>
      </c>
      <c r="L46" s="19">
        <v>138.0</v>
      </c>
      <c r="M46" s="19">
        <v>113.0</v>
      </c>
      <c r="N46" s="19">
        <v>137.0</v>
      </c>
      <c r="O46" s="19">
        <v>157.0</v>
      </c>
      <c r="P46" s="19">
        <v>132.0</v>
      </c>
      <c r="Q46" s="19">
        <v>156.0</v>
      </c>
      <c r="R46" s="19">
        <v>121.0</v>
      </c>
      <c r="S46" s="19">
        <v>66.0</v>
      </c>
      <c r="T46" s="19">
        <v>160.0</v>
      </c>
      <c r="U46" s="19">
        <v>124.0</v>
      </c>
      <c r="V46" s="19">
        <v>107.0</v>
      </c>
      <c r="W46" s="19">
        <v>127.0</v>
      </c>
      <c r="X46" s="19">
        <v>146.0</v>
      </c>
      <c r="Y46" s="19">
        <v>119.0</v>
      </c>
      <c r="Z46" s="19">
        <v>168.0</v>
      </c>
      <c r="AA46" s="19">
        <v>113.0</v>
      </c>
      <c r="AB46" s="19">
        <v>88.0</v>
      </c>
      <c r="AC46" s="19">
        <v>61.0</v>
      </c>
      <c r="AD46" s="19">
        <v>164.0</v>
      </c>
      <c r="AE46" s="19">
        <v>144.0</v>
      </c>
      <c r="AF46" s="13">
        <f t="shared" si="14"/>
        <v>3461</v>
      </c>
    </row>
    <row r="47" ht="12.75" customHeight="1">
      <c r="A47" s="45"/>
      <c r="B47" s="47">
        <v>3.0</v>
      </c>
      <c r="C47" s="48" t="s">
        <v>39</v>
      </c>
      <c r="D47" s="16"/>
      <c r="E47" s="19">
        <v>22.0</v>
      </c>
      <c r="F47" s="19">
        <v>37.0</v>
      </c>
      <c r="G47" s="19">
        <v>52.0</v>
      </c>
      <c r="H47" s="19">
        <v>36.0</v>
      </c>
      <c r="I47" s="19">
        <v>25.0</v>
      </c>
      <c r="J47" s="19">
        <v>29.0</v>
      </c>
      <c r="K47" s="19">
        <v>44.0</v>
      </c>
      <c r="L47" s="19">
        <v>22.0</v>
      </c>
      <c r="M47" s="19">
        <v>31.0</v>
      </c>
      <c r="N47" s="19">
        <v>28.0</v>
      </c>
      <c r="O47" s="19">
        <v>19.0</v>
      </c>
      <c r="P47" s="19">
        <v>38.0</v>
      </c>
      <c r="Q47" s="19">
        <v>45.0</v>
      </c>
      <c r="R47" s="19">
        <v>39.0</v>
      </c>
      <c r="S47" s="19">
        <v>20.0</v>
      </c>
      <c r="T47" s="19">
        <v>44.0</v>
      </c>
      <c r="U47" s="19">
        <v>32.0</v>
      </c>
      <c r="V47" s="19">
        <v>38.0</v>
      </c>
      <c r="W47" s="19">
        <v>32.0</v>
      </c>
      <c r="X47" s="19">
        <v>29.0</v>
      </c>
      <c r="Y47" s="19">
        <v>16.0</v>
      </c>
      <c r="Z47" s="19">
        <v>22.0</v>
      </c>
      <c r="AA47" s="19">
        <v>27.0</v>
      </c>
      <c r="AB47" s="19">
        <v>38.0</v>
      </c>
      <c r="AC47" s="19">
        <v>24.0</v>
      </c>
      <c r="AD47" s="19">
        <v>42.0</v>
      </c>
      <c r="AE47" s="19">
        <v>15.0</v>
      </c>
      <c r="AF47" s="13">
        <f t="shared" si="14"/>
        <v>846</v>
      </c>
    </row>
    <row r="48" ht="12.75" customHeight="1">
      <c r="AF48" s="13"/>
    </row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</row>
    <row r="50" ht="12.75" customHeight="1">
      <c r="A50" s="42"/>
      <c r="B50" s="54" t="s">
        <v>42</v>
      </c>
      <c r="C50" s="55" t="s">
        <v>43</v>
      </c>
      <c r="D50" s="16"/>
      <c r="E50" s="19">
        <f t="shared" ref="E50:V50" si="15">SUM(E45:E47)</f>
        <v>203</v>
      </c>
      <c r="F50" s="19">
        <f t="shared" si="15"/>
        <v>196</v>
      </c>
      <c r="G50" s="19">
        <f t="shared" si="15"/>
        <v>204</v>
      </c>
      <c r="H50" s="19">
        <f t="shared" si="15"/>
        <v>186</v>
      </c>
      <c r="I50" s="19">
        <f t="shared" si="15"/>
        <v>176</v>
      </c>
      <c r="J50" s="19">
        <f t="shared" si="15"/>
        <v>168</v>
      </c>
      <c r="K50" s="19">
        <f t="shared" si="15"/>
        <v>206</v>
      </c>
      <c r="L50" s="19">
        <f t="shared" si="15"/>
        <v>204</v>
      </c>
      <c r="M50" s="19">
        <f t="shared" si="15"/>
        <v>179</v>
      </c>
      <c r="N50" s="19">
        <f t="shared" si="15"/>
        <v>189</v>
      </c>
      <c r="O50" s="19">
        <f t="shared" si="15"/>
        <v>203</v>
      </c>
      <c r="P50" s="19">
        <f t="shared" si="15"/>
        <v>183</v>
      </c>
      <c r="Q50" s="19">
        <f t="shared" si="15"/>
        <v>226</v>
      </c>
      <c r="R50" s="19">
        <f t="shared" si="15"/>
        <v>176</v>
      </c>
      <c r="S50" s="19">
        <f t="shared" si="15"/>
        <v>102</v>
      </c>
      <c r="T50" s="19">
        <f t="shared" si="15"/>
        <v>238</v>
      </c>
      <c r="U50" s="19">
        <f t="shared" si="15"/>
        <v>184</v>
      </c>
      <c r="V50" s="19">
        <f t="shared" si="15"/>
        <v>170</v>
      </c>
      <c r="W50" s="19">
        <v>176.0</v>
      </c>
      <c r="X50" s="19">
        <f t="shared" ref="X50:AE50" si="16">SUM(X45:X47)</f>
        <v>202</v>
      </c>
      <c r="Y50" s="19">
        <f t="shared" si="16"/>
        <v>156</v>
      </c>
      <c r="Z50" s="19">
        <f t="shared" si="16"/>
        <v>227</v>
      </c>
      <c r="AA50" s="19">
        <f t="shared" si="16"/>
        <v>154</v>
      </c>
      <c r="AB50" s="19">
        <f t="shared" si="16"/>
        <v>143</v>
      </c>
      <c r="AC50" s="19">
        <f t="shared" si="16"/>
        <v>110</v>
      </c>
      <c r="AD50" s="19">
        <f t="shared" si="16"/>
        <v>226</v>
      </c>
      <c r="AE50" s="19">
        <f t="shared" si="16"/>
        <v>194</v>
      </c>
      <c r="AF50" s="13">
        <f t="shared" ref="AF50:AF52" si="17">SUM(E50:AE50)</f>
        <v>4981</v>
      </c>
    </row>
    <row r="51" ht="12.75" customHeight="1">
      <c r="A51" s="35"/>
      <c r="B51" s="54" t="s">
        <v>44</v>
      </c>
      <c r="C51" s="55" t="s">
        <v>45</v>
      </c>
      <c r="D51" s="16"/>
      <c r="E51" s="19">
        <v>2.0</v>
      </c>
      <c r="F51" s="19">
        <v>5.0</v>
      </c>
      <c r="G51" s="19">
        <v>3.0</v>
      </c>
      <c r="H51" s="19">
        <v>1.0</v>
      </c>
      <c r="I51" s="19">
        <v>4.0</v>
      </c>
      <c r="J51" s="19">
        <v>2.0</v>
      </c>
      <c r="K51" s="19">
        <v>2.0</v>
      </c>
      <c r="L51" s="19">
        <v>2.0</v>
      </c>
      <c r="M51" s="19">
        <v>2.0</v>
      </c>
      <c r="N51" s="19">
        <v>0.0</v>
      </c>
      <c r="O51" s="19">
        <v>4.0</v>
      </c>
      <c r="P51" s="19">
        <v>8.0</v>
      </c>
      <c r="Q51" s="19">
        <v>3.0</v>
      </c>
      <c r="R51" s="19">
        <v>4.0</v>
      </c>
      <c r="S51" s="19">
        <v>1.0</v>
      </c>
      <c r="T51" s="19">
        <v>2.0</v>
      </c>
      <c r="U51" s="19">
        <v>2.0</v>
      </c>
      <c r="V51" s="19">
        <v>2.0</v>
      </c>
      <c r="W51" s="19">
        <v>7.0</v>
      </c>
      <c r="X51" s="19">
        <v>9.0</v>
      </c>
      <c r="Y51" s="19">
        <v>4.0</v>
      </c>
      <c r="Z51" s="19">
        <v>7.0</v>
      </c>
      <c r="AA51" s="19">
        <v>3.0</v>
      </c>
      <c r="AB51" s="19">
        <v>3.0</v>
      </c>
      <c r="AC51" s="19">
        <v>1.0</v>
      </c>
      <c r="AD51" s="19">
        <v>8.0</v>
      </c>
      <c r="AE51" s="19">
        <v>6.0</v>
      </c>
      <c r="AF51" s="13">
        <f t="shared" si="17"/>
        <v>97</v>
      </c>
    </row>
    <row r="52" ht="12.75" customHeight="1">
      <c r="A52" s="41"/>
      <c r="B52" s="54" t="s">
        <v>46</v>
      </c>
      <c r="C52" s="55" t="s">
        <v>47</v>
      </c>
      <c r="D52" s="16"/>
      <c r="E52" s="13">
        <f t="shared" ref="E52:AE52" si="18">SUM(E50:E51)</f>
        <v>205</v>
      </c>
      <c r="F52" s="13">
        <f t="shared" si="18"/>
        <v>201</v>
      </c>
      <c r="G52" s="13">
        <f t="shared" si="18"/>
        <v>207</v>
      </c>
      <c r="H52" s="13">
        <f t="shared" si="18"/>
        <v>187</v>
      </c>
      <c r="I52" s="13">
        <f t="shared" si="18"/>
        <v>180</v>
      </c>
      <c r="J52" s="13">
        <f t="shared" si="18"/>
        <v>170</v>
      </c>
      <c r="K52" s="13">
        <f t="shared" si="18"/>
        <v>208</v>
      </c>
      <c r="L52" s="13">
        <f t="shared" si="18"/>
        <v>206</v>
      </c>
      <c r="M52" s="13">
        <f t="shared" si="18"/>
        <v>181</v>
      </c>
      <c r="N52" s="13">
        <f t="shared" si="18"/>
        <v>189</v>
      </c>
      <c r="O52" s="13">
        <f t="shared" si="18"/>
        <v>207</v>
      </c>
      <c r="P52" s="13">
        <f t="shared" si="18"/>
        <v>191</v>
      </c>
      <c r="Q52" s="13">
        <f t="shared" si="18"/>
        <v>229</v>
      </c>
      <c r="R52" s="13">
        <f t="shared" si="18"/>
        <v>180</v>
      </c>
      <c r="S52" s="13">
        <f t="shared" si="18"/>
        <v>103</v>
      </c>
      <c r="T52" s="13">
        <f t="shared" si="18"/>
        <v>240</v>
      </c>
      <c r="U52" s="13">
        <f t="shared" si="18"/>
        <v>186</v>
      </c>
      <c r="V52" s="13">
        <f t="shared" si="18"/>
        <v>172</v>
      </c>
      <c r="W52" s="13">
        <f t="shared" si="18"/>
        <v>183</v>
      </c>
      <c r="X52" s="13">
        <f t="shared" si="18"/>
        <v>211</v>
      </c>
      <c r="Y52" s="13">
        <f t="shared" si="18"/>
        <v>160</v>
      </c>
      <c r="Z52" s="13">
        <f t="shared" si="18"/>
        <v>234</v>
      </c>
      <c r="AA52" s="13">
        <f t="shared" si="18"/>
        <v>157</v>
      </c>
      <c r="AB52" s="13">
        <f t="shared" si="18"/>
        <v>146</v>
      </c>
      <c r="AC52" s="13">
        <f t="shared" si="18"/>
        <v>111</v>
      </c>
      <c r="AD52" s="13">
        <f t="shared" si="18"/>
        <v>234</v>
      </c>
      <c r="AE52" s="13">
        <f t="shared" si="18"/>
        <v>200</v>
      </c>
      <c r="AF52" s="13">
        <f t="shared" si="17"/>
        <v>5078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>
      <c r="AG117" s="5"/>
      <c r="AH117" s="5"/>
    </row>
    <row r="118" ht="12.75" customHeight="1">
      <c r="AG118" s="5"/>
      <c r="AH118" s="5"/>
    </row>
    <row r="119" ht="12.75" customHeight="1">
      <c r="AG119" s="5"/>
      <c r="AH119" s="5"/>
    </row>
    <row r="120" ht="12.75" customHeight="1">
      <c r="AG120" s="5"/>
      <c r="AH120" s="5"/>
    </row>
    <row r="121" ht="12.75" customHeight="1">
      <c r="AG121" s="5"/>
      <c r="AH121" s="5"/>
    </row>
    <row r="122" ht="12.75" customHeight="1">
      <c r="AG122" s="5"/>
      <c r="AH122" s="5"/>
    </row>
    <row r="123" ht="12.75" customHeight="1">
      <c r="AG123" s="5"/>
      <c r="AH123" s="5"/>
    </row>
    <row r="124" ht="12.75" customHeight="1">
      <c r="AG124" s="5"/>
      <c r="AH124" s="5"/>
    </row>
    <row r="125" ht="12.75" customHeight="1">
      <c r="AG125" s="5"/>
      <c r="AH125" s="5"/>
    </row>
    <row r="126" ht="12.75" customHeight="1">
      <c r="AG126" s="5"/>
      <c r="AH126" s="5"/>
    </row>
    <row r="127" ht="12.75" customHeight="1">
      <c r="AG127" s="5"/>
      <c r="AH127" s="5"/>
    </row>
    <row r="128" ht="12.75" customHeight="1">
      <c r="AG128" s="5"/>
      <c r="AH128" s="5"/>
    </row>
    <row r="129" ht="12.75" customHeight="1">
      <c r="AG129" s="5"/>
      <c r="AH129" s="5"/>
    </row>
    <row r="130" ht="12.75" customHeight="1">
      <c r="AG130" s="1"/>
      <c r="AH130" s="1"/>
    </row>
    <row r="131" ht="12.75" customHeight="1">
      <c r="AG131" s="50"/>
      <c r="AH131" s="50"/>
    </row>
    <row r="132" ht="12.75" customHeight="1">
      <c r="AG132" s="5"/>
      <c r="AH132" s="5"/>
    </row>
    <row r="133" ht="12.75" customHeight="1">
      <c r="AG133" s="5"/>
      <c r="AH133" s="5"/>
    </row>
    <row r="134" ht="12.75" customHeight="1">
      <c r="AG134" s="5"/>
      <c r="AH134" s="5"/>
    </row>
    <row r="135" ht="12.75" customHeight="1">
      <c r="AG135" s="5"/>
      <c r="AH135" s="5"/>
    </row>
    <row r="136" ht="12.75" customHeight="1">
      <c r="AG136" s="5"/>
      <c r="AH136" s="5"/>
    </row>
    <row r="137" ht="12.75" customHeight="1">
      <c r="AG137" s="5"/>
      <c r="AH137" s="5"/>
    </row>
    <row r="138" ht="12.75" customHeight="1">
      <c r="AG138" s="5"/>
      <c r="AH138" s="5"/>
    </row>
    <row r="139" ht="12.75" customHeight="1">
      <c r="AG139" s="5"/>
      <c r="AH139" s="5"/>
    </row>
    <row r="140" ht="12.75" customHeight="1">
      <c r="AG140" s="5"/>
      <c r="AH140" s="5"/>
    </row>
    <row r="141" ht="12.75" customHeight="1">
      <c r="AG141" s="1"/>
      <c r="AH141" s="1"/>
    </row>
    <row r="142" ht="12.75" customHeight="1">
      <c r="AG142" s="50"/>
      <c r="AH142" s="50"/>
    </row>
    <row r="143" ht="12.75" customHeight="1">
      <c r="AG143" s="5"/>
      <c r="AH143" s="5"/>
    </row>
    <row r="144" ht="12.75" customHeight="1">
      <c r="AG144" s="5"/>
      <c r="AH144" s="5"/>
    </row>
    <row r="145" ht="12.75" customHeight="1">
      <c r="AG145" s="5"/>
      <c r="AH145" s="5"/>
    </row>
    <row r="146" ht="12.75" customHeight="1">
      <c r="AG146" s="5"/>
      <c r="AH146" s="5"/>
    </row>
    <row r="147" ht="12.75" customHeight="1">
      <c r="AG147" s="5"/>
      <c r="AH147" s="5"/>
    </row>
    <row r="148" ht="12.75" customHeight="1">
      <c r="AG148" s="5"/>
      <c r="AH148" s="5"/>
    </row>
    <row r="149" ht="12.75" customHeight="1">
      <c r="AG149" s="5"/>
      <c r="AH149" s="5"/>
    </row>
    <row r="150" ht="12.75" customHeight="1">
      <c r="AG150" s="5"/>
      <c r="AH150" s="5"/>
    </row>
    <row r="151" ht="12.75" customHeight="1">
      <c r="AG151" s="1"/>
      <c r="AH151" s="1"/>
    </row>
    <row r="152" ht="12.75" customHeight="1">
      <c r="AG152" s="50"/>
      <c r="AH152" s="50"/>
    </row>
    <row r="153" ht="12.75" customHeight="1">
      <c r="AG153" s="5"/>
      <c r="AH153" s="5"/>
    </row>
    <row r="154" ht="12.75" customHeight="1">
      <c r="AG154" s="5"/>
      <c r="AH154" s="5"/>
    </row>
    <row r="155" ht="12.75" customHeight="1">
      <c r="AG155" s="5"/>
      <c r="AH155" s="5"/>
    </row>
    <row r="156" ht="12.75" customHeight="1">
      <c r="AG156" s="5"/>
      <c r="AH156" s="5"/>
    </row>
    <row r="157" ht="12.75" customHeight="1">
      <c r="AG157" s="5"/>
      <c r="AH157" s="5"/>
    </row>
    <row r="158" ht="12.75" customHeight="1">
      <c r="AG158" s="5"/>
      <c r="AH158" s="5"/>
    </row>
    <row r="159" ht="12.75" customHeight="1">
      <c r="AG159" s="5"/>
      <c r="AH159" s="5"/>
    </row>
    <row r="160" ht="12.75" customHeight="1">
      <c r="AG160" s="5"/>
      <c r="AH160" s="5"/>
    </row>
    <row r="161" ht="12.75" customHeight="1">
      <c r="AG161" s="5"/>
      <c r="AH161" s="5"/>
    </row>
    <row r="162" ht="12.75" customHeight="1">
      <c r="AG162" s="5"/>
      <c r="AH162" s="5"/>
    </row>
    <row r="163" ht="12.75" customHeight="1">
      <c r="AG163" s="5"/>
      <c r="AH163" s="5"/>
    </row>
    <row r="164" ht="12.75" customHeight="1">
      <c r="AG164" s="5"/>
      <c r="AH164" s="5"/>
    </row>
    <row r="165" ht="12.75" customHeight="1">
      <c r="AG165" s="1"/>
      <c r="AH165" s="1"/>
    </row>
    <row r="166" ht="12.75" customHeight="1">
      <c r="AG166" s="50"/>
      <c r="AH166" s="50"/>
    </row>
    <row r="167" ht="12.75" customHeight="1">
      <c r="AG167" s="5"/>
      <c r="AH167" s="5"/>
    </row>
    <row r="168" ht="12.75" customHeight="1">
      <c r="AG168" s="5"/>
      <c r="AH168" s="5"/>
    </row>
    <row r="169" ht="12.75" customHeight="1">
      <c r="AG169" s="5"/>
      <c r="AH169" s="5"/>
    </row>
    <row r="170" ht="12.75" customHeight="1">
      <c r="AG170" s="5"/>
      <c r="AH170" s="5"/>
    </row>
    <row r="171" ht="12.75" customHeight="1">
      <c r="AG171" s="5"/>
      <c r="AH171" s="5"/>
    </row>
    <row r="172" ht="12.75" customHeight="1">
      <c r="AG172" s="5"/>
      <c r="AH172" s="5"/>
    </row>
    <row r="173" ht="12.75" customHeight="1">
      <c r="AG173" s="5"/>
      <c r="AH173" s="5"/>
    </row>
    <row r="174" ht="12.75" customHeight="1">
      <c r="AG174" s="5"/>
      <c r="AH174" s="5"/>
    </row>
    <row r="175" ht="12.75" customHeight="1">
      <c r="AG175" s="5"/>
      <c r="AH175" s="5"/>
    </row>
    <row r="176" ht="12.75" customHeight="1">
      <c r="AG176" s="1"/>
      <c r="AH176" s="1"/>
    </row>
    <row r="177" ht="12.75" customHeight="1"/>
    <row r="178" ht="12.75" customHeight="1">
      <c r="AG178" s="5"/>
      <c r="AH178" s="5"/>
    </row>
    <row r="179" ht="12.75" customHeight="1">
      <c r="AG179" s="5"/>
      <c r="AH179" s="5"/>
    </row>
    <row r="180" ht="12.75" customHeight="1">
      <c r="AG180" s="5"/>
      <c r="AH180" s="5"/>
    </row>
    <row r="181" ht="12.75" customHeight="1">
      <c r="AG181" s="5"/>
      <c r="AH181" s="5"/>
    </row>
    <row r="182" ht="12.75" customHeight="1">
      <c r="AG182" s="5"/>
      <c r="AH182" s="5"/>
    </row>
    <row r="183" ht="12.75" customHeight="1">
      <c r="AG183" s="5"/>
      <c r="AH183" s="5"/>
    </row>
    <row r="184" ht="12.75" customHeight="1">
      <c r="AG184" s="5"/>
      <c r="AH184" s="5"/>
    </row>
    <row r="185" ht="12.75" customHeight="1">
      <c r="AG185" s="5"/>
      <c r="AH185" s="5"/>
    </row>
    <row r="186" ht="12.75" customHeight="1">
      <c r="AG186" s="5"/>
      <c r="AH186" s="5"/>
    </row>
    <row r="187" ht="12.75" customHeight="1">
      <c r="AG187" s="1"/>
      <c r="AH187" s="1"/>
    </row>
    <row r="188" ht="12.75" customHeight="1"/>
    <row r="189" ht="12.75" customHeight="1">
      <c r="AG189" s="5"/>
      <c r="AH189" s="5"/>
    </row>
    <row r="190" ht="12.75" customHeight="1">
      <c r="AG190" s="5"/>
      <c r="AH190" s="5"/>
    </row>
    <row r="191" ht="12.75" customHeight="1">
      <c r="AG191" s="5"/>
      <c r="AH191" s="5"/>
    </row>
    <row r="192" ht="12.75" customHeight="1">
      <c r="AG192" s="5"/>
      <c r="AH192" s="5"/>
    </row>
    <row r="193" ht="12.75" customHeight="1">
      <c r="AG193" s="5"/>
      <c r="AH193" s="5"/>
    </row>
    <row r="194" ht="12.75" customHeight="1">
      <c r="AG194" s="5"/>
      <c r="AH194" s="5"/>
    </row>
    <row r="195" ht="12.75" customHeight="1">
      <c r="AG195" s="5"/>
      <c r="AH195" s="5"/>
    </row>
    <row r="196" ht="12.75" customHeight="1">
      <c r="AG196" s="1"/>
      <c r="AH196" s="1"/>
    </row>
    <row r="197" ht="12.75" customHeight="1">
      <c r="AG197" s="1"/>
      <c r="AH197" s="1"/>
    </row>
    <row r="198" ht="12.75" customHeight="1">
      <c r="AG198" s="1"/>
      <c r="AH198" s="1"/>
    </row>
    <row r="199" ht="12.75" customHeight="1">
      <c r="AG199" s="50"/>
      <c r="AH199" s="50"/>
    </row>
    <row r="200" ht="12.75" customHeight="1">
      <c r="AG200" s="5"/>
      <c r="AH200" s="5"/>
    </row>
    <row r="201" ht="12.75" customHeight="1">
      <c r="AG201" s="5"/>
      <c r="AH201" s="5"/>
    </row>
    <row r="202" ht="12.75" customHeight="1">
      <c r="AG202" s="5"/>
      <c r="AH202" s="5"/>
    </row>
    <row r="203" ht="12.75" customHeight="1">
      <c r="AG203" s="5"/>
      <c r="AH203" s="5"/>
    </row>
    <row r="204" ht="12.75" customHeight="1">
      <c r="AG204" s="5"/>
      <c r="AH204" s="5"/>
    </row>
    <row r="205" ht="12.75" customHeight="1">
      <c r="AG205" s="5"/>
      <c r="AH205" s="5"/>
    </row>
    <row r="206" ht="12.75" customHeight="1">
      <c r="AG206" s="5"/>
      <c r="AH206" s="5"/>
    </row>
    <row r="207" ht="12.75" customHeight="1">
      <c r="AG207" s="1"/>
      <c r="AH207" s="1"/>
    </row>
    <row r="208" ht="12.75" customHeight="1">
      <c r="AG208" s="50"/>
      <c r="AH208" s="50"/>
    </row>
    <row r="209" ht="12.75" customHeight="1">
      <c r="AG209" s="50"/>
      <c r="AH209" s="50"/>
    </row>
    <row r="210" ht="12.75" customHeight="1">
      <c r="AG210" s="50"/>
      <c r="AH210" s="50"/>
    </row>
    <row r="211" ht="12.75" customHeight="1">
      <c r="AG211" s="5"/>
      <c r="AH211" s="5"/>
    </row>
    <row r="212" ht="12.75" customHeight="1">
      <c r="AG212" s="5"/>
      <c r="AH212" s="5"/>
    </row>
    <row r="213" ht="12.75" customHeight="1">
      <c r="AG213" s="5"/>
      <c r="AH213" s="5"/>
    </row>
    <row r="214" ht="12.75" customHeight="1">
      <c r="AG214" s="5"/>
      <c r="AH214" s="5"/>
    </row>
    <row r="215" ht="12.75" customHeight="1">
      <c r="AG215" s="5"/>
      <c r="AH215" s="5"/>
    </row>
    <row r="216" ht="12.75" customHeight="1">
      <c r="AG216" s="5"/>
      <c r="AH216" s="5"/>
    </row>
    <row r="217" ht="12.75" customHeight="1">
      <c r="AG217" s="5"/>
      <c r="AH217" s="5"/>
    </row>
    <row r="218" ht="12.75" customHeight="1">
      <c r="AG218" s="1"/>
      <c r="AH218" s="1"/>
    </row>
    <row r="219" ht="12.75" customHeight="1">
      <c r="AG219" s="50"/>
      <c r="AH219" s="50"/>
    </row>
    <row r="220" ht="12.75" customHeight="1">
      <c r="AG220" s="5"/>
      <c r="AH220" s="5"/>
    </row>
    <row r="221" ht="12.75" customHeight="1">
      <c r="AG221" s="5"/>
      <c r="AH221" s="5"/>
    </row>
    <row r="222" ht="12.75" customHeight="1">
      <c r="AG222" s="5"/>
      <c r="AH222" s="5"/>
    </row>
    <row r="223" ht="12.75" customHeight="1">
      <c r="AG223" s="5"/>
      <c r="AH223" s="5"/>
    </row>
    <row r="224" ht="12.75" customHeight="1">
      <c r="AG224" s="5"/>
      <c r="AH224" s="5"/>
    </row>
    <row r="225" ht="12.75" customHeight="1">
      <c r="AG225" s="5"/>
      <c r="AH225" s="5"/>
    </row>
    <row r="226" ht="12.75" customHeight="1">
      <c r="AG226" s="5"/>
      <c r="AH226" s="5"/>
    </row>
    <row r="227" ht="12.75" customHeight="1">
      <c r="AG227" s="5"/>
      <c r="AH227" s="5"/>
    </row>
    <row r="228" ht="12.75" customHeight="1">
      <c r="AG228" s="5"/>
      <c r="AH228" s="5"/>
    </row>
    <row r="229" ht="12.75" customHeight="1">
      <c r="AG229" s="1"/>
      <c r="AH229" s="1"/>
    </row>
    <row r="230" ht="12.75" customHeight="1">
      <c r="AG230" s="50"/>
      <c r="AH230" s="50"/>
    </row>
    <row r="231" ht="12.75" customHeight="1">
      <c r="AG231" s="5"/>
      <c r="AH231" s="5"/>
    </row>
    <row r="232" ht="12.75" customHeight="1">
      <c r="AG232" s="5"/>
      <c r="AH232" s="5"/>
    </row>
    <row r="233" ht="12.75" customHeight="1">
      <c r="AG233" s="5"/>
      <c r="AH233" s="5"/>
    </row>
    <row r="234" ht="12.75" customHeight="1">
      <c r="AG234" s="5"/>
      <c r="AH234" s="5"/>
    </row>
    <row r="235" ht="12.75" customHeight="1">
      <c r="AG235" s="5"/>
      <c r="AH235" s="5"/>
    </row>
    <row r="236" ht="12.75" customHeight="1">
      <c r="AG236" s="5"/>
      <c r="AH236" s="5"/>
    </row>
    <row r="237" ht="12.75" customHeight="1">
      <c r="AG237" s="5"/>
      <c r="AH237" s="5"/>
    </row>
    <row r="238" ht="12.75" customHeight="1">
      <c r="AG238" s="5"/>
      <c r="AH238" s="5"/>
    </row>
    <row r="239" ht="12.75" customHeight="1">
      <c r="AG239" s="5"/>
      <c r="AH239" s="5"/>
    </row>
    <row r="240" ht="12.75" customHeight="1">
      <c r="AG240" s="1"/>
      <c r="AH240" s="1"/>
    </row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AE12"/>
    <mergeCell ref="AF12:AF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14:AE15">
    <cfRule type="containsBlanks" dxfId="1" priority="1">
      <formula>LEN(TRIM(E14))=0</formula>
    </cfRule>
  </conditionalFormatting>
  <conditionalFormatting sqref="E19:AE20">
    <cfRule type="containsBlanks" dxfId="1" priority="2">
      <formula>LEN(TRIM(E19))=0</formula>
    </cfRule>
  </conditionalFormatting>
  <conditionalFormatting sqref="E22:AE23 E25:AE26 E33:AE33 E35:AE35 E39:AE40">
    <cfRule type="containsBlanks" dxfId="1" priority="3">
      <formula>LEN(TRIM(E22))=0</formula>
    </cfRule>
  </conditionalFormatting>
  <conditionalFormatting sqref="E30:AE30">
    <cfRule type="expression" dxfId="0" priority="4">
      <formula>E30&lt;&gt;E47</formula>
    </cfRule>
  </conditionalFormatting>
  <conditionalFormatting sqref="E30:AE30">
    <cfRule type="expression" dxfId="0" priority="5">
      <formula>E30&lt;&gt;E34</formula>
    </cfRule>
  </conditionalFormatting>
  <conditionalFormatting sqref="E34:AE34">
    <cfRule type="expression" dxfId="2" priority="6">
      <formula>E30&lt;&gt;E34</formula>
    </cfRule>
  </conditionalFormatting>
  <conditionalFormatting sqref="E34:AE34">
    <cfRule type="expression" dxfId="3" priority="7">
      <formula>E30=E34</formula>
    </cfRule>
  </conditionalFormatting>
  <conditionalFormatting sqref="E34:AE34">
    <cfRule type="expression" dxfId="0" priority="8">
      <formula>E34&lt;&gt;E30</formula>
    </cfRule>
  </conditionalFormatting>
  <conditionalFormatting sqref="E45:AE47">
    <cfRule type="containsBlanks" dxfId="1" priority="9">
      <formula>LEN(TRIM(E45))=0</formula>
    </cfRule>
  </conditionalFormatting>
  <conditionalFormatting sqref="E50:AE51">
    <cfRule type="containsBlanks" dxfId="1" priority="10">
      <formula>LEN(TRIM(E50))=0</formula>
    </cfRule>
  </conditionalFormatting>
  <conditionalFormatting sqref="E34:AE34">
    <cfRule type="expression" dxfId="0" priority="11">
      <formula>E34&lt;&gt;#REF!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6" width="8.71"/>
    <col customWidth="1" min="37" max="37" width="13.29"/>
    <col customWidth="1" min="38" max="39" width="8.71"/>
  </cols>
  <sheetData>
    <row r="1" ht="12.75" customHeight="1"/>
    <row r="2" ht="12.75" customHeight="1">
      <c r="C2" s="8" t="s">
        <v>0</v>
      </c>
      <c r="D2" s="8" t="s">
        <v>48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49</v>
      </c>
      <c r="D9" s="8" t="s">
        <v>99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  <c r="AE11" s="1"/>
      <c r="AF11" s="1"/>
      <c r="AG11" s="1"/>
      <c r="AH11" s="2"/>
      <c r="AI11" s="1"/>
      <c r="AJ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5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51</v>
      </c>
      <c r="F13" s="13" t="s">
        <v>52</v>
      </c>
      <c r="G13" s="13" t="s">
        <v>53</v>
      </c>
      <c r="H13" s="13" t="s">
        <v>54</v>
      </c>
      <c r="I13" s="13" t="s">
        <v>55</v>
      </c>
      <c r="J13" s="13" t="s">
        <v>56</v>
      </c>
      <c r="K13" s="13" t="s">
        <v>57</v>
      </c>
      <c r="L13" s="13" t="s">
        <v>58</v>
      </c>
      <c r="M13" s="13" t="s">
        <v>59</v>
      </c>
      <c r="N13" s="13" t="s">
        <v>60</v>
      </c>
      <c r="O13" s="13" t="s">
        <v>61</v>
      </c>
      <c r="P13" s="13" t="s">
        <v>62</v>
      </c>
      <c r="Q13" s="13" t="s">
        <v>63</v>
      </c>
      <c r="R13" s="13" t="s">
        <v>64</v>
      </c>
      <c r="S13" s="13" t="s">
        <v>65</v>
      </c>
      <c r="T13" s="13" t="s">
        <v>66</v>
      </c>
      <c r="U13" s="13" t="s">
        <v>67</v>
      </c>
      <c r="V13" s="13" t="s">
        <v>68</v>
      </c>
      <c r="W13" s="13" t="s">
        <v>69</v>
      </c>
      <c r="X13" s="13" t="s">
        <v>70</v>
      </c>
      <c r="Y13" s="13" t="s">
        <v>71</v>
      </c>
      <c r="Z13" s="13" t="s">
        <v>72</v>
      </c>
      <c r="AA13" s="13" t="s">
        <v>73</v>
      </c>
      <c r="AB13" s="13" t="s">
        <v>74</v>
      </c>
      <c r="AC13" s="13" t="s">
        <v>75</v>
      </c>
      <c r="AD13" s="13" t="s">
        <v>76</v>
      </c>
      <c r="AE13" s="13" t="s">
        <v>77</v>
      </c>
      <c r="AF13" s="13" t="s">
        <v>79</v>
      </c>
      <c r="AG13" s="13" t="s">
        <v>80</v>
      </c>
      <c r="AH13" s="13" t="s">
        <v>81</v>
      </c>
      <c r="AI13" s="13" t="s">
        <v>82</v>
      </c>
      <c r="AJ13" s="13" t="s">
        <v>83</v>
      </c>
      <c r="AK13" s="36"/>
    </row>
    <row r="14" ht="12.75" customHeight="1">
      <c r="A14" s="18"/>
      <c r="B14" s="22" t="s">
        <v>11</v>
      </c>
      <c r="C14" s="23"/>
      <c r="D14" s="19" t="s">
        <v>12</v>
      </c>
      <c r="E14" s="19">
        <v>139.0</v>
      </c>
      <c r="F14" s="19">
        <v>116.0</v>
      </c>
      <c r="G14" s="19">
        <v>147.0</v>
      </c>
      <c r="H14" s="19">
        <v>149.0</v>
      </c>
      <c r="I14" s="19">
        <v>147.0</v>
      </c>
      <c r="J14" s="19">
        <v>128.0</v>
      </c>
      <c r="K14" s="19">
        <v>140.0</v>
      </c>
      <c r="L14" s="19">
        <v>129.0</v>
      </c>
      <c r="M14" s="19">
        <v>148.0</v>
      </c>
      <c r="N14" s="19">
        <v>138.0</v>
      </c>
      <c r="O14" s="19">
        <v>136.0</v>
      </c>
      <c r="P14" s="19">
        <v>124.0</v>
      </c>
      <c r="Q14" s="19">
        <v>126.0</v>
      </c>
      <c r="R14" s="19">
        <v>143.0</v>
      </c>
      <c r="S14" s="19">
        <v>148.0</v>
      </c>
      <c r="T14" s="63">
        <v>147.0</v>
      </c>
      <c r="U14" s="63">
        <v>117.0</v>
      </c>
      <c r="V14" s="63">
        <v>139.0</v>
      </c>
      <c r="W14" s="63">
        <v>131.0</v>
      </c>
      <c r="X14" s="63">
        <v>139.0</v>
      </c>
      <c r="Y14" s="63">
        <v>130.0</v>
      </c>
      <c r="Z14" s="63">
        <v>143.0</v>
      </c>
      <c r="AA14" s="63">
        <v>115.0</v>
      </c>
      <c r="AB14" s="63">
        <v>120.0</v>
      </c>
      <c r="AC14" s="63">
        <v>108.0</v>
      </c>
      <c r="AD14" s="63">
        <v>124.0</v>
      </c>
      <c r="AE14" s="63">
        <v>127.0</v>
      </c>
      <c r="AF14" s="63">
        <v>148.0</v>
      </c>
      <c r="AG14" s="63">
        <v>138.0</v>
      </c>
      <c r="AH14" s="63">
        <v>136.0</v>
      </c>
      <c r="AI14" s="19">
        <v>91.0</v>
      </c>
      <c r="AJ14" s="19">
        <v>119.0</v>
      </c>
      <c r="AK14" s="13">
        <f t="shared" ref="AK14:AK16" si="1">SUM(E14:AJ14)</f>
        <v>4230</v>
      </c>
    </row>
    <row r="15" ht="12.75" customHeight="1">
      <c r="A15" s="18"/>
      <c r="B15" s="26"/>
      <c r="C15" s="27"/>
      <c r="D15" s="19" t="s">
        <v>13</v>
      </c>
      <c r="E15" s="19">
        <v>140.0</v>
      </c>
      <c r="F15" s="19">
        <v>126.0</v>
      </c>
      <c r="G15" s="19">
        <v>140.0</v>
      </c>
      <c r="H15" s="19">
        <v>141.0</v>
      </c>
      <c r="I15" s="19">
        <v>140.0</v>
      </c>
      <c r="J15" s="19">
        <v>136.0</v>
      </c>
      <c r="K15" s="19">
        <v>146.0</v>
      </c>
      <c r="L15" s="19">
        <v>145.0</v>
      </c>
      <c r="M15" s="19">
        <v>139.0</v>
      </c>
      <c r="N15" s="19">
        <v>152.0</v>
      </c>
      <c r="O15" s="19">
        <v>138.0</v>
      </c>
      <c r="P15" s="19">
        <v>141.0</v>
      </c>
      <c r="Q15" s="19">
        <v>140.0</v>
      </c>
      <c r="R15" s="19">
        <v>152.0</v>
      </c>
      <c r="S15" s="19">
        <v>146.0</v>
      </c>
      <c r="T15" s="63">
        <v>146.0</v>
      </c>
      <c r="U15" s="63">
        <v>126.0</v>
      </c>
      <c r="V15" s="63">
        <v>136.0</v>
      </c>
      <c r="W15" s="63">
        <v>159.0</v>
      </c>
      <c r="X15" s="63">
        <v>150.0</v>
      </c>
      <c r="Y15" s="63">
        <v>147.0</v>
      </c>
      <c r="Z15" s="63">
        <v>147.0</v>
      </c>
      <c r="AA15" s="63">
        <v>112.0</v>
      </c>
      <c r="AB15" s="63">
        <v>114.0</v>
      </c>
      <c r="AC15" s="63">
        <v>117.0</v>
      </c>
      <c r="AD15" s="63">
        <v>117.0</v>
      </c>
      <c r="AE15" s="63">
        <v>121.0</v>
      </c>
      <c r="AF15" s="63">
        <v>123.0</v>
      </c>
      <c r="AG15" s="63">
        <v>134.0</v>
      </c>
      <c r="AH15" s="63">
        <v>126.0</v>
      </c>
      <c r="AI15" s="19">
        <v>91.0</v>
      </c>
      <c r="AJ15" s="19">
        <v>115.0</v>
      </c>
      <c r="AK15" s="13">
        <f t="shared" si="1"/>
        <v>4303</v>
      </c>
    </row>
    <row r="16" ht="12.75" customHeight="1">
      <c r="A16" s="25"/>
      <c r="B16" s="21"/>
      <c r="C16" s="28"/>
      <c r="D16" s="13" t="s">
        <v>14</v>
      </c>
      <c r="E16" s="13">
        <f t="shared" ref="E16:AJ16" si="2">SUM(E14:E15)</f>
        <v>279</v>
      </c>
      <c r="F16" s="13">
        <f t="shared" si="2"/>
        <v>242</v>
      </c>
      <c r="G16" s="13">
        <f t="shared" si="2"/>
        <v>287</v>
      </c>
      <c r="H16" s="13">
        <f t="shared" si="2"/>
        <v>290</v>
      </c>
      <c r="I16" s="13">
        <f t="shared" si="2"/>
        <v>287</v>
      </c>
      <c r="J16" s="13">
        <f t="shared" si="2"/>
        <v>264</v>
      </c>
      <c r="K16" s="13">
        <f t="shared" si="2"/>
        <v>286</v>
      </c>
      <c r="L16" s="13">
        <f t="shared" si="2"/>
        <v>274</v>
      </c>
      <c r="M16" s="13">
        <f t="shared" si="2"/>
        <v>287</v>
      </c>
      <c r="N16" s="13">
        <f t="shared" si="2"/>
        <v>290</v>
      </c>
      <c r="O16" s="13">
        <f t="shared" si="2"/>
        <v>274</v>
      </c>
      <c r="P16" s="13">
        <f t="shared" si="2"/>
        <v>265</v>
      </c>
      <c r="Q16" s="13">
        <f t="shared" si="2"/>
        <v>266</v>
      </c>
      <c r="R16" s="13">
        <f t="shared" si="2"/>
        <v>295</v>
      </c>
      <c r="S16" s="13">
        <f t="shared" si="2"/>
        <v>294</v>
      </c>
      <c r="T16" s="13">
        <f t="shared" si="2"/>
        <v>293</v>
      </c>
      <c r="U16" s="13">
        <f t="shared" si="2"/>
        <v>243</v>
      </c>
      <c r="V16" s="13">
        <f t="shared" si="2"/>
        <v>275</v>
      </c>
      <c r="W16" s="13">
        <f t="shared" si="2"/>
        <v>290</v>
      </c>
      <c r="X16" s="13">
        <f t="shared" si="2"/>
        <v>289</v>
      </c>
      <c r="Y16" s="13">
        <f t="shared" si="2"/>
        <v>277</v>
      </c>
      <c r="Z16" s="13">
        <f t="shared" si="2"/>
        <v>290</v>
      </c>
      <c r="AA16" s="13">
        <f t="shared" si="2"/>
        <v>227</v>
      </c>
      <c r="AB16" s="13">
        <f t="shared" si="2"/>
        <v>234</v>
      </c>
      <c r="AC16" s="13">
        <f t="shared" si="2"/>
        <v>225</v>
      </c>
      <c r="AD16" s="13">
        <f t="shared" si="2"/>
        <v>241</v>
      </c>
      <c r="AE16" s="13">
        <f t="shared" si="2"/>
        <v>248</v>
      </c>
      <c r="AF16" s="13">
        <f t="shared" si="2"/>
        <v>271</v>
      </c>
      <c r="AG16" s="13">
        <f t="shared" si="2"/>
        <v>272</v>
      </c>
      <c r="AH16" s="13">
        <f t="shared" si="2"/>
        <v>262</v>
      </c>
      <c r="AI16" s="13">
        <f t="shared" si="2"/>
        <v>182</v>
      </c>
      <c r="AJ16" s="13">
        <f t="shared" si="2"/>
        <v>234</v>
      </c>
      <c r="AK16" s="13">
        <f t="shared" si="1"/>
        <v>8533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0"/>
      <c r="O17" s="19"/>
      <c r="P17" s="19"/>
      <c r="Q17" s="19"/>
      <c r="R17" s="19"/>
      <c r="S17" s="60"/>
      <c r="T17" s="19"/>
      <c r="U17" s="19"/>
      <c r="V17" s="19"/>
      <c r="W17" s="19"/>
      <c r="X17" s="60"/>
      <c r="Y17" s="19"/>
      <c r="Z17" s="19"/>
      <c r="AA17" s="19"/>
      <c r="AB17" s="19"/>
      <c r="AC17" s="60"/>
      <c r="AD17" s="19"/>
      <c r="AE17" s="19"/>
      <c r="AF17" s="19"/>
      <c r="AG17" s="19"/>
      <c r="AH17" s="60"/>
      <c r="AI17" s="19"/>
      <c r="AJ17" s="19"/>
      <c r="AK17" s="61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0"/>
      <c r="O18" s="19"/>
      <c r="P18" s="19"/>
      <c r="Q18" s="19"/>
      <c r="R18" s="19"/>
      <c r="S18" s="60"/>
      <c r="T18" s="19"/>
      <c r="U18" s="19"/>
      <c r="V18" s="19"/>
      <c r="W18" s="19"/>
      <c r="X18" s="60"/>
      <c r="Y18" s="19"/>
      <c r="Z18" s="19"/>
      <c r="AA18" s="19"/>
      <c r="AB18" s="19"/>
      <c r="AC18" s="60"/>
      <c r="AD18" s="19"/>
      <c r="AE18" s="19"/>
      <c r="AF18" s="19"/>
      <c r="AG18" s="19"/>
      <c r="AH18" s="60"/>
      <c r="AI18" s="19"/>
      <c r="AJ18" s="19"/>
      <c r="AK18" s="61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101.0</v>
      </c>
      <c r="F19" s="19">
        <v>98.0</v>
      </c>
      <c r="G19" s="19">
        <v>114.0</v>
      </c>
      <c r="H19" s="19">
        <v>96.0</v>
      </c>
      <c r="I19" s="19">
        <v>104.0</v>
      </c>
      <c r="J19" s="19">
        <v>94.0</v>
      </c>
      <c r="K19" s="19">
        <v>110.0</v>
      </c>
      <c r="L19" s="19">
        <v>104.0</v>
      </c>
      <c r="M19" s="19">
        <v>110.0</v>
      </c>
      <c r="N19" s="19">
        <v>99.0</v>
      </c>
      <c r="O19" s="19">
        <v>99.0</v>
      </c>
      <c r="P19" s="19">
        <v>84.0</v>
      </c>
      <c r="Q19" s="19">
        <v>87.0</v>
      </c>
      <c r="R19" s="19">
        <v>115.0</v>
      </c>
      <c r="S19" s="19">
        <v>100.0</v>
      </c>
      <c r="T19" s="63">
        <v>104.0</v>
      </c>
      <c r="U19" s="63">
        <v>95.0</v>
      </c>
      <c r="V19" s="63">
        <v>100.0</v>
      </c>
      <c r="W19" s="63">
        <v>99.0</v>
      </c>
      <c r="X19" s="63">
        <v>89.0</v>
      </c>
      <c r="Y19" s="63">
        <v>72.0</v>
      </c>
      <c r="Z19" s="63">
        <v>77.0</v>
      </c>
      <c r="AA19" s="63">
        <v>75.0</v>
      </c>
      <c r="AB19" s="63">
        <v>87.0</v>
      </c>
      <c r="AC19" s="63">
        <v>69.0</v>
      </c>
      <c r="AD19" s="63">
        <v>84.0</v>
      </c>
      <c r="AE19" s="63">
        <v>81.0</v>
      </c>
      <c r="AF19" s="63">
        <v>101.0</v>
      </c>
      <c r="AG19" s="63">
        <v>88.0</v>
      </c>
      <c r="AH19" s="63">
        <v>89.0</v>
      </c>
      <c r="AI19" s="19">
        <v>61.0</v>
      </c>
      <c r="AJ19" s="19">
        <v>82.0</v>
      </c>
      <c r="AK19" s="13">
        <f t="shared" ref="AK19:AK30" si="3">SUM(E19:AJ19)</f>
        <v>2968</v>
      </c>
    </row>
    <row r="20" ht="12.75" customHeight="1">
      <c r="A20" s="33"/>
      <c r="B20" s="27"/>
      <c r="C20" s="34"/>
      <c r="D20" s="19" t="s">
        <v>13</v>
      </c>
      <c r="E20" s="19">
        <v>106.0</v>
      </c>
      <c r="F20" s="19">
        <v>109.0</v>
      </c>
      <c r="G20" s="19">
        <v>111.0</v>
      </c>
      <c r="H20" s="19">
        <v>108.0</v>
      </c>
      <c r="I20" s="19">
        <v>112.0</v>
      </c>
      <c r="J20" s="19">
        <v>105.0</v>
      </c>
      <c r="K20" s="19">
        <v>120.0</v>
      </c>
      <c r="L20" s="19">
        <v>123.0</v>
      </c>
      <c r="M20" s="19">
        <v>118.0</v>
      </c>
      <c r="N20" s="19">
        <v>117.0</v>
      </c>
      <c r="O20" s="19">
        <v>112.0</v>
      </c>
      <c r="P20" s="19">
        <v>111.0</v>
      </c>
      <c r="Q20" s="19">
        <v>112.0</v>
      </c>
      <c r="R20" s="19">
        <v>126.0</v>
      </c>
      <c r="S20" s="19">
        <v>100.0</v>
      </c>
      <c r="T20" s="63">
        <v>110.0</v>
      </c>
      <c r="U20" s="63">
        <v>97.0</v>
      </c>
      <c r="V20" s="63">
        <v>91.0</v>
      </c>
      <c r="W20" s="63">
        <v>120.0</v>
      </c>
      <c r="X20" s="63">
        <v>111.0</v>
      </c>
      <c r="Y20" s="63">
        <v>104.0</v>
      </c>
      <c r="Z20" s="63">
        <v>110.0</v>
      </c>
      <c r="AA20" s="63">
        <v>84.0</v>
      </c>
      <c r="AB20" s="63">
        <v>90.0</v>
      </c>
      <c r="AC20" s="63">
        <v>80.0</v>
      </c>
      <c r="AD20" s="63">
        <v>87.0</v>
      </c>
      <c r="AE20" s="63">
        <v>92.0</v>
      </c>
      <c r="AF20" s="63">
        <v>95.0</v>
      </c>
      <c r="AG20" s="63">
        <v>93.0</v>
      </c>
      <c r="AH20" s="63">
        <v>105.0</v>
      </c>
      <c r="AI20" s="19">
        <v>61.0</v>
      </c>
      <c r="AJ20" s="19">
        <v>76.0</v>
      </c>
      <c r="AK20" s="13">
        <f t="shared" si="3"/>
        <v>3296</v>
      </c>
    </row>
    <row r="21" ht="12.75" customHeight="1">
      <c r="A21" s="35"/>
      <c r="B21" s="28"/>
      <c r="C21" s="36"/>
      <c r="D21" s="13" t="s">
        <v>14</v>
      </c>
      <c r="E21" s="13">
        <f t="shared" ref="E21:AJ21" si="4">SUM(E19:E20)</f>
        <v>207</v>
      </c>
      <c r="F21" s="13">
        <f t="shared" si="4"/>
        <v>207</v>
      </c>
      <c r="G21" s="13">
        <f t="shared" si="4"/>
        <v>225</v>
      </c>
      <c r="H21" s="13">
        <f t="shared" si="4"/>
        <v>204</v>
      </c>
      <c r="I21" s="13">
        <f t="shared" si="4"/>
        <v>216</v>
      </c>
      <c r="J21" s="13">
        <f t="shared" si="4"/>
        <v>199</v>
      </c>
      <c r="K21" s="13">
        <f t="shared" si="4"/>
        <v>230</v>
      </c>
      <c r="L21" s="13">
        <f t="shared" si="4"/>
        <v>227</v>
      </c>
      <c r="M21" s="13">
        <f t="shared" si="4"/>
        <v>228</v>
      </c>
      <c r="N21" s="13">
        <f t="shared" si="4"/>
        <v>216</v>
      </c>
      <c r="O21" s="13">
        <f t="shared" si="4"/>
        <v>211</v>
      </c>
      <c r="P21" s="13">
        <f t="shared" si="4"/>
        <v>195</v>
      </c>
      <c r="Q21" s="13">
        <f t="shared" si="4"/>
        <v>199</v>
      </c>
      <c r="R21" s="13">
        <f t="shared" si="4"/>
        <v>241</v>
      </c>
      <c r="S21" s="13">
        <f t="shared" si="4"/>
        <v>200</v>
      </c>
      <c r="T21" s="13">
        <f t="shared" si="4"/>
        <v>214</v>
      </c>
      <c r="U21" s="13">
        <f t="shared" si="4"/>
        <v>192</v>
      </c>
      <c r="V21" s="13">
        <f t="shared" si="4"/>
        <v>191</v>
      </c>
      <c r="W21" s="13">
        <f t="shared" si="4"/>
        <v>219</v>
      </c>
      <c r="X21" s="13">
        <f t="shared" si="4"/>
        <v>200</v>
      </c>
      <c r="Y21" s="13">
        <f t="shared" si="4"/>
        <v>176</v>
      </c>
      <c r="Z21" s="13">
        <f t="shared" si="4"/>
        <v>187</v>
      </c>
      <c r="AA21" s="13">
        <f t="shared" si="4"/>
        <v>159</v>
      </c>
      <c r="AB21" s="13">
        <f t="shared" si="4"/>
        <v>177</v>
      </c>
      <c r="AC21" s="13">
        <f t="shared" si="4"/>
        <v>149</v>
      </c>
      <c r="AD21" s="13">
        <f t="shared" si="4"/>
        <v>171</v>
      </c>
      <c r="AE21" s="13">
        <f t="shared" si="4"/>
        <v>173</v>
      </c>
      <c r="AF21" s="13">
        <f t="shared" si="4"/>
        <v>196</v>
      </c>
      <c r="AG21" s="13">
        <f t="shared" si="4"/>
        <v>181</v>
      </c>
      <c r="AH21" s="13">
        <f t="shared" si="4"/>
        <v>194</v>
      </c>
      <c r="AI21" s="13">
        <f t="shared" si="4"/>
        <v>122</v>
      </c>
      <c r="AJ21" s="13">
        <f t="shared" si="4"/>
        <v>158</v>
      </c>
      <c r="AK21" s="13">
        <f t="shared" si="3"/>
        <v>6264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4.0</v>
      </c>
      <c r="F22" s="19">
        <v>1.0</v>
      </c>
      <c r="G22" s="19">
        <v>0.0</v>
      </c>
      <c r="H22" s="19">
        <v>0.0</v>
      </c>
      <c r="I22" s="19">
        <v>1.0</v>
      </c>
      <c r="J22" s="19">
        <v>0.0</v>
      </c>
      <c r="K22" s="19">
        <v>0.0</v>
      </c>
      <c r="L22" s="19">
        <v>1.0</v>
      </c>
      <c r="M22" s="19">
        <v>0.0</v>
      </c>
      <c r="N22" s="19">
        <v>0.0</v>
      </c>
      <c r="O22" s="19">
        <v>0.0</v>
      </c>
      <c r="P22" s="19">
        <v>1.0</v>
      </c>
      <c r="Q22" s="19">
        <v>0.0</v>
      </c>
      <c r="R22" s="19">
        <v>0.0</v>
      </c>
      <c r="S22" s="19">
        <v>1.0</v>
      </c>
      <c r="T22" s="63">
        <v>1.0</v>
      </c>
      <c r="U22" s="63">
        <v>0.0</v>
      </c>
      <c r="V22" s="63">
        <v>1.0</v>
      </c>
      <c r="W22" s="63">
        <v>0.0</v>
      </c>
      <c r="X22" s="63">
        <v>0.0</v>
      </c>
      <c r="Y22" s="63">
        <v>0.0</v>
      </c>
      <c r="Z22" s="63">
        <v>0.0</v>
      </c>
      <c r="AA22" s="63">
        <v>0.0</v>
      </c>
      <c r="AB22" s="63">
        <v>0.0</v>
      </c>
      <c r="AC22" s="63">
        <v>0.0</v>
      </c>
      <c r="AD22" s="63">
        <v>1.0</v>
      </c>
      <c r="AE22" s="63">
        <v>2.0</v>
      </c>
      <c r="AF22" s="63">
        <v>2.0</v>
      </c>
      <c r="AG22" s="63">
        <v>1.0</v>
      </c>
      <c r="AH22" s="63">
        <v>0.0</v>
      </c>
      <c r="AI22" s="19">
        <v>1.0</v>
      </c>
      <c r="AJ22" s="19">
        <v>1.0</v>
      </c>
      <c r="AK22" s="13">
        <f t="shared" si="3"/>
        <v>19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1.0</v>
      </c>
      <c r="H23" s="19">
        <v>1.0</v>
      </c>
      <c r="I23" s="19">
        <v>0.0</v>
      </c>
      <c r="J23" s="19">
        <v>1.0</v>
      </c>
      <c r="K23" s="19">
        <v>1.0</v>
      </c>
      <c r="L23" s="19">
        <v>0.0</v>
      </c>
      <c r="M23" s="19">
        <v>1.0</v>
      </c>
      <c r="N23" s="19">
        <v>1.0</v>
      </c>
      <c r="O23" s="19">
        <v>0.0</v>
      </c>
      <c r="P23" s="19">
        <v>2.0</v>
      </c>
      <c r="Q23" s="19">
        <v>1.0</v>
      </c>
      <c r="R23" s="19">
        <v>0.0</v>
      </c>
      <c r="S23" s="19">
        <v>0.0</v>
      </c>
      <c r="T23" s="63">
        <v>0.0</v>
      </c>
      <c r="U23" s="63">
        <v>0.0</v>
      </c>
      <c r="V23" s="63">
        <v>0.0</v>
      </c>
      <c r="W23" s="63">
        <v>0.0</v>
      </c>
      <c r="X23" s="63">
        <v>1.0</v>
      </c>
      <c r="Y23" s="63">
        <v>0.0</v>
      </c>
      <c r="Z23" s="63">
        <v>1.0</v>
      </c>
      <c r="AA23" s="63">
        <v>1.0</v>
      </c>
      <c r="AB23" s="63">
        <v>1.0</v>
      </c>
      <c r="AC23" s="63">
        <v>1.0</v>
      </c>
      <c r="AD23" s="63">
        <v>0.0</v>
      </c>
      <c r="AE23" s="63">
        <v>0.0</v>
      </c>
      <c r="AF23" s="63">
        <v>0.0</v>
      </c>
      <c r="AG23" s="63">
        <v>1.0</v>
      </c>
      <c r="AH23" s="63">
        <v>0.0</v>
      </c>
      <c r="AI23" s="19">
        <v>0.0</v>
      </c>
      <c r="AJ23" s="19">
        <v>0.0</v>
      </c>
      <c r="AK23" s="13">
        <f t="shared" si="3"/>
        <v>15</v>
      </c>
    </row>
    <row r="24" ht="12.75" customHeight="1">
      <c r="A24" s="35"/>
      <c r="B24" s="28"/>
      <c r="C24" s="36"/>
      <c r="D24" s="13" t="s">
        <v>14</v>
      </c>
      <c r="E24" s="13">
        <f t="shared" ref="E24:AJ24" si="5">SUM(E22:E23)</f>
        <v>4</v>
      </c>
      <c r="F24" s="13">
        <f t="shared" si="5"/>
        <v>1</v>
      </c>
      <c r="G24" s="13">
        <f t="shared" si="5"/>
        <v>1</v>
      </c>
      <c r="H24" s="13">
        <f t="shared" si="5"/>
        <v>1</v>
      </c>
      <c r="I24" s="13">
        <f t="shared" si="5"/>
        <v>1</v>
      </c>
      <c r="J24" s="13">
        <f t="shared" si="5"/>
        <v>1</v>
      </c>
      <c r="K24" s="13">
        <f t="shared" si="5"/>
        <v>1</v>
      </c>
      <c r="L24" s="13">
        <f t="shared" si="5"/>
        <v>1</v>
      </c>
      <c r="M24" s="13">
        <f t="shared" si="5"/>
        <v>1</v>
      </c>
      <c r="N24" s="13">
        <f t="shared" si="5"/>
        <v>1</v>
      </c>
      <c r="O24" s="13">
        <f t="shared" si="5"/>
        <v>0</v>
      </c>
      <c r="P24" s="13">
        <f t="shared" si="5"/>
        <v>3</v>
      </c>
      <c r="Q24" s="13">
        <f t="shared" si="5"/>
        <v>1</v>
      </c>
      <c r="R24" s="13">
        <f t="shared" si="5"/>
        <v>0</v>
      </c>
      <c r="S24" s="13">
        <f t="shared" si="5"/>
        <v>1</v>
      </c>
      <c r="T24" s="13">
        <f t="shared" si="5"/>
        <v>1</v>
      </c>
      <c r="U24" s="13">
        <f t="shared" si="5"/>
        <v>0</v>
      </c>
      <c r="V24" s="13">
        <f t="shared" si="5"/>
        <v>1</v>
      </c>
      <c r="W24" s="13">
        <f t="shared" si="5"/>
        <v>0</v>
      </c>
      <c r="X24" s="13">
        <f t="shared" si="5"/>
        <v>1</v>
      </c>
      <c r="Y24" s="13">
        <f t="shared" si="5"/>
        <v>0</v>
      </c>
      <c r="Z24" s="13">
        <f t="shared" si="5"/>
        <v>1</v>
      </c>
      <c r="AA24" s="13">
        <f t="shared" si="5"/>
        <v>1</v>
      </c>
      <c r="AB24" s="13">
        <f t="shared" si="5"/>
        <v>1</v>
      </c>
      <c r="AC24" s="13">
        <f t="shared" si="5"/>
        <v>1</v>
      </c>
      <c r="AD24" s="13">
        <f t="shared" si="5"/>
        <v>1</v>
      </c>
      <c r="AE24" s="13">
        <f t="shared" si="5"/>
        <v>2</v>
      </c>
      <c r="AF24" s="13">
        <f t="shared" si="5"/>
        <v>2</v>
      </c>
      <c r="AG24" s="13">
        <f t="shared" si="5"/>
        <v>2</v>
      </c>
      <c r="AH24" s="13">
        <f t="shared" si="5"/>
        <v>0</v>
      </c>
      <c r="AI24" s="13">
        <f t="shared" si="5"/>
        <v>1</v>
      </c>
      <c r="AJ24" s="13">
        <f t="shared" si="5"/>
        <v>1</v>
      </c>
      <c r="AK24" s="13">
        <f t="shared" si="3"/>
        <v>34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2.0</v>
      </c>
      <c r="H25" s="19">
        <v>0.0</v>
      </c>
      <c r="I25" s="19">
        <v>0.0</v>
      </c>
      <c r="J25" s="19">
        <v>0.0</v>
      </c>
      <c r="K25" s="19">
        <v>0.0</v>
      </c>
      <c r="L25" s="19">
        <v>0.0</v>
      </c>
      <c r="M25" s="19">
        <v>0.0</v>
      </c>
      <c r="N25" s="19">
        <v>0.0</v>
      </c>
      <c r="O25" s="19">
        <v>0.0</v>
      </c>
      <c r="P25" s="19">
        <v>1.0</v>
      </c>
      <c r="Q25" s="19">
        <v>0.0</v>
      </c>
      <c r="R25" s="19">
        <v>0.0</v>
      </c>
      <c r="S25" s="19">
        <v>1.0</v>
      </c>
      <c r="T25" s="63">
        <v>0.0</v>
      </c>
      <c r="U25" s="63">
        <v>2.0</v>
      </c>
      <c r="V25" s="63">
        <v>3.0</v>
      </c>
      <c r="W25" s="63">
        <v>2.0</v>
      </c>
      <c r="X25" s="63">
        <v>0.0</v>
      </c>
      <c r="Y25" s="63">
        <v>0.0</v>
      </c>
      <c r="Z25" s="63">
        <v>1.0</v>
      </c>
      <c r="AA25" s="63">
        <v>0.0</v>
      </c>
      <c r="AB25" s="63">
        <v>0.0</v>
      </c>
      <c r="AC25" s="63">
        <v>0.0</v>
      </c>
      <c r="AD25" s="63">
        <v>0.0</v>
      </c>
      <c r="AE25" s="63">
        <v>0.0</v>
      </c>
      <c r="AF25" s="63">
        <v>1.0</v>
      </c>
      <c r="AG25" s="63">
        <v>0.0</v>
      </c>
      <c r="AH25" s="63">
        <v>0.0</v>
      </c>
      <c r="AI25" s="19">
        <v>0.0</v>
      </c>
      <c r="AJ25" s="19">
        <v>0.0</v>
      </c>
      <c r="AK25" s="13">
        <f t="shared" si="3"/>
        <v>13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2.0</v>
      </c>
      <c r="H26" s="19">
        <v>0.0</v>
      </c>
      <c r="I26" s="19">
        <v>0.0</v>
      </c>
      <c r="J26" s="19">
        <v>0.0</v>
      </c>
      <c r="K26" s="19">
        <v>0.0</v>
      </c>
      <c r="L26" s="19">
        <v>0.0</v>
      </c>
      <c r="M26" s="19">
        <v>0.0</v>
      </c>
      <c r="N26" s="19">
        <v>0.0</v>
      </c>
      <c r="O26" s="19">
        <v>0.0</v>
      </c>
      <c r="P26" s="19">
        <v>2.0</v>
      </c>
      <c r="Q26" s="19">
        <v>0.0</v>
      </c>
      <c r="R26" s="19">
        <v>0.0</v>
      </c>
      <c r="S26" s="19">
        <v>0.0</v>
      </c>
      <c r="T26" s="63">
        <v>0.0</v>
      </c>
      <c r="U26" s="63">
        <v>1.0</v>
      </c>
      <c r="V26" s="63">
        <v>4.0</v>
      </c>
      <c r="W26" s="63">
        <v>1.0</v>
      </c>
      <c r="X26" s="63">
        <v>0.0</v>
      </c>
      <c r="Y26" s="63">
        <v>0.0</v>
      </c>
      <c r="Z26" s="63">
        <v>0.0</v>
      </c>
      <c r="AA26" s="63">
        <v>0.0</v>
      </c>
      <c r="AB26" s="63">
        <v>0.0</v>
      </c>
      <c r="AC26" s="63">
        <v>0.0</v>
      </c>
      <c r="AD26" s="63">
        <v>0.0</v>
      </c>
      <c r="AE26" s="63">
        <v>0.0</v>
      </c>
      <c r="AF26" s="63">
        <v>2.0</v>
      </c>
      <c r="AG26" s="63">
        <v>0.0</v>
      </c>
      <c r="AH26" s="63">
        <v>0.0</v>
      </c>
      <c r="AI26" s="19">
        <v>0.0</v>
      </c>
      <c r="AJ26" s="19">
        <v>0.0</v>
      </c>
      <c r="AK26" s="13">
        <f t="shared" si="3"/>
        <v>12</v>
      </c>
    </row>
    <row r="27" ht="12.75" customHeight="1">
      <c r="A27" s="35"/>
      <c r="B27" s="28"/>
      <c r="C27" s="36"/>
      <c r="D27" s="13" t="s">
        <v>14</v>
      </c>
      <c r="E27" s="13">
        <f t="shared" ref="E27:AJ27" si="6">SUM(E25:E26)</f>
        <v>0</v>
      </c>
      <c r="F27" s="13">
        <f t="shared" si="6"/>
        <v>0</v>
      </c>
      <c r="G27" s="13">
        <f t="shared" si="6"/>
        <v>4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0</v>
      </c>
      <c r="L27" s="13">
        <f t="shared" si="6"/>
        <v>0</v>
      </c>
      <c r="M27" s="13">
        <f t="shared" si="6"/>
        <v>0</v>
      </c>
      <c r="N27" s="13">
        <f t="shared" si="6"/>
        <v>0</v>
      </c>
      <c r="O27" s="13">
        <f t="shared" si="6"/>
        <v>0</v>
      </c>
      <c r="P27" s="13">
        <f t="shared" si="6"/>
        <v>3</v>
      </c>
      <c r="Q27" s="13">
        <f t="shared" si="6"/>
        <v>0</v>
      </c>
      <c r="R27" s="13">
        <f t="shared" si="6"/>
        <v>0</v>
      </c>
      <c r="S27" s="13">
        <f t="shared" si="6"/>
        <v>1</v>
      </c>
      <c r="T27" s="13">
        <f t="shared" si="6"/>
        <v>0</v>
      </c>
      <c r="U27" s="13">
        <f t="shared" si="6"/>
        <v>3</v>
      </c>
      <c r="V27" s="13">
        <f t="shared" si="6"/>
        <v>7</v>
      </c>
      <c r="W27" s="13">
        <f t="shared" si="6"/>
        <v>3</v>
      </c>
      <c r="X27" s="13">
        <f t="shared" si="6"/>
        <v>0</v>
      </c>
      <c r="Y27" s="13">
        <f t="shared" si="6"/>
        <v>0</v>
      </c>
      <c r="Z27" s="13">
        <f t="shared" si="6"/>
        <v>1</v>
      </c>
      <c r="AA27" s="13">
        <f t="shared" si="6"/>
        <v>0</v>
      </c>
      <c r="AB27" s="13">
        <f t="shared" si="6"/>
        <v>0</v>
      </c>
      <c r="AC27" s="13">
        <f t="shared" si="6"/>
        <v>0</v>
      </c>
      <c r="AD27" s="13">
        <f t="shared" si="6"/>
        <v>0</v>
      </c>
      <c r="AE27" s="13">
        <f t="shared" si="6"/>
        <v>0</v>
      </c>
      <c r="AF27" s="13">
        <f t="shared" si="6"/>
        <v>3</v>
      </c>
      <c r="AG27" s="13">
        <f t="shared" si="6"/>
        <v>0</v>
      </c>
      <c r="AH27" s="13">
        <f t="shared" si="6"/>
        <v>0</v>
      </c>
      <c r="AI27" s="13">
        <f t="shared" si="6"/>
        <v>0</v>
      </c>
      <c r="AJ27" s="13">
        <f t="shared" si="6"/>
        <v>0</v>
      </c>
      <c r="AK27" s="13">
        <f t="shared" si="3"/>
        <v>25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J28" si="7">SUM(E19,E22,E25)</f>
        <v>105</v>
      </c>
      <c r="F28" s="13">
        <f t="shared" si="7"/>
        <v>99</v>
      </c>
      <c r="G28" s="13">
        <f t="shared" si="7"/>
        <v>116</v>
      </c>
      <c r="H28" s="13">
        <f t="shared" si="7"/>
        <v>96</v>
      </c>
      <c r="I28" s="13">
        <f t="shared" si="7"/>
        <v>105</v>
      </c>
      <c r="J28" s="13">
        <f t="shared" si="7"/>
        <v>94</v>
      </c>
      <c r="K28" s="13">
        <f t="shared" si="7"/>
        <v>110</v>
      </c>
      <c r="L28" s="13">
        <f t="shared" si="7"/>
        <v>105</v>
      </c>
      <c r="M28" s="13">
        <f t="shared" si="7"/>
        <v>110</v>
      </c>
      <c r="N28" s="13">
        <f t="shared" si="7"/>
        <v>99</v>
      </c>
      <c r="O28" s="13">
        <f t="shared" si="7"/>
        <v>99</v>
      </c>
      <c r="P28" s="13">
        <f t="shared" si="7"/>
        <v>86</v>
      </c>
      <c r="Q28" s="13">
        <f t="shared" si="7"/>
        <v>87</v>
      </c>
      <c r="R28" s="13">
        <f t="shared" si="7"/>
        <v>115</v>
      </c>
      <c r="S28" s="13">
        <f t="shared" si="7"/>
        <v>102</v>
      </c>
      <c r="T28" s="13">
        <f t="shared" si="7"/>
        <v>105</v>
      </c>
      <c r="U28" s="13">
        <f t="shared" si="7"/>
        <v>97</v>
      </c>
      <c r="V28" s="13">
        <f t="shared" si="7"/>
        <v>104</v>
      </c>
      <c r="W28" s="13">
        <f t="shared" si="7"/>
        <v>101</v>
      </c>
      <c r="X28" s="13">
        <f t="shared" si="7"/>
        <v>89</v>
      </c>
      <c r="Y28" s="13">
        <f t="shared" si="7"/>
        <v>72</v>
      </c>
      <c r="Z28" s="13">
        <f t="shared" si="7"/>
        <v>78</v>
      </c>
      <c r="AA28" s="13">
        <f t="shared" si="7"/>
        <v>75</v>
      </c>
      <c r="AB28" s="13">
        <f t="shared" si="7"/>
        <v>87</v>
      </c>
      <c r="AC28" s="13">
        <f t="shared" si="7"/>
        <v>69</v>
      </c>
      <c r="AD28" s="13">
        <f t="shared" si="7"/>
        <v>85</v>
      </c>
      <c r="AE28" s="13">
        <f t="shared" si="7"/>
        <v>83</v>
      </c>
      <c r="AF28" s="13">
        <f t="shared" si="7"/>
        <v>104</v>
      </c>
      <c r="AG28" s="13">
        <f t="shared" si="7"/>
        <v>89</v>
      </c>
      <c r="AH28" s="13">
        <f t="shared" si="7"/>
        <v>89</v>
      </c>
      <c r="AI28" s="13">
        <f t="shared" si="7"/>
        <v>62</v>
      </c>
      <c r="AJ28" s="13">
        <f t="shared" si="7"/>
        <v>83</v>
      </c>
      <c r="AK28" s="13">
        <f t="shared" si="3"/>
        <v>3000</v>
      </c>
    </row>
    <row r="29" ht="12.75" customHeight="1">
      <c r="A29" s="35"/>
      <c r="B29" s="27"/>
      <c r="C29" s="34"/>
      <c r="D29" s="13" t="s">
        <v>13</v>
      </c>
      <c r="E29" s="13">
        <f t="shared" ref="E29:AJ29" si="8">SUM(E20,E23,E26)</f>
        <v>106</v>
      </c>
      <c r="F29" s="13">
        <f t="shared" si="8"/>
        <v>109</v>
      </c>
      <c r="G29" s="13">
        <f t="shared" si="8"/>
        <v>114</v>
      </c>
      <c r="H29" s="13">
        <f t="shared" si="8"/>
        <v>109</v>
      </c>
      <c r="I29" s="13">
        <f t="shared" si="8"/>
        <v>112</v>
      </c>
      <c r="J29" s="13">
        <f t="shared" si="8"/>
        <v>106</v>
      </c>
      <c r="K29" s="13">
        <f t="shared" si="8"/>
        <v>121</v>
      </c>
      <c r="L29" s="13">
        <f t="shared" si="8"/>
        <v>123</v>
      </c>
      <c r="M29" s="13">
        <f t="shared" si="8"/>
        <v>119</v>
      </c>
      <c r="N29" s="13">
        <f t="shared" si="8"/>
        <v>118</v>
      </c>
      <c r="O29" s="13">
        <f t="shared" si="8"/>
        <v>112</v>
      </c>
      <c r="P29" s="13">
        <f t="shared" si="8"/>
        <v>115</v>
      </c>
      <c r="Q29" s="13">
        <f t="shared" si="8"/>
        <v>113</v>
      </c>
      <c r="R29" s="13">
        <f t="shared" si="8"/>
        <v>126</v>
      </c>
      <c r="S29" s="13">
        <f t="shared" si="8"/>
        <v>100</v>
      </c>
      <c r="T29" s="13">
        <f t="shared" si="8"/>
        <v>110</v>
      </c>
      <c r="U29" s="13">
        <f t="shared" si="8"/>
        <v>98</v>
      </c>
      <c r="V29" s="13">
        <f t="shared" si="8"/>
        <v>95</v>
      </c>
      <c r="W29" s="13">
        <f t="shared" si="8"/>
        <v>121</v>
      </c>
      <c r="X29" s="13">
        <f t="shared" si="8"/>
        <v>112</v>
      </c>
      <c r="Y29" s="13">
        <f t="shared" si="8"/>
        <v>104</v>
      </c>
      <c r="Z29" s="13">
        <f t="shared" si="8"/>
        <v>111</v>
      </c>
      <c r="AA29" s="13">
        <f t="shared" si="8"/>
        <v>85</v>
      </c>
      <c r="AB29" s="13">
        <f t="shared" si="8"/>
        <v>91</v>
      </c>
      <c r="AC29" s="13">
        <f t="shared" si="8"/>
        <v>81</v>
      </c>
      <c r="AD29" s="13">
        <f t="shared" si="8"/>
        <v>87</v>
      </c>
      <c r="AE29" s="13">
        <f t="shared" si="8"/>
        <v>92</v>
      </c>
      <c r="AF29" s="13">
        <f t="shared" si="8"/>
        <v>97</v>
      </c>
      <c r="AG29" s="13">
        <f t="shared" si="8"/>
        <v>94</v>
      </c>
      <c r="AH29" s="13">
        <f t="shared" si="8"/>
        <v>105</v>
      </c>
      <c r="AI29" s="13">
        <f t="shared" si="8"/>
        <v>61</v>
      </c>
      <c r="AJ29" s="13">
        <f t="shared" si="8"/>
        <v>76</v>
      </c>
      <c r="AK29" s="13">
        <f t="shared" si="3"/>
        <v>3323</v>
      </c>
    </row>
    <row r="30" ht="12.75" customHeight="1">
      <c r="A30" s="35"/>
      <c r="B30" s="28"/>
      <c r="C30" s="36"/>
      <c r="D30" s="13" t="s">
        <v>14</v>
      </c>
      <c r="E30" s="13">
        <f t="shared" ref="E30:AJ30" si="9">SUM(E28:E29)</f>
        <v>211</v>
      </c>
      <c r="F30" s="13">
        <f t="shared" si="9"/>
        <v>208</v>
      </c>
      <c r="G30" s="13">
        <f t="shared" si="9"/>
        <v>230</v>
      </c>
      <c r="H30" s="13">
        <f t="shared" si="9"/>
        <v>205</v>
      </c>
      <c r="I30" s="13">
        <f t="shared" si="9"/>
        <v>217</v>
      </c>
      <c r="J30" s="13">
        <f t="shared" si="9"/>
        <v>200</v>
      </c>
      <c r="K30" s="13">
        <f t="shared" si="9"/>
        <v>231</v>
      </c>
      <c r="L30" s="13">
        <f t="shared" si="9"/>
        <v>228</v>
      </c>
      <c r="M30" s="13">
        <f t="shared" si="9"/>
        <v>229</v>
      </c>
      <c r="N30" s="13">
        <f t="shared" si="9"/>
        <v>217</v>
      </c>
      <c r="O30" s="13">
        <f t="shared" si="9"/>
        <v>211</v>
      </c>
      <c r="P30" s="13">
        <f t="shared" si="9"/>
        <v>201</v>
      </c>
      <c r="Q30" s="13">
        <f t="shared" si="9"/>
        <v>200</v>
      </c>
      <c r="R30" s="13">
        <f t="shared" si="9"/>
        <v>241</v>
      </c>
      <c r="S30" s="13">
        <f t="shared" si="9"/>
        <v>202</v>
      </c>
      <c r="T30" s="13">
        <f t="shared" si="9"/>
        <v>215</v>
      </c>
      <c r="U30" s="13">
        <f t="shared" si="9"/>
        <v>195</v>
      </c>
      <c r="V30" s="13">
        <f t="shared" si="9"/>
        <v>199</v>
      </c>
      <c r="W30" s="13">
        <f t="shared" si="9"/>
        <v>222</v>
      </c>
      <c r="X30" s="13">
        <f t="shared" si="9"/>
        <v>201</v>
      </c>
      <c r="Y30" s="13">
        <f t="shared" si="9"/>
        <v>176</v>
      </c>
      <c r="Z30" s="13">
        <f t="shared" si="9"/>
        <v>189</v>
      </c>
      <c r="AA30" s="13">
        <f t="shared" si="9"/>
        <v>160</v>
      </c>
      <c r="AB30" s="13">
        <f t="shared" si="9"/>
        <v>178</v>
      </c>
      <c r="AC30" s="13">
        <f t="shared" si="9"/>
        <v>150</v>
      </c>
      <c r="AD30" s="13">
        <f t="shared" si="9"/>
        <v>172</v>
      </c>
      <c r="AE30" s="13">
        <f t="shared" si="9"/>
        <v>175</v>
      </c>
      <c r="AF30" s="13">
        <f t="shared" si="9"/>
        <v>201</v>
      </c>
      <c r="AG30" s="13">
        <f t="shared" si="9"/>
        <v>183</v>
      </c>
      <c r="AH30" s="13">
        <f t="shared" si="9"/>
        <v>194</v>
      </c>
      <c r="AI30" s="13">
        <f t="shared" si="9"/>
        <v>123</v>
      </c>
      <c r="AJ30" s="13">
        <f t="shared" si="9"/>
        <v>159</v>
      </c>
      <c r="AK30" s="13">
        <f t="shared" si="3"/>
        <v>6323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0"/>
      <c r="O31" s="19"/>
      <c r="P31" s="19"/>
      <c r="Q31" s="19"/>
      <c r="R31" s="19"/>
      <c r="S31" s="60"/>
      <c r="T31" s="19"/>
      <c r="U31" s="19"/>
      <c r="V31" s="19"/>
      <c r="W31" s="19"/>
      <c r="X31" s="60"/>
      <c r="Y31" s="19"/>
      <c r="Z31" s="19"/>
      <c r="AA31" s="19"/>
      <c r="AB31" s="19"/>
      <c r="AC31" s="60"/>
      <c r="AD31" s="19"/>
      <c r="AE31" s="19"/>
      <c r="AF31" s="19"/>
      <c r="AG31" s="19"/>
      <c r="AH31" s="60"/>
      <c r="AI31" s="19"/>
      <c r="AJ31" s="19"/>
      <c r="AK31" s="61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2"/>
      <c r="O32" s="13"/>
      <c r="P32" s="13"/>
      <c r="Q32" s="13"/>
      <c r="R32" s="13"/>
      <c r="S32" s="62"/>
      <c r="T32" s="13"/>
      <c r="U32" s="13"/>
      <c r="V32" s="13"/>
      <c r="W32" s="13"/>
      <c r="X32" s="62"/>
      <c r="Y32" s="13"/>
      <c r="Z32" s="13"/>
      <c r="AA32" s="13"/>
      <c r="AB32" s="13"/>
      <c r="AC32" s="62"/>
      <c r="AD32" s="13"/>
      <c r="AE32" s="13"/>
      <c r="AF32" s="13"/>
      <c r="AG32" s="13"/>
      <c r="AH32" s="62"/>
      <c r="AI32" s="13"/>
      <c r="AJ32" s="13"/>
      <c r="AK32" s="61"/>
    </row>
    <row r="33" ht="12.75" customHeight="1">
      <c r="A33" s="19">
        <v>1.0</v>
      </c>
      <c r="B33" s="20" t="s">
        <v>27</v>
      </c>
      <c r="C33" s="15"/>
      <c r="D33" s="16"/>
      <c r="E33" s="19">
        <v>285.0</v>
      </c>
      <c r="F33" s="19">
        <v>247.0</v>
      </c>
      <c r="G33" s="19">
        <v>295.0</v>
      </c>
      <c r="H33" s="19">
        <v>295.0</v>
      </c>
      <c r="I33" s="19">
        <v>292.0</v>
      </c>
      <c r="J33" s="19">
        <v>270.0</v>
      </c>
      <c r="K33" s="19">
        <v>293.0</v>
      </c>
      <c r="L33" s="19">
        <v>279.0</v>
      </c>
      <c r="M33" s="19">
        <v>293.0</v>
      </c>
      <c r="N33" s="19">
        <v>296.0</v>
      </c>
      <c r="O33" s="19">
        <v>280.0</v>
      </c>
      <c r="P33" s="19">
        <v>273.0</v>
      </c>
      <c r="Q33" s="19">
        <v>272.0</v>
      </c>
      <c r="R33" s="19">
        <v>300.0</v>
      </c>
      <c r="S33" s="19">
        <v>306.0</v>
      </c>
      <c r="T33" s="59">
        <v>300.0</v>
      </c>
      <c r="U33" s="59">
        <v>248.0</v>
      </c>
      <c r="V33" s="59">
        <v>281.0</v>
      </c>
      <c r="W33" s="59">
        <v>295.0</v>
      </c>
      <c r="X33" s="59">
        <v>295.0</v>
      </c>
      <c r="Y33" s="59">
        <v>285.0</v>
      </c>
      <c r="Z33" s="59">
        <v>296.0</v>
      </c>
      <c r="AA33" s="59">
        <v>232.0</v>
      </c>
      <c r="AB33" s="59">
        <v>239.0</v>
      </c>
      <c r="AC33" s="59">
        <v>251.0</v>
      </c>
      <c r="AD33" s="59">
        <v>246.0</v>
      </c>
      <c r="AE33" s="59">
        <v>253.0</v>
      </c>
      <c r="AF33" s="59">
        <v>279.0</v>
      </c>
      <c r="AG33" s="59">
        <v>279.0</v>
      </c>
      <c r="AH33" s="59">
        <v>264.0</v>
      </c>
      <c r="AI33" s="19">
        <v>188.0</v>
      </c>
      <c r="AJ33" s="19">
        <v>239.0</v>
      </c>
      <c r="AK33" s="13">
        <f t="shared" ref="AK33:AK36" si="10">SUM(E33:AJ33)</f>
        <v>8746</v>
      </c>
    </row>
    <row r="34" ht="12.75" customHeight="1">
      <c r="A34" s="19">
        <v>2.0</v>
      </c>
      <c r="B34" s="20" t="s">
        <v>28</v>
      </c>
      <c r="C34" s="15"/>
      <c r="D34" s="16"/>
      <c r="E34" s="13">
        <v>211.0</v>
      </c>
      <c r="F34" s="13">
        <v>208.0</v>
      </c>
      <c r="G34" s="13">
        <v>230.0</v>
      </c>
      <c r="H34" s="13">
        <v>205.0</v>
      </c>
      <c r="I34" s="13">
        <v>217.0</v>
      </c>
      <c r="J34" s="13">
        <v>200.0</v>
      </c>
      <c r="K34" s="13">
        <v>231.0</v>
      </c>
      <c r="L34" s="13">
        <v>228.0</v>
      </c>
      <c r="M34" s="13">
        <v>229.0</v>
      </c>
      <c r="N34" s="13">
        <v>217.0</v>
      </c>
      <c r="O34" s="13">
        <v>211.0</v>
      </c>
      <c r="P34" s="13">
        <v>201.0</v>
      </c>
      <c r="Q34" s="13">
        <v>200.0</v>
      </c>
      <c r="R34" s="13">
        <v>241.0</v>
      </c>
      <c r="S34" s="13">
        <v>202.0</v>
      </c>
      <c r="T34" s="59">
        <v>215.0</v>
      </c>
      <c r="U34" s="59">
        <v>195.0</v>
      </c>
      <c r="V34" s="59">
        <v>199.0</v>
      </c>
      <c r="W34" s="59">
        <v>222.0</v>
      </c>
      <c r="X34" s="59">
        <v>201.0</v>
      </c>
      <c r="Y34" s="59">
        <v>176.0</v>
      </c>
      <c r="Z34" s="59">
        <v>189.0</v>
      </c>
      <c r="AA34" s="59">
        <v>160.0</v>
      </c>
      <c r="AB34" s="59">
        <v>178.0</v>
      </c>
      <c r="AC34" s="59">
        <v>150.0</v>
      </c>
      <c r="AD34" s="59">
        <v>172.0</v>
      </c>
      <c r="AE34" s="59">
        <v>175.0</v>
      </c>
      <c r="AF34" s="59">
        <v>201.0</v>
      </c>
      <c r="AG34" s="59">
        <v>183.0</v>
      </c>
      <c r="AH34" s="59">
        <v>194.0</v>
      </c>
      <c r="AI34" s="13">
        <v>123.0</v>
      </c>
      <c r="AJ34" s="13">
        <v>159.0</v>
      </c>
      <c r="AK34" s="13">
        <f t="shared" si="10"/>
        <v>6323</v>
      </c>
    </row>
    <row r="35" ht="12.75" customHeight="1">
      <c r="A35" s="19">
        <v>3.0</v>
      </c>
      <c r="B35" s="20" t="s">
        <v>29</v>
      </c>
      <c r="C35" s="15"/>
      <c r="D35" s="16"/>
      <c r="E35" s="19">
        <v>6.0</v>
      </c>
      <c r="F35" s="19">
        <v>0.0</v>
      </c>
      <c r="G35" s="19">
        <v>2.0</v>
      </c>
      <c r="H35" s="19">
        <v>0.0</v>
      </c>
      <c r="I35" s="19">
        <v>0.0</v>
      </c>
      <c r="J35" s="19">
        <v>0.0</v>
      </c>
      <c r="K35" s="19">
        <v>3.0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1.0</v>
      </c>
      <c r="R35" s="19">
        <v>0.0</v>
      </c>
      <c r="S35" s="19">
        <v>0.0</v>
      </c>
      <c r="T35" s="59">
        <v>1.0</v>
      </c>
      <c r="U35" s="59">
        <v>1.0</v>
      </c>
      <c r="V35" s="59">
        <v>0.0</v>
      </c>
      <c r="W35" s="59">
        <v>0.0</v>
      </c>
      <c r="X35" s="59">
        <v>0.0</v>
      </c>
      <c r="Y35" s="59">
        <v>0.0</v>
      </c>
      <c r="Z35" s="59">
        <v>0.0</v>
      </c>
      <c r="AA35" s="59">
        <v>0.0</v>
      </c>
      <c r="AB35" s="59">
        <v>0.0</v>
      </c>
      <c r="AC35" s="59">
        <v>0.0</v>
      </c>
      <c r="AD35" s="59">
        <v>0.0</v>
      </c>
      <c r="AE35" s="59">
        <v>0.0</v>
      </c>
      <c r="AF35" s="59">
        <v>0.0</v>
      </c>
      <c r="AG35" s="59">
        <v>0.0</v>
      </c>
      <c r="AH35" s="59">
        <v>0.0</v>
      </c>
      <c r="AI35" s="19">
        <v>4.0</v>
      </c>
      <c r="AJ35" s="19">
        <v>0.0</v>
      </c>
      <c r="AK35" s="13">
        <f t="shared" si="10"/>
        <v>18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J36" si="11">E33-(E34+E35)</f>
        <v>68</v>
      </c>
      <c r="F36" s="13">
        <f t="shared" si="11"/>
        <v>39</v>
      </c>
      <c r="G36" s="13">
        <f t="shared" si="11"/>
        <v>63</v>
      </c>
      <c r="H36" s="13">
        <f t="shared" si="11"/>
        <v>90</v>
      </c>
      <c r="I36" s="13">
        <f t="shared" si="11"/>
        <v>75</v>
      </c>
      <c r="J36" s="13">
        <f t="shared" si="11"/>
        <v>70</v>
      </c>
      <c r="K36" s="13">
        <f t="shared" si="11"/>
        <v>59</v>
      </c>
      <c r="L36" s="13">
        <f t="shared" si="11"/>
        <v>51</v>
      </c>
      <c r="M36" s="13">
        <f t="shared" si="11"/>
        <v>64</v>
      </c>
      <c r="N36" s="13">
        <f t="shared" si="11"/>
        <v>79</v>
      </c>
      <c r="O36" s="13">
        <f t="shared" si="11"/>
        <v>69</v>
      </c>
      <c r="P36" s="13">
        <f t="shared" si="11"/>
        <v>72</v>
      </c>
      <c r="Q36" s="13">
        <f t="shared" si="11"/>
        <v>71</v>
      </c>
      <c r="R36" s="13">
        <f t="shared" si="11"/>
        <v>59</v>
      </c>
      <c r="S36" s="13">
        <f t="shared" si="11"/>
        <v>104</v>
      </c>
      <c r="T36" s="13">
        <f t="shared" si="11"/>
        <v>84</v>
      </c>
      <c r="U36" s="13">
        <f t="shared" si="11"/>
        <v>52</v>
      </c>
      <c r="V36" s="13">
        <f t="shared" si="11"/>
        <v>82</v>
      </c>
      <c r="W36" s="13">
        <f t="shared" si="11"/>
        <v>73</v>
      </c>
      <c r="X36" s="13">
        <f t="shared" si="11"/>
        <v>94</v>
      </c>
      <c r="Y36" s="13">
        <f t="shared" si="11"/>
        <v>109</v>
      </c>
      <c r="Z36" s="13">
        <f t="shared" si="11"/>
        <v>107</v>
      </c>
      <c r="AA36" s="13">
        <f t="shared" si="11"/>
        <v>72</v>
      </c>
      <c r="AB36" s="13">
        <f t="shared" si="11"/>
        <v>61</v>
      </c>
      <c r="AC36" s="13">
        <f t="shared" si="11"/>
        <v>101</v>
      </c>
      <c r="AD36" s="13">
        <f t="shared" si="11"/>
        <v>74</v>
      </c>
      <c r="AE36" s="13">
        <f t="shared" si="11"/>
        <v>78</v>
      </c>
      <c r="AF36" s="13">
        <f t="shared" si="11"/>
        <v>78</v>
      </c>
      <c r="AG36" s="13">
        <f t="shared" si="11"/>
        <v>96</v>
      </c>
      <c r="AH36" s="13">
        <f t="shared" si="11"/>
        <v>70</v>
      </c>
      <c r="AI36" s="13">
        <f t="shared" si="11"/>
        <v>61</v>
      </c>
      <c r="AJ36" s="13">
        <f t="shared" si="11"/>
        <v>80</v>
      </c>
      <c r="AK36" s="13">
        <f t="shared" si="10"/>
        <v>2405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60"/>
      <c r="O37" s="19"/>
      <c r="P37" s="19"/>
      <c r="Q37" s="19"/>
      <c r="R37" s="19"/>
      <c r="S37" s="60"/>
      <c r="T37" s="19"/>
      <c r="U37" s="19"/>
      <c r="V37" s="19"/>
      <c r="W37" s="19"/>
      <c r="X37" s="60"/>
      <c r="Y37" s="19"/>
      <c r="Z37" s="19"/>
      <c r="AA37" s="19"/>
      <c r="AB37" s="19"/>
      <c r="AC37" s="60"/>
      <c r="AD37" s="19"/>
      <c r="AE37" s="19"/>
      <c r="AF37" s="19"/>
      <c r="AG37" s="19"/>
      <c r="AH37" s="60"/>
      <c r="AI37" s="19"/>
      <c r="AJ37" s="19"/>
      <c r="AK37" s="61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2"/>
      <c r="O38" s="13"/>
      <c r="P38" s="13"/>
      <c r="Q38" s="13"/>
      <c r="R38" s="13"/>
      <c r="S38" s="62"/>
      <c r="T38" s="13"/>
      <c r="U38" s="13"/>
      <c r="V38" s="13"/>
      <c r="W38" s="13"/>
      <c r="X38" s="62"/>
      <c r="Y38" s="13"/>
      <c r="Z38" s="13"/>
      <c r="AA38" s="13"/>
      <c r="AB38" s="13"/>
      <c r="AC38" s="62"/>
      <c r="AD38" s="13"/>
      <c r="AE38" s="13"/>
      <c r="AF38" s="13"/>
      <c r="AG38" s="13"/>
      <c r="AH38" s="62"/>
      <c r="AI38" s="13"/>
      <c r="AJ38" s="13"/>
      <c r="AK38" s="61"/>
    </row>
    <row r="39" ht="12.75" customHeight="1">
      <c r="A39" s="30"/>
      <c r="B39" s="43" t="s">
        <v>33</v>
      </c>
      <c r="C39" s="23"/>
      <c r="D39" s="19" t="s">
        <v>12</v>
      </c>
      <c r="E39" s="19">
        <v>1.0</v>
      </c>
      <c r="F39" s="19">
        <v>0.0</v>
      </c>
      <c r="G39" s="19">
        <v>2.0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63">
        <v>0.0</v>
      </c>
      <c r="U39" s="63">
        <v>0.0</v>
      </c>
      <c r="V39" s="63">
        <v>0.0</v>
      </c>
      <c r="W39" s="63">
        <v>0.0</v>
      </c>
      <c r="X39" s="63">
        <v>0.0</v>
      </c>
      <c r="Y39" s="63">
        <v>0.0</v>
      </c>
      <c r="Z39" s="63">
        <v>0.0</v>
      </c>
      <c r="AA39" s="63">
        <v>0.0</v>
      </c>
      <c r="AB39" s="63">
        <v>0.0</v>
      </c>
      <c r="AC39" s="63">
        <v>0.0</v>
      </c>
      <c r="AD39" s="63">
        <v>0.0</v>
      </c>
      <c r="AE39" s="63">
        <v>0.0</v>
      </c>
      <c r="AF39" s="63">
        <v>0.0</v>
      </c>
      <c r="AG39" s="63">
        <v>0.0</v>
      </c>
      <c r="AH39" s="63">
        <v>0.0</v>
      </c>
      <c r="AI39" s="19">
        <v>0.0</v>
      </c>
      <c r="AJ39" s="19">
        <v>0.0</v>
      </c>
      <c r="AK39" s="13">
        <f t="shared" ref="AK39:AK41" si="12">SUM(E39:AJ39)</f>
        <v>3</v>
      </c>
    </row>
    <row r="40" ht="12.75" customHeight="1">
      <c r="A40" s="33"/>
      <c r="C40" s="27"/>
      <c r="D40" s="19" t="s">
        <v>13</v>
      </c>
      <c r="E40" s="19">
        <v>1.0</v>
      </c>
      <c r="F40" s="19">
        <v>0.0</v>
      </c>
      <c r="G40" s="19">
        <v>1.0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63">
        <v>0.0</v>
      </c>
      <c r="U40" s="63">
        <v>0.0</v>
      </c>
      <c r="V40" s="63">
        <v>0.0</v>
      </c>
      <c r="W40" s="63">
        <v>0.0</v>
      </c>
      <c r="X40" s="63">
        <v>0.0</v>
      </c>
      <c r="Y40" s="63">
        <v>0.0</v>
      </c>
      <c r="Z40" s="63">
        <v>1.0</v>
      </c>
      <c r="AA40" s="63">
        <v>0.0</v>
      </c>
      <c r="AB40" s="63">
        <v>0.0</v>
      </c>
      <c r="AC40" s="63">
        <v>0.0</v>
      </c>
      <c r="AD40" s="63">
        <v>0.0</v>
      </c>
      <c r="AE40" s="63">
        <v>0.0</v>
      </c>
      <c r="AF40" s="63">
        <v>0.0</v>
      </c>
      <c r="AG40" s="63">
        <v>0.0</v>
      </c>
      <c r="AH40" s="63">
        <v>0.0</v>
      </c>
      <c r="AI40" s="19">
        <v>0.0</v>
      </c>
      <c r="AJ40" s="19">
        <v>0.0</v>
      </c>
      <c r="AK40" s="13">
        <f t="shared" si="12"/>
        <v>3</v>
      </c>
    </row>
    <row r="41" ht="12.75" customHeight="1">
      <c r="A41" s="41"/>
      <c r="B41" s="44"/>
      <c r="C41" s="28"/>
      <c r="D41" s="13" t="s">
        <v>14</v>
      </c>
      <c r="E41" s="13">
        <f t="shared" ref="E41:AJ41" si="13">SUM(E39:E40)</f>
        <v>2</v>
      </c>
      <c r="F41" s="13">
        <f t="shared" si="13"/>
        <v>0</v>
      </c>
      <c r="G41" s="13">
        <f t="shared" si="13"/>
        <v>3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1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3"/>
        <v>0</v>
      </c>
      <c r="AH41" s="13">
        <f t="shared" si="13"/>
        <v>0</v>
      </c>
      <c r="AI41" s="13">
        <f t="shared" si="13"/>
        <v>0</v>
      </c>
      <c r="AJ41" s="13">
        <f t="shared" si="13"/>
        <v>0</v>
      </c>
      <c r="AK41" s="13">
        <f t="shared" si="12"/>
        <v>6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60"/>
      <c r="O42" s="19"/>
      <c r="P42" s="19"/>
      <c r="Q42" s="19"/>
      <c r="R42" s="19"/>
      <c r="S42" s="60"/>
      <c r="T42" s="19"/>
      <c r="U42" s="19"/>
      <c r="V42" s="19"/>
      <c r="W42" s="19"/>
      <c r="X42" s="60"/>
      <c r="Y42" s="19"/>
      <c r="Z42" s="19"/>
      <c r="AA42" s="19"/>
      <c r="AB42" s="19"/>
      <c r="AC42" s="60"/>
      <c r="AD42" s="19"/>
      <c r="AE42" s="19"/>
      <c r="AF42" s="19"/>
      <c r="AG42" s="19"/>
      <c r="AH42" s="60"/>
      <c r="AI42" s="19"/>
      <c r="AJ42" s="19"/>
      <c r="AK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2"/>
      <c r="O43" s="13"/>
      <c r="P43" s="13"/>
      <c r="Q43" s="13"/>
      <c r="R43" s="13"/>
      <c r="S43" s="62"/>
      <c r="T43" s="13"/>
      <c r="U43" s="13"/>
      <c r="V43" s="13"/>
      <c r="W43" s="13"/>
      <c r="X43" s="62"/>
      <c r="Y43" s="13"/>
      <c r="Z43" s="13"/>
      <c r="AA43" s="13"/>
      <c r="AB43" s="13"/>
      <c r="AC43" s="62"/>
      <c r="AD43" s="13"/>
      <c r="AE43" s="13"/>
      <c r="AF43" s="13"/>
      <c r="AG43" s="13"/>
      <c r="AH43" s="62"/>
      <c r="AI43" s="13"/>
      <c r="AJ43" s="13"/>
      <c r="AK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60"/>
      <c r="O44" s="19"/>
      <c r="P44" s="19"/>
      <c r="Q44" s="19"/>
      <c r="R44" s="19"/>
      <c r="S44" s="60"/>
      <c r="T44" s="19"/>
      <c r="U44" s="19"/>
      <c r="V44" s="19"/>
      <c r="W44" s="19"/>
      <c r="X44" s="60"/>
      <c r="Y44" s="19"/>
      <c r="Z44" s="19"/>
      <c r="AA44" s="19"/>
      <c r="AB44" s="19"/>
      <c r="AC44" s="60"/>
      <c r="AD44" s="19"/>
      <c r="AE44" s="19"/>
      <c r="AF44" s="19"/>
      <c r="AG44" s="19"/>
      <c r="AH44" s="60"/>
      <c r="AI44" s="19"/>
      <c r="AJ44" s="19"/>
      <c r="AK44" s="13"/>
    </row>
    <row r="45" ht="12.75" customHeight="1">
      <c r="A45" s="64"/>
      <c r="B45" s="47">
        <v>1.0</v>
      </c>
      <c r="C45" s="48" t="s">
        <v>37</v>
      </c>
      <c r="D45" s="16"/>
      <c r="E45" s="19">
        <v>20.0</v>
      </c>
      <c r="F45" s="19">
        <v>27.0</v>
      </c>
      <c r="G45" s="19">
        <v>29.0</v>
      </c>
      <c r="H45" s="19">
        <v>26.0</v>
      </c>
      <c r="I45" s="19">
        <v>30.0</v>
      </c>
      <c r="J45" s="19">
        <v>25.0</v>
      </c>
      <c r="K45" s="19">
        <v>23.0</v>
      </c>
      <c r="L45" s="19">
        <v>40.0</v>
      </c>
      <c r="M45" s="19">
        <v>41.0</v>
      </c>
      <c r="N45" s="19">
        <v>26.0</v>
      </c>
      <c r="O45" s="19">
        <v>47.0</v>
      </c>
      <c r="P45" s="19">
        <v>47.0</v>
      </c>
      <c r="Q45" s="19">
        <v>55.0</v>
      </c>
      <c r="R45" s="19">
        <v>74.0</v>
      </c>
      <c r="S45" s="19">
        <v>24.0</v>
      </c>
      <c r="T45" s="19">
        <v>105.0</v>
      </c>
      <c r="U45" s="19">
        <v>75.0</v>
      </c>
      <c r="V45" s="19">
        <v>46.0</v>
      </c>
      <c r="W45" s="19">
        <v>38.0</v>
      </c>
      <c r="X45" s="19">
        <v>42.0</v>
      </c>
      <c r="Y45" s="19">
        <v>33.0</v>
      </c>
      <c r="Z45" s="19">
        <v>7.0</v>
      </c>
      <c r="AA45" s="19">
        <v>34.0</v>
      </c>
      <c r="AB45" s="19">
        <v>18.0</v>
      </c>
      <c r="AC45" s="19">
        <v>10.0</v>
      </c>
      <c r="AD45" s="19">
        <v>21.0</v>
      </c>
      <c r="AE45" s="19">
        <v>19.0</v>
      </c>
      <c r="AF45" s="19">
        <v>27.0</v>
      </c>
      <c r="AG45" s="19">
        <v>27.0</v>
      </c>
      <c r="AH45" s="19">
        <v>31.0</v>
      </c>
      <c r="AI45" s="19">
        <v>5.0</v>
      </c>
      <c r="AJ45" s="19">
        <v>21.0</v>
      </c>
      <c r="AK45" s="13">
        <f t="shared" ref="AK45:AK47" si="14">SUM(E45:AJ45)</f>
        <v>1093</v>
      </c>
    </row>
    <row r="46" ht="12.75" customHeight="1">
      <c r="A46" s="18"/>
      <c r="B46" s="47">
        <v>2.0</v>
      </c>
      <c r="C46" s="48" t="s">
        <v>38</v>
      </c>
      <c r="D46" s="16"/>
      <c r="E46" s="19">
        <v>161.0</v>
      </c>
      <c r="F46" s="19">
        <v>133.0</v>
      </c>
      <c r="G46" s="19">
        <v>149.0</v>
      </c>
      <c r="H46" s="19">
        <v>142.0</v>
      </c>
      <c r="I46" s="19">
        <v>145.0</v>
      </c>
      <c r="J46" s="19">
        <v>140.0</v>
      </c>
      <c r="K46" s="19">
        <v>159.0</v>
      </c>
      <c r="L46" s="19">
        <v>156.0</v>
      </c>
      <c r="M46" s="19">
        <v>154.0</v>
      </c>
      <c r="N46" s="19">
        <v>160.0</v>
      </c>
      <c r="O46" s="19">
        <v>141.0</v>
      </c>
      <c r="P46" s="19">
        <v>134.0</v>
      </c>
      <c r="Q46" s="19">
        <v>115.0</v>
      </c>
      <c r="R46" s="19">
        <v>149.0</v>
      </c>
      <c r="S46" s="19">
        <v>148.0</v>
      </c>
      <c r="T46" s="19">
        <v>91.0</v>
      </c>
      <c r="U46" s="19">
        <v>107.0</v>
      </c>
      <c r="V46" s="19">
        <v>130.0</v>
      </c>
      <c r="W46" s="19">
        <v>151.0</v>
      </c>
      <c r="X46" s="19">
        <v>130.0</v>
      </c>
      <c r="Y46" s="19">
        <v>124.0</v>
      </c>
      <c r="Z46" s="19">
        <v>153.0</v>
      </c>
      <c r="AA46" s="19">
        <v>96.0</v>
      </c>
      <c r="AB46" s="19">
        <v>125.0</v>
      </c>
      <c r="AC46" s="19">
        <v>125.0</v>
      </c>
      <c r="AD46" s="19">
        <v>123.0</v>
      </c>
      <c r="AE46" s="19">
        <v>90.0</v>
      </c>
      <c r="AF46" s="19">
        <v>124.0</v>
      </c>
      <c r="AG46" s="19">
        <v>119.0</v>
      </c>
      <c r="AH46" s="19">
        <v>138.0</v>
      </c>
      <c r="AI46" s="19">
        <v>110.0</v>
      </c>
      <c r="AJ46" s="19">
        <v>112.0</v>
      </c>
      <c r="AK46" s="13">
        <f t="shared" si="14"/>
        <v>4234</v>
      </c>
    </row>
    <row r="47" ht="12.75" customHeight="1">
      <c r="A47" s="45"/>
      <c r="B47" s="47">
        <v>3.0</v>
      </c>
      <c r="C47" s="48" t="s">
        <v>39</v>
      </c>
      <c r="D47" s="16"/>
      <c r="E47" s="19">
        <v>24.0</v>
      </c>
      <c r="F47" s="19">
        <v>36.0</v>
      </c>
      <c r="G47" s="19">
        <v>47.0</v>
      </c>
      <c r="H47" s="19">
        <v>36.0</v>
      </c>
      <c r="I47" s="19">
        <v>34.0</v>
      </c>
      <c r="J47" s="19">
        <v>30.0</v>
      </c>
      <c r="K47" s="19">
        <v>47.0</v>
      </c>
      <c r="L47" s="19">
        <v>24.0</v>
      </c>
      <c r="M47" s="19">
        <v>31.0</v>
      </c>
      <c r="N47" s="19">
        <v>19.0</v>
      </c>
      <c r="O47" s="19">
        <v>19.0</v>
      </c>
      <c r="P47" s="19">
        <v>11.0</v>
      </c>
      <c r="Q47" s="19">
        <v>23.0</v>
      </c>
      <c r="R47" s="19">
        <v>9.0</v>
      </c>
      <c r="S47" s="19">
        <v>23.0</v>
      </c>
      <c r="T47" s="19">
        <v>15.0</v>
      </c>
      <c r="U47" s="19">
        <v>6.0</v>
      </c>
      <c r="V47" s="19">
        <v>16.0</v>
      </c>
      <c r="W47" s="19">
        <v>21.0</v>
      </c>
      <c r="X47" s="19">
        <v>20.0</v>
      </c>
      <c r="Y47" s="19">
        <v>18.0</v>
      </c>
      <c r="Z47" s="19">
        <v>21.0</v>
      </c>
      <c r="AA47" s="19">
        <v>19.0</v>
      </c>
      <c r="AB47" s="19">
        <v>29.0</v>
      </c>
      <c r="AC47" s="19">
        <v>10.0</v>
      </c>
      <c r="AD47" s="19">
        <v>22.0</v>
      </c>
      <c r="AE47" s="19">
        <v>56.0</v>
      </c>
      <c r="AF47" s="19">
        <v>41.0</v>
      </c>
      <c r="AG47" s="19">
        <v>24.0</v>
      </c>
      <c r="AH47" s="19">
        <v>15.0</v>
      </c>
      <c r="AI47" s="19">
        <v>8.0</v>
      </c>
      <c r="AJ47" s="19">
        <v>24.0</v>
      </c>
      <c r="AK47" s="13">
        <f t="shared" si="14"/>
        <v>778</v>
      </c>
    </row>
    <row r="48" ht="12.75" customHeight="1">
      <c r="AK48" s="13"/>
    </row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</row>
    <row r="50" ht="12.75" customHeight="1">
      <c r="A50" s="42"/>
      <c r="B50" s="54" t="s">
        <v>42</v>
      </c>
      <c r="C50" s="55" t="s">
        <v>43</v>
      </c>
      <c r="D50" s="16"/>
      <c r="E50" s="19">
        <f t="shared" ref="E50:AJ50" si="15">SUM(E45:E47)</f>
        <v>205</v>
      </c>
      <c r="F50" s="19">
        <f t="shared" si="15"/>
        <v>196</v>
      </c>
      <c r="G50" s="19">
        <f t="shared" si="15"/>
        <v>225</v>
      </c>
      <c r="H50" s="19">
        <f t="shared" si="15"/>
        <v>204</v>
      </c>
      <c r="I50" s="19">
        <f t="shared" si="15"/>
        <v>209</v>
      </c>
      <c r="J50" s="19">
        <f t="shared" si="15"/>
        <v>195</v>
      </c>
      <c r="K50" s="19">
        <f t="shared" si="15"/>
        <v>229</v>
      </c>
      <c r="L50" s="19">
        <f t="shared" si="15"/>
        <v>220</v>
      </c>
      <c r="M50" s="19">
        <f t="shared" si="15"/>
        <v>226</v>
      </c>
      <c r="N50" s="19">
        <f t="shared" si="15"/>
        <v>205</v>
      </c>
      <c r="O50" s="19">
        <f t="shared" si="15"/>
        <v>207</v>
      </c>
      <c r="P50" s="19">
        <f t="shared" si="15"/>
        <v>192</v>
      </c>
      <c r="Q50" s="19">
        <f t="shared" si="15"/>
        <v>193</v>
      </c>
      <c r="R50" s="19">
        <f t="shared" si="15"/>
        <v>232</v>
      </c>
      <c r="S50" s="19">
        <f t="shared" si="15"/>
        <v>195</v>
      </c>
      <c r="T50" s="19">
        <f t="shared" si="15"/>
        <v>211</v>
      </c>
      <c r="U50" s="19">
        <f t="shared" si="15"/>
        <v>188</v>
      </c>
      <c r="V50" s="19">
        <f t="shared" si="15"/>
        <v>192</v>
      </c>
      <c r="W50" s="19">
        <f t="shared" si="15"/>
        <v>210</v>
      </c>
      <c r="X50" s="19">
        <f t="shared" si="15"/>
        <v>192</v>
      </c>
      <c r="Y50" s="19">
        <f t="shared" si="15"/>
        <v>175</v>
      </c>
      <c r="Z50" s="19">
        <f t="shared" si="15"/>
        <v>181</v>
      </c>
      <c r="AA50" s="19">
        <f t="shared" si="15"/>
        <v>149</v>
      </c>
      <c r="AB50" s="19">
        <f t="shared" si="15"/>
        <v>172</v>
      </c>
      <c r="AC50" s="19">
        <f t="shared" si="15"/>
        <v>145</v>
      </c>
      <c r="AD50" s="19">
        <f t="shared" si="15"/>
        <v>166</v>
      </c>
      <c r="AE50" s="19">
        <f t="shared" si="15"/>
        <v>165</v>
      </c>
      <c r="AF50" s="19">
        <f t="shared" si="15"/>
        <v>192</v>
      </c>
      <c r="AG50" s="19">
        <f t="shared" si="15"/>
        <v>170</v>
      </c>
      <c r="AH50" s="19">
        <f t="shared" si="15"/>
        <v>184</v>
      </c>
      <c r="AI50" s="19">
        <f t="shared" si="15"/>
        <v>123</v>
      </c>
      <c r="AJ50" s="19">
        <f t="shared" si="15"/>
        <v>157</v>
      </c>
      <c r="AK50" s="13">
        <f t="shared" ref="AK50:AK52" si="16">SUM(E50:AJ50)</f>
        <v>6105</v>
      </c>
    </row>
    <row r="51" ht="12.75" customHeight="1">
      <c r="A51" s="35"/>
      <c r="B51" s="54" t="s">
        <v>44</v>
      </c>
      <c r="C51" s="55" t="s">
        <v>45</v>
      </c>
      <c r="D51" s="16"/>
      <c r="E51" s="19">
        <v>6.0</v>
      </c>
      <c r="F51" s="19">
        <v>12.0</v>
      </c>
      <c r="G51" s="19">
        <v>5.0</v>
      </c>
      <c r="H51" s="19">
        <v>1.0</v>
      </c>
      <c r="I51" s="19">
        <v>8.0</v>
      </c>
      <c r="J51" s="19">
        <v>5.0</v>
      </c>
      <c r="K51" s="19">
        <v>2.0</v>
      </c>
      <c r="L51" s="19">
        <v>8.0</v>
      </c>
      <c r="M51" s="19">
        <v>3.0</v>
      </c>
      <c r="N51" s="19">
        <v>12.0</v>
      </c>
      <c r="O51" s="19">
        <v>4.0</v>
      </c>
      <c r="P51" s="19">
        <v>9.0</v>
      </c>
      <c r="Q51" s="19">
        <v>7.0</v>
      </c>
      <c r="R51" s="19">
        <v>9.0</v>
      </c>
      <c r="S51" s="19">
        <v>7.0</v>
      </c>
      <c r="T51" s="19">
        <v>4.0</v>
      </c>
      <c r="U51" s="19">
        <v>7.0</v>
      </c>
      <c r="V51" s="19">
        <v>7.0</v>
      </c>
      <c r="W51" s="19">
        <v>12.0</v>
      </c>
      <c r="X51" s="19">
        <v>9.0</v>
      </c>
      <c r="Y51" s="19">
        <v>1.0</v>
      </c>
      <c r="Z51" s="19">
        <v>8.0</v>
      </c>
      <c r="AA51" s="19">
        <v>11.0</v>
      </c>
      <c r="AB51" s="19">
        <v>6.0</v>
      </c>
      <c r="AC51" s="19">
        <v>5.0</v>
      </c>
      <c r="AD51" s="19">
        <v>6.0</v>
      </c>
      <c r="AE51" s="19">
        <v>10.0</v>
      </c>
      <c r="AF51" s="19">
        <v>9.0</v>
      </c>
      <c r="AG51" s="19">
        <v>13.0</v>
      </c>
      <c r="AH51" s="19">
        <v>10.0</v>
      </c>
      <c r="AI51" s="19">
        <v>0.0</v>
      </c>
      <c r="AJ51" s="19">
        <v>2.0</v>
      </c>
      <c r="AK51" s="13">
        <f t="shared" si="16"/>
        <v>218</v>
      </c>
    </row>
    <row r="52" ht="12.75" customHeight="1">
      <c r="A52" s="41"/>
      <c r="B52" s="54" t="s">
        <v>46</v>
      </c>
      <c r="C52" s="55" t="s">
        <v>47</v>
      </c>
      <c r="D52" s="16"/>
      <c r="E52" s="13">
        <f t="shared" ref="E52:AJ52" si="17">SUM(E50:E51)</f>
        <v>211</v>
      </c>
      <c r="F52" s="13">
        <f t="shared" si="17"/>
        <v>208</v>
      </c>
      <c r="G52" s="13">
        <f t="shared" si="17"/>
        <v>230</v>
      </c>
      <c r="H52" s="13">
        <f t="shared" si="17"/>
        <v>205</v>
      </c>
      <c r="I52" s="13">
        <f t="shared" si="17"/>
        <v>217</v>
      </c>
      <c r="J52" s="13">
        <f t="shared" si="17"/>
        <v>200</v>
      </c>
      <c r="K52" s="13">
        <f t="shared" si="17"/>
        <v>231</v>
      </c>
      <c r="L52" s="13">
        <f t="shared" si="17"/>
        <v>228</v>
      </c>
      <c r="M52" s="13">
        <f t="shared" si="17"/>
        <v>229</v>
      </c>
      <c r="N52" s="13">
        <f t="shared" si="17"/>
        <v>217</v>
      </c>
      <c r="O52" s="13">
        <f t="shared" si="17"/>
        <v>211</v>
      </c>
      <c r="P52" s="13">
        <f t="shared" si="17"/>
        <v>201</v>
      </c>
      <c r="Q52" s="13">
        <f t="shared" si="17"/>
        <v>200</v>
      </c>
      <c r="R52" s="13">
        <f t="shared" si="17"/>
        <v>241</v>
      </c>
      <c r="S52" s="13">
        <f t="shared" si="17"/>
        <v>202</v>
      </c>
      <c r="T52" s="13">
        <f t="shared" si="17"/>
        <v>215</v>
      </c>
      <c r="U52" s="13">
        <f t="shared" si="17"/>
        <v>195</v>
      </c>
      <c r="V52" s="13">
        <f t="shared" si="17"/>
        <v>199</v>
      </c>
      <c r="W52" s="13">
        <f t="shared" si="17"/>
        <v>222</v>
      </c>
      <c r="X52" s="13">
        <f t="shared" si="17"/>
        <v>201</v>
      </c>
      <c r="Y52" s="13">
        <f t="shared" si="17"/>
        <v>176</v>
      </c>
      <c r="Z52" s="13">
        <f t="shared" si="17"/>
        <v>189</v>
      </c>
      <c r="AA52" s="13">
        <f t="shared" si="17"/>
        <v>160</v>
      </c>
      <c r="AB52" s="13">
        <f t="shared" si="17"/>
        <v>178</v>
      </c>
      <c r="AC52" s="13">
        <f t="shared" si="17"/>
        <v>150</v>
      </c>
      <c r="AD52" s="13">
        <f t="shared" si="17"/>
        <v>172</v>
      </c>
      <c r="AE52" s="13">
        <f t="shared" si="17"/>
        <v>175</v>
      </c>
      <c r="AF52" s="13">
        <f t="shared" si="17"/>
        <v>201</v>
      </c>
      <c r="AG52" s="13">
        <f t="shared" si="17"/>
        <v>183</v>
      </c>
      <c r="AH52" s="13">
        <f t="shared" si="17"/>
        <v>194</v>
      </c>
      <c r="AI52" s="13">
        <f t="shared" si="17"/>
        <v>123</v>
      </c>
      <c r="AJ52" s="13">
        <f t="shared" si="17"/>
        <v>159</v>
      </c>
      <c r="AK52" s="13">
        <f t="shared" si="16"/>
        <v>6323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>
      <c r="AL117" s="5"/>
      <c r="AM117" s="5"/>
    </row>
    <row r="118" ht="12.75" customHeight="1">
      <c r="AL118" s="5"/>
      <c r="AM118" s="5"/>
    </row>
    <row r="119" ht="12.75" customHeight="1">
      <c r="AL119" s="5"/>
      <c r="AM119" s="5"/>
    </row>
    <row r="120" ht="12.75" customHeight="1">
      <c r="AL120" s="5"/>
      <c r="AM120" s="5"/>
    </row>
    <row r="121" ht="12.75" customHeight="1">
      <c r="AL121" s="5"/>
      <c r="AM121" s="5"/>
    </row>
    <row r="122" ht="12.75" customHeight="1">
      <c r="AL122" s="5"/>
      <c r="AM122" s="5"/>
    </row>
    <row r="123" ht="12.75" customHeight="1">
      <c r="AL123" s="5"/>
      <c r="AM123" s="5"/>
    </row>
    <row r="124" ht="12.75" customHeight="1">
      <c r="AL124" s="5"/>
      <c r="AM124" s="5"/>
    </row>
    <row r="125" ht="12.75" customHeight="1">
      <c r="AL125" s="5"/>
      <c r="AM125" s="5"/>
    </row>
    <row r="126" ht="12.75" customHeight="1">
      <c r="AL126" s="5"/>
      <c r="AM126" s="5"/>
    </row>
    <row r="127" ht="12.75" customHeight="1">
      <c r="AL127" s="5"/>
      <c r="AM127" s="5"/>
    </row>
    <row r="128" ht="12.75" customHeight="1">
      <c r="AL128" s="5"/>
      <c r="AM128" s="5"/>
    </row>
    <row r="129" ht="12.75" customHeight="1">
      <c r="AL129" s="5"/>
      <c r="AM129" s="5"/>
    </row>
    <row r="130" ht="12.75" customHeight="1">
      <c r="AL130" s="1"/>
      <c r="AM130" s="1"/>
    </row>
    <row r="131" ht="12.75" customHeight="1">
      <c r="AL131" s="50"/>
      <c r="AM131" s="50"/>
    </row>
    <row r="132" ht="12.75" customHeight="1">
      <c r="AL132" s="5"/>
      <c r="AM132" s="5"/>
    </row>
    <row r="133" ht="12.75" customHeight="1">
      <c r="AL133" s="5"/>
      <c r="AM133" s="5"/>
    </row>
    <row r="134" ht="12.75" customHeight="1">
      <c r="AL134" s="5"/>
      <c r="AM134" s="5"/>
    </row>
    <row r="135" ht="12.75" customHeight="1">
      <c r="AL135" s="5"/>
      <c r="AM135" s="5"/>
    </row>
    <row r="136" ht="12.75" customHeight="1">
      <c r="AL136" s="5"/>
      <c r="AM136" s="5"/>
    </row>
    <row r="137" ht="12.75" customHeight="1">
      <c r="AL137" s="5"/>
      <c r="AM137" s="5"/>
    </row>
    <row r="138" ht="12.75" customHeight="1">
      <c r="AL138" s="5"/>
      <c r="AM138" s="5"/>
    </row>
    <row r="139" ht="12.75" customHeight="1">
      <c r="AL139" s="5"/>
      <c r="AM139" s="5"/>
    </row>
    <row r="140" ht="12.75" customHeight="1">
      <c r="AL140" s="5"/>
      <c r="AM140" s="5"/>
    </row>
    <row r="141" ht="12.75" customHeight="1">
      <c r="AL141" s="1"/>
      <c r="AM141" s="1"/>
    </row>
    <row r="142" ht="12.75" customHeight="1">
      <c r="AL142" s="50"/>
      <c r="AM142" s="50"/>
    </row>
    <row r="143" ht="12.75" customHeight="1">
      <c r="AL143" s="5"/>
      <c r="AM143" s="5"/>
    </row>
    <row r="144" ht="12.75" customHeight="1">
      <c r="AL144" s="5"/>
      <c r="AM144" s="5"/>
    </row>
    <row r="145" ht="12.75" customHeight="1">
      <c r="AL145" s="5"/>
      <c r="AM145" s="5"/>
    </row>
    <row r="146" ht="12.75" customHeight="1">
      <c r="AL146" s="5"/>
      <c r="AM146" s="5"/>
    </row>
    <row r="147" ht="12.75" customHeight="1">
      <c r="AL147" s="5"/>
      <c r="AM147" s="5"/>
    </row>
    <row r="148" ht="12.75" customHeight="1">
      <c r="AL148" s="5"/>
      <c r="AM148" s="5"/>
    </row>
    <row r="149" ht="12.75" customHeight="1">
      <c r="AL149" s="5"/>
      <c r="AM149" s="5"/>
    </row>
    <row r="150" ht="12.75" customHeight="1">
      <c r="AL150" s="5"/>
      <c r="AM150" s="5"/>
    </row>
    <row r="151" ht="12.75" customHeight="1">
      <c r="AL151" s="1"/>
      <c r="AM151" s="1"/>
    </row>
    <row r="152" ht="12.75" customHeight="1">
      <c r="AL152" s="50"/>
      <c r="AM152" s="50"/>
    </row>
    <row r="153" ht="12.75" customHeight="1">
      <c r="AL153" s="5"/>
      <c r="AM153" s="5"/>
    </row>
    <row r="154" ht="12.75" customHeight="1">
      <c r="AL154" s="5"/>
      <c r="AM154" s="5"/>
    </row>
    <row r="155" ht="12.75" customHeight="1">
      <c r="AL155" s="5"/>
      <c r="AM155" s="5"/>
    </row>
    <row r="156" ht="12.75" customHeight="1">
      <c r="AL156" s="5"/>
      <c r="AM156" s="5"/>
    </row>
    <row r="157" ht="12.75" customHeight="1">
      <c r="AL157" s="5"/>
      <c r="AM157" s="5"/>
    </row>
    <row r="158" ht="12.75" customHeight="1">
      <c r="AL158" s="5"/>
      <c r="AM158" s="5"/>
    </row>
    <row r="159" ht="12.75" customHeight="1">
      <c r="AL159" s="5"/>
      <c r="AM159" s="5"/>
    </row>
    <row r="160" ht="12.75" customHeight="1">
      <c r="AL160" s="5"/>
      <c r="AM160" s="5"/>
    </row>
    <row r="161" ht="12.75" customHeight="1">
      <c r="AL161" s="5"/>
      <c r="AM161" s="5"/>
    </row>
    <row r="162" ht="12.75" customHeight="1">
      <c r="AL162" s="5"/>
      <c r="AM162" s="5"/>
    </row>
    <row r="163" ht="12.75" customHeight="1">
      <c r="AL163" s="5"/>
      <c r="AM163" s="5"/>
    </row>
    <row r="164" ht="12.75" customHeight="1">
      <c r="AL164" s="5"/>
      <c r="AM164" s="5"/>
    </row>
    <row r="165" ht="12.75" customHeight="1">
      <c r="AL165" s="1"/>
      <c r="AM165" s="1"/>
    </row>
    <row r="166" ht="12.75" customHeight="1">
      <c r="AL166" s="50"/>
      <c r="AM166" s="50"/>
    </row>
    <row r="167" ht="12.75" customHeight="1">
      <c r="AL167" s="5"/>
      <c r="AM167" s="5"/>
    </row>
    <row r="168" ht="12.75" customHeight="1">
      <c r="AL168" s="5"/>
      <c r="AM168" s="5"/>
    </row>
    <row r="169" ht="12.75" customHeight="1">
      <c r="AL169" s="5"/>
      <c r="AM169" s="5"/>
    </row>
    <row r="170" ht="12.75" customHeight="1">
      <c r="AL170" s="5"/>
      <c r="AM170" s="5"/>
    </row>
    <row r="171" ht="12.75" customHeight="1">
      <c r="AL171" s="5"/>
      <c r="AM171" s="5"/>
    </row>
    <row r="172" ht="12.75" customHeight="1">
      <c r="AL172" s="5"/>
      <c r="AM172" s="5"/>
    </row>
    <row r="173" ht="12.75" customHeight="1">
      <c r="AL173" s="5"/>
      <c r="AM173" s="5"/>
    </row>
    <row r="174" ht="12.75" customHeight="1">
      <c r="AL174" s="5"/>
      <c r="AM174" s="5"/>
    </row>
    <row r="175" ht="12.75" customHeight="1">
      <c r="AL175" s="5"/>
      <c r="AM175" s="5"/>
    </row>
    <row r="176" ht="12.75" customHeight="1">
      <c r="AL176" s="1"/>
      <c r="AM176" s="1"/>
    </row>
    <row r="177" ht="12.75" customHeight="1"/>
    <row r="178" ht="12.75" customHeight="1">
      <c r="AL178" s="5"/>
      <c r="AM178" s="5"/>
    </row>
    <row r="179" ht="12.75" customHeight="1">
      <c r="AL179" s="5"/>
      <c r="AM179" s="5"/>
    </row>
    <row r="180" ht="12.75" customHeight="1">
      <c r="AL180" s="5"/>
      <c r="AM180" s="5"/>
    </row>
    <row r="181" ht="12.75" customHeight="1">
      <c r="AL181" s="5"/>
      <c r="AM181" s="5"/>
    </row>
    <row r="182" ht="12.75" customHeight="1">
      <c r="AL182" s="5"/>
      <c r="AM182" s="5"/>
    </row>
    <row r="183" ht="12.75" customHeight="1">
      <c r="AL183" s="5"/>
      <c r="AM183" s="5"/>
    </row>
    <row r="184" ht="12.75" customHeight="1">
      <c r="AL184" s="5"/>
      <c r="AM184" s="5"/>
    </row>
    <row r="185" ht="12.75" customHeight="1">
      <c r="AL185" s="5"/>
      <c r="AM185" s="5"/>
    </row>
    <row r="186" ht="12.75" customHeight="1">
      <c r="AL186" s="5"/>
      <c r="AM186" s="5"/>
    </row>
    <row r="187" ht="12.75" customHeight="1">
      <c r="AL187" s="1"/>
      <c r="AM187" s="1"/>
    </row>
    <row r="188" ht="12.75" customHeight="1"/>
    <row r="189" ht="12.75" customHeight="1">
      <c r="AL189" s="5"/>
      <c r="AM189" s="5"/>
    </row>
    <row r="190" ht="12.75" customHeight="1">
      <c r="AL190" s="5"/>
      <c r="AM190" s="5"/>
    </row>
    <row r="191" ht="12.75" customHeight="1">
      <c r="AL191" s="5"/>
      <c r="AM191" s="5"/>
    </row>
    <row r="192" ht="12.75" customHeight="1">
      <c r="AL192" s="5"/>
      <c r="AM192" s="5"/>
    </row>
    <row r="193" ht="12.75" customHeight="1">
      <c r="AL193" s="5"/>
      <c r="AM193" s="5"/>
    </row>
    <row r="194" ht="12.75" customHeight="1">
      <c r="AL194" s="5"/>
      <c r="AM194" s="5"/>
    </row>
    <row r="195" ht="12.75" customHeight="1">
      <c r="AL195" s="5"/>
      <c r="AM195" s="5"/>
    </row>
    <row r="196" ht="12.75" customHeight="1">
      <c r="AL196" s="1"/>
      <c r="AM196" s="1"/>
    </row>
    <row r="197" ht="12.75" customHeight="1">
      <c r="AL197" s="1"/>
      <c r="AM197" s="1"/>
    </row>
    <row r="198" ht="12.75" customHeight="1">
      <c r="AL198" s="1"/>
      <c r="AM198" s="1"/>
    </row>
    <row r="199" ht="12.75" customHeight="1">
      <c r="AL199" s="50"/>
      <c r="AM199" s="50"/>
    </row>
    <row r="200" ht="12.75" customHeight="1">
      <c r="AL200" s="5"/>
      <c r="AM200" s="5"/>
    </row>
    <row r="201" ht="12.75" customHeight="1">
      <c r="AL201" s="5"/>
      <c r="AM201" s="5"/>
    </row>
    <row r="202" ht="12.75" customHeight="1">
      <c r="AL202" s="5"/>
      <c r="AM202" s="5"/>
    </row>
    <row r="203" ht="12.75" customHeight="1">
      <c r="AL203" s="5"/>
      <c r="AM203" s="5"/>
    </row>
    <row r="204" ht="12.75" customHeight="1">
      <c r="AL204" s="5"/>
      <c r="AM204" s="5"/>
    </row>
    <row r="205" ht="12.75" customHeight="1">
      <c r="AL205" s="5"/>
      <c r="AM205" s="5"/>
    </row>
    <row r="206" ht="12.75" customHeight="1">
      <c r="AL206" s="5"/>
      <c r="AM206" s="5"/>
    </row>
    <row r="207" ht="12.75" customHeight="1">
      <c r="AL207" s="1"/>
      <c r="AM207" s="1"/>
    </row>
    <row r="208" ht="12.75" customHeight="1">
      <c r="AL208" s="50"/>
      <c r="AM208" s="50"/>
    </row>
    <row r="209" ht="12.75" customHeight="1">
      <c r="AL209" s="50"/>
      <c r="AM209" s="50"/>
    </row>
    <row r="210" ht="12.75" customHeight="1">
      <c r="AL210" s="50"/>
      <c r="AM210" s="50"/>
    </row>
    <row r="211" ht="12.75" customHeight="1">
      <c r="AL211" s="5"/>
      <c r="AM211" s="5"/>
    </row>
    <row r="212" ht="12.75" customHeight="1">
      <c r="AL212" s="5"/>
      <c r="AM212" s="5"/>
    </row>
    <row r="213" ht="12.75" customHeight="1">
      <c r="AL213" s="5"/>
      <c r="AM213" s="5"/>
    </row>
    <row r="214" ht="12.75" customHeight="1">
      <c r="AL214" s="5"/>
      <c r="AM214" s="5"/>
    </row>
    <row r="215" ht="12.75" customHeight="1">
      <c r="AL215" s="5"/>
      <c r="AM215" s="5"/>
    </row>
    <row r="216" ht="12.75" customHeight="1">
      <c r="AL216" s="5"/>
      <c r="AM216" s="5"/>
    </row>
    <row r="217" ht="12.75" customHeight="1">
      <c r="AL217" s="5"/>
      <c r="AM217" s="5"/>
    </row>
    <row r="218" ht="12.75" customHeight="1">
      <c r="AL218" s="1"/>
      <c r="AM218" s="1"/>
    </row>
    <row r="219" ht="12.75" customHeight="1">
      <c r="AL219" s="50"/>
      <c r="AM219" s="50"/>
    </row>
    <row r="220" ht="12.75" customHeight="1">
      <c r="AL220" s="5"/>
      <c r="AM220" s="5"/>
    </row>
    <row r="221" ht="12.75" customHeight="1">
      <c r="AL221" s="5"/>
      <c r="AM221" s="5"/>
    </row>
    <row r="222" ht="12.75" customHeight="1">
      <c r="AL222" s="5"/>
      <c r="AM222" s="5"/>
    </row>
    <row r="223" ht="12.75" customHeight="1">
      <c r="AL223" s="5"/>
      <c r="AM223" s="5"/>
    </row>
    <row r="224" ht="12.75" customHeight="1">
      <c r="AL224" s="5"/>
      <c r="AM224" s="5"/>
    </row>
    <row r="225" ht="12.75" customHeight="1">
      <c r="AL225" s="5"/>
      <c r="AM225" s="5"/>
    </row>
    <row r="226" ht="12.75" customHeight="1">
      <c r="AL226" s="5"/>
      <c r="AM226" s="5"/>
    </row>
    <row r="227" ht="12.75" customHeight="1">
      <c r="AL227" s="5"/>
      <c r="AM227" s="5"/>
    </row>
    <row r="228" ht="12.75" customHeight="1">
      <c r="AL228" s="5"/>
      <c r="AM228" s="5"/>
    </row>
    <row r="229" ht="12.75" customHeight="1">
      <c r="AL229" s="1"/>
      <c r="AM229" s="1"/>
    </row>
    <row r="230" ht="12.75" customHeight="1">
      <c r="AL230" s="50"/>
      <c r="AM230" s="50"/>
    </row>
    <row r="231" ht="12.75" customHeight="1">
      <c r="AL231" s="5"/>
      <c r="AM231" s="5"/>
    </row>
    <row r="232" ht="12.75" customHeight="1">
      <c r="AL232" s="5"/>
      <c r="AM232" s="5"/>
    </row>
    <row r="233" ht="12.75" customHeight="1">
      <c r="AL233" s="5"/>
      <c r="AM233" s="5"/>
    </row>
    <row r="234" ht="12.75" customHeight="1">
      <c r="AL234" s="5"/>
      <c r="AM234" s="5"/>
    </row>
    <row r="235" ht="12.75" customHeight="1">
      <c r="AL235" s="5"/>
      <c r="AM235" s="5"/>
    </row>
    <row r="236" ht="12.75" customHeight="1">
      <c r="AL236" s="5"/>
      <c r="AM236" s="5"/>
    </row>
    <row r="237" ht="12.75" customHeight="1">
      <c r="AL237" s="5"/>
      <c r="AM237" s="5"/>
    </row>
    <row r="238" ht="12.75" customHeight="1">
      <c r="AL238" s="5"/>
      <c r="AM238" s="5"/>
    </row>
    <row r="239" ht="12.75" customHeight="1">
      <c r="AL239" s="5"/>
      <c r="AM239" s="5"/>
    </row>
    <row r="240" ht="12.75" customHeight="1">
      <c r="AL240" s="1"/>
      <c r="AM240" s="1"/>
    </row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AJ12"/>
    <mergeCell ref="AK12:AK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14:AJ15">
    <cfRule type="containsBlanks" dxfId="1" priority="1">
      <formula>LEN(TRIM(E14))=0</formula>
    </cfRule>
  </conditionalFormatting>
  <conditionalFormatting sqref="E19:AJ20">
    <cfRule type="containsBlanks" dxfId="1" priority="2">
      <formula>LEN(TRIM(E19))=0</formula>
    </cfRule>
  </conditionalFormatting>
  <conditionalFormatting sqref="E22:AJ23 E25:AJ26 E33:AJ33 E35:AJ35 E39:AJ40">
    <cfRule type="containsBlanks" dxfId="1" priority="3">
      <formula>LEN(TRIM(E22))=0</formula>
    </cfRule>
  </conditionalFormatting>
  <conditionalFormatting sqref="E30:AJ30">
    <cfRule type="expression" dxfId="0" priority="4">
      <formula>E30&lt;&gt;E47</formula>
    </cfRule>
  </conditionalFormatting>
  <conditionalFormatting sqref="E30:AJ30">
    <cfRule type="expression" dxfId="0" priority="5">
      <formula>E30&lt;&gt;E34</formula>
    </cfRule>
  </conditionalFormatting>
  <conditionalFormatting sqref="E34:AJ34">
    <cfRule type="expression" dxfId="2" priority="6">
      <formula>E30&lt;&gt;E34</formula>
    </cfRule>
  </conditionalFormatting>
  <conditionalFormatting sqref="E34:AJ34">
    <cfRule type="expression" dxfId="3" priority="7">
      <formula>E30=E34</formula>
    </cfRule>
  </conditionalFormatting>
  <conditionalFormatting sqref="E34:AJ34">
    <cfRule type="expression" dxfId="0" priority="8">
      <formula>E34&lt;&gt;E30</formula>
    </cfRule>
  </conditionalFormatting>
  <conditionalFormatting sqref="E45:AJ47">
    <cfRule type="containsBlanks" dxfId="1" priority="9">
      <formula>LEN(TRIM(E45))=0</formula>
    </cfRule>
  </conditionalFormatting>
  <conditionalFormatting sqref="E50:AJ51">
    <cfRule type="containsBlanks" dxfId="1" priority="10">
      <formula>LEN(TRIM(E50))=0</formula>
    </cfRule>
  </conditionalFormatting>
  <conditionalFormatting sqref="E34:AJ34">
    <cfRule type="expression" dxfId="0" priority="11">
      <formula>E34&lt;&gt;#REF!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46" width="8.71"/>
    <col customWidth="1" min="47" max="47" width="13.29"/>
    <col customWidth="1" min="48" max="49" width="8.71"/>
  </cols>
  <sheetData>
    <row r="1" ht="12.75" customHeight="1"/>
    <row r="2" ht="12.75" customHeight="1">
      <c r="C2" s="8" t="s">
        <v>0</v>
      </c>
      <c r="D2" s="8" t="s">
        <v>48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49</v>
      </c>
      <c r="D9" s="8" t="s">
        <v>100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  <c r="AE11" s="1"/>
      <c r="AF11" s="1"/>
      <c r="AG11" s="1"/>
      <c r="AH11" s="2"/>
      <c r="AI11" s="1"/>
      <c r="AJ11" s="1"/>
      <c r="AK11" s="1"/>
      <c r="AL11" s="1"/>
      <c r="AM11" s="2"/>
      <c r="AN11" s="1"/>
      <c r="AO11" s="1"/>
      <c r="AP11" s="1"/>
      <c r="AQ11" s="1"/>
      <c r="AR11" s="2"/>
      <c r="AS11" s="1"/>
      <c r="AT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5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51</v>
      </c>
      <c r="F13" s="13" t="s">
        <v>52</v>
      </c>
      <c r="G13" s="13" t="s">
        <v>53</v>
      </c>
      <c r="H13" s="13" t="s">
        <v>54</v>
      </c>
      <c r="I13" s="13" t="s">
        <v>55</v>
      </c>
      <c r="J13" s="13" t="s">
        <v>56</v>
      </c>
      <c r="K13" s="13" t="s">
        <v>57</v>
      </c>
      <c r="L13" s="13" t="s">
        <v>58</v>
      </c>
      <c r="M13" s="13" t="s">
        <v>59</v>
      </c>
      <c r="N13" s="13" t="s">
        <v>60</v>
      </c>
      <c r="O13" s="13" t="s">
        <v>61</v>
      </c>
      <c r="P13" s="13" t="s">
        <v>62</v>
      </c>
      <c r="Q13" s="13" t="s">
        <v>63</v>
      </c>
      <c r="R13" s="13" t="s">
        <v>64</v>
      </c>
      <c r="S13" s="13" t="s">
        <v>65</v>
      </c>
      <c r="T13" s="13" t="s">
        <v>66</v>
      </c>
      <c r="U13" s="13" t="s">
        <v>67</v>
      </c>
      <c r="V13" s="13" t="s">
        <v>68</v>
      </c>
      <c r="W13" s="13" t="s">
        <v>69</v>
      </c>
      <c r="X13" s="13" t="s">
        <v>70</v>
      </c>
      <c r="Y13" s="13" t="s">
        <v>71</v>
      </c>
      <c r="Z13" s="13" t="s">
        <v>72</v>
      </c>
      <c r="AA13" s="13" t="s">
        <v>73</v>
      </c>
      <c r="AB13" s="13" t="s">
        <v>74</v>
      </c>
      <c r="AC13" s="13" t="s">
        <v>75</v>
      </c>
      <c r="AD13" s="13" t="s">
        <v>76</v>
      </c>
      <c r="AE13" s="13" t="s">
        <v>77</v>
      </c>
      <c r="AF13" s="13" t="s">
        <v>79</v>
      </c>
      <c r="AG13" s="13" t="s">
        <v>80</v>
      </c>
      <c r="AH13" s="13" t="s">
        <v>81</v>
      </c>
      <c r="AI13" s="13" t="s">
        <v>82</v>
      </c>
      <c r="AJ13" s="13" t="s">
        <v>83</v>
      </c>
      <c r="AK13" s="13" t="s">
        <v>84</v>
      </c>
      <c r="AL13" s="13" t="s">
        <v>85</v>
      </c>
      <c r="AM13" s="13" t="s">
        <v>86</v>
      </c>
      <c r="AN13" s="13" t="s">
        <v>87</v>
      </c>
      <c r="AO13" s="13" t="s">
        <v>88</v>
      </c>
      <c r="AP13" s="13" t="s">
        <v>89</v>
      </c>
      <c r="AQ13" s="13" t="s">
        <v>90</v>
      </c>
      <c r="AR13" s="13" t="s">
        <v>91</v>
      </c>
      <c r="AS13" s="13" t="s">
        <v>92</v>
      </c>
      <c r="AT13" s="13" t="s">
        <v>93</v>
      </c>
      <c r="AU13" s="36"/>
    </row>
    <row r="14" ht="12.75" customHeight="1">
      <c r="A14" s="18"/>
      <c r="B14" s="22" t="s">
        <v>11</v>
      </c>
      <c r="C14" s="23"/>
      <c r="D14" s="19" t="s">
        <v>12</v>
      </c>
      <c r="E14" s="19">
        <v>119.0</v>
      </c>
      <c r="F14" s="19">
        <v>148.0</v>
      </c>
      <c r="G14" s="19">
        <v>140.0</v>
      </c>
      <c r="H14" s="19">
        <v>99.0</v>
      </c>
      <c r="I14" s="19">
        <v>127.0</v>
      </c>
      <c r="J14" s="19">
        <v>131.0</v>
      </c>
      <c r="K14" s="19">
        <v>86.0</v>
      </c>
      <c r="L14" s="19">
        <v>129.0</v>
      </c>
      <c r="M14" s="19">
        <v>124.0</v>
      </c>
      <c r="N14" s="19">
        <v>132.0</v>
      </c>
      <c r="O14" s="19">
        <v>127.0</v>
      </c>
      <c r="P14" s="19">
        <v>133.0</v>
      </c>
      <c r="Q14" s="19">
        <v>144.0</v>
      </c>
      <c r="R14" s="19">
        <v>142.0</v>
      </c>
      <c r="S14" s="19">
        <v>141.0</v>
      </c>
      <c r="T14" s="19">
        <v>139.0</v>
      </c>
      <c r="U14" s="19">
        <v>136.0</v>
      </c>
      <c r="V14" s="19">
        <v>135.0</v>
      </c>
      <c r="W14" s="19">
        <v>142.0</v>
      </c>
      <c r="X14" s="19">
        <v>148.0</v>
      </c>
      <c r="Y14" s="19">
        <v>127.0</v>
      </c>
      <c r="Z14" s="19">
        <v>140.0</v>
      </c>
      <c r="AA14" s="19">
        <v>133.0</v>
      </c>
      <c r="AB14" s="19">
        <v>116.0</v>
      </c>
      <c r="AC14" s="19">
        <v>112.0</v>
      </c>
      <c r="AD14" s="19">
        <v>143.0</v>
      </c>
      <c r="AE14" s="19">
        <v>123.0</v>
      </c>
      <c r="AF14" s="19">
        <v>114.0</v>
      </c>
      <c r="AG14" s="19">
        <v>122.0</v>
      </c>
      <c r="AH14" s="19">
        <v>130.0</v>
      </c>
      <c r="AI14" s="63">
        <v>120.0</v>
      </c>
      <c r="AJ14" s="63">
        <v>151.0</v>
      </c>
      <c r="AK14" s="63">
        <v>123.0</v>
      </c>
      <c r="AL14" s="63">
        <v>106.0</v>
      </c>
      <c r="AM14" s="63">
        <v>103.0</v>
      </c>
      <c r="AN14" s="63">
        <v>147.0</v>
      </c>
      <c r="AO14" s="63">
        <v>142.0</v>
      </c>
      <c r="AP14" s="63">
        <v>141.0</v>
      </c>
      <c r="AQ14" s="63">
        <v>152.0</v>
      </c>
      <c r="AR14" s="63">
        <v>158.0</v>
      </c>
      <c r="AS14" s="63">
        <v>150.0</v>
      </c>
      <c r="AT14" s="63">
        <v>137.0</v>
      </c>
      <c r="AU14" s="13">
        <f t="shared" ref="AU14:AU16" si="1">SUM(E14:AT14)</f>
        <v>5512</v>
      </c>
    </row>
    <row r="15" ht="12.75" customHeight="1">
      <c r="A15" s="18"/>
      <c r="B15" s="26"/>
      <c r="C15" s="27"/>
      <c r="D15" s="19" t="s">
        <v>13</v>
      </c>
      <c r="E15" s="19">
        <v>127.0</v>
      </c>
      <c r="F15" s="19">
        <v>144.0</v>
      </c>
      <c r="G15" s="19">
        <v>142.0</v>
      </c>
      <c r="H15" s="19">
        <v>83.0</v>
      </c>
      <c r="I15" s="19">
        <v>121.0</v>
      </c>
      <c r="J15" s="19">
        <v>128.0</v>
      </c>
      <c r="K15" s="19">
        <v>86.0</v>
      </c>
      <c r="L15" s="19">
        <v>142.0</v>
      </c>
      <c r="M15" s="19">
        <v>127.0</v>
      </c>
      <c r="N15" s="19">
        <v>127.0</v>
      </c>
      <c r="O15" s="19">
        <v>113.0</v>
      </c>
      <c r="P15" s="19">
        <v>140.0</v>
      </c>
      <c r="Q15" s="19">
        <v>145.0</v>
      </c>
      <c r="R15" s="19">
        <v>143.0</v>
      </c>
      <c r="S15" s="19">
        <v>150.0</v>
      </c>
      <c r="T15" s="19">
        <v>138.0</v>
      </c>
      <c r="U15" s="19">
        <v>156.0</v>
      </c>
      <c r="V15" s="19">
        <v>155.0</v>
      </c>
      <c r="W15" s="19">
        <v>141.0</v>
      </c>
      <c r="X15" s="19">
        <v>147.0</v>
      </c>
      <c r="Y15" s="19">
        <v>159.0</v>
      </c>
      <c r="Z15" s="19">
        <v>138.0</v>
      </c>
      <c r="AA15" s="19">
        <v>158.0</v>
      </c>
      <c r="AB15" s="19">
        <v>121.0</v>
      </c>
      <c r="AC15" s="19">
        <v>139.0</v>
      </c>
      <c r="AD15" s="19">
        <v>152.0</v>
      </c>
      <c r="AE15" s="19">
        <v>110.0</v>
      </c>
      <c r="AF15" s="19">
        <v>118.0</v>
      </c>
      <c r="AG15" s="19">
        <v>136.0</v>
      </c>
      <c r="AH15" s="19">
        <v>127.0</v>
      </c>
      <c r="AI15" s="63">
        <v>128.0</v>
      </c>
      <c r="AJ15" s="63">
        <v>137.0</v>
      </c>
      <c r="AK15" s="63">
        <v>131.0</v>
      </c>
      <c r="AL15" s="63">
        <v>119.0</v>
      </c>
      <c r="AM15" s="63">
        <v>115.0</v>
      </c>
      <c r="AN15" s="63">
        <v>147.0</v>
      </c>
      <c r="AO15" s="63">
        <v>147.0</v>
      </c>
      <c r="AP15" s="63">
        <v>153.0</v>
      </c>
      <c r="AQ15" s="63">
        <v>143.0</v>
      </c>
      <c r="AR15" s="63">
        <v>141.0</v>
      </c>
      <c r="AS15" s="63">
        <v>144.0</v>
      </c>
      <c r="AT15" s="63">
        <v>120.0</v>
      </c>
      <c r="AU15" s="13">
        <f t="shared" si="1"/>
        <v>5638</v>
      </c>
    </row>
    <row r="16" ht="12.75" customHeight="1">
      <c r="A16" s="25"/>
      <c r="B16" s="21"/>
      <c r="C16" s="28"/>
      <c r="D16" s="13" t="s">
        <v>14</v>
      </c>
      <c r="E16" s="13">
        <f t="shared" ref="E16:AT16" si="2">SUM(E14:E15)</f>
        <v>246</v>
      </c>
      <c r="F16" s="13">
        <f t="shared" si="2"/>
        <v>292</v>
      </c>
      <c r="G16" s="13">
        <f t="shared" si="2"/>
        <v>282</v>
      </c>
      <c r="H16" s="13">
        <f t="shared" si="2"/>
        <v>182</v>
      </c>
      <c r="I16" s="13">
        <f t="shared" si="2"/>
        <v>248</v>
      </c>
      <c r="J16" s="13">
        <f t="shared" si="2"/>
        <v>259</v>
      </c>
      <c r="K16" s="13">
        <f t="shared" si="2"/>
        <v>172</v>
      </c>
      <c r="L16" s="13">
        <f t="shared" si="2"/>
        <v>271</v>
      </c>
      <c r="M16" s="13">
        <f t="shared" si="2"/>
        <v>251</v>
      </c>
      <c r="N16" s="13">
        <f t="shared" si="2"/>
        <v>259</v>
      </c>
      <c r="O16" s="13">
        <f t="shared" si="2"/>
        <v>240</v>
      </c>
      <c r="P16" s="13">
        <f t="shared" si="2"/>
        <v>273</v>
      </c>
      <c r="Q16" s="13">
        <f t="shared" si="2"/>
        <v>289</v>
      </c>
      <c r="R16" s="13">
        <f t="shared" si="2"/>
        <v>285</v>
      </c>
      <c r="S16" s="13">
        <f t="shared" si="2"/>
        <v>291</v>
      </c>
      <c r="T16" s="13">
        <f t="shared" si="2"/>
        <v>277</v>
      </c>
      <c r="U16" s="13">
        <f t="shared" si="2"/>
        <v>292</v>
      </c>
      <c r="V16" s="13">
        <f t="shared" si="2"/>
        <v>290</v>
      </c>
      <c r="W16" s="13">
        <f t="shared" si="2"/>
        <v>283</v>
      </c>
      <c r="X16" s="13">
        <f t="shared" si="2"/>
        <v>295</v>
      </c>
      <c r="Y16" s="13">
        <f t="shared" si="2"/>
        <v>286</v>
      </c>
      <c r="Z16" s="13">
        <f t="shared" si="2"/>
        <v>278</v>
      </c>
      <c r="AA16" s="13">
        <f t="shared" si="2"/>
        <v>291</v>
      </c>
      <c r="AB16" s="13">
        <f t="shared" si="2"/>
        <v>237</v>
      </c>
      <c r="AC16" s="13">
        <f t="shared" si="2"/>
        <v>251</v>
      </c>
      <c r="AD16" s="13">
        <f t="shared" si="2"/>
        <v>295</v>
      </c>
      <c r="AE16" s="13">
        <f t="shared" si="2"/>
        <v>233</v>
      </c>
      <c r="AF16" s="13">
        <f t="shared" si="2"/>
        <v>232</v>
      </c>
      <c r="AG16" s="13">
        <f t="shared" si="2"/>
        <v>258</v>
      </c>
      <c r="AH16" s="13">
        <f t="shared" si="2"/>
        <v>257</v>
      </c>
      <c r="AI16" s="13">
        <f t="shared" si="2"/>
        <v>248</v>
      </c>
      <c r="AJ16" s="13">
        <f t="shared" si="2"/>
        <v>288</v>
      </c>
      <c r="AK16" s="13">
        <f t="shared" si="2"/>
        <v>254</v>
      </c>
      <c r="AL16" s="13">
        <f t="shared" si="2"/>
        <v>225</v>
      </c>
      <c r="AM16" s="13">
        <f t="shared" si="2"/>
        <v>218</v>
      </c>
      <c r="AN16" s="13">
        <f t="shared" si="2"/>
        <v>294</v>
      </c>
      <c r="AO16" s="13">
        <f t="shared" si="2"/>
        <v>289</v>
      </c>
      <c r="AP16" s="13">
        <f t="shared" si="2"/>
        <v>294</v>
      </c>
      <c r="AQ16" s="13">
        <f t="shared" si="2"/>
        <v>295</v>
      </c>
      <c r="AR16" s="13">
        <f t="shared" si="2"/>
        <v>299</v>
      </c>
      <c r="AS16" s="13">
        <f t="shared" si="2"/>
        <v>294</v>
      </c>
      <c r="AT16" s="13">
        <f t="shared" si="2"/>
        <v>257</v>
      </c>
      <c r="AU16" s="13">
        <f t="shared" si="1"/>
        <v>11150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0"/>
      <c r="O17" s="19"/>
      <c r="P17" s="19"/>
      <c r="Q17" s="19"/>
      <c r="R17" s="19"/>
      <c r="S17" s="60"/>
      <c r="T17" s="19"/>
      <c r="U17" s="19"/>
      <c r="V17" s="19"/>
      <c r="W17" s="19"/>
      <c r="X17" s="60"/>
      <c r="Y17" s="19"/>
      <c r="Z17" s="19"/>
      <c r="AA17" s="19"/>
      <c r="AB17" s="19"/>
      <c r="AC17" s="60"/>
      <c r="AD17" s="19"/>
      <c r="AE17" s="19"/>
      <c r="AF17" s="19"/>
      <c r="AG17" s="19"/>
      <c r="AH17" s="60"/>
      <c r="AI17" s="19"/>
      <c r="AJ17" s="19"/>
      <c r="AK17" s="19"/>
      <c r="AL17" s="19"/>
      <c r="AM17" s="60"/>
      <c r="AN17" s="19"/>
      <c r="AO17" s="19"/>
      <c r="AP17" s="19"/>
      <c r="AQ17" s="19"/>
      <c r="AR17" s="60"/>
      <c r="AS17" s="19"/>
      <c r="AT17" s="19"/>
      <c r="AU17" s="61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0"/>
      <c r="O18" s="19"/>
      <c r="P18" s="19"/>
      <c r="Q18" s="19"/>
      <c r="R18" s="19"/>
      <c r="S18" s="60"/>
      <c r="T18" s="19"/>
      <c r="U18" s="19"/>
      <c r="V18" s="19"/>
      <c r="W18" s="19"/>
      <c r="X18" s="60"/>
      <c r="Y18" s="19"/>
      <c r="Z18" s="19"/>
      <c r="AA18" s="19"/>
      <c r="AB18" s="19"/>
      <c r="AC18" s="60"/>
      <c r="AD18" s="19"/>
      <c r="AE18" s="19"/>
      <c r="AF18" s="19"/>
      <c r="AG18" s="19"/>
      <c r="AH18" s="60"/>
      <c r="AI18" s="19"/>
      <c r="AJ18" s="19"/>
      <c r="AK18" s="19"/>
      <c r="AL18" s="19"/>
      <c r="AM18" s="60"/>
      <c r="AN18" s="19"/>
      <c r="AO18" s="19"/>
      <c r="AP18" s="19"/>
      <c r="AQ18" s="19"/>
      <c r="AR18" s="60"/>
      <c r="AS18" s="19"/>
      <c r="AT18" s="19"/>
      <c r="AU18" s="61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89.0</v>
      </c>
      <c r="F19" s="19">
        <v>93.0</v>
      </c>
      <c r="G19" s="19">
        <v>98.0</v>
      </c>
      <c r="H19" s="19">
        <v>74.0</v>
      </c>
      <c r="I19" s="19">
        <v>82.0</v>
      </c>
      <c r="J19" s="19">
        <v>91.0</v>
      </c>
      <c r="K19" s="19">
        <v>64.0</v>
      </c>
      <c r="L19" s="19">
        <v>84.0</v>
      </c>
      <c r="M19" s="19">
        <v>83.0</v>
      </c>
      <c r="N19" s="19">
        <v>93.0</v>
      </c>
      <c r="O19" s="19">
        <v>97.0</v>
      </c>
      <c r="P19" s="19">
        <v>84.0</v>
      </c>
      <c r="Q19" s="19">
        <v>92.0</v>
      </c>
      <c r="R19" s="19">
        <v>91.0</v>
      </c>
      <c r="S19" s="19">
        <v>91.0</v>
      </c>
      <c r="T19" s="19">
        <v>87.0</v>
      </c>
      <c r="U19" s="19">
        <v>96.0</v>
      </c>
      <c r="V19" s="19">
        <v>86.0</v>
      </c>
      <c r="W19" s="19">
        <v>92.0</v>
      </c>
      <c r="X19" s="19">
        <v>101.0</v>
      </c>
      <c r="Y19" s="19">
        <v>83.0</v>
      </c>
      <c r="Z19" s="19">
        <v>101.0</v>
      </c>
      <c r="AA19" s="19">
        <v>99.0</v>
      </c>
      <c r="AB19" s="19">
        <v>90.0</v>
      </c>
      <c r="AC19" s="19">
        <v>70.0</v>
      </c>
      <c r="AD19" s="19">
        <v>93.0</v>
      </c>
      <c r="AE19" s="19">
        <v>86.0</v>
      </c>
      <c r="AF19" s="19">
        <v>85.0</v>
      </c>
      <c r="AG19" s="19">
        <v>80.0</v>
      </c>
      <c r="AH19" s="19">
        <v>78.0</v>
      </c>
      <c r="AI19" s="63">
        <v>83.0</v>
      </c>
      <c r="AJ19" s="63">
        <v>98.0</v>
      </c>
      <c r="AK19" s="63">
        <v>101.0</v>
      </c>
      <c r="AL19" s="63">
        <v>78.0</v>
      </c>
      <c r="AM19" s="63">
        <v>64.0</v>
      </c>
      <c r="AN19" s="63">
        <v>88.0</v>
      </c>
      <c r="AO19" s="63">
        <v>101.0</v>
      </c>
      <c r="AP19" s="63">
        <v>103.0</v>
      </c>
      <c r="AQ19" s="63">
        <v>93.0</v>
      </c>
      <c r="AR19" s="63">
        <v>110.0</v>
      </c>
      <c r="AS19" s="63">
        <v>115.0</v>
      </c>
      <c r="AT19" s="63">
        <v>88.0</v>
      </c>
      <c r="AU19" s="13">
        <f t="shared" ref="AU19:AU30" si="3">SUM(E19:AT19)</f>
        <v>3755</v>
      </c>
    </row>
    <row r="20" ht="12.75" customHeight="1">
      <c r="A20" s="33"/>
      <c r="B20" s="27"/>
      <c r="C20" s="34"/>
      <c r="D20" s="19" t="s">
        <v>13</v>
      </c>
      <c r="E20" s="19">
        <v>95.0</v>
      </c>
      <c r="F20" s="19">
        <v>110.0</v>
      </c>
      <c r="G20" s="19">
        <v>104.0</v>
      </c>
      <c r="H20" s="19">
        <v>71.0</v>
      </c>
      <c r="I20" s="19">
        <v>90.0</v>
      </c>
      <c r="J20" s="19">
        <v>95.0</v>
      </c>
      <c r="K20" s="19">
        <v>69.0</v>
      </c>
      <c r="L20" s="19">
        <v>109.0</v>
      </c>
      <c r="M20" s="19">
        <v>99.0</v>
      </c>
      <c r="N20" s="19">
        <v>93.0</v>
      </c>
      <c r="O20" s="19">
        <v>87.0</v>
      </c>
      <c r="P20" s="19">
        <v>101.0</v>
      </c>
      <c r="Q20" s="19">
        <v>116.0</v>
      </c>
      <c r="R20" s="19">
        <v>107.0</v>
      </c>
      <c r="S20" s="19">
        <v>113.0</v>
      </c>
      <c r="T20" s="19">
        <v>105.0</v>
      </c>
      <c r="U20" s="19">
        <v>118.0</v>
      </c>
      <c r="V20" s="19">
        <v>118.0</v>
      </c>
      <c r="W20" s="19">
        <v>104.0</v>
      </c>
      <c r="X20" s="19">
        <v>108.0</v>
      </c>
      <c r="Y20" s="19">
        <v>108.0</v>
      </c>
      <c r="Z20" s="19">
        <v>114.0</v>
      </c>
      <c r="AA20" s="19">
        <v>128.0</v>
      </c>
      <c r="AB20" s="19">
        <v>98.0</v>
      </c>
      <c r="AC20" s="19">
        <v>101.0</v>
      </c>
      <c r="AD20" s="19">
        <v>101.0</v>
      </c>
      <c r="AE20" s="19">
        <v>84.0</v>
      </c>
      <c r="AF20" s="19">
        <v>93.0</v>
      </c>
      <c r="AG20" s="19">
        <v>90.0</v>
      </c>
      <c r="AH20" s="19">
        <v>96.0</v>
      </c>
      <c r="AI20" s="63">
        <v>109.0</v>
      </c>
      <c r="AJ20" s="63">
        <v>101.0</v>
      </c>
      <c r="AK20" s="63">
        <v>101.0</v>
      </c>
      <c r="AL20" s="63">
        <v>84.0</v>
      </c>
      <c r="AM20" s="63">
        <v>86.0</v>
      </c>
      <c r="AN20" s="63">
        <v>107.0</v>
      </c>
      <c r="AO20" s="63">
        <v>116.0</v>
      </c>
      <c r="AP20" s="63">
        <v>118.0</v>
      </c>
      <c r="AQ20" s="63">
        <v>109.0</v>
      </c>
      <c r="AR20" s="63">
        <v>118.0</v>
      </c>
      <c r="AS20" s="63">
        <v>127.0</v>
      </c>
      <c r="AT20" s="63">
        <v>100.0</v>
      </c>
      <c r="AU20" s="13">
        <f t="shared" si="3"/>
        <v>4301</v>
      </c>
    </row>
    <row r="21" ht="12.75" customHeight="1">
      <c r="A21" s="35"/>
      <c r="B21" s="28"/>
      <c r="C21" s="36"/>
      <c r="D21" s="13" t="s">
        <v>14</v>
      </c>
      <c r="E21" s="13">
        <f t="shared" ref="E21:AT21" si="4">SUM(E19:E20)</f>
        <v>184</v>
      </c>
      <c r="F21" s="13">
        <f t="shared" si="4"/>
        <v>203</v>
      </c>
      <c r="G21" s="13">
        <f t="shared" si="4"/>
        <v>202</v>
      </c>
      <c r="H21" s="13">
        <f t="shared" si="4"/>
        <v>145</v>
      </c>
      <c r="I21" s="13">
        <f t="shared" si="4"/>
        <v>172</v>
      </c>
      <c r="J21" s="13">
        <f t="shared" si="4"/>
        <v>186</v>
      </c>
      <c r="K21" s="13">
        <f t="shared" si="4"/>
        <v>133</v>
      </c>
      <c r="L21" s="13">
        <f t="shared" si="4"/>
        <v>193</v>
      </c>
      <c r="M21" s="13">
        <f t="shared" si="4"/>
        <v>182</v>
      </c>
      <c r="N21" s="13">
        <f t="shared" si="4"/>
        <v>186</v>
      </c>
      <c r="O21" s="13">
        <f t="shared" si="4"/>
        <v>184</v>
      </c>
      <c r="P21" s="13">
        <f t="shared" si="4"/>
        <v>185</v>
      </c>
      <c r="Q21" s="13">
        <f t="shared" si="4"/>
        <v>208</v>
      </c>
      <c r="R21" s="13">
        <f t="shared" si="4"/>
        <v>198</v>
      </c>
      <c r="S21" s="13">
        <f t="shared" si="4"/>
        <v>204</v>
      </c>
      <c r="T21" s="13">
        <f t="shared" si="4"/>
        <v>192</v>
      </c>
      <c r="U21" s="13">
        <f t="shared" si="4"/>
        <v>214</v>
      </c>
      <c r="V21" s="13">
        <f t="shared" si="4"/>
        <v>204</v>
      </c>
      <c r="W21" s="13">
        <f t="shared" si="4"/>
        <v>196</v>
      </c>
      <c r="X21" s="13">
        <f t="shared" si="4"/>
        <v>209</v>
      </c>
      <c r="Y21" s="13">
        <f t="shared" si="4"/>
        <v>191</v>
      </c>
      <c r="Z21" s="13">
        <f t="shared" si="4"/>
        <v>215</v>
      </c>
      <c r="AA21" s="13">
        <f t="shared" si="4"/>
        <v>227</v>
      </c>
      <c r="AB21" s="13">
        <f t="shared" si="4"/>
        <v>188</v>
      </c>
      <c r="AC21" s="13">
        <f t="shared" si="4"/>
        <v>171</v>
      </c>
      <c r="AD21" s="13">
        <f t="shared" si="4"/>
        <v>194</v>
      </c>
      <c r="AE21" s="13">
        <f t="shared" si="4"/>
        <v>170</v>
      </c>
      <c r="AF21" s="13">
        <f t="shared" si="4"/>
        <v>178</v>
      </c>
      <c r="AG21" s="13">
        <f t="shared" si="4"/>
        <v>170</v>
      </c>
      <c r="AH21" s="13">
        <f t="shared" si="4"/>
        <v>174</v>
      </c>
      <c r="AI21" s="13">
        <f t="shared" si="4"/>
        <v>192</v>
      </c>
      <c r="AJ21" s="13">
        <f t="shared" si="4"/>
        <v>199</v>
      </c>
      <c r="AK21" s="13">
        <f t="shared" si="4"/>
        <v>202</v>
      </c>
      <c r="AL21" s="13">
        <f t="shared" si="4"/>
        <v>162</v>
      </c>
      <c r="AM21" s="13">
        <f t="shared" si="4"/>
        <v>150</v>
      </c>
      <c r="AN21" s="13">
        <f t="shared" si="4"/>
        <v>195</v>
      </c>
      <c r="AO21" s="13">
        <f t="shared" si="4"/>
        <v>217</v>
      </c>
      <c r="AP21" s="13">
        <f t="shared" si="4"/>
        <v>221</v>
      </c>
      <c r="AQ21" s="13">
        <f t="shared" si="4"/>
        <v>202</v>
      </c>
      <c r="AR21" s="13">
        <f t="shared" si="4"/>
        <v>228</v>
      </c>
      <c r="AS21" s="13">
        <f t="shared" si="4"/>
        <v>242</v>
      </c>
      <c r="AT21" s="13">
        <f t="shared" si="4"/>
        <v>188</v>
      </c>
      <c r="AU21" s="13">
        <f t="shared" si="3"/>
        <v>8056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1.0</v>
      </c>
      <c r="F22" s="19">
        <v>0.0</v>
      </c>
      <c r="G22" s="19">
        <v>1.0</v>
      </c>
      <c r="H22" s="19">
        <v>0.0</v>
      </c>
      <c r="I22" s="19">
        <v>0.0</v>
      </c>
      <c r="J22" s="19">
        <v>1.0</v>
      </c>
      <c r="K22" s="19">
        <v>1.0</v>
      </c>
      <c r="L22" s="19">
        <v>2.0</v>
      </c>
      <c r="M22" s="19">
        <v>0.0</v>
      </c>
      <c r="N22" s="19">
        <v>3.0</v>
      </c>
      <c r="O22" s="19">
        <v>1.0</v>
      </c>
      <c r="P22" s="19">
        <v>1.0</v>
      </c>
      <c r="Q22" s="19">
        <v>0.0</v>
      </c>
      <c r="R22" s="19">
        <v>1.0</v>
      </c>
      <c r="S22" s="19">
        <v>1.0</v>
      </c>
      <c r="T22" s="19">
        <v>1.0</v>
      </c>
      <c r="U22" s="19">
        <v>1.0</v>
      </c>
      <c r="V22" s="19">
        <v>1.0</v>
      </c>
      <c r="W22" s="19">
        <v>0.0</v>
      </c>
      <c r="X22" s="19">
        <v>1.0</v>
      </c>
      <c r="Y22" s="19">
        <v>1.0</v>
      </c>
      <c r="Z22" s="19">
        <v>0.0</v>
      </c>
      <c r="AA22" s="19">
        <v>0.0</v>
      </c>
      <c r="AB22" s="19">
        <v>1.0</v>
      </c>
      <c r="AC22" s="19">
        <v>0.0</v>
      </c>
      <c r="AD22" s="19">
        <v>1.0</v>
      </c>
      <c r="AE22" s="19">
        <v>1.0</v>
      </c>
      <c r="AF22" s="19">
        <v>1.0</v>
      </c>
      <c r="AG22" s="19">
        <v>1.0</v>
      </c>
      <c r="AH22" s="19">
        <v>0.0</v>
      </c>
      <c r="AI22" s="63">
        <v>0.0</v>
      </c>
      <c r="AJ22" s="63">
        <v>0.0</v>
      </c>
      <c r="AK22" s="63">
        <v>2.0</v>
      </c>
      <c r="AL22" s="63">
        <v>1.0</v>
      </c>
      <c r="AM22" s="63">
        <v>1.0</v>
      </c>
      <c r="AN22" s="63">
        <v>0.0</v>
      </c>
      <c r="AO22" s="63">
        <v>0.0</v>
      </c>
      <c r="AP22" s="63">
        <v>0.0</v>
      </c>
      <c r="AQ22" s="63">
        <v>0.0</v>
      </c>
      <c r="AR22" s="63">
        <v>1.0</v>
      </c>
      <c r="AS22" s="63">
        <v>1.0</v>
      </c>
      <c r="AT22" s="63">
        <v>0.0</v>
      </c>
      <c r="AU22" s="13">
        <f t="shared" si="3"/>
        <v>29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1.0</v>
      </c>
      <c r="J23" s="19">
        <v>0.0</v>
      </c>
      <c r="K23" s="19">
        <v>0.0</v>
      </c>
      <c r="L23" s="19">
        <v>0.0</v>
      </c>
      <c r="M23" s="19">
        <v>1.0</v>
      </c>
      <c r="N23" s="19">
        <v>1.0</v>
      </c>
      <c r="O23" s="19">
        <v>0.0</v>
      </c>
      <c r="P23" s="19">
        <v>0.0</v>
      </c>
      <c r="Q23" s="19">
        <v>1.0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1.0</v>
      </c>
      <c r="Y23" s="19">
        <v>0.0</v>
      </c>
      <c r="Z23" s="19">
        <v>0.0</v>
      </c>
      <c r="AA23" s="19">
        <v>1.0</v>
      </c>
      <c r="AB23" s="19">
        <v>2.0</v>
      </c>
      <c r="AC23" s="19">
        <v>0.0</v>
      </c>
      <c r="AD23" s="19">
        <v>1.0</v>
      </c>
      <c r="AE23" s="19">
        <v>1.0</v>
      </c>
      <c r="AF23" s="19">
        <v>0.0</v>
      </c>
      <c r="AG23" s="19">
        <v>1.0</v>
      </c>
      <c r="AH23" s="19">
        <v>1.0</v>
      </c>
      <c r="AI23" s="63">
        <v>1.0</v>
      </c>
      <c r="AJ23" s="63">
        <v>1.0</v>
      </c>
      <c r="AK23" s="63">
        <v>0.0</v>
      </c>
      <c r="AL23" s="63">
        <v>0.0</v>
      </c>
      <c r="AM23" s="63">
        <v>0.0</v>
      </c>
      <c r="AN23" s="63">
        <v>1.0</v>
      </c>
      <c r="AO23" s="63">
        <v>1.0</v>
      </c>
      <c r="AP23" s="63">
        <v>1.0</v>
      </c>
      <c r="AQ23" s="63">
        <v>1.0</v>
      </c>
      <c r="AR23" s="63">
        <v>0.0</v>
      </c>
      <c r="AS23" s="63">
        <v>0.0</v>
      </c>
      <c r="AT23" s="63">
        <v>0.0</v>
      </c>
      <c r="AU23" s="13">
        <f t="shared" si="3"/>
        <v>18</v>
      </c>
    </row>
    <row r="24" ht="12.75" customHeight="1">
      <c r="A24" s="35"/>
      <c r="B24" s="28"/>
      <c r="C24" s="36"/>
      <c r="D24" s="13" t="s">
        <v>14</v>
      </c>
      <c r="E24" s="13">
        <f t="shared" ref="E24:AT24" si="5">SUM(E22:E23)</f>
        <v>1</v>
      </c>
      <c r="F24" s="13">
        <f t="shared" si="5"/>
        <v>0</v>
      </c>
      <c r="G24" s="13">
        <f t="shared" si="5"/>
        <v>1</v>
      </c>
      <c r="H24" s="13">
        <f t="shared" si="5"/>
        <v>0</v>
      </c>
      <c r="I24" s="13">
        <f t="shared" si="5"/>
        <v>1</v>
      </c>
      <c r="J24" s="13">
        <f t="shared" si="5"/>
        <v>1</v>
      </c>
      <c r="K24" s="13">
        <f t="shared" si="5"/>
        <v>1</v>
      </c>
      <c r="L24" s="13">
        <f t="shared" si="5"/>
        <v>2</v>
      </c>
      <c r="M24" s="13">
        <f t="shared" si="5"/>
        <v>1</v>
      </c>
      <c r="N24" s="13">
        <f t="shared" si="5"/>
        <v>4</v>
      </c>
      <c r="O24" s="13">
        <f t="shared" si="5"/>
        <v>1</v>
      </c>
      <c r="P24" s="13">
        <f t="shared" si="5"/>
        <v>1</v>
      </c>
      <c r="Q24" s="13">
        <f t="shared" si="5"/>
        <v>1</v>
      </c>
      <c r="R24" s="13">
        <f t="shared" si="5"/>
        <v>1</v>
      </c>
      <c r="S24" s="13">
        <f t="shared" si="5"/>
        <v>1</v>
      </c>
      <c r="T24" s="13">
        <f t="shared" si="5"/>
        <v>1</v>
      </c>
      <c r="U24" s="13">
        <f t="shared" si="5"/>
        <v>1</v>
      </c>
      <c r="V24" s="13">
        <f t="shared" si="5"/>
        <v>1</v>
      </c>
      <c r="W24" s="13">
        <f t="shared" si="5"/>
        <v>0</v>
      </c>
      <c r="X24" s="13">
        <f t="shared" si="5"/>
        <v>2</v>
      </c>
      <c r="Y24" s="13">
        <f t="shared" si="5"/>
        <v>1</v>
      </c>
      <c r="Z24" s="13">
        <f t="shared" si="5"/>
        <v>0</v>
      </c>
      <c r="AA24" s="13">
        <f t="shared" si="5"/>
        <v>1</v>
      </c>
      <c r="AB24" s="13">
        <f t="shared" si="5"/>
        <v>3</v>
      </c>
      <c r="AC24" s="13">
        <f t="shared" si="5"/>
        <v>0</v>
      </c>
      <c r="AD24" s="13">
        <f t="shared" si="5"/>
        <v>2</v>
      </c>
      <c r="AE24" s="13">
        <f t="shared" si="5"/>
        <v>2</v>
      </c>
      <c r="AF24" s="13">
        <f t="shared" si="5"/>
        <v>1</v>
      </c>
      <c r="AG24" s="13">
        <f t="shared" si="5"/>
        <v>2</v>
      </c>
      <c r="AH24" s="13">
        <f t="shared" si="5"/>
        <v>1</v>
      </c>
      <c r="AI24" s="13">
        <f t="shared" si="5"/>
        <v>1</v>
      </c>
      <c r="AJ24" s="13">
        <f t="shared" si="5"/>
        <v>1</v>
      </c>
      <c r="AK24" s="13">
        <f t="shared" si="5"/>
        <v>2</v>
      </c>
      <c r="AL24" s="13">
        <f t="shared" si="5"/>
        <v>1</v>
      </c>
      <c r="AM24" s="13">
        <f t="shared" si="5"/>
        <v>1</v>
      </c>
      <c r="AN24" s="13">
        <f t="shared" si="5"/>
        <v>1</v>
      </c>
      <c r="AO24" s="13">
        <f t="shared" si="5"/>
        <v>1</v>
      </c>
      <c r="AP24" s="13">
        <f t="shared" si="5"/>
        <v>1</v>
      </c>
      <c r="AQ24" s="13">
        <f t="shared" si="5"/>
        <v>1</v>
      </c>
      <c r="AR24" s="13">
        <f t="shared" si="5"/>
        <v>1</v>
      </c>
      <c r="AS24" s="13">
        <f t="shared" si="5"/>
        <v>1</v>
      </c>
      <c r="AT24" s="13">
        <f t="shared" si="5"/>
        <v>0</v>
      </c>
      <c r="AU24" s="13">
        <f t="shared" si="3"/>
        <v>47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1.0</v>
      </c>
      <c r="F25" s="19">
        <v>0.0</v>
      </c>
      <c r="G25" s="19">
        <v>3.0</v>
      </c>
      <c r="H25" s="19">
        <v>0.0</v>
      </c>
      <c r="I25" s="19">
        <v>0.0</v>
      </c>
      <c r="J25" s="19">
        <v>1.0</v>
      </c>
      <c r="K25" s="19">
        <v>0.0</v>
      </c>
      <c r="L25" s="19">
        <v>1.0</v>
      </c>
      <c r="M25" s="19">
        <v>3.0</v>
      </c>
      <c r="N25" s="19">
        <v>0.0</v>
      </c>
      <c r="O25" s="19">
        <v>1.0</v>
      </c>
      <c r="P25" s="19">
        <v>4.0</v>
      </c>
      <c r="Q25" s="19">
        <v>1.0</v>
      </c>
      <c r="R25" s="19">
        <v>1.0</v>
      </c>
      <c r="S25" s="19">
        <v>1.0</v>
      </c>
      <c r="T25" s="19">
        <v>1.0</v>
      </c>
      <c r="U25" s="19">
        <v>1.0</v>
      </c>
      <c r="V25" s="19">
        <v>3.0</v>
      </c>
      <c r="W25" s="19">
        <v>3.0</v>
      </c>
      <c r="X25" s="19">
        <v>1.0</v>
      </c>
      <c r="Y25" s="19">
        <v>2.0</v>
      </c>
      <c r="Z25" s="19">
        <v>1.0</v>
      </c>
      <c r="AA25" s="19">
        <v>1.0</v>
      </c>
      <c r="AB25" s="19">
        <v>3.0</v>
      </c>
      <c r="AC25" s="19">
        <v>2.0</v>
      </c>
      <c r="AD25" s="19">
        <v>1.0</v>
      </c>
      <c r="AE25" s="19">
        <v>0.0</v>
      </c>
      <c r="AF25" s="19">
        <v>1.0</v>
      </c>
      <c r="AG25" s="19">
        <v>0.0</v>
      </c>
      <c r="AH25" s="19">
        <v>0.0</v>
      </c>
      <c r="AI25" s="63">
        <v>0.0</v>
      </c>
      <c r="AJ25" s="63">
        <v>6.0</v>
      </c>
      <c r="AK25" s="63">
        <v>0.0</v>
      </c>
      <c r="AL25" s="63">
        <v>0.0</v>
      </c>
      <c r="AM25" s="63">
        <v>1.0</v>
      </c>
      <c r="AN25" s="63">
        <v>2.0</v>
      </c>
      <c r="AO25" s="63">
        <v>6.0</v>
      </c>
      <c r="AP25" s="63">
        <v>2.0</v>
      </c>
      <c r="AQ25" s="63">
        <v>0.0</v>
      </c>
      <c r="AR25" s="63">
        <v>2.0</v>
      </c>
      <c r="AS25" s="63">
        <v>2.0</v>
      </c>
      <c r="AT25" s="63">
        <v>0.0</v>
      </c>
      <c r="AU25" s="13">
        <f t="shared" si="3"/>
        <v>58</v>
      </c>
    </row>
    <row r="26" ht="12.75" customHeight="1">
      <c r="A26" s="33"/>
      <c r="B26" s="27"/>
      <c r="C26" s="34"/>
      <c r="D26" s="19" t="s">
        <v>13</v>
      </c>
      <c r="E26" s="19">
        <v>3.0</v>
      </c>
      <c r="F26" s="19">
        <v>0.0</v>
      </c>
      <c r="G26" s="19">
        <v>3.0</v>
      </c>
      <c r="H26" s="19">
        <v>0.0</v>
      </c>
      <c r="I26" s="19">
        <v>0.0</v>
      </c>
      <c r="J26" s="19">
        <v>0.0</v>
      </c>
      <c r="K26" s="19">
        <v>0.0</v>
      </c>
      <c r="L26" s="19">
        <v>2.0</v>
      </c>
      <c r="M26" s="19">
        <v>3.0</v>
      </c>
      <c r="N26" s="19">
        <v>1.0</v>
      </c>
      <c r="O26" s="19">
        <v>1.0</v>
      </c>
      <c r="P26" s="19">
        <v>4.0</v>
      </c>
      <c r="Q26" s="19">
        <v>2.0</v>
      </c>
      <c r="R26" s="19">
        <v>0.0</v>
      </c>
      <c r="S26" s="19">
        <v>2.0</v>
      </c>
      <c r="T26" s="19">
        <v>1.0</v>
      </c>
      <c r="U26" s="19">
        <v>5.0</v>
      </c>
      <c r="V26" s="19">
        <v>1.0</v>
      </c>
      <c r="W26" s="19">
        <v>2.0</v>
      </c>
      <c r="X26" s="19">
        <v>0.0</v>
      </c>
      <c r="Y26" s="19">
        <v>0.0</v>
      </c>
      <c r="Z26" s="19">
        <v>1.0</v>
      </c>
      <c r="AA26" s="19">
        <v>3.0</v>
      </c>
      <c r="AB26" s="19">
        <v>2.0</v>
      </c>
      <c r="AC26" s="19">
        <v>1.0</v>
      </c>
      <c r="AD26" s="19">
        <v>0.0</v>
      </c>
      <c r="AE26" s="19">
        <v>1.0</v>
      </c>
      <c r="AF26" s="19">
        <v>0.0</v>
      </c>
      <c r="AG26" s="19">
        <v>2.0</v>
      </c>
      <c r="AH26" s="19">
        <v>0.0</v>
      </c>
      <c r="AI26" s="63">
        <v>0.0</v>
      </c>
      <c r="AJ26" s="63">
        <v>5.0</v>
      </c>
      <c r="AK26" s="63">
        <v>1.0</v>
      </c>
      <c r="AL26" s="63">
        <v>3.0</v>
      </c>
      <c r="AM26" s="63">
        <v>0.0</v>
      </c>
      <c r="AN26" s="63">
        <v>3.0</v>
      </c>
      <c r="AO26" s="63">
        <v>2.0</v>
      </c>
      <c r="AP26" s="63">
        <v>2.0</v>
      </c>
      <c r="AQ26" s="63">
        <v>0.0</v>
      </c>
      <c r="AR26" s="63">
        <v>0.0</v>
      </c>
      <c r="AS26" s="63">
        <v>1.0</v>
      </c>
      <c r="AT26" s="63">
        <v>0.0</v>
      </c>
      <c r="AU26" s="13">
        <f t="shared" si="3"/>
        <v>57</v>
      </c>
    </row>
    <row r="27" ht="12.75" customHeight="1">
      <c r="A27" s="35"/>
      <c r="B27" s="28"/>
      <c r="C27" s="36"/>
      <c r="D27" s="13" t="s">
        <v>14</v>
      </c>
      <c r="E27" s="13">
        <f t="shared" ref="E27:AT27" si="6">SUM(E25:E26)</f>
        <v>4</v>
      </c>
      <c r="F27" s="13">
        <f t="shared" si="6"/>
        <v>0</v>
      </c>
      <c r="G27" s="13">
        <f t="shared" si="6"/>
        <v>6</v>
      </c>
      <c r="H27" s="13">
        <f t="shared" si="6"/>
        <v>0</v>
      </c>
      <c r="I27" s="13">
        <f t="shared" si="6"/>
        <v>0</v>
      </c>
      <c r="J27" s="13">
        <f t="shared" si="6"/>
        <v>1</v>
      </c>
      <c r="K27" s="13">
        <f t="shared" si="6"/>
        <v>0</v>
      </c>
      <c r="L27" s="13">
        <f t="shared" si="6"/>
        <v>3</v>
      </c>
      <c r="M27" s="13">
        <f t="shared" si="6"/>
        <v>6</v>
      </c>
      <c r="N27" s="13">
        <f t="shared" si="6"/>
        <v>1</v>
      </c>
      <c r="O27" s="13">
        <f t="shared" si="6"/>
        <v>2</v>
      </c>
      <c r="P27" s="13">
        <f t="shared" si="6"/>
        <v>8</v>
      </c>
      <c r="Q27" s="13">
        <f t="shared" si="6"/>
        <v>3</v>
      </c>
      <c r="R27" s="13">
        <f t="shared" si="6"/>
        <v>1</v>
      </c>
      <c r="S27" s="13">
        <f t="shared" si="6"/>
        <v>3</v>
      </c>
      <c r="T27" s="13">
        <f t="shared" si="6"/>
        <v>2</v>
      </c>
      <c r="U27" s="13">
        <f t="shared" si="6"/>
        <v>6</v>
      </c>
      <c r="V27" s="13">
        <f t="shared" si="6"/>
        <v>4</v>
      </c>
      <c r="W27" s="13">
        <f t="shared" si="6"/>
        <v>5</v>
      </c>
      <c r="X27" s="13">
        <f t="shared" si="6"/>
        <v>1</v>
      </c>
      <c r="Y27" s="13">
        <f t="shared" si="6"/>
        <v>2</v>
      </c>
      <c r="Z27" s="13">
        <f t="shared" si="6"/>
        <v>2</v>
      </c>
      <c r="AA27" s="13">
        <f t="shared" si="6"/>
        <v>4</v>
      </c>
      <c r="AB27" s="13">
        <f t="shared" si="6"/>
        <v>5</v>
      </c>
      <c r="AC27" s="13">
        <f t="shared" si="6"/>
        <v>3</v>
      </c>
      <c r="AD27" s="13">
        <f t="shared" si="6"/>
        <v>1</v>
      </c>
      <c r="AE27" s="13">
        <f t="shared" si="6"/>
        <v>1</v>
      </c>
      <c r="AF27" s="13">
        <f t="shared" si="6"/>
        <v>1</v>
      </c>
      <c r="AG27" s="13">
        <f t="shared" si="6"/>
        <v>2</v>
      </c>
      <c r="AH27" s="13">
        <f t="shared" si="6"/>
        <v>0</v>
      </c>
      <c r="AI27" s="13">
        <f t="shared" si="6"/>
        <v>0</v>
      </c>
      <c r="AJ27" s="13">
        <f t="shared" si="6"/>
        <v>11</v>
      </c>
      <c r="AK27" s="13">
        <f t="shared" si="6"/>
        <v>1</v>
      </c>
      <c r="AL27" s="13">
        <f t="shared" si="6"/>
        <v>3</v>
      </c>
      <c r="AM27" s="13">
        <f t="shared" si="6"/>
        <v>1</v>
      </c>
      <c r="AN27" s="13">
        <f t="shared" si="6"/>
        <v>5</v>
      </c>
      <c r="AO27" s="13">
        <f t="shared" si="6"/>
        <v>8</v>
      </c>
      <c r="AP27" s="13">
        <f t="shared" si="6"/>
        <v>4</v>
      </c>
      <c r="AQ27" s="13">
        <f t="shared" si="6"/>
        <v>0</v>
      </c>
      <c r="AR27" s="13">
        <f t="shared" si="6"/>
        <v>2</v>
      </c>
      <c r="AS27" s="13">
        <f t="shared" si="6"/>
        <v>3</v>
      </c>
      <c r="AT27" s="13">
        <f t="shared" si="6"/>
        <v>0</v>
      </c>
      <c r="AU27" s="13">
        <f t="shared" si="3"/>
        <v>115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T28" si="7">SUM(E19,E22,E25)</f>
        <v>91</v>
      </c>
      <c r="F28" s="13">
        <f t="shared" si="7"/>
        <v>93</v>
      </c>
      <c r="G28" s="13">
        <f t="shared" si="7"/>
        <v>102</v>
      </c>
      <c r="H28" s="13">
        <f t="shared" si="7"/>
        <v>74</v>
      </c>
      <c r="I28" s="13">
        <f t="shared" si="7"/>
        <v>82</v>
      </c>
      <c r="J28" s="13">
        <f t="shared" si="7"/>
        <v>93</v>
      </c>
      <c r="K28" s="13">
        <f t="shared" si="7"/>
        <v>65</v>
      </c>
      <c r="L28" s="13">
        <f t="shared" si="7"/>
        <v>87</v>
      </c>
      <c r="M28" s="13">
        <f t="shared" si="7"/>
        <v>86</v>
      </c>
      <c r="N28" s="13">
        <f t="shared" si="7"/>
        <v>96</v>
      </c>
      <c r="O28" s="13">
        <f t="shared" si="7"/>
        <v>99</v>
      </c>
      <c r="P28" s="13">
        <f t="shared" si="7"/>
        <v>89</v>
      </c>
      <c r="Q28" s="13">
        <f t="shared" si="7"/>
        <v>93</v>
      </c>
      <c r="R28" s="13">
        <f t="shared" si="7"/>
        <v>93</v>
      </c>
      <c r="S28" s="13">
        <f t="shared" si="7"/>
        <v>93</v>
      </c>
      <c r="T28" s="13">
        <f t="shared" si="7"/>
        <v>89</v>
      </c>
      <c r="U28" s="13">
        <f t="shared" si="7"/>
        <v>98</v>
      </c>
      <c r="V28" s="13">
        <f t="shared" si="7"/>
        <v>90</v>
      </c>
      <c r="W28" s="13">
        <f t="shared" si="7"/>
        <v>95</v>
      </c>
      <c r="X28" s="13">
        <f t="shared" si="7"/>
        <v>103</v>
      </c>
      <c r="Y28" s="13">
        <f t="shared" si="7"/>
        <v>86</v>
      </c>
      <c r="Z28" s="13">
        <f t="shared" si="7"/>
        <v>102</v>
      </c>
      <c r="AA28" s="13">
        <f t="shared" si="7"/>
        <v>100</v>
      </c>
      <c r="AB28" s="13">
        <f t="shared" si="7"/>
        <v>94</v>
      </c>
      <c r="AC28" s="13">
        <f t="shared" si="7"/>
        <v>72</v>
      </c>
      <c r="AD28" s="13">
        <f t="shared" si="7"/>
        <v>95</v>
      </c>
      <c r="AE28" s="13">
        <f t="shared" si="7"/>
        <v>87</v>
      </c>
      <c r="AF28" s="13">
        <f t="shared" si="7"/>
        <v>87</v>
      </c>
      <c r="AG28" s="13">
        <f t="shared" si="7"/>
        <v>81</v>
      </c>
      <c r="AH28" s="13">
        <f t="shared" si="7"/>
        <v>78</v>
      </c>
      <c r="AI28" s="13">
        <f t="shared" si="7"/>
        <v>83</v>
      </c>
      <c r="AJ28" s="13">
        <f t="shared" si="7"/>
        <v>104</v>
      </c>
      <c r="AK28" s="13">
        <f t="shared" si="7"/>
        <v>103</v>
      </c>
      <c r="AL28" s="13">
        <f t="shared" si="7"/>
        <v>79</v>
      </c>
      <c r="AM28" s="13">
        <f t="shared" si="7"/>
        <v>66</v>
      </c>
      <c r="AN28" s="13">
        <f t="shared" si="7"/>
        <v>90</v>
      </c>
      <c r="AO28" s="13">
        <f t="shared" si="7"/>
        <v>107</v>
      </c>
      <c r="AP28" s="13">
        <f t="shared" si="7"/>
        <v>105</v>
      </c>
      <c r="AQ28" s="13">
        <f t="shared" si="7"/>
        <v>93</v>
      </c>
      <c r="AR28" s="13">
        <f t="shared" si="7"/>
        <v>113</v>
      </c>
      <c r="AS28" s="13">
        <f t="shared" si="7"/>
        <v>118</v>
      </c>
      <c r="AT28" s="13">
        <f t="shared" si="7"/>
        <v>88</v>
      </c>
      <c r="AU28" s="13">
        <f t="shared" si="3"/>
        <v>3842</v>
      </c>
    </row>
    <row r="29" ht="12.75" customHeight="1">
      <c r="A29" s="35"/>
      <c r="B29" s="27"/>
      <c r="C29" s="34"/>
      <c r="D29" s="13" t="s">
        <v>13</v>
      </c>
      <c r="E29" s="13">
        <f t="shared" ref="E29:AT29" si="8">SUM(E20,E23,E26)</f>
        <v>98</v>
      </c>
      <c r="F29" s="13">
        <f t="shared" si="8"/>
        <v>110</v>
      </c>
      <c r="G29" s="13">
        <f t="shared" si="8"/>
        <v>107</v>
      </c>
      <c r="H29" s="13">
        <f t="shared" si="8"/>
        <v>71</v>
      </c>
      <c r="I29" s="13">
        <f t="shared" si="8"/>
        <v>91</v>
      </c>
      <c r="J29" s="13">
        <f t="shared" si="8"/>
        <v>95</v>
      </c>
      <c r="K29" s="13">
        <f t="shared" si="8"/>
        <v>69</v>
      </c>
      <c r="L29" s="13">
        <f t="shared" si="8"/>
        <v>111</v>
      </c>
      <c r="M29" s="13">
        <f t="shared" si="8"/>
        <v>103</v>
      </c>
      <c r="N29" s="13">
        <f t="shared" si="8"/>
        <v>95</v>
      </c>
      <c r="O29" s="13">
        <f t="shared" si="8"/>
        <v>88</v>
      </c>
      <c r="P29" s="13">
        <f t="shared" si="8"/>
        <v>105</v>
      </c>
      <c r="Q29" s="13">
        <f t="shared" si="8"/>
        <v>119</v>
      </c>
      <c r="R29" s="13">
        <f t="shared" si="8"/>
        <v>107</v>
      </c>
      <c r="S29" s="13">
        <f t="shared" si="8"/>
        <v>115</v>
      </c>
      <c r="T29" s="13">
        <f t="shared" si="8"/>
        <v>106</v>
      </c>
      <c r="U29" s="13">
        <f t="shared" si="8"/>
        <v>123</v>
      </c>
      <c r="V29" s="13">
        <f t="shared" si="8"/>
        <v>119</v>
      </c>
      <c r="W29" s="13">
        <f t="shared" si="8"/>
        <v>106</v>
      </c>
      <c r="X29" s="13">
        <f t="shared" si="8"/>
        <v>109</v>
      </c>
      <c r="Y29" s="13">
        <f t="shared" si="8"/>
        <v>108</v>
      </c>
      <c r="Z29" s="13">
        <f t="shared" si="8"/>
        <v>115</v>
      </c>
      <c r="AA29" s="13">
        <f t="shared" si="8"/>
        <v>132</v>
      </c>
      <c r="AB29" s="13">
        <f t="shared" si="8"/>
        <v>102</v>
      </c>
      <c r="AC29" s="13">
        <f t="shared" si="8"/>
        <v>102</v>
      </c>
      <c r="AD29" s="13">
        <f t="shared" si="8"/>
        <v>102</v>
      </c>
      <c r="AE29" s="13">
        <f t="shared" si="8"/>
        <v>86</v>
      </c>
      <c r="AF29" s="13">
        <f t="shared" si="8"/>
        <v>93</v>
      </c>
      <c r="AG29" s="13">
        <f t="shared" si="8"/>
        <v>93</v>
      </c>
      <c r="AH29" s="13">
        <f t="shared" si="8"/>
        <v>97</v>
      </c>
      <c r="AI29" s="13">
        <f t="shared" si="8"/>
        <v>110</v>
      </c>
      <c r="AJ29" s="13">
        <f t="shared" si="8"/>
        <v>107</v>
      </c>
      <c r="AK29" s="13">
        <f t="shared" si="8"/>
        <v>102</v>
      </c>
      <c r="AL29" s="13">
        <f t="shared" si="8"/>
        <v>87</v>
      </c>
      <c r="AM29" s="13">
        <f t="shared" si="8"/>
        <v>86</v>
      </c>
      <c r="AN29" s="13">
        <f t="shared" si="8"/>
        <v>111</v>
      </c>
      <c r="AO29" s="13">
        <f t="shared" si="8"/>
        <v>119</v>
      </c>
      <c r="AP29" s="13">
        <f t="shared" si="8"/>
        <v>121</v>
      </c>
      <c r="AQ29" s="13">
        <f t="shared" si="8"/>
        <v>110</v>
      </c>
      <c r="AR29" s="13">
        <f t="shared" si="8"/>
        <v>118</v>
      </c>
      <c r="AS29" s="13">
        <f t="shared" si="8"/>
        <v>128</v>
      </c>
      <c r="AT29" s="13">
        <f t="shared" si="8"/>
        <v>100</v>
      </c>
      <c r="AU29" s="13">
        <f t="shared" si="3"/>
        <v>4376</v>
      </c>
    </row>
    <row r="30" ht="12.75" customHeight="1">
      <c r="A30" s="35"/>
      <c r="B30" s="28"/>
      <c r="C30" s="36"/>
      <c r="D30" s="13" t="s">
        <v>14</v>
      </c>
      <c r="E30" s="13">
        <f t="shared" ref="E30:AT30" si="9">SUM(E28:E29)</f>
        <v>189</v>
      </c>
      <c r="F30" s="13">
        <f t="shared" si="9"/>
        <v>203</v>
      </c>
      <c r="G30" s="13">
        <f t="shared" si="9"/>
        <v>209</v>
      </c>
      <c r="H30" s="13">
        <f t="shared" si="9"/>
        <v>145</v>
      </c>
      <c r="I30" s="13">
        <f t="shared" si="9"/>
        <v>173</v>
      </c>
      <c r="J30" s="13">
        <f t="shared" si="9"/>
        <v>188</v>
      </c>
      <c r="K30" s="13">
        <f t="shared" si="9"/>
        <v>134</v>
      </c>
      <c r="L30" s="13">
        <f t="shared" si="9"/>
        <v>198</v>
      </c>
      <c r="M30" s="13">
        <f t="shared" si="9"/>
        <v>189</v>
      </c>
      <c r="N30" s="13">
        <f t="shared" si="9"/>
        <v>191</v>
      </c>
      <c r="O30" s="13">
        <f t="shared" si="9"/>
        <v>187</v>
      </c>
      <c r="P30" s="13">
        <f t="shared" si="9"/>
        <v>194</v>
      </c>
      <c r="Q30" s="13">
        <f t="shared" si="9"/>
        <v>212</v>
      </c>
      <c r="R30" s="13">
        <f t="shared" si="9"/>
        <v>200</v>
      </c>
      <c r="S30" s="13">
        <f t="shared" si="9"/>
        <v>208</v>
      </c>
      <c r="T30" s="13">
        <f t="shared" si="9"/>
        <v>195</v>
      </c>
      <c r="U30" s="13">
        <f t="shared" si="9"/>
        <v>221</v>
      </c>
      <c r="V30" s="13">
        <f t="shared" si="9"/>
        <v>209</v>
      </c>
      <c r="W30" s="13">
        <f t="shared" si="9"/>
        <v>201</v>
      </c>
      <c r="X30" s="13">
        <f t="shared" si="9"/>
        <v>212</v>
      </c>
      <c r="Y30" s="13">
        <f t="shared" si="9"/>
        <v>194</v>
      </c>
      <c r="Z30" s="13">
        <f t="shared" si="9"/>
        <v>217</v>
      </c>
      <c r="AA30" s="13">
        <f t="shared" si="9"/>
        <v>232</v>
      </c>
      <c r="AB30" s="13">
        <f t="shared" si="9"/>
        <v>196</v>
      </c>
      <c r="AC30" s="13">
        <f t="shared" si="9"/>
        <v>174</v>
      </c>
      <c r="AD30" s="13">
        <f t="shared" si="9"/>
        <v>197</v>
      </c>
      <c r="AE30" s="13">
        <f t="shared" si="9"/>
        <v>173</v>
      </c>
      <c r="AF30" s="13">
        <f t="shared" si="9"/>
        <v>180</v>
      </c>
      <c r="AG30" s="13">
        <f t="shared" si="9"/>
        <v>174</v>
      </c>
      <c r="AH30" s="13">
        <f t="shared" si="9"/>
        <v>175</v>
      </c>
      <c r="AI30" s="13">
        <f t="shared" si="9"/>
        <v>193</v>
      </c>
      <c r="AJ30" s="13">
        <f t="shared" si="9"/>
        <v>211</v>
      </c>
      <c r="AK30" s="13">
        <f t="shared" si="9"/>
        <v>205</v>
      </c>
      <c r="AL30" s="13">
        <f t="shared" si="9"/>
        <v>166</v>
      </c>
      <c r="AM30" s="13">
        <f t="shared" si="9"/>
        <v>152</v>
      </c>
      <c r="AN30" s="13">
        <f t="shared" si="9"/>
        <v>201</v>
      </c>
      <c r="AO30" s="13">
        <f t="shared" si="9"/>
        <v>226</v>
      </c>
      <c r="AP30" s="13">
        <f t="shared" si="9"/>
        <v>226</v>
      </c>
      <c r="AQ30" s="13">
        <f t="shared" si="9"/>
        <v>203</v>
      </c>
      <c r="AR30" s="13">
        <f t="shared" si="9"/>
        <v>231</v>
      </c>
      <c r="AS30" s="13">
        <f t="shared" si="9"/>
        <v>246</v>
      </c>
      <c r="AT30" s="13">
        <f t="shared" si="9"/>
        <v>188</v>
      </c>
      <c r="AU30" s="13">
        <f t="shared" si="3"/>
        <v>8218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0"/>
      <c r="O31" s="19"/>
      <c r="P31" s="19"/>
      <c r="Q31" s="19"/>
      <c r="R31" s="19"/>
      <c r="S31" s="60"/>
      <c r="T31" s="19"/>
      <c r="U31" s="19"/>
      <c r="V31" s="19"/>
      <c r="W31" s="19"/>
      <c r="X31" s="60"/>
      <c r="Y31" s="19"/>
      <c r="Z31" s="19"/>
      <c r="AA31" s="19"/>
      <c r="AB31" s="19"/>
      <c r="AC31" s="60"/>
      <c r="AD31" s="19"/>
      <c r="AE31" s="19"/>
      <c r="AF31" s="19"/>
      <c r="AG31" s="19"/>
      <c r="AH31" s="60"/>
      <c r="AI31" s="19"/>
      <c r="AJ31" s="19"/>
      <c r="AK31" s="19"/>
      <c r="AL31" s="19"/>
      <c r="AM31" s="60"/>
      <c r="AN31" s="19"/>
      <c r="AO31" s="19"/>
      <c r="AP31" s="19"/>
      <c r="AQ31" s="19"/>
      <c r="AR31" s="60"/>
      <c r="AS31" s="19"/>
      <c r="AT31" s="19"/>
      <c r="AU31" s="61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2"/>
      <c r="O32" s="13"/>
      <c r="P32" s="13"/>
      <c r="Q32" s="13"/>
      <c r="R32" s="13"/>
      <c r="S32" s="62"/>
      <c r="T32" s="13"/>
      <c r="U32" s="13"/>
      <c r="V32" s="13"/>
      <c r="W32" s="13"/>
      <c r="X32" s="62"/>
      <c r="Y32" s="13"/>
      <c r="Z32" s="13"/>
      <c r="AA32" s="13"/>
      <c r="AB32" s="13"/>
      <c r="AC32" s="62"/>
      <c r="AD32" s="13"/>
      <c r="AE32" s="13"/>
      <c r="AF32" s="13"/>
      <c r="AG32" s="13"/>
      <c r="AH32" s="62"/>
      <c r="AI32" s="13"/>
      <c r="AJ32" s="13"/>
      <c r="AK32" s="13"/>
      <c r="AL32" s="13"/>
      <c r="AM32" s="62"/>
      <c r="AN32" s="13"/>
      <c r="AO32" s="13"/>
      <c r="AP32" s="13"/>
      <c r="AQ32" s="13"/>
      <c r="AR32" s="62"/>
      <c r="AS32" s="13"/>
      <c r="AT32" s="13"/>
      <c r="AU32" s="61"/>
    </row>
    <row r="33" ht="12.75" customHeight="1">
      <c r="A33" s="19">
        <v>1.0</v>
      </c>
      <c r="B33" s="20" t="s">
        <v>27</v>
      </c>
      <c r="C33" s="15"/>
      <c r="D33" s="16"/>
      <c r="E33" s="19">
        <v>252.0</v>
      </c>
      <c r="F33" s="19">
        <v>298.0</v>
      </c>
      <c r="G33" s="19">
        <v>288.0</v>
      </c>
      <c r="H33" s="19">
        <v>186.0</v>
      </c>
      <c r="I33" s="19">
        <v>256.0</v>
      </c>
      <c r="J33" s="19">
        <v>265.0</v>
      </c>
      <c r="K33" s="19">
        <v>177.0</v>
      </c>
      <c r="L33" s="19">
        <v>278.0</v>
      </c>
      <c r="M33" s="19">
        <v>258.0</v>
      </c>
      <c r="N33" s="19">
        <v>265.0</v>
      </c>
      <c r="O33" s="19">
        <v>246.0</v>
      </c>
      <c r="P33" s="19">
        <v>251.0</v>
      </c>
      <c r="Q33" s="19">
        <v>298.0</v>
      </c>
      <c r="R33" s="19">
        <v>243.0</v>
      </c>
      <c r="S33" s="19">
        <v>298.0</v>
      </c>
      <c r="T33" s="19">
        <v>288.0</v>
      </c>
      <c r="U33" s="19">
        <v>298.0</v>
      </c>
      <c r="V33" s="19">
        <v>307.0</v>
      </c>
      <c r="W33" s="19">
        <v>289.0</v>
      </c>
      <c r="X33" s="19">
        <v>301.0</v>
      </c>
      <c r="Y33" s="19">
        <v>292.0</v>
      </c>
      <c r="Z33" s="19">
        <v>284.0</v>
      </c>
      <c r="AA33" s="19">
        <v>298.0</v>
      </c>
      <c r="AB33" s="19">
        <v>241.0</v>
      </c>
      <c r="AC33" s="19">
        <v>259.0</v>
      </c>
      <c r="AD33" s="19">
        <v>301.0</v>
      </c>
      <c r="AE33" s="19">
        <v>238.0</v>
      </c>
      <c r="AF33" s="19">
        <v>237.0</v>
      </c>
      <c r="AG33" s="19">
        <v>264.0</v>
      </c>
      <c r="AH33" s="19">
        <v>265.0</v>
      </c>
      <c r="AI33" s="59">
        <v>255.0</v>
      </c>
      <c r="AJ33" s="59">
        <v>297.0</v>
      </c>
      <c r="AK33" s="59">
        <v>260.0</v>
      </c>
      <c r="AL33" s="59">
        <v>230.0</v>
      </c>
      <c r="AM33" s="59">
        <v>223.0</v>
      </c>
      <c r="AN33" s="59">
        <v>300.0</v>
      </c>
      <c r="AO33" s="59">
        <v>295.0</v>
      </c>
      <c r="AP33" s="59">
        <v>302.0</v>
      </c>
      <c r="AQ33" s="59">
        <v>301.0</v>
      </c>
      <c r="AR33" s="59">
        <v>309.0</v>
      </c>
      <c r="AS33" s="59">
        <v>300.0</v>
      </c>
      <c r="AT33" s="59">
        <v>212.0</v>
      </c>
      <c r="AU33" s="13">
        <f t="shared" ref="AU33:AU36" si="10">SUM(E33:AT33)</f>
        <v>11305</v>
      </c>
    </row>
    <row r="34" ht="12.75" customHeight="1">
      <c r="A34" s="19">
        <v>2.0</v>
      </c>
      <c r="B34" s="20" t="s">
        <v>28</v>
      </c>
      <c r="C34" s="15"/>
      <c r="D34" s="16"/>
      <c r="E34" s="13">
        <v>189.0</v>
      </c>
      <c r="F34" s="13">
        <v>203.0</v>
      </c>
      <c r="G34" s="13">
        <v>209.0</v>
      </c>
      <c r="H34" s="13">
        <v>145.0</v>
      </c>
      <c r="I34" s="13">
        <v>173.0</v>
      </c>
      <c r="J34" s="13">
        <v>188.0</v>
      </c>
      <c r="K34" s="13">
        <v>134.0</v>
      </c>
      <c r="L34" s="13">
        <v>198.0</v>
      </c>
      <c r="M34" s="13">
        <v>189.0</v>
      </c>
      <c r="N34" s="13">
        <v>191.0</v>
      </c>
      <c r="O34" s="13">
        <v>187.0</v>
      </c>
      <c r="P34" s="13">
        <v>194.0</v>
      </c>
      <c r="Q34" s="13">
        <v>212.0</v>
      </c>
      <c r="R34" s="13">
        <v>200.0</v>
      </c>
      <c r="S34" s="13">
        <v>208.0</v>
      </c>
      <c r="T34" s="13">
        <v>195.0</v>
      </c>
      <c r="U34" s="13">
        <v>221.0</v>
      </c>
      <c r="V34" s="13">
        <v>209.0</v>
      </c>
      <c r="W34" s="13">
        <v>201.0</v>
      </c>
      <c r="X34" s="13">
        <v>212.0</v>
      </c>
      <c r="Y34" s="13">
        <v>194.0</v>
      </c>
      <c r="Z34" s="13">
        <v>217.0</v>
      </c>
      <c r="AA34" s="13">
        <v>232.0</v>
      </c>
      <c r="AB34" s="13">
        <v>196.0</v>
      </c>
      <c r="AC34" s="13">
        <v>174.0</v>
      </c>
      <c r="AD34" s="13">
        <v>197.0</v>
      </c>
      <c r="AE34" s="13">
        <v>173.0</v>
      </c>
      <c r="AF34" s="13">
        <v>180.0</v>
      </c>
      <c r="AG34" s="13">
        <v>174.0</v>
      </c>
      <c r="AH34" s="13">
        <v>175.0</v>
      </c>
      <c r="AI34" s="59">
        <v>193.0</v>
      </c>
      <c r="AJ34" s="59">
        <v>211.0</v>
      </c>
      <c r="AK34" s="59">
        <v>205.0</v>
      </c>
      <c r="AL34" s="59">
        <v>166.0</v>
      </c>
      <c r="AM34" s="59">
        <v>152.0</v>
      </c>
      <c r="AN34" s="59">
        <v>201.0</v>
      </c>
      <c r="AO34" s="59">
        <v>226.0</v>
      </c>
      <c r="AP34" s="59">
        <v>226.0</v>
      </c>
      <c r="AQ34" s="59">
        <v>203.0</v>
      </c>
      <c r="AR34" s="59">
        <v>231.0</v>
      </c>
      <c r="AS34" s="59">
        <v>246.0</v>
      </c>
      <c r="AT34" s="59">
        <v>188.0</v>
      </c>
      <c r="AU34" s="13">
        <f t="shared" si="10"/>
        <v>8218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0.0</v>
      </c>
      <c r="X35" s="19">
        <v>0.0</v>
      </c>
      <c r="Y35" s="19">
        <v>1.0</v>
      </c>
      <c r="Z35" s="19">
        <v>0.0</v>
      </c>
      <c r="AA35" s="19">
        <v>0.0</v>
      </c>
      <c r="AB35" s="19">
        <v>0.0</v>
      </c>
      <c r="AC35" s="19">
        <v>0.0</v>
      </c>
      <c r="AD35" s="19">
        <v>0.0</v>
      </c>
      <c r="AE35" s="19">
        <v>0.0</v>
      </c>
      <c r="AF35" s="19">
        <v>3.0</v>
      </c>
      <c r="AG35" s="19">
        <v>0.0</v>
      </c>
      <c r="AH35" s="19">
        <v>0.0</v>
      </c>
      <c r="AI35" s="59">
        <v>0.0</v>
      </c>
      <c r="AJ35" s="59">
        <v>0.0</v>
      </c>
      <c r="AK35" s="59">
        <v>0.0</v>
      </c>
      <c r="AL35" s="59">
        <v>0.0</v>
      </c>
      <c r="AM35" s="59">
        <v>0.0</v>
      </c>
      <c r="AN35" s="59">
        <v>0.0</v>
      </c>
      <c r="AO35" s="59">
        <v>0.0</v>
      </c>
      <c r="AP35" s="59">
        <v>0.0</v>
      </c>
      <c r="AQ35" s="59">
        <v>0.0</v>
      </c>
      <c r="AR35" s="59">
        <v>1.0</v>
      </c>
      <c r="AS35" s="59">
        <v>0.0</v>
      </c>
      <c r="AT35" s="59">
        <v>0.0</v>
      </c>
      <c r="AU35" s="13">
        <f t="shared" si="10"/>
        <v>5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T36" si="11">E33-(E34+E35)</f>
        <v>63</v>
      </c>
      <c r="F36" s="13">
        <f t="shared" si="11"/>
        <v>95</v>
      </c>
      <c r="G36" s="13">
        <f t="shared" si="11"/>
        <v>79</v>
      </c>
      <c r="H36" s="13">
        <f t="shared" si="11"/>
        <v>41</v>
      </c>
      <c r="I36" s="13">
        <f t="shared" si="11"/>
        <v>83</v>
      </c>
      <c r="J36" s="13">
        <f t="shared" si="11"/>
        <v>77</v>
      </c>
      <c r="K36" s="13">
        <f t="shared" si="11"/>
        <v>43</v>
      </c>
      <c r="L36" s="13">
        <f t="shared" si="11"/>
        <v>80</v>
      </c>
      <c r="M36" s="13">
        <f t="shared" si="11"/>
        <v>69</v>
      </c>
      <c r="N36" s="13">
        <f t="shared" si="11"/>
        <v>74</v>
      </c>
      <c r="O36" s="13">
        <f t="shared" si="11"/>
        <v>59</v>
      </c>
      <c r="P36" s="13">
        <f t="shared" si="11"/>
        <v>57</v>
      </c>
      <c r="Q36" s="13">
        <f t="shared" si="11"/>
        <v>86</v>
      </c>
      <c r="R36" s="13">
        <f t="shared" si="11"/>
        <v>43</v>
      </c>
      <c r="S36" s="13">
        <f t="shared" si="11"/>
        <v>90</v>
      </c>
      <c r="T36" s="13">
        <f t="shared" si="11"/>
        <v>93</v>
      </c>
      <c r="U36" s="13">
        <f t="shared" si="11"/>
        <v>77</v>
      </c>
      <c r="V36" s="13">
        <f t="shared" si="11"/>
        <v>98</v>
      </c>
      <c r="W36" s="13">
        <f t="shared" si="11"/>
        <v>88</v>
      </c>
      <c r="X36" s="13">
        <f t="shared" si="11"/>
        <v>89</v>
      </c>
      <c r="Y36" s="13">
        <f t="shared" si="11"/>
        <v>97</v>
      </c>
      <c r="Z36" s="13">
        <f t="shared" si="11"/>
        <v>67</v>
      </c>
      <c r="AA36" s="13">
        <f t="shared" si="11"/>
        <v>66</v>
      </c>
      <c r="AB36" s="13">
        <f t="shared" si="11"/>
        <v>45</v>
      </c>
      <c r="AC36" s="13">
        <f t="shared" si="11"/>
        <v>85</v>
      </c>
      <c r="AD36" s="13">
        <f t="shared" si="11"/>
        <v>104</v>
      </c>
      <c r="AE36" s="13">
        <f t="shared" si="11"/>
        <v>65</v>
      </c>
      <c r="AF36" s="13">
        <f t="shared" si="11"/>
        <v>54</v>
      </c>
      <c r="AG36" s="13">
        <f t="shared" si="11"/>
        <v>90</v>
      </c>
      <c r="AH36" s="13">
        <f t="shared" si="11"/>
        <v>90</v>
      </c>
      <c r="AI36" s="13">
        <f t="shared" si="11"/>
        <v>62</v>
      </c>
      <c r="AJ36" s="13">
        <f t="shared" si="11"/>
        <v>86</v>
      </c>
      <c r="AK36" s="13">
        <f t="shared" si="11"/>
        <v>55</v>
      </c>
      <c r="AL36" s="13">
        <f t="shared" si="11"/>
        <v>64</v>
      </c>
      <c r="AM36" s="13">
        <f t="shared" si="11"/>
        <v>71</v>
      </c>
      <c r="AN36" s="13">
        <f t="shared" si="11"/>
        <v>99</v>
      </c>
      <c r="AO36" s="13">
        <f t="shared" si="11"/>
        <v>69</v>
      </c>
      <c r="AP36" s="13">
        <f t="shared" si="11"/>
        <v>76</v>
      </c>
      <c r="AQ36" s="13">
        <f t="shared" si="11"/>
        <v>98</v>
      </c>
      <c r="AR36" s="13">
        <f t="shared" si="11"/>
        <v>77</v>
      </c>
      <c r="AS36" s="13">
        <f t="shared" si="11"/>
        <v>54</v>
      </c>
      <c r="AT36" s="13">
        <f t="shared" si="11"/>
        <v>24</v>
      </c>
      <c r="AU36" s="13">
        <f t="shared" si="10"/>
        <v>3082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60"/>
      <c r="O37" s="19"/>
      <c r="P37" s="19"/>
      <c r="Q37" s="19"/>
      <c r="R37" s="19"/>
      <c r="S37" s="60"/>
      <c r="T37" s="19"/>
      <c r="U37" s="19"/>
      <c r="V37" s="19"/>
      <c r="W37" s="19"/>
      <c r="X37" s="60"/>
      <c r="Y37" s="19"/>
      <c r="Z37" s="19"/>
      <c r="AA37" s="19"/>
      <c r="AB37" s="19"/>
      <c r="AC37" s="60"/>
      <c r="AD37" s="19"/>
      <c r="AE37" s="19"/>
      <c r="AF37" s="19"/>
      <c r="AG37" s="19"/>
      <c r="AH37" s="60"/>
      <c r="AI37" s="19"/>
      <c r="AJ37" s="19"/>
      <c r="AK37" s="19"/>
      <c r="AL37" s="19"/>
      <c r="AM37" s="60"/>
      <c r="AN37" s="19"/>
      <c r="AO37" s="19"/>
      <c r="AP37" s="19"/>
      <c r="AQ37" s="19"/>
      <c r="AR37" s="60"/>
      <c r="AS37" s="19"/>
      <c r="AT37" s="19"/>
      <c r="AU37" s="61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2"/>
      <c r="O38" s="13"/>
      <c r="P38" s="13"/>
      <c r="Q38" s="13"/>
      <c r="R38" s="13"/>
      <c r="S38" s="62"/>
      <c r="T38" s="13"/>
      <c r="U38" s="13"/>
      <c r="V38" s="13"/>
      <c r="W38" s="13"/>
      <c r="X38" s="62"/>
      <c r="Y38" s="13"/>
      <c r="Z38" s="13"/>
      <c r="AA38" s="13"/>
      <c r="AB38" s="13"/>
      <c r="AC38" s="62"/>
      <c r="AD38" s="13"/>
      <c r="AE38" s="13"/>
      <c r="AF38" s="13"/>
      <c r="AG38" s="13"/>
      <c r="AH38" s="62"/>
      <c r="AI38" s="13"/>
      <c r="AJ38" s="13"/>
      <c r="AK38" s="13"/>
      <c r="AL38" s="13"/>
      <c r="AM38" s="62"/>
      <c r="AN38" s="13"/>
      <c r="AO38" s="13"/>
      <c r="AP38" s="13"/>
      <c r="AQ38" s="13"/>
      <c r="AR38" s="62"/>
      <c r="AS38" s="13"/>
      <c r="AT38" s="13"/>
      <c r="AU38" s="61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1.0</v>
      </c>
      <c r="K39" s="19">
        <v>0.0</v>
      </c>
      <c r="L39" s="19">
        <v>1.0</v>
      </c>
      <c r="M39" s="19">
        <v>3.0</v>
      </c>
      <c r="N39" s="19">
        <v>0.0</v>
      </c>
      <c r="O39" s="19">
        <v>1.0</v>
      </c>
      <c r="P39" s="19">
        <v>3.0</v>
      </c>
      <c r="Q39" s="19">
        <v>0.0</v>
      </c>
      <c r="R39" s="19">
        <v>0.0</v>
      </c>
      <c r="S39" s="19">
        <v>0.0</v>
      </c>
      <c r="T39" s="19">
        <v>1.0</v>
      </c>
      <c r="U39" s="19">
        <v>2.0</v>
      </c>
      <c r="V39" s="19">
        <v>0.0</v>
      </c>
      <c r="W39" s="19">
        <v>0.0</v>
      </c>
      <c r="X39" s="19">
        <v>0.0</v>
      </c>
      <c r="Y39" s="19">
        <v>1.0</v>
      </c>
      <c r="Z39" s="19">
        <v>0.0</v>
      </c>
      <c r="AA39" s="19">
        <v>1.0</v>
      </c>
      <c r="AB39" s="19">
        <v>0.0</v>
      </c>
      <c r="AC39" s="19">
        <v>1.0</v>
      </c>
      <c r="AD39" s="19">
        <v>0.0</v>
      </c>
      <c r="AE39" s="19">
        <v>0.0</v>
      </c>
      <c r="AF39" s="19">
        <v>1.0</v>
      </c>
      <c r="AG39" s="19">
        <v>0.0</v>
      </c>
      <c r="AH39" s="63">
        <v>1.0</v>
      </c>
      <c r="AI39" s="63">
        <v>0.0</v>
      </c>
      <c r="AJ39" s="63">
        <v>0.0</v>
      </c>
      <c r="AK39" s="63">
        <v>1.0</v>
      </c>
      <c r="AL39" s="63">
        <v>0.0</v>
      </c>
      <c r="AM39" s="63">
        <v>0.0</v>
      </c>
      <c r="AN39" s="63">
        <v>0.0</v>
      </c>
      <c r="AO39" s="63">
        <v>0.0</v>
      </c>
      <c r="AP39" s="63">
        <v>0.0</v>
      </c>
      <c r="AQ39" s="63">
        <v>0.0</v>
      </c>
      <c r="AR39" s="63">
        <v>0.0</v>
      </c>
      <c r="AS39" s="63">
        <v>2.0</v>
      </c>
      <c r="AT39" s="19">
        <v>1.0</v>
      </c>
      <c r="AU39" s="13">
        <f t="shared" ref="AU39:AU41" si="12">SUM(E39:AT39)</f>
        <v>21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2.0</v>
      </c>
      <c r="H40" s="19">
        <v>0.0</v>
      </c>
      <c r="I40" s="19">
        <v>0.0</v>
      </c>
      <c r="J40" s="19">
        <v>2.0</v>
      </c>
      <c r="K40" s="19">
        <v>0.0</v>
      </c>
      <c r="L40" s="19">
        <v>0.0</v>
      </c>
      <c r="M40" s="19">
        <v>1.0</v>
      </c>
      <c r="N40" s="19">
        <v>0.0</v>
      </c>
      <c r="O40" s="19">
        <v>0.0</v>
      </c>
      <c r="P40" s="19">
        <v>1.0</v>
      </c>
      <c r="Q40" s="19">
        <v>0.0</v>
      </c>
      <c r="R40" s="19">
        <v>1.0</v>
      </c>
      <c r="S40" s="19">
        <v>0.0</v>
      </c>
      <c r="T40" s="19">
        <v>1.0</v>
      </c>
      <c r="U40" s="19">
        <v>4.0</v>
      </c>
      <c r="V40" s="19">
        <v>0.0</v>
      </c>
      <c r="W40" s="19">
        <v>0.0</v>
      </c>
      <c r="X40" s="19">
        <v>0.0</v>
      </c>
      <c r="Y40" s="19">
        <v>1.0</v>
      </c>
      <c r="Z40" s="19">
        <v>0.0</v>
      </c>
      <c r="AA40" s="19">
        <v>0.0</v>
      </c>
      <c r="AB40" s="19">
        <v>0.0</v>
      </c>
      <c r="AC40" s="19">
        <v>1.0</v>
      </c>
      <c r="AD40" s="19">
        <v>0.0</v>
      </c>
      <c r="AE40" s="19">
        <v>0.0</v>
      </c>
      <c r="AF40" s="19">
        <v>0.0</v>
      </c>
      <c r="AG40" s="19">
        <v>0.0</v>
      </c>
      <c r="AH40" s="63">
        <v>0.0</v>
      </c>
      <c r="AI40" s="63">
        <v>0.0</v>
      </c>
      <c r="AJ40" s="63">
        <v>0.0</v>
      </c>
      <c r="AK40" s="63">
        <v>1.0</v>
      </c>
      <c r="AL40" s="63">
        <v>0.0</v>
      </c>
      <c r="AM40" s="63">
        <v>0.0</v>
      </c>
      <c r="AN40" s="63">
        <v>0.0</v>
      </c>
      <c r="AO40" s="63">
        <v>0.0</v>
      </c>
      <c r="AP40" s="63">
        <v>0.0</v>
      </c>
      <c r="AQ40" s="63">
        <v>0.0</v>
      </c>
      <c r="AR40" s="63">
        <v>0.0</v>
      </c>
      <c r="AS40" s="63">
        <v>1.0</v>
      </c>
      <c r="AT40" s="19">
        <v>1.0</v>
      </c>
      <c r="AU40" s="13">
        <f t="shared" si="12"/>
        <v>17</v>
      </c>
    </row>
    <row r="41" ht="12.75" customHeight="1">
      <c r="A41" s="41"/>
      <c r="B41" s="44"/>
      <c r="C41" s="28"/>
      <c r="D41" s="13" t="s">
        <v>14</v>
      </c>
      <c r="E41" s="13">
        <f t="shared" ref="E41:AT41" si="13">SUM(E39:E40)</f>
        <v>0</v>
      </c>
      <c r="F41" s="13">
        <f t="shared" si="13"/>
        <v>0</v>
      </c>
      <c r="G41" s="13">
        <f t="shared" si="13"/>
        <v>2</v>
      </c>
      <c r="H41" s="13">
        <f t="shared" si="13"/>
        <v>0</v>
      </c>
      <c r="I41" s="13">
        <f t="shared" si="13"/>
        <v>0</v>
      </c>
      <c r="J41" s="13">
        <f t="shared" si="13"/>
        <v>3</v>
      </c>
      <c r="K41" s="13">
        <f t="shared" si="13"/>
        <v>0</v>
      </c>
      <c r="L41" s="13">
        <f t="shared" si="13"/>
        <v>1</v>
      </c>
      <c r="M41" s="13">
        <f t="shared" si="13"/>
        <v>4</v>
      </c>
      <c r="N41" s="13">
        <f t="shared" si="13"/>
        <v>0</v>
      </c>
      <c r="O41" s="13">
        <f t="shared" si="13"/>
        <v>1</v>
      </c>
      <c r="P41" s="13">
        <f t="shared" si="13"/>
        <v>4</v>
      </c>
      <c r="Q41" s="13">
        <f t="shared" si="13"/>
        <v>0</v>
      </c>
      <c r="R41" s="13">
        <f t="shared" si="13"/>
        <v>1</v>
      </c>
      <c r="S41" s="13">
        <f t="shared" si="13"/>
        <v>0</v>
      </c>
      <c r="T41" s="13">
        <f t="shared" si="13"/>
        <v>2</v>
      </c>
      <c r="U41" s="13">
        <f t="shared" si="13"/>
        <v>6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2</v>
      </c>
      <c r="Z41" s="13">
        <f t="shared" si="13"/>
        <v>0</v>
      </c>
      <c r="AA41" s="13">
        <f t="shared" si="13"/>
        <v>1</v>
      </c>
      <c r="AB41" s="13">
        <f t="shared" si="13"/>
        <v>0</v>
      </c>
      <c r="AC41" s="13">
        <f t="shared" si="13"/>
        <v>2</v>
      </c>
      <c r="AD41" s="13">
        <f t="shared" si="13"/>
        <v>0</v>
      </c>
      <c r="AE41" s="13">
        <f t="shared" si="13"/>
        <v>0</v>
      </c>
      <c r="AF41" s="13">
        <f t="shared" si="13"/>
        <v>1</v>
      </c>
      <c r="AG41" s="13">
        <f t="shared" si="13"/>
        <v>0</v>
      </c>
      <c r="AH41" s="13">
        <f t="shared" si="13"/>
        <v>1</v>
      </c>
      <c r="AI41" s="13">
        <f t="shared" si="13"/>
        <v>0</v>
      </c>
      <c r="AJ41" s="13">
        <f t="shared" si="13"/>
        <v>0</v>
      </c>
      <c r="AK41" s="13">
        <f t="shared" si="13"/>
        <v>2</v>
      </c>
      <c r="AL41" s="13">
        <f t="shared" si="13"/>
        <v>0</v>
      </c>
      <c r="AM41" s="13">
        <f t="shared" si="13"/>
        <v>0</v>
      </c>
      <c r="AN41" s="13">
        <f t="shared" si="13"/>
        <v>0</v>
      </c>
      <c r="AO41" s="13">
        <f t="shared" si="13"/>
        <v>0</v>
      </c>
      <c r="AP41" s="13">
        <f t="shared" si="13"/>
        <v>0</v>
      </c>
      <c r="AQ41" s="13">
        <f t="shared" si="13"/>
        <v>0</v>
      </c>
      <c r="AR41" s="13">
        <f t="shared" si="13"/>
        <v>0</v>
      </c>
      <c r="AS41" s="13">
        <f t="shared" si="13"/>
        <v>3</v>
      </c>
      <c r="AT41" s="13">
        <f t="shared" si="13"/>
        <v>2</v>
      </c>
      <c r="AU41" s="13">
        <f t="shared" si="12"/>
        <v>38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60"/>
      <c r="O42" s="19"/>
      <c r="P42" s="19"/>
      <c r="Q42" s="19"/>
      <c r="R42" s="19"/>
      <c r="S42" s="60"/>
      <c r="T42" s="19"/>
      <c r="U42" s="19"/>
      <c r="V42" s="19"/>
      <c r="W42" s="19"/>
      <c r="X42" s="60"/>
      <c r="Y42" s="19"/>
      <c r="Z42" s="19"/>
      <c r="AA42" s="19"/>
      <c r="AB42" s="19"/>
      <c r="AC42" s="60"/>
      <c r="AD42" s="19"/>
      <c r="AE42" s="19"/>
      <c r="AF42" s="19"/>
      <c r="AG42" s="19"/>
      <c r="AH42" s="60"/>
      <c r="AI42" s="19"/>
      <c r="AJ42" s="19"/>
      <c r="AK42" s="19"/>
      <c r="AL42" s="19"/>
      <c r="AM42" s="60"/>
      <c r="AN42" s="19"/>
      <c r="AO42" s="19"/>
      <c r="AP42" s="19"/>
      <c r="AQ42" s="19"/>
      <c r="AR42" s="60"/>
      <c r="AS42" s="19"/>
      <c r="AT42" s="19"/>
      <c r="AU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2"/>
      <c r="O43" s="13"/>
      <c r="P43" s="13"/>
      <c r="Q43" s="13"/>
      <c r="R43" s="13"/>
      <c r="S43" s="62"/>
      <c r="T43" s="13"/>
      <c r="U43" s="13"/>
      <c r="V43" s="13"/>
      <c r="W43" s="13"/>
      <c r="X43" s="62"/>
      <c r="Y43" s="13"/>
      <c r="Z43" s="13"/>
      <c r="AA43" s="13"/>
      <c r="AB43" s="13"/>
      <c r="AC43" s="62"/>
      <c r="AD43" s="13"/>
      <c r="AE43" s="13"/>
      <c r="AF43" s="13"/>
      <c r="AG43" s="13"/>
      <c r="AH43" s="62"/>
      <c r="AI43" s="13"/>
      <c r="AJ43" s="13"/>
      <c r="AK43" s="13"/>
      <c r="AL43" s="13"/>
      <c r="AM43" s="62"/>
      <c r="AN43" s="13"/>
      <c r="AO43" s="13"/>
      <c r="AP43" s="13"/>
      <c r="AQ43" s="13"/>
      <c r="AR43" s="62"/>
      <c r="AS43" s="13"/>
      <c r="AT43" s="13"/>
      <c r="AU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60"/>
      <c r="O44" s="19"/>
      <c r="P44" s="19"/>
      <c r="Q44" s="19"/>
      <c r="R44" s="19"/>
      <c r="S44" s="60"/>
      <c r="T44" s="19"/>
      <c r="U44" s="19"/>
      <c r="V44" s="19"/>
      <c r="W44" s="19"/>
      <c r="X44" s="60"/>
      <c r="Y44" s="19"/>
      <c r="Z44" s="19"/>
      <c r="AA44" s="19"/>
      <c r="AB44" s="19"/>
      <c r="AC44" s="60"/>
      <c r="AD44" s="19"/>
      <c r="AE44" s="19"/>
      <c r="AF44" s="19"/>
      <c r="AG44" s="19"/>
      <c r="AH44" s="60"/>
      <c r="AI44" s="19"/>
      <c r="AJ44" s="19"/>
      <c r="AK44" s="19"/>
      <c r="AL44" s="19"/>
      <c r="AM44" s="60"/>
      <c r="AN44" s="19"/>
      <c r="AO44" s="19"/>
      <c r="AP44" s="19"/>
      <c r="AQ44" s="19"/>
      <c r="AR44" s="60"/>
      <c r="AS44" s="19"/>
      <c r="AT44" s="19"/>
      <c r="AU44" s="13"/>
    </row>
    <row r="45" ht="12.75" customHeight="1">
      <c r="A45" s="64"/>
      <c r="B45" s="47">
        <v>1.0</v>
      </c>
      <c r="C45" s="48" t="s">
        <v>37</v>
      </c>
      <c r="D45" s="16"/>
      <c r="E45" s="19">
        <v>21.0</v>
      </c>
      <c r="F45" s="19">
        <v>18.0</v>
      </c>
      <c r="G45" s="19">
        <v>34.0</v>
      </c>
      <c r="H45" s="19">
        <v>27.0</v>
      </c>
      <c r="I45" s="19">
        <v>23.0</v>
      </c>
      <c r="J45" s="19">
        <v>21.0</v>
      </c>
      <c r="K45" s="19">
        <v>12.0</v>
      </c>
      <c r="L45" s="19">
        <v>25.0</v>
      </c>
      <c r="M45" s="19">
        <v>23.0</v>
      </c>
      <c r="N45" s="19">
        <v>18.0</v>
      </c>
      <c r="O45" s="19">
        <v>21.0</v>
      </c>
      <c r="P45" s="19">
        <v>21.0</v>
      </c>
      <c r="Q45" s="19">
        <v>18.0</v>
      </c>
      <c r="R45" s="19">
        <v>12.0</v>
      </c>
      <c r="S45" s="19">
        <v>26.0</v>
      </c>
      <c r="T45" s="19">
        <v>27.0</v>
      </c>
      <c r="U45" s="19">
        <v>17.0</v>
      </c>
      <c r="V45" s="19">
        <v>40.0</v>
      </c>
      <c r="W45" s="19">
        <v>42.0</v>
      </c>
      <c r="X45" s="19">
        <v>15.0</v>
      </c>
      <c r="Y45" s="19">
        <v>44.0</v>
      </c>
      <c r="Z45" s="19">
        <v>38.0</v>
      </c>
      <c r="AA45" s="19">
        <v>38.0</v>
      </c>
      <c r="AB45" s="19">
        <v>39.0</v>
      </c>
      <c r="AC45" s="19">
        <v>55.0</v>
      </c>
      <c r="AD45" s="19">
        <v>20.0</v>
      </c>
      <c r="AE45" s="19">
        <v>21.0</v>
      </c>
      <c r="AF45" s="19">
        <v>16.0</v>
      </c>
      <c r="AG45" s="19">
        <v>33.0</v>
      </c>
      <c r="AH45" s="19">
        <v>13.0</v>
      </c>
      <c r="AI45" s="19">
        <v>10.0</v>
      </c>
      <c r="AJ45" s="19">
        <v>27.0</v>
      </c>
      <c r="AK45" s="19">
        <v>25.0</v>
      </c>
      <c r="AL45" s="19">
        <v>33.0</v>
      </c>
      <c r="AM45" s="19">
        <v>36.0</v>
      </c>
      <c r="AN45" s="19">
        <v>10.0</v>
      </c>
      <c r="AO45" s="19">
        <v>14.0</v>
      </c>
      <c r="AP45" s="19">
        <v>34.0</v>
      </c>
      <c r="AQ45" s="19">
        <v>22.0</v>
      </c>
      <c r="AR45" s="19">
        <v>23.0</v>
      </c>
      <c r="AS45" s="19">
        <v>32.0</v>
      </c>
      <c r="AT45" s="19">
        <v>37.0</v>
      </c>
      <c r="AU45" s="13">
        <f t="shared" ref="AU45:AU47" si="14">SUM(E45:AT45)</f>
        <v>1081</v>
      </c>
    </row>
    <row r="46" ht="12.75" customHeight="1">
      <c r="A46" s="18"/>
      <c r="B46" s="47">
        <v>2.0</v>
      </c>
      <c r="C46" s="48" t="s">
        <v>38</v>
      </c>
      <c r="D46" s="16"/>
      <c r="E46" s="19">
        <v>150.0</v>
      </c>
      <c r="F46" s="19">
        <v>126.0</v>
      </c>
      <c r="G46" s="19">
        <v>148.0</v>
      </c>
      <c r="H46" s="19">
        <v>100.0</v>
      </c>
      <c r="I46" s="19">
        <v>141.0</v>
      </c>
      <c r="J46" s="19">
        <v>148.0</v>
      </c>
      <c r="K46" s="19">
        <v>109.0</v>
      </c>
      <c r="L46" s="19">
        <v>138.0</v>
      </c>
      <c r="M46" s="19">
        <v>133.0</v>
      </c>
      <c r="N46" s="19">
        <v>142.0</v>
      </c>
      <c r="O46" s="19">
        <v>126.0</v>
      </c>
      <c r="P46" s="19">
        <v>136.0</v>
      </c>
      <c r="Q46" s="19">
        <v>154.0</v>
      </c>
      <c r="R46" s="19">
        <v>164.0</v>
      </c>
      <c r="S46" s="19">
        <v>146.0</v>
      </c>
      <c r="T46" s="19">
        <v>128.0</v>
      </c>
      <c r="U46" s="19">
        <v>160.0</v>
      </c>
      <c r="V46" s="19">
        <v>124.0</v>
      </c>
      <c r="W46" s="19">
        <v>137.0</v>
      </c>
      <c r="X46" s="19">
        <v>151.0</v>
      </c>
      <c r="Y46" s="19">
        <v>101.0</v>
      </c>
      <c r="Z46" s="19">
        <v>119.0</v>
      </c>
      <c r="AA46" s="19">
        <v>156.0</v>
      </c>
      <c r="AB46" s="19">
        <v>109.0</v>
      </c>
      <c r="AC46" s="19">
        <v>100.0</v>
      </c>
      <c r="AD46" s="19">
        <v>144.0</v>
      </c>
      <c r="AE46" s="19">
        <v>134.0</v>
      </c>
      <c r="AF46" s="19">
        <v>116.0</v>
      </c>
      <c r="AG46" s="19">
        <v>110.0</v>
      </c>
      <c r="AH46" s="19">
        <v>144.0</v>
      </c>
      <c r="AI46" s="19">
        <v>164.0</v>
      </c>
      <c r="AJ46" s="19">
        <v>153.0</v>
      </c>
      <c r="AK46" s="19">
        <v>153.0</v>
      </c>
      <c r="AL46" s="19">
        <v>116.0</v>
      </c>
      <c r="AM46" s="19">
        <v>102.0</v>
      </c>
      <c r="AN46" s="19">
        <v>141.0</v>
      </c>
      <c r="AO46" s="19">
        <v>182.0</v>
      </c>
      <c r="AP46" s="19">
        <v>154.0</v>
      </c>
      <c r="AQ46" s="19">
        <v>164.0</v>
      </c>
      <c r="AR46" s="19">
        <v>193.0</v>
      </c>
      <c r="AS46" s="19">
        <v>185.0</v>
      </c>
      <c r="AT46" s="19">
        <v>133.0</v>
      </c>
      <c r="AU46" s="13">
        <f t="shared" si="14"/>
        <v>5834</v>
      </c>
    </row>
    <row r="47" ht="12.75" customHeight="1">
      <c r="A47" s="45"/>
      <c r="B47" s="47">
        <v>3.0</v>
      </c>
      <c r="C47" s="48" t="s">
        <v>39</v>
      </c>
      <c r="D47" s="16"/>
      <c r="E47" s="19">
        <v>14.0</v>
      </c>
      <c r="F47" s="19">
        <v>45.0</v>
      </c>
      <c r="G47" s="19">
        <v>16.0</v>
      </c>
      <c r="H47" s="19">
        <v>15.0</v>
      </c>
      <c r="I47" s="19">
        <v>6.0</v>
      </c>
      <c r="J47" s="19">
        <v>16.0</v>
      </c>
      <c r="K47" s="19">
        <v>9.0</v>
      </c>
      <c r="L47" s="19">
        <v>29.0</v>
      </c>
      <c r="M47" s="19">
        <v>31.0</v>
      </c>
      <c r="N47" s="19">
        <v>23.0</v>
      </c>
      <c r="O47" s="19">
        <v>38.0</v>
      </c>
      <c r="P47" s="19">
        <v>30.0</v>
      </c>
      <c r="Q47" s="19">
        <v>28.0</v>
      </c>
      <c r="R47" s="19">
        <v>15.0</v>
      </c>
      <c r="S47" s="19">
        <v>35.0</v>
      </c>
      <c r="T47" s="19">
        <v>35.0</v>
      </c>
      <c r="U47" s="19">
        <v>33.0</v>
      </c>
      <c r="V47" s="19">
        <v>43.0</v>
      </c>
      <c r="W47" s="19">
        <v>19.0</v>
      </c>
      <c r="X47" s="19">
        <v>45.0</v>
      </c>
      <c r="Y47" s="19">
        <v>48.0</v>
      </c>
      <c r="Z47" s="19">
        <v>55.0</v>
      </c>
      <c r="AA47" s="19">
        <v>32.0</v>
      </c>
      <c r="AB47" s="19">
        <v>46.0</v>
      </c>
      <c r="AC47" s="19">
        <v>16.0</v>
      </c>
      <c r="AD47" s="19">
        <v>33.0</v>
      </c>
      <c r="AE47" s="19">
        <v>17.0</v>
      </c>
      <c r="AF47" s="19">
        <v>44.0</v>
      </c>
      <c r="AG47" s="19">
        <v>28.0</v>
      </c>
      <c r="AH47" s="19">
        <v>13.0</v>
      </c>
      <c r="AI47" s="19">
        <v>19.0</v>
      </c>
      <c r="AJ47" s="19">
        <v>24.0</v>
      </c>
      <c r="AK47" s="19">
        <v>24.0</v>
      </c>
      <c r="AL47" s="19">
        <v>15.0</v>
      </c>
      <c r="AM47" s="19">
        <v>10.0</v>
      </c>
      <c r="AN47" s="19">
        <v>38.0</v>
      </c>
      <c r="AO47" s="19">
        <v>24.0</v>
      </c>
      <c r="AP47" s="19">
        <v>30.0</v>
      </c>
      <c r="AQ47" s="19">
        <v>11.0</v>
      </c>
      <c r="AR47" s="19">
        <v>10.0</v>
      </c>
      <c r="AS47" s="19">
        <v>27.0</v>
      </c>
      <c r="AT47" s="19">
        <v>16.0</v>
      </c>
      <c r="AU47" s="13">
        <f t="shared" si="14"/>
        <v>1105</v>
      </c>
    </row>
    <row r="48" ht="12.75" customHeight="1">
      <c r="AU48" s="13"/>
    </row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</row>
    <row r="50" ht="12.75" customHeight="1">
      <c r="A50" s="42"/>
      <c r="B50" s="54" t="s">
        <v>42</v>
      </c>
      <c r="C50" s="55" t="s">
        <v>43</v>
      </c>
      <c r="D50" s="16"/>
      <c r="E50" s="19">
        <f t="shared" ref="E50:AT50" si="15">SUM(E45:E47)</f>
        <v>185</v>
      </c>
      <c r="F50" s="19">
        <f t="shared" si="15"/>
        <v>189</v>
      </c>
      <c r="G50" s="19">
        <f t="shared" si="15"/>
        <v>198</v>
      </c>
      <c r="H50" s="19">
        <f t="shared" si="15"/>
        <v>142</v>
      </c>
      <c r="I50" s="19">
        <f t="shared" si="15"/>
        <v>170</v>
      </c>
      <c r="J50" s="19">
        <f t="shared" si="15"/>
        <v>185</v>
      </c>
      <c r="K50" s="19">
        <f t="shared" si="15"/>
        <v>130</v>
      </c>
      <c r="L50" s="19">
        <f t="shared" si="15"/>
        <v>192</v>
      </c>
      <c r="M50" s="19">
        <f t="shared" si="15"/>
        <v>187</v>
      </c>
      <c r="N50" s="19">
        <f t="shared" si="15"/>
        <v>183</v>
      </c>
      <c r="O50" s="19">
        <f t="shared" si="15"/>
        <v>185</v>
      </c>
      <c r="P50" s="19">
        <f t="shared" si="15"/>
        <v>187</v>
      </c>
      <c r="Q50" s="19">
        <f t="shared" si="15"/>
        <v>200</v>
      </c>
      <c r="R50" s="19">
        <f t="shared" si="15"/>
        <v>191</v>
      </c>
      <c r="S50" s="19">
        <f t="shared" si="15"/>
        <v>207</v>
      </c>
      <c r="T50" s="19">
        <f t="shared" si="15"/>
        <v>190</v>
      </c>
      <c r="U50" s="19">
        <f t="shared" si="15"/>
        <v>210</v>
      </c>
      <c r="V50" s="19">
        <f t="shared" si="15"/>
        <v>207</v>
      </c>
      <c r="W50" s="19">
        <f t="shared" si="15"/>
        <v>198</v>
      </c>
      <c r="X50" s="19">
        <f t="shared" si="15"/>
        <v>211</v>
      </c>
      <c r="Y50" s="19">
        <f t="shared" si="15"/>
        <v>193</v>
      </c>
      <c r="Z50" s="19">
        <f t="shared" si="15"/>
        <v>212</v>
      </c>
      <c r="AA50" s="19">
        <f t="shared" si="15"/>
        <v>226</v>
      </c>
      <c r="AB50" s="19">
        <f t="shared" si="15"/>
        <v>194</v>
      </c>
      <c r="AC50" s="19">
        <f t="shared" si="15"/>
        <v>171</v>
      </c>
      <c r="AD50" s="19">
        <f t="shared" si="15"/>
        <v>197</v>
      </c>
      <c r="AE50" s="19">
        <f t="shared" si="15"/>
        <v>172</v>
      </c>
      <c r="AF50" s="19">
        <f t="shared" si="15"/>
        <v>176</v>
      </c>
      <c r="AG50" s="19">
        <f t="shared" si="15"/>
        <v>171</v>
      </c>
      <c r="AH50" s="19">
        <f t="shared" si="15"/>
        <v>170</v>
      </c>
      <c r="AI50" s="19">
        <f t="shared" si="15"/>
        <v>193</v>
      </c>
      <c r="AJ50" s="19">
        <f t="shared" si="15"/>
        <v>204</v>
      </c>
      <c r="AK50" s="19">
        <f t="shared" si="15"/>
        <v>202</v>
      </c>
      <c r="AL50" s="19">
        <f t="shared" si="15"/>
        <v>164</v>
      </c>
      <c r="AM50" s="19">
        <f t="shared" si="15"/>
        <v>148</v>
      </c>
      <c r="AN50" s="19">
        <f t="shared" si="15"/>
        <v>189</v>
      </c>
      <c r="AO50" s="19">
        <f t="shared" si="15"/>
        <v>220</v>
      </c>
      <c r="AP50" s="19">
        <f t="shared" si="15"/>
        <v>218</v>
      </c>
      <c r="AQ50" s="19">
        <f t="shared" si="15"/>
        <v>197</v>
      </c>
      <c r="AR50" s="19">
        <f t="shared" si="15"/>
        <v>226</v>
      </c>
      <c r="AS50" s="19">
        <f t="shared" si="15"/>
        <v>244</v>
      </c>
      <c r="AT50" s="19">
        <f t="shared" si="15"/>
        <v>186</v>
      </c>
      <c r="AU50" s="13">
        <f t="shared" ref="AU50:AU52" si="16">SUM(E50:AT50)</f>
        <v>8020</v>
      </c>
    </row>
    <row r="51" ht="12.75" customHeight="1">
      <c r="A51" s="35"/>
      <c r="B51" s="54" t="s">
        <v>44</v>
      </c>
      <c r="C51" s="55" t="s">
        <v>45</v>
      </c>
      <c r="D51" s="16"/>
      <c r="E51" s="19">
        <v>4.0</v>
      </c>
      <c r="F51" s="19">
        <v>14.0</v>
      </c>
      <c r="G51" s="19">
        <v>11.0</v>
      </c>
      <c r="H51" s="19">
        <v>3.0</v>
      </c>
      <c r="I51" s="19">
        <v>3.0</v>
      </c>
      <c r="J51" s="19">
        <v>3.0</v>
      </c>
      <c r="K51" s="19">
        <v>4.0</v>
      </c>
      <c r="L51" s="19">
        <v>6.0</v>
      </c>
      <c r="M51" s="19">
        <v>2.0</v>
      </c>
      <c r="N51" s="19">
        <v>8.0</v>
      </c>
      <c r="O51" s="19">
        <v>2.0</v>
      </c>
      <c r="P51" s="19">
        <v>7.0</v>
      </c>
      <c r="Q51" s="19">
        <v>12.0</v>
      </c>
      <c r="R51" s="19">
        <v>9.0</v>
      </c>
      <c r="S51" s="19">
        <v>1.0</v>
      </c>
      <c r="T51" s="19">
        <v>5.0</v>
      </c>
      <c r="U51" s="19">
        <v>11.0</v>
      </c>
      <c r="V51" s="19">
        <v>2.0</v>
      </c>
      <c r="W51" s="19">
        <v>3.0</v>
      </c>
      <c r="X51" s="19">
        <v>1.0</v>
      </c>
      <c r="Y51" s="19">
        <v>1.0</v>
      </c>
      <c r="Z51" s="19">
        <v>5.0</v>
      </c>
      <c r="AA51" s="19">
        <v>6.0</v>
      </c>
      <c r="AB51" s="19">
        <v>2.0</v>
      </c>
      <c r="AC51" s="19">
        <v>3.0</v>
      </c>
      <c r="AD51" s="19">
        <v>0.0</v>
      </c>
      <c r="AE51" s="19">
        <v>1.0</v>
      </c>
      <c r="AF51" s="19">
        <v>4.0</v>
      </c>
      <c r="AG51" s="19">
        <v>3.0</v>
      </c>
      <c r="AH51" s="19">
        <v>5.0</v>
      </c>
      <c r="AI51" s="19">
        <v>0.0</v>
      </c>
      <c r="AJ51" s="19">
        <v>7.0</v>
      </c>
      <c r="AK51" s="19">
        <v>3.0</v>
      </c>
      <c r="AL51" s="19">
        <v>2.0</v>
      </c>
      <c r="AM51" s="19">
        <v>4.0</v>
      </c>
      <c r="AN51" s="19">
        <v>12.0</v>
      </c>
      <c r="AO51" s="19">
        <v>6.0</v>
      </c>
      <c r="AP51" s="19">
        <v>8.0</v>
      </c>
      <c r="AQ51" s="19">
        <v>6.0</v>
      </c>
      <c r="AR51" s="19">
        <v>5.0</v>
      </c>
      <c r="AS51" s="19">
        <v>2.0</v>
      </c>
      <c r="AT51" s="19">
        <v>2.0</v>
      </c>
      <c r="AU51" s="13">
        <f t="shared" si="16"/>
        <v>198</v>
      </c>
    </row>
    <row r="52" ht="12.75" customHeight="1">
      <c r="A52" s="41"/>
      <c r="B52" s="54" t="s">
        <v>46</v>
      </c>
      <c r="C52" s="55" t="s">
        <v>47</v>
      </c>
      <c r="D52" s="16"/>
      <c r="E52" s="13">
        <f t="shared" ref="E52:AT52" si="17">SUM(E50:E51)</f>
        <v>189</v>
      </c>
      <c r="F52" s="13">
        <f t="shared" si="17"/>
        <v>203</v>
      </c>
      <c r="G52" s="13">
        <f t="shared" si="17"/>
        <v>209</v>
      </c>
      <c r="H52" s="13">
        <f t="shared" si="17"/>
        <v>145</v>
      </c>
      <c r="I52" s="13">
        <f t="shared" si="17"/>
        <v>173</v>
      </c>
      <c r="J52" s="13">
        <f t="shared" si="17"/>
        <v>188</v>
      </c>
      <c r="K52" s="13">
        <f t="shared" si="17"/>
        <v>134</v>
      </c>
      <c r="L52" s="13">
        <f t="shared" si="17"/>
        <v>198</v>
      </c>
      <c r="M52" s="13">
        <f t="shared" si="17"/>
        <v>189</v>
      </c>
      <c r="N52" s="13">
        <f t="shared" si="17"/>
        <v>191</v>
      </c>
      <c r="O52" s="13">
        <f t="shared" si="17"/>
        <v>187</v>
      </c>
      <c r="P52" s="13">
        <f t="shared" si="17"/>
        <v>194</v>
      </c>
      <c r="Q52" s="13">
        <f t="shared" si="17"/>
        <v>212</v>
      </c>
      <c r="R52" s="13">
        <f t="shared" si="17"/>
        <v>200</v>
      </c>
      <c r="S52" s="13">
        <f t="shared" si="17"/>
        <v>208</v>
      </c>
      <c r="T52" s="13">
        <f t="shared" si="17"/>
        <v>195</v>
      </c>
      <c r="U52" s="13">
        <f t="shared" si="17"/>
        <v>221</v>
      </c>
      <c r="V52" s="13">
        <f t="shared" si="17"/>
        <v>209</v>
      </c>
      <c r="W52" s="13">
        <f t="shared" si="17"/>
        <v>201</v>
      </c>
      <c r="X52" s="13">
        <f t="shared" si="17"/>
        <v>212</v>
      </c>
      <c r="Y52" s="13">
        <f t="shared" si="17"/>
        <v>194</v>
      </c>
      <c r="Z52" s="13">
        <f t="shared" si="17"/>
        <v>217</v>
      </c>
      <c r="AA52" s="13">
        <f t="shared" si="17"/>
        <v>232</v>
      </c>
      <c r="AB52" s="13">
        <f t="shared" si="17"/>
        <v>196</v>
      </c>
      <c r="AC52" s="13">
        <f t="shared" si="17"/>
        <v>174</v>
      </c>
      <c r="AD52" s="13">
        <f t="shared" si="17"/>
        <v>197</v>
      </c>
      <c r="AE52" s="13">
        <f t="shared" si="17"/>
        <v>173</v>
      </c>
      <c r="AF52" s="13">
        <f t="shared" si="17"/>
        <v>180</v>
      </c>
      <c r="AG52" s="13">
        <f t="shared" si="17"/>
        <v>174</v>
      </c>
      <c r="AH52" s="13">
        <f t="shared" si="17"/>
        <v>175</v>
      </c>
      <c r="AI52" s="13">
        <f t="shared" si="17"/>
        <v>193</v>
      </c>
      <c r="AJ52" s="13">
        <f t="shared" si="17"/>
        <v>211</v>
      </c>
      <c r="AK52" s="13">
        <f t="shared" si="17"/>
        <v>205</v>
      </c>
      <c r="AL52" s="13">
        <f t="shared" si="17"/>
        <v>166</v>
      </c>
      <c r="AM52" s="13">
        <f t="shared" si="17"/>
        <v>152</v>
      </c>
      <c r="AN52" s="13">
        <f t="shared" si="17"/>
        <v>201</v>
      </c>
      <c r="AO52" s="13">
        <f t="shared" si="17"/>
        <v>226</v>
      </c>
      <c r="AP52" s="13">
        <f t="shared" si="17"/>
        <v>226</v>
      </c>
      <c r="AQ52" s="13">
        <f t="shared" si="17"/>
        <v>203</v>
      </c>
      <c r="AR52" s="13">
        <f t="shared" si="17"/>
        <v>231</v>
      </c>
      <c r="AS52" s="13">
        <f t="shared" si="17"/>
        <v>246</v>
      </c>
      <c r="AT52" s="13">
        <f t="shared" si="17"/>
        <v>188</v>
      </c>
      <c r="AU52" s="13">
        <f t="shared" si="16"/>
        <v>8218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>
      <c r="AV117" s="5"/>
      <c r="AW117" s="5"/>
    </row>
    <row r="118" ht="12.75" customHeight="1">
      <c r="AV118" s="5"/>
      <c r="AW118" s="5"/>
    </row>
    <row r="119" ht="12.75" customHeight="1">
      <c r="AV119" s="5"/>
      <c r="AW119" s="5"/>
    </row>
    <row r="120" ht="12.75" customHeight="1">
      <c r="AV120" s="5"/>
      <c r="AW120" s="5"/>
    </row>
    <row r="121" ht="12.75" customHeight="1">
      <c r="AV121" s="5"/>
      <c r="AW121" s="5"/>
    </row>
    <row r="122" ht="12.75" customHeight="1">
      <c r="AV122" s="5"/>
      <c r="AW122" s="5"/>
    </row>
    <row r="123" ht="12.75" customHeight="1">
      <c r="AV123" s="5"/>
      <c r="AW123" s="5"/>
    </row>
    <row r="124" ht="12.75" customHeight="1">
      <c r="AV124" s="5"/>
      <c r="AW124" s="5"/>
    </row>
    <row r="125" ht="12.75" customHeight="1">
      <c r="AV125" s="5"/>
      <c r="AW125" s="5"/>
    </row>
    <row r="126" ht="12.75" customHeight="1">
      <c r="AV126" s="5"/>
      <c r="AW126" s="5"/>
    </row>
    <row r="127" ht="12.75" customHeight="1">
      <c r="AV127" s="5"/>
      <c r="AW127" s="5"/>
    </row>
    <row r="128" ht="12.75" customHeight="1">
      <c r="AV128" s="5"/>
      <c r="AW128" s="5"/>
    </row>
    <row r="129" ht="12.75" customHeight="1">
      <c r="AV129" s="5"/>
      <c r="AW129" s="5"/>
    </row>
    <row r="130" ht="12.75" customHeight="1">
      <c r="AV130" s="1"/>
      <c r="AW130" s="1"/>
    </row>
    <row r="131" ht="12.75" customHeight="1">
      <c r="AV131" s="50"/>
      <c r="AW131" s="50"/>
    </row>
    <row r="132" ht="12.75" customHeight="1">
      <c r="AV132" s="5"/>
      <c r="AW132" s="5"/>
    </row>
    <row r="133" ht="12.75" customHeight="1">
      <c r="AV133" s="5"/>
      <c r="AW133" s="5"/>
    </row>
    <row r="134" ht="12.75" customHeight="1">
      <c r="AV134" s="5"/>
      <c r="AW134" s="5"/>
    </row>
    <row r="135" ht="12.75" customHeight="1">
      <c r="AV135" s="5"/>
      <c r="AW135" s="5"/>
    </row>
    <row r="136" ht="12.75" customHeight="1">
      <c r="AV136" s="5"/>
      <c r="AW136" s="5"/>
    </row>
    <row r="137" ht="12.75" customHeight="1">
      <c r="AV137" s="5"/>
      <c r="AW137" s="5"/>
    </row>
    <row r="138" ht="12.75" customHeight="1">
      <c r="AV138" s="5"/>
      <c r="AW138" s="5"/>
    </row>
    <row r="139" ht="12.75" customHeight="1">
      <c r="AV139" s="5"/>
      <c r="AW139" s="5"/>
    </row>
    <row r="140" ht="12.75" customHeight="1">
      <c r="AV140" s="5"/>
      <c r="AW140" s="5"/>
    </row>
    <row r="141" ht="12.75" customHeight="1">
      <c r="AV141" s="1"/>
      <c r="AW141" s="1"/>
    </row>
    <row r="142" ht="12.75" customHeight="1">
      <c r="AV142" s="50"/>
      <c r="AW142" s="50"/>
    </row>
    <row r="143" ht="12.75" customHeight="1">
      <c r="AV143" s="5"/>
      <c r="AW143" s="5"/>
    </row>
    <row r="144" ht="12.75" customHeight="1">
      <c r="AV144" s="5"/>
      <c r="AW144" s="5"/>
    </row>
    <row r="145" ht="12.75" customHeight="1">
      <c r="AV145" s="5"/>
      <c r="AW145" s="5"/>
    </row>
    <row r="146" ht="12.75" customHeight="1">
      <c r="AV146" s="5"/>
      <c r="AW146" s="5"/>
    </row>
    <row r="147" ht="12.75" customHeight="1">
      <c r="AV147" s="5"/>
      <c r="AW147" s="5"/>
    </row>
    <row r="148" ht="12.75" customHeight="1">
      <c r="AV148" s="5"/>
      <c r="AW148" s="5"/>
    </row>
    <row r="149" ht="12.75" customHeight="1">
      <c r="AV149" s="5"/>
      <c r="AW149" s="5"/>
    </row>
    <row r="150" ht="12.75" customHeight="1">
      <c r="AV150" s="5"/>
      <c r="AW150" s="5"/>
    </row>
    <row r="151" ht="12.75" customHeight="1">
      <c r="AV151" s="1"/>
      <c r="AW151" s="1"/>
    </row>
    <row r="152" ht="12.75" customHeight="1">
      <c r="AV152" s="50"/>
      <c r="AW152" s="50"/>
    </row>
    <row r="153" ht="12.75" customHeight="1">
      <c r="AV153" s="5"/>
      <c r="AW153" s="5"/>
    </row>
    <row r="154" ht="12.75" customHeight="1">
      <c r="AV154" s="5"/>
      <c r="AW154" s="5"/>
    </row>
    <row r="155" ht="12.75" customHeight="1">
      <c r="AV155" s="5"/>
      <c r="AW155" s="5"/>
    </row>
    <row r="156" ht="12.75" customHeight="1">
      <c r="AV156" s="5"/>
      <c r="AW156" s="5"/>
    </row>
    <row r="157" ht="12.75" customHeight="1">
      <c r="AV157" s="5"/>
      <c r="AW157" s="5"/>
    </row>
    <row r="158" ht="12.75" customHeight="1">
      <c r="AV158" s="5"/>
      <c r="AW158" s="5"/>
    </row>
    <row r="159" ht="12.75" customHeight="1">
      <c r="AV159" s="5"/>
      <c r="AW159" s="5"/>
    </row>
    <row r="160" ht="12.75" customHeight="1">
      <c r="AV160" s="5"/>
      <c r="AW160" s="5"/>
    </row>
    <row r="161" ht="12.75" customHeight="1">
      <c r="AV161" s="5"/>
      <c r="AW161" s="5"/>
    </row>
    <row r="162" ht="12.75" customHeight="1">
      <c r="AV162" s="5"/>
      <c r="AW162" s="5"/>
    </row>
    <row r="163" ht="12.75" customHeight="1">
      <c r="AV163" s="5"/>
      <c r="AW163" s="5"/>
    </row>
    <row r="164" ht="12.75" customHeight="1">
      <c r="AV164" s="5"/>
      <c r="AW164" s="5"/>
    </row>
    <row r="165" ht="12.75" customHeight="1">
      <c r="AV165" s="1"/>
      <c r="AW165" s="1"/>
    </row>
    <row r="166" ht="12.75" customHeight="1">
      <c r="AV166" s="50"/>
      <c r="AW166" s="50"/>
    </row>
    <row r="167" ht="12.75" customHeight="1">
      <c r="AV167" s="5"/>
      <c r="AW167" s="5"/>
    </row>
    <row r="168" ht="12.75" customHeight="1">
      <c r="AV168" s="5"/>
      <c r="AW168" s="5"/>
    </row>
    <row r="169" ht="12.75" customHeight="1">
      <c r="AV169" s="5"/>
      <c r="AW169" s="5"/>
    </row>
    <row r="170" ht="12.75" customHeight="1">
      <c r="AV170" s="5"/>
      <c r="AW170" s="5"/>
    </row>
    <row r="171" ht="12.75" customHeight="1">
      <c r="AV171" s="5"/>
      <c r="AW171" s="5"/>
    </row>
    <row r="172" ht="12.75" customHeight="1">
      <c r="AV172" s="5"/>
      <c r="AW172" s="5"/>
    </row>
    <row r="173" ht="12.75" customHeight="1">
      <c r="AV173" s="5"/>
      <c r="AW173" s="5"/>
    </row>
    <row r="174" ht="12.75" customHeight="1">
      <c r="AV174" s="5"/>
      <c r="AW174" s="5"/>
    </row>
    <row r="175" ht="12.75" customHeight="1">
      <c r="AV175" s="5"/>
      <c r="AW175" s="5"/>
    </row>
    <row r="176" ht="12.75" customHeight="1">
      <c r="AV176" s="1"/>
      <c r="AW176" s="1"/>
    </row>
    <row r="177" ht="12.75" customHeight="1"/>
    <row r="178" ht="12.75" customHeight="1">
      <c r="AV178" s="5"/>
      <c r="AW178" s="5"/>
    </row>
    <row r="179" ht="12.75" customHeight="1">
      <c r="AV179" s="5"/>
      <c r="AW179" s="5"/>
    </row>
    <row r="180" ht="12.75" customHeight="1">
      <c r="AV180" s="5"/>
      <c r="AW180" s="5"/>
    </row>
    <row r="181" ht="12.75" customHeight="1">
      <c r="AV181" s="5"/>
      <c r="AW181" s="5"/>
    </row>
    <row r="182" ht="12.75" customHeight="1">
      <c r="AV182" s="5"/>
      <c r="AW182" s="5"/>
    </row>
    <row r="183" ht="12.75" customHeight="1">
      <c r="AV183" s="5"/>
      <c r="AW183" s="5"/>
    </row>
    <row r="184" ht="12.75" customHeight="1">
      <c r="AV184" s="5"/>
      <c r="AW184" s="5"/>
    </row>
    <row r="185" ht="12.75" customHeight="1">
      <c r="AV185" s="5"/>
      <c r="AW185" s="5"/>
    </row>
    <row r="186" ht="12.75" customHeight="1">
      <c r="AV186" s="5"/>
      <c r="AW186" s="5"/>
    </row>
    <row r="187" ht="12.75" customHeight="1">
      <c r="AV187" s="1"/>
      <c r="AW187" s="1"/>
    </row>
    <row r="188" ht="12.75" customHeight="1"/>
    <row r="189" ht="12.75" customHeight="1">
      <c r="AV189" s="5"/>
      <c r="AW189" s="5"/>
    </row>
    <row r="190" ht="12.75" customHeight="1">
      <c r="AV190" s="5"/>
      <c r="AW190" s="5"/>
    </row>
    <row r="191" ht="12.75" customHeight="1">
      <c r="AV191" s="5"/>
      <c r="AW191" s="5"/>
    </row>
    <row r="192" ht="12.75" customHeight="1">
      <c r="AV192" s="5"/>
      <c r="AW192" s="5"/>
    </row>
    <row r="193" ht="12.75" customHeight="1">
      <c r="AV193" s="5"/>
      <c r="AW193" s="5"/>
    </row>
    <row r="194" ht="12.75" customHeight="1">
      <c r="AV194" s="5"/>
      <c r="AW194" s="5"/>
    </row>
    <row r="195" ht="12.75" customHeight="1">
      <c r="AV195" s="5"/>
      <c r="AW195" s="5"/>
    </row>
    <row r="196" ht="12.75" customHeight="1">
      <c r="AV196" s="1"/>
      <c r="AW196" s="1"/>
    </row>
    <row r="197" ht="12.75" customHeight="1">
      <c r="AV197" s="1"/>
      <c r="AW197" s="1"/>
    </row>
    <row r="198" ht="12.75" customHeight="1">
      <c r="AV198" s="1"/>
      <c r="AW198" s="1"/>
    </row>
    <row r="199" ht="12.75" customHeight="1">
      <c r="AV199" s="50"/>
      <c r="AW199" s="50"/>
    </row>
    <row r="200" ht="12.75" customHeight="1">
      <c r="AV200" s="5"/>
      <c r="AW200" s="5"/>
    </row>
    <row r="201" ht="12.75" customHeight="1">
      <c r="AV201" s="5"/>
      <c r="AW201" s="5"/>
    </row>
    <row r="202" ht="12.75" customHeight="1">
      <c r="AV202" s="5"/>
      <c r="AW202" s="5"/>
    </row>
    <row r="203" ht="12.75" customHeight="1">
      <c r="AV203" s="5"/>
      <c r="AW203" s="5"/>
    </row>
    <row r="204" ht="12.75" customHeight="1">
      <c r="AV204" s="5"/>
      <c r="AW204" s="5"/>
    </row>
    <row r="205" ht="12.75" customHeight="1">
      <c r="AV205" s="5"/>
      <c r="AW205" s="5"/>
    </row>
    <row r="206" ht="12.75" customHeight="1">
      <c r="AV206" s="5"/>
      <c r="AW206" s="5"/>
    </row>
    <row r="207" ht="12.75" customHeight="1">
      <c r="AV207" s="1"/>
      <c r="AW207" s="1"/>
    </row>
    <row r="208" ht="12.75" customHeight="1">
      <c r="AV208" s="50"/>
      <c r="AW208" s="50"/>
    </row>
    <row r="209" ht="12.75" customHeight="1">
      <c r="AV209" s="50"/>
      <c r="AW209" s="50"/>
    </row>
    <row r="210" ht="12.75" customHeight="1">
      <c r="AV210" s="50"/>
      <c r="AW210" s="50"/>
    </row>
    <row r="211" ht="12.75" customHeight="1">
      <c r="AV211" s="5"/>
      <c r="AW211" s="5"/>
    </row>
    <row r="212" ht="12.75" customHeight="1">
      <c r="AV212" s="5"/>
      <c r="AW212" s="5"/>
    </row>
    <row r="213" ht="12.75" customHeight="1">
      <c r="AV213" s="5"/>
      <c r="AW213" s="5"/>
    </row>
    <row r="214" ht="12.75" customHeight="1">
      <c r="AV214" s="5"/>
      <c r="AW214" s="5"/>
    </row>
    <row r="215" ht="12.75" customHeight="1">
      <c r="AV215" s="5"/>
      <c r="AW215" s="5"/>
    </row>
    <row r="216" ht="12.75" customHeight="1">
      <c r="AV216" s="5"/>
      <c r="AW216" s="5"/>
    </row>
    <row r="217" ht="12.75" customHeight="1">
      <c r="AV217" s="5"/>
      <c r="AW217" s="5"/>
    </row>
    <row r="218" ht="12.75" customHeight="1">
      <c r="AV218" s="1"/>
      <c r="AW218" s="1"/>
    </row>
    <row r="219" ht="12.75" customHeight="1">
      <c r="AV219" s="50"/>
      <c r="AW219" s="50"/>
    </row>
    <row r="220" ht="12.75" customHeight="1">
      <c r="AV220" s="5"/>
      <c r="AW220" s="5"/>
    </row>
    <row r="221" ht="12.75" customHeight="1">
      <c r="AV221" s="5"/>
      <c r="AW221" s="5"/>
    </row>
    <row r="222" ht="12.75" customHeight="1">
      <c r="AV222" s="5"/>
      <c r="AW222" s="5"/>
    </row>
    <row r="223" ht="12.75" customHeight="1">
      <c r="AV223" s="5"/>
      <c r="AW223" s="5"/>
    </row>
    <row r="224" ht="12.75" customHeight="1">
      <c r="AV224" s="5"/>
      <c r="AW224" s="5"/>
    </row>
    <row r="225" ht="12.75" customHeight="1">
      <c r="AV225" s="5"/>
      <c r="AW225" s="5"/>
    </row>
    <row r="226" ht="12.75" customHeight="1">
      <c r="AV226" s="5"/>
      <c r="AW226" s="5"/>
    </row>
    <row r="227" ht="12.75" customHeight="1">
      <c r="AV227" s="5"/>
      <c r="AW227" s="5"/>
    </row>
    <row r="228" ht="12.75" customHeight="1">
      <c r="AV228" s="5"/>
      <c r="AW228" s="5"/>
    </row>
    <row r="229" ht="12.75" customHeight="1">
      <c r="AV229" s="1"/>
      <c r="AW229" s="1"/>
    </row>
    <row r="230" ht="12.75" customHeight="1">
      <c r="AV230" s="50"/>
      <c r="AW230" s="50"/>
    </row>
    <row r="231" ht="12.75" customHeight="1">
      <c r="AV231" s="5"/>
      <c r="AW231" s="5"/>
    </row>
    <row r="232" ht="12.75" customHeight="1">
      <c r="AV232" s="5"/>
      <c r="AW232" s="5"/>
    </row>
    <row r="233" ht="12.75" customHeight="1">
      <c r="AV233" s="5"/>
      <c r="AW233" s="5"/>
    </row>
    <row r="234" ht="12.75" customHeight="1">
      <c r="AV234" s="5"/>
      <c r="AW234" s="5"/>
    </row>
    <row r="235" ht="12.75" customHeight="1">
      <c r="AV235" s="5"/>
      <c r="AW235" s="5"/>
    </row>
    <row r="236" ht="12.75" customHeight="1">
      <c r="AV236" s="5"/>
      <c r="AW236" s="5"/>
    </row>
    <row r="237" ht="12.75" customHeight="1">
      <c r="AV237" s="5"/>
      <c r="AW237" s="5"/>
    </row>
    <row r="238" ht="12.75" customHeight="1">
      <c r="AV238" s="5"/>
      <c r="AW238" s="5"/>
    </row>
    <row r="239" ht="12.75" customHeight="1">
      <c r="AV239" s="5"/>
      <c r="AW239" s="5"/>
    </row>
    <row r="240" ht="12.75" customHeight="1">
      <c r="AV240" s="1"/>
      <c r="AW240" s="1"/>
    </row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AT12"/>
    <mergeCell ref="AU12:AU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14:AT15">
    <cfRule type="containsBlanks" dxfId="1" priority="1">
      <formula>LEN(TRIM(E14))=0</formula>
    </cfRule>
  </conditionalFormatting>
  <conditionalFormatting sqref="E19:AT20">
    <cfRule type="containsBlanks" dxfId="1" priority="2">
      <formula>LEN(TRIM(E19))=0</formula>
    </cfRule>
  </conditionalFormatting>
  <conditionalFormatting sqref="E22:AT23 E25:AT26 E33:AT33 E35:AT35 E39:AT40">
    <cfRule type="containsBlanks" dxfId="1" priority="3">
      <formula>LEN(TRIM(E22))=0</formula>
    </cfRule>
  </conditionalFormatting>
  <conditionalFormatting sqref="E30:AT30">
    <cfRule type="expression" dxfId="0" priority="4">
      <formula>E30&lt;&gt;E47</formula>
    </cfRule>
  </conditionalFormatting>
  <conditionalFormatting sqref="E30:AT30">
    <cfRule type="expression" dxfId="0" priority="5">
      <formula>E30&lt;&gt;E34</formula>
    </cfRule>
  </conditionalFormatting>
  <conditionalFormatting sqref="E34:AT34">
    <cfRule type="expression" dxfId="2" priority="6">
      <formula>E30&lt;&gt;E34</formula>
    </cfRule>
  </conditionalFormatting>
  <conditionalFormatting sqref="E34:AT34">
    <cfRule type="expression" dxfId="3" priority="7">
      <formula>E30=E34</formula>
    </cfRule>
  </conditionalFormatting>
  <conditionalFormatting sqref="E34:AT34">
    <cfRule type="expression" dxfId="0" priority="8">
      <formula>E34&lt;&gt;E30</formula>
    </cfRule>
  </conditionalFormatting>
  <conditionalFormatting sqref="E45:AT47">
    <cfRule type="containsBlanks" dxfId="1" priority="9">
      <formula>LEN(TRIM(E45))=0</formula>
    </cfRule>
  </conditionalFormatting>
  <conditionalFormatting sqref="E50:AT51">
    <cfRule type="containsBlanks" dxfId="1" priority="10">
      <formula>LEN(TRIM(E50))=0</formula>
    </cfRule>
  </conditionalFormatting>
  <conditionalFormatting sqref="E34:AT34">
    <cfRule type="expression" dxfId="0" priority="11">
      <formula>E34&lt;&gt;#REF!</formula>
    </cfRule>
  </conditionalFormatting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5" width="8.71"/>
    <col customWidth="1" min="36" max="36" width="13.29"/>
    <col customWidth="1" min="37" max="38" width="8.71"/>
  </cols>
  <sheetData>
    <row r="1" ht="12.75" customHeight="1"/>
    <row r="2" ht="12.75" customHeight="1">
      <c r="C2" s="8" t="s">
        <v>0</v>
      </c>
      <c r="D2" s="8" t="s">
        <v>48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49</v>
      </c>
      <c r="D9" s="8" t="s">
        <v>101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  <c r="AE11" s="1"/>
      <c r="AF11" s="1"/>
      <c r="AG11" s="1"/>
      <c r="AH11" s="2"/>
      <c r="AI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5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51</v>
      </c>
      <c r="F13" s="13" t="s">
        <v>52</v>
      </c>
      <c r="G13" s="13" t="s">
        <v>53</v>
      </c>
      <c r="H13" s="13" t="s">
        <v>54</v>
      </c>
      <c r="I13" s="13" t="s">
        <v>55</v>
      </c>
      <c r="J13" s="13" t="s">
        <v>56</v>
      </c>
      <c r="K13" s="13" t="s">
        <v>57</v>
      </c>
      <c r="L13" s="13" t="s">
        <v>58</v>
      </c>
      <c r="M13" s="13" t="s">
        <v>59</v>
      </c>
      <c r="N13" s="13" t="s">
        <v>60</v>
      </c>
      <c r="O13" s="13" t="s">
        <v>61</v>
      </c>
      <c r="P13" s="13" t="s">
        <v>62</v>
      </c>
      <c r="Q13" s="13" t="s">
        <v>63</v>
      </c>
      <c r="R13" s="13" t="s">
        <v>64</v>
      </c>
      <c r="S13" s="13" t="s">
        <v>65</v>
      </c>
      <c r="T13" s="13" t="s">
        <v>66</v>
      </c>
      <c r="U13" s="13" t="s">
        <v>67</v>
      </c>
      <c r="V13" s="13" t="s">
        <v>68</v>
      </c>
      <c r="W13" s="13" t="s">
        <v>69</v>
      </c>
      <c r="X13" s="13" t="s">
        <v>70</v>
      </c>
      <c r="Y13" s="13" t="s">
        <v>71</v>
      </c>
      <c r="Z13" s="13" t="s">
        <v>72</v>
      </c>
      <c r="AA13" s="13" t="s">
        <v>73</v>
      </c>
      <c r="AB13" s="13" t="s">
        <v>74</v>
      </c>
      <c r="AC13" s="13" t="s">
        <v>75</v>
      </c>
      <c r="AD13" s="13" t="s">
        <v>76</v>
      </c>
      <c r="AE13" s="13" t="s">
        <v>77</v>
      </c>
      <c r="AF13" s="13" t="s">
        <v>79</v>
      </c>
      <c r="AG13" s="13" t="s">
        <v>80</v>
      </c>
      <c r="AH13" s="13" t="s">
        <v>81</v>
      </c>
      <c r="AI13" s="13" t="s">
        <v>82</v>
      </c>
      <c r="AJ13" s="36"/>
    </row>
    <row r="14" ht="12.75" customHeight="1">
      <c r="A14" s="18"/>
      <c r="B14" s="22" t="s">
        <v>11</v>
      </c>
      <c r="C14" s="23"/>
      <c r="D14" s="19" t="s">
        <v>12</v>
      </c>
      <c r="E14" s="19">
        <v>139.0</v>
      </c>
      <c r="F14" s="19">
        <v>143.0</v>
      </c>
      <c r="G14" s="19">
        <v>155.0</v>
      </c>
      <c r="H14" s="19">
        <v>132.0</v>
      </c>
      <c r="I14" s="19">
        <v>115.0</v>
      </c>
      <c r="J14" s="19">
        <v>138.0</v>
      </c>
      <c r="K14" s="19">
        <v>145.0</v>
      </c>
      <c r="L14" s="19">
        <v>136.0</v>
      </c>
      <c r="M14" s="19">
        <v>119.0</v>
      </c>
      <c r="N14" s="19">
        <v>145.0</v>
      </c>
      <c r="O14" s="19">
        <v>110.0</v>
      </c>
      <c r="P14" s="19">
        <v>119.0</v>
      </c>
      <c r="Q14" s="19">
        <v>115.0</v>
      </c>
      <c r="R14" s="19">
        <v>107.0</v>
      </c>
      <c r="S14" s="19">
        <v>137.0</v>
      </c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>
        <v>115.0</v>
      </c>
      <c r="AJ14" s="13">
        <f t="shared" ref="AJ14:AJ16" si="1">SUM(E14:AI14)</f>
        <v>2070</v>
      </c>
    </row>
    <row r="15" ht="12.75" customHeight="1">
      <c r="A15" s="18"/>
      <c r="B15" s="26"/>
      <c r="C15" s="27"/>
      <c r="D15" s="19" t="s">
        <v>13</v>
      </c>
      <c r="E15" s="19">
        <v>156.0</v>
      </c>
      <c r="F15" s="19">
        <v>150.0</v>
      </c>
      <c r="G15" s="19">
        <v>142.0</v>
      </c>
      <c r="H15" s="19">
        <v>128.0</v>
      </c>
      <c r="I15" s="19">
        <v>106.0</v>
      </c>
      <c r="J15" s="19">
        <v>157.0</v>
      </c>
      <c r="K15" s="19">
        <v>122.0</v>
      </c>
      <c r="L15" s="19">
        <v>143.0</v>
      </c>
      <c r="M15" s="19">
        <v>124.0</v>
      </c>
      <c r="N15" s="19">
        <v>152.0</v>
      </c>
      <c r="O15" s="19">
        <v>85.0</v>
      </c>
      <c r="P15" s="19">
        <v>125.0</v>
      </c>
      <c r="Q15" s="19">
        <v>120.0</v>
      </c>
      <c r="R15" s="19">
        <v>124.0</v>
      </c>
      <c r="S15" s="19">
        <v>155.0</v>
      </c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>
        <v>109.0</v>
      </c>
      <c r="AJ15" s="13">
        <f t="shared" si="1"/>
        <v>2098</v>
      </c>
    </row>
    <row r="16" ht="12.75" customHeight="1">
      <c r="A16" s="25"/>
      <c r="B16" s="21"/>
      <c r="C16" s="28"/>
      <c r="D16" s="13" t="s">
        <v>14</v>
      </c>
      <c r="E16" s="13">
        <f t="shared" ref="E16:AI16" si="2">SUM(E14:E15)</f>
        <v>295</v>
      </c>
      <c r="F16" s="13">
        <f t="shared" si="2"/>
        <v>293</v>
      </c>
      <c r="G16" s="13">
        <f t="shared" si="2"/>
        <v>297</v>
      </c>
      <c r="H16" s="13">
        <f t="shared" si="2"/>
        <v>260</v>
      </c>
      <c r="I16" s="13">
        <f t="shared" si="2"/>
        <v>221</v>
      </c>
      <c r="J16" s="13">
        <f t="shared" si="2"/>
        <v>295</v>
      </c>
      <c r="K16" s="13">
        <f t="shared" si="2"/>
        <v>267</v>
      </c>
      <c r="L16" s="13">
        <f t="shared" si="2"/>
        <v>279</v>
      </c>
      <c r="M16" s="13">
        <f t="shared" si="2"/>
        <v>243</v>
      </c>
      <c r="N16" s="13">
        <f t="shared" si="2"/>
        <v>297</v>
      </c>
      <c r="O16" s="13">
        <f t="shared" si="2"/>
        <v>195</v>
      </c>
      <c r="P16" s="13">
        <f t="shared" si="2"/>
        <v>244</v>
      </c>
      <c r="Q16" s="13">
        <f t="shared" si="2"/>
        <v>235</v>
      </c>
      <c r="R16" s="13">
        <f t="shared" si="2"/>
        <v>231</v>
      </c>
      <c r="S16" s="13">
        <f t="shared" si="2"/>
        <v>292</v>
      </c>
      <c r="T16" s="13">
        <f t="shared" si="2"/>
        <v>0</v>
      </c>
      <c r="U16" s="13">
        <f t="shared" si="2"/>
        <v>0</v>
      </c>
      <c r="V16" s="13">
        <f t="shared" si="2"/>
        <v>0</v>
      </c>
      <c r="W16" s="13">
        <f t="shared" si="2"/>
        <v>0</v>
      </c>
      <c r="X16" s="13">
        <f t="shared" si="2"/>
        <v>0</v>
      </c>
      <c r="Y16" s="13">
        <f t="shared" si="2"/>
        <v>0</v>
      </c>
      <c r="Z16" s="13">
        <f t="shared" si="2"/>
        <v>0</v>
      </c>
      <c r="AA16" s="13">
        <f t="shared" si="2"/>
        <v>0</v>
      </c>
      <c r="AB16" s="13">
        <f t="shared" si="2"/>
        <v>0</v>
      </c>
      <c r="AC16" s="13">
        <f t="shared" si="2"/>
        <v>0</v>
      </c>
      <c r="AD16" s="13">
        <f t="shared" si="2"/>
        <v>0</v>
      </c>
      <c r="AE16" s="13">
        <f t="shared" si="2"/>
        <v>0</v>
      </c>
      <c r="AF16" s="13">
        <f t="shared" si="2"/>
        <v>0</v>
      </c>
      <c r="AG16" s="13">
        <f t="shared" si="2"/>
        <v>0</v>
      </c>
      <c r="AH16" s="13">
        <f t="shared" si="2"/>
        <v>0</v>
      </c>
      <c r="AI16" s="13">
        <f t="shared" si="2"/>
        <v>224</v>
      </c>
      <c r="AJ16" s="13">
        <f t="shared" si="1"/>
        <v>4168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0"/>
      <c r="O17" s="19"/>
      <c r="P17" s="19"/>
      <c r="Q17" s="19"/>
      <c r="R17" s="19"/>
      <c r="S17" s="60"/>
      <c r="T17" s="19"/>
      <c r="U17" s="19"/>
      <c r="V17" s="19"/>
      <c r="W17" s="19"/>
      <c r="X17" s="60"/>
      <c r="Y17" s="19"/>
      <c r="Z17" s="19"/>
      <c r="AA17" s="19"/>
      <c r="AB17" s="19"/>
      <c r="AC17" s="60"/>
      <c r="AD17" s="19"/>
      <c r="AE17" s="19"/>
      <c r="AF17" s="19"/>
      <c r="AG17" s="19"/>
      <c r="AH17" s="60"/>
      <c r="AI17" s="19"/>
      <c r="AJ17" s="61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0"/>
      <c r="O18" s="19"/>
      <c r="P18" s="19"/>
      <c r="Q18" s="19"/>
      <c r="R18" s="19"/>
      <c r="S18" s="60"/>
      <c r="T18" s="19"/>
      <c r="U18" s="19"/>
      <c r="V18" s="19"/>
      <c r="W18" s="19"/>
      <c r="X18" s="60"/>
      <c r="Y18" s="19"/>
      <c r="Z18" s="19"/>
      <c r="AA18" s="19"/>
      <c r="AB18" s="19"/>
      <c r="AC18" s="60"/>
      <c r="AD18" s="19"/>
      <c r="AE18" s="19"/>
      <c r="AF18" s="19"/>
      <c r="AG18" s="19"/>
      <c r="AH18" s="60"/>
      <c r="AI18" s="19"/>
      <c r="AJ18" s="61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92.0</v>
      </c>
      <c r="F19" s="19">
        <v>105.0</v>
      </c>
      <c r="G19" s="19">
        <v>112.0</v>
      </c>
      <c r="H19" s="19">
        <v>82.0</v>
      </c>
      <c r="I19" s="19">
        <v>84.0</v>
      </c>
      <c r="J19" s="19">
        <v>98.0</v>
      </c>
      <c r="K19" s="19">
        <v>111.0</v>
      </c>
      <c r="L19" s="19">
        <v>103.0</v>
      </c>
      <c r="M19" s="19">
        <v>83.0</v>
      </c>
      <c r="N19" s="19">
        <v>112.0</v>
      </c>
      <c r="O19" s="19">
        <v>92.0</v>
      </c>
      <c r="P19" s="19">
        <v>99.0</v>
      </c>
      <c r="Q19" s="19">
        <v>82.0</v>
      </c>
      <c r="R19" s="19">
        <v>77.0</v>
      </c>
      <c r="S19" s="19">
        <v>89.0</v>
      </c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>
        <v>113.0</v>
      </c>
      <c r="AJ19" s="13">
        <f t="shared" ref="AJ19:AJ30" si="3">SUM(E19:AI19)</f>
        <v>1534</v>
      </c>
    </row>
    <row r="20" ht="12.75" customHeight="1">
      <c r="A20" s="33"/>
      <c r="B20" s="27"/>
      <c r="C20" s="34"/>
      <c r="D20" s="19" t="s">
        <v>13</v>
      </c>
      <c r="E20" s="19">
        <v>105.0</v>
      </c>
      <c r="F20" s="19">
        <v>109.0</v>
      </c>
      <c r="G20" s="19">
        <v>117.0</v>
      </c>
      <c r="H20" s="19">
        <v>100.0</v>
      </c>
      <c r="I20" s="19">
        <v>83.0</v>
      </c>
      <c r="J20" s="19">
        <v>122.0</v>
      </c>
      <c r="K20" s="19">
        <v>107.0</v>
      </c>
      <c r="L20" s="19">
        <v>112.0</v>
      </c>
      <c r="M20" s="19">
        <v>99.0</v>
      </c>
      <c r="N20" s="19">
        <v>120.0</v>
      </c>
      <c r="O20" s="19">
        <v>71.0</v>
      </c>
      <c r="P20" s="19">
        <v>99.0</v>
      </c>
      <c r="Q20" s="19">
        <v>85.0</v>
      </c>
      <c r="R20" s="19">
        <v>91.0</v>
      </c>
      <c r="S20" s="19">
        <v>117.0</v>
      </c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>
        <v>106.0</v>
      </c>
      <c r="AJ20" s="13">
        <f t="shared" si="3"/>
        <v>1643</v>
      </c>
    </row>
    <row r="21" ht="12.75" customHeight="1">
      <c r="A21" s="35"/>
      <c r="B21" s="28"/>
      <c r="C21" s="36"/>
      <c r="D21" s="13" t="s">
        <v>14</v>
      </c>
      <c r="E21" s="13">
        <f t="shared" ref="E21:AI21" si="4">SUM(E19:E20)</f>
        <v>197</v>
      </c>
      <c r="F21" s="13">
        <f t="shared" si="4"/>
        <v>214</v>
      </c>
      <c r="G21" s="13">
        <f t="shared" si="4"/>
        <v>229</v>
      </c>
      <c r="H21" s="13">
        <f t="shared" si="4"/>
        <v>182</v>
      </c>
      <c r="I21" s="13">
        <f t="shared" si="4"/>
        <v>167</v>
      </c>
      <c r="J21" s="13">
        <f t="shared" si="4"/>
        <v>220</v>
      </c>
      <c r="K21" s="13">
        <f t="shared" si="4"/>
        <v>218</v>
      </c>
      <c r="L21" s="13">
        <f t="shared" si="4"/>
        <v>215</v>
      </c>
      <c r="M21" s="13">
        <f t="shared" si="4"/>
        <v>182</v>
      </c>
      <c r="N21" s="13">
        <f t="shared" si="4"/>
        <v>232</v>
      </c>
      <c r="O21" s="13">
        <f t="shared" si="4"/>
        <v>163</v>
      </c>
      <c r="P21" s="13">
        <f t="shared" si="4"/>
        <v>198</v>
      </c>
      <c r="Q21" s="13">
        <f t="shared" si="4"/>
        <v>167</v>
      </c>
      <c r="R21" s="13">
        <f t="shared" si="4"/>
        <v>168</v>
      </c>
      <c r="S21" s="13">
        <f t="shared" si="4"/>
        <v>206</v>
      </c>
      <c r="T21" s="13">
        <f t="shared" si="4"/>
        <v>0</v>
      </c>
      <c r="U21" s="13">
        <f t="shared" si="4"/>
        <v>0</v>
      </c>
      <c r="V21" s="13">
        <f t="shared" si="4"/>
        <v>0</v>
      </c>
      <c r="W21" s="13">
        <f t="shared" si="4"/>
        <v>0</v>
      </c>
      <c r="X21" s="13">
        <f t="shared" si="4"/>
        <v>0</v>
      </c>
      <c r="Y21" s="13">
        <f t="shared" si="4"/>
        <v>0</v>
      </c>
      <c r="Z21" s="13">
        <f t="shared" si="4"/>
        <v>0</v>
      </c>
      <c r="AA21" s="13">
        <f t="shared" si="4"/>
        <v>0</v>
      </c>
      <c r="AB21" s="13">
        <f t="shared" si="4"/>
        <v>0</v>
      </c>
      <c r="AC21" s="13">
        <f t="shared" si="4"/>
        <v>0</v>
      </c>
      <c r="AD21" s="13">
        <f t="shared" si="4"/>
        <v>0</v>
      </c>
      <c r="AE21" s="13">
        <f t="shared" si="4"/>
        <v>0</v>
      </c>
      <c r="AF21" s="13">
        <f t="shared" si="4"/>
        <v>0</v>
      </c>
      <c r="AG21" s="13">
        <f t="shared" si="4"/>
        <v>0</v>
      </c>
      <c r="AH21" s="13">
        <f t="shared" si="4"/>
        <v>0</v>
      </c>
      <c r="AI21" s="13">
        <f t="shared" si="4"/>
        <v>219</v>
      </c>
      <c r="AJ21" s="13">
        <f t="shared" si="3"/>
        <v>3177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1.0</v>
      </c>
      <c r="I22" s="19">
        <v>0.0</v>
      </c>
      <c r="J22" s="19">
        <v>0.0</v>
      </c>
      <c r="K22" s="19">
        <v>0.0</v>
      </c>
      <c r="L22" s="19">
        <v>1.0</v>
      </c>
      <c r="M22" s="19">
        <v>0.0</v>
      </c>
      <c r="N22" s="19">
        <v>0.0</v>
      </c>
      <c r="O22" s="19">
        <v>1.0</v>
      </c>
      <c r="P22" s="19">
        <v>1.0</v>
      </c>
      <c r="Q22" s="19">
        <v>0.0</v>
      </c>
      <c r="R22" s="19">
        <v>0.0</v>
      </c>
      <c r="S22" s="19">
        <v>0.0</v>
      </c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>
        <v>0.0</v>
      </c>
      <c r="AJ22" s="13">
        <f t="shared" si="3"/>
        <v>4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1.0</v>
      </c>
      <c r="H23" s="19">
        <v>0.0</v>
      </c>
      <c r="I23" s="19">
        <v>1.0</v>
      </c>
      <c r="J23" s="19">
        <v>1.0</v>
      </c>
      <c r="K23" s="19">
        <v>0.0</v>
      </c>
      <c r="L23" s="19">
        <v>0.0</v>
      </c>
      <c r="M23" s="19">
        <v>1.0</v>
      </c>
      <c r="N23" s="19">
        <v>1.0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>
        <v>0.0</v>
      </c>
      <c r="AJ23" s="13">
        <f t="shared" si="3"/>
        <v>5</v>
      </c>
    </row>
    <row r="24" ht="12.75" customHeight="1">
      <c r="A24" s="35"/>
      <c r="B24" s="28"/>
      <c r="C24" s="36"/>
      <c r="D24" s="13" t="s">
        <v>14</v>
      </c>
      <c r="E24" s="13">
        <f t="shared" ref="E24:AI24" si="5">SUM(E22:E23)</f>
        <v>0</v>
      </c>
      <c r="F24" s="13">
        <f t="shared" si="5"/>
        <v>0</v>
      </c>
      <c r="G24" s="13">
        <f t="shared" si="5"/>
        <v>1</v>
      </c>
      <c r="H24" s="13">
        <f t="shared" si="5"/>
        <v>1</v>
      </c>
      <c r="I24" s="13">
        <f t="shared" si="5"/>
        <v>1</v>
      </c>
      <c r="J24" s="13">
        <f t="shared" si="5"/>
        <v>1</v>
      </c>
      <c r="K24" s="13">
        <f t="shared" si="5"/>
        <v>0</v>
      </c>
      <c r="L24" s="13">
        <f t="shared" si="5"/>
        <v>1</v>
      </c>
      <c r="M24" s="13">
        <f t="shared" si="5"/>
        <v>1</v>
      </c>
      <c r="N24" s="13">
        <f t="shared" si="5"/>
        <v>1</v>
      </c>
      <c r="O24" s="13">
        <f t="shared" si="5"/>
        <v>1</v>
      </c>
      <c r="P24" s="13">
        <f t="shared" si="5"/>
        <v>1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5"/>
        <v>0</v>
      </c>
      <c r="AG24" s="13">
        <f t="shared" si="5"/>
        <v>0</v>
      </c>
      <c r="AH24" s="13">
        <f t="shared" si="5"/>
        <v>0</v>
      </c>
      <c r="AI24" s="13">
        <f t="shared" si="5"/>
        <v>0</v>
      </c>
      <c r="AJ24" s="13">
        <f t="shared" si="3"/>
        <v>9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2.0</v>
      </c>
      <c r="F25" s="19">
        <v>0.0</v>
      </c>
      <c r="G25" s="19">
        <v>0.0</v>
      </c>
      <c r="H25" s="19">
        <v>0.0</v>
      </c>
      <c r="I25" s="19">
        <v>0.0</v>
      </c>
      <c r="J25" s="19">
        <v>0.0</v>
      </c>
      <c r="K25" s="19">
        <v>1.0</v>
      </c>
      <c r="L25" s="19">
        <v>1.0</v>
      </c>
      <c r="M25" s="19">
        <v>0.0</v>
      </c>
      <c r="N25" s="19">
        <v>0.0</v>
      </c>
      <c r="O25" s="19">
        <v>0.0</v>
      </c>
      <c r="P25" s="19">
        <v>2.0</v>
      </c>
      <c r="Q25" s="19">
        <v>0.0</v>
      </c>
      <c r="R25" s="19">
        <v>0.0</v>
      </c>
      <c r="S25" s="19">
        <v>1.0</v>
      </c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>
        <v>0.0</v>
      </c>
      <c r="AJ25" s="13">
        <f t="shared" si="3"/>
        <v>7</v>
      </c>
    </row>
    <row r="26" ht="12.75" customHeight="1">
      <c r="A26" s="33"/>
      <c r="B26" s="27"/>
      <c r="C26" s="34"/>
      <c r="D26" s="19" t="s">
        <v>13</v>
      </c>
      <c r="E26" s="19">
        <v>3.0</v>
      </c>
      <c r="F26" s="19">
        <v>1.0</v>
      </c>
      <c r="G26" s="19">
        <v>0.0</v>
      </c>
      <c r="H26" s="19">
        <v>1.0</v>
      </c>
      <c r="I26" s="19">
        <v>2.0</v>
      </c>
      <c r="J26" s="19">
        <v>2.0</v>
      </c>
      <c r="K26" s="19">
        <v>2.0</v>
      </c>
      <c r="L26" s="19">
        <v>1.0</v>
      </c>
      <c r="M26" s="19">
        <v>1.0</v>
      </c>
      <c r="N26" s="19">
        <v>0.0</v>
      </c>
      <c r="O26" s="19">
        <v>0.0</v>
      </c>
      <c r="P26" s="19">
        <v>4.0</v>
      </c>
      <c r="Q26" s="19">
        <v>0.0</v>
      </c>
      <c r="R26" s="19">
        <v>1.0</v>
      </c>
      <c r="S26" s="19">
        <v>2.0</v>
      </c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>
        <v>0.0</v>
      </c>
      <c r="AJ26" s="13">
        <f t="shared" si="3"/>
        <v>20</v>
      </c>
    </row>
    <row r="27" ht="12.75" customHeight="1">
      <c r="A27" s="35"/>
      <c r="B27" s="28"/>
      <c r="C27" s="36"/>
      <c r="D27" s="13" t="s">
        <v>14</v>
      </c>
      <c r="E27" s="13">
        <f t="shared" ref="E27:AI27" si="6">SUM(E25:E26)</f>
        <v>5</v>
      </c>
      <c r="F27" s="13">
        <f t="shared" si="6"/>
        <v>1</v>
      </c>
      <c r="G27" s="13">
        <f t="shared" si="6"/>
        <v>0</v>
      </c>
      <c r="H27" s="13">
        <f t="shared" si="6"/>
        <v>1</v>
      </c>
      <c r="I27" s="13">
        <f t="shared" si="6"/>
        <v>2</v>
      </c>
      <c r="J27" s="13">
        <f t="shared" si="6"/>
        <v>2</v>
      </c>
      <c r="K27" s="13">
        <f t="shared" si="6"/>
        <v>3</v>
      </c>
      <c r="L27" s="13">
        <f t="shared" si="6"/>
        <v>2</v>
      </c>
      <c r="M27" s="13">
        <f t="shared" si="6"/>
        <v>1</v>
      </c>
      <c r="N27" s="13">
        <f t="shared" si="6"/>
        <v>0</v>
      </c>
      <c r="O27" s="13">
        <f t="shared" si="6"/>
        <v>0</v>
      </c>
      <c r="P27" s="13">
        <f t="shared" si="6"/>
        <v>6</v>
      </c>
      <c r="Q27" s="13">
        <f t="shared" si="6"/>
        <v>0</v>
      </c>
      <c r="R27" s="13">
        <f t="shared" si="6"/>
        <v>1</v>
      </c>
      <c r="S27" s="13">
        <f t="shared" si="6"/>
        <v>3</v>
      </c>
      <c r="T27" s="13">
        <f t="shared" si="6"/>
        <v>0</v>
      </c>
      <c r="U27" s="13">
        <f t="shared" si="6"/>
        <v>0</v>
      </c>
      <c r="V27" s="13">
        <f t="shared" si="6"/>
        <v>0</v>
      </c>
      <c r="W27" s="13">
        <f t="shared" si="6"/>
        <v>0</v>
      </c>
      <c r="X27" s="13">
        <f t="shared" si="6"/>
        <v>0</v>
      </c>
      <c r="Y27" s="13">
        <f t="shared" si="6"/>
        <v>0</v>
      </c>
      <c r="Z27" s="13">
        <f t="shared" si="6"/>
        <v>0</v>
      </c>
      <c r="AA27" s="13">
        <f t="shared" si="6"/>
        <v>0</v>
      </c>
      <c r="AB27" s="13">
        <f t="shared" si="6"/>
        <v>0</v>
      </c>
      <c r="AC27" s="13">
        <f t="shared" si="6"/>
        <v>0</v>
      </c>
      <c r="AD27" s="13">
        <f t="shared" si="6"/>
        <v>0</v>
      </c>
      <c r="AE27" s="13">
        <f t="shared" si="6"/>
        <v>0</v>
      </c>
      <c r="AF27" s="13">
        <f t="shared" si="6"/>
        <v>0</v>
      </c>
      <c r="AG27" s="13">
        <f t="shared" si="6"/>
        <v>0</v>
      </c>
      <c r="AH27" s="13">
        <f t="shared" si="6"/>
        <v>0</v>
      </c>
      <c r="AI27" s="13">
        <f t="shared" si="6"/>
        <v>0</v>
      </c>
      <c r="AJ27" s="13">
        <f t="shared" si="3"/>
        <v>27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H28" si="7">SUM(E19,E22,E25)</f>
        <v>94</v>
      </c>
      <c r="F28" s="13">
        <f t="shared" si="7"/>
        <v>105</v>
      </c>
      <c r="G28" s="13">
        <f t="shared" si="7"/>
        <v>112</v>
      </c>
      <c r="H28" s="13">
        <f t="shared" si="7"/>
        <v>83</v>
      </c>
      <c r="I28" s="13">
        <f t="shared" si="7"/>
        <v>84</v>
      </c>
      <c r="J28" s="13">
        <f t="shared" si="7"/>
        <v>98</v>
      </c>
      <c r="K28" s="13">
        <f t="shared" si="7"/>
        <v>112</v>
      </c>
      <c r="L28" s="13">
        <f t="shared" si="7"/>
        <v>105</v>
      </c>
      <c r="M28" s="13">
        <f t="shared" si="7"/>
        <v>83</v>
      </c>
      <c r="N28" s="13">
        <f t="shared" si="7"/>
        <v>112</v>
      </c>
      <c r="O28" s="13">
        <f t="shared" si="7"/>
        <v>93</v>
      </c>
      <c r="P28" s="13">
        <f t="shared" si="7"/>
        <v>102</v>
      </c>
      <c r="Q28" s="13">
        <f t="shared" si="7"/>
        <v>82</v>
      </c>
      <c r="R28" s="13">
        <f t="shared" si="7"/>
        <v>77</v>
      </c>
      <c r="S28" s="13">
        <f t="shared" si="7"/>
        <v>90</v>
      </c>
      <c r="T28" s="13">
        <f t="shared" si="7"/>
        <v>0</v>
      </c>
      <c r="U28" s="13">
        <f t="shared" si="7"/>
        <v>0</v>
      </c>
      <c r="V28" s="13">
        <f t="shared" si="7"/>
        <v>0</v>
      </c>
      <c r="W28" s="13">
        <f t="shared" si="7"/>
        <v>0</v>
      </c>
      <c r="X28" s="13">
        <f t="shared" si="7"/>
        <v>0</v>
      </c>
      <c r="Y28" s="13">
        <f t="shared" si="7"/>
        <v>0</v>
      </c>
      <c r="Z28" s="13">
        <f t="shared" si="7"/>
        <v>0</v>
      </c>
      <c r="AA28" s="13">
        <f t="shared" si="7"/>
        <v>0</v>
      </c>
      <c r="AB28" s="13">
        <f t="shared" si="7"/>
        <v>0</v>
      </c>
      <c r="AC28" s="13">
        <f t="shared" si="7"/>
        <v>0</v>
      </c>
      <c r="AD28" s="13">
        <f t="shared" si="7"/>
        <v>0</v>
      </c>
      <c r="AE28" s="13">
        <f t="shared" si="7"/>
        <v>0</v>
      </c>
      <c r="AF28" s="13">
        <f t="shared" si="7"/>
        <v>0</v>
      </c>
      <c r="AG28" s="13">
        <f t="shared" si="7"/>
        <v>0</v>
      </c>
      <c r="AH28" s="13">
        <f t="shared" si="7"/>
        <v>0</v>
      </c>
      <c r="AI28" s="13">
        <v>114.0</v>
      </c>
      <c r="AJ28" s="13">
        <f t="shared" si="3"/>
        <v>1546</v>
      </c>
    </row>
    <row r="29" ht="12.75" customHeight="1">
      <c r="A29" s="35"/>
      <c r="B29" s="27"/>
      <c r="C29" s="34"/>
      <c r="D29" s="13" t="s">
        <v>13</v>
      </c>
      <c r="E29" s="13">
        <f t="shared" ref="E29:AI29" si="8">SUM(E20,E23,E26)</f>
        <v>108</v>
      </c>
      <c r="F29" s="13">
        <f t="shared" si="8"/>
        <v>110</v>
      </c>
      <c r="G29" s="13">
        <f t="shared" si="8"/>
        <v>118</v>
      </c>
      <c r="H29" s="13">
        <f t="shared" si="8"/>
        <v>101</v>
      </c>
      <c r="I29" s="13">
        <f t="shared" si="8"/>
        <v>86</v>
      </c>
      <c r="J29" s="13">
        <f t="shared" si="8"/>
        <v>125</v>
      </c>
      <c r="K29" s="13">
        <f t="shared" si="8"/>
        <v>109</v>
      </c>
      <c r="L29" s="13">
        <f t="shared" si="8"/>
        <v>113</v>
      </c>
      <c r="M29" s="13">
        <f t="shared" si="8"/>
        <v>101</v>
      </c>
      <c r="N29" s="13">
        <f t="shared" si="8"/>
        <v>121</v>
      </c>
      <c r="O29" s="13">
        <f t="shared" si="8"/>
        <v>71</v>
      </c>
      <c r="P29" s="13">
        <f t="shared" si="8"/>
        <v>103</v>
      </c>
      <c r="Q29" s="13">
        <f t="shared" si="8"/>
        <v>85</v>
      </c>
      <c r="R29" s="13">
        <f t="shared" si="8"/>
        <v>92</v>
      </c>
      <c r="S29" s="13">
        <f t="shared" si="8"/>
        <v>119</v>
      </c>
      <c r="T29" s="13">
        <f t="shared" si="8"/>
        <v>0</v>
      </c>
      <c r="U29" s="13">
        <f t="shared" si="8"/>
        <v>0</v>
      </c>
      <c r="V29" s="13">
        <f t="shared" si="8"/>
        <v>0</v>
      </c>
      <c r="W29" s="13">
        <f t="shared" si="8"/>
        <v>0</v>
      </c>
      <c r="X29" s="13">
        <f t="shared" si="8"/>
        <v>0</v>
      </c>
      <c r="Y29" s="13">
        <f t="shared" si="8"/>
        <v>0</v>
      </c>
      <c r="Z29" s="13">
        <f t="shared" si="8"/>
        <v>0</v>
      </c>
      <c r="AA29" s="13">
        <f t="shared" si="8"/>
        <v>0</v>
      </c>
      <c r="AB29" s="13">
        <f t="shared" si="8"/>
        <v>0</v>
      </c>
      <c r="AC29" s="13">
        <f t="shared" si="8"/>
        <v>0</v>
      </c>
      <c r="AD29" s="13">
        <f t="shared" si="8"/>
        <v>0</v>
      </c>
      <c r="AE29" s="13">
        <f t="shared" si="8"/>
        <v>0</v>
      </c>
      <c r="AF29" s="13">
        <f t="shared" si="8"/>
        <v>0</v>
      </c>
      <c r="AG29" s="13">
        <f t="shared" si="8"/>
        <v>0</v>
      </c>
      <c r="AH29" s="13">
        <f t="shared" si="8"/>
        <v>0</v>
      </c>
      <c r="AI29" s="13">
        <f t="shared" si="8"/>
        <v>106</v>
      </c>
      <c r="AJ29" s="13">
        <f t="shared" si="3"/>
        <v>1668</v>
      </c>
    </row>
    <row r="30" ht="12.75" customHeight="1">
      <c r="A30" s="35"/>
      <c r="B30" s="28"/>
      <c r="C30" s="36"/>
      <c r="D30" s="13" t="s">
        <v>14</v>
      </c>
      <c r="E30" s="13">
        <f t="shared" ref="E30:AI30" si="9">SUM(E28:E29)</f>
        <v>202</v>
      </c>
      <c r="F30" s="13">
        <f t="shared" si="9"/>
        <v>215</v>
      </c>
      <c r="G30" s="13">
        <f t="shared" si="9"/>
        <v>230</v>
      </c>
      <c r="H30" s="13">
        <f t="shared" si="9"/>
        <v>184</v>
      </c>
      <c r="I30" s="13">
        <f t="shared" si="9"/>
        <v>170</v>
      </c>
      <c r="J30" s="13">
        <f t="shared" si="9"/>
        <v>223</v>
      </c>
      <c r="K30" s="13">
        <f t="shared" si="9"/>
        <v>221</v>
      </c>
      <c r="L30" s="13">
        <f t="shared" si="9"/>
        <v>218</v>
      </c>
      <c r="M30" s="13">
        <f t="shared" si="9"/>
        <v>184</v>
      </c>
      <c r="N30" s="13">
        <f t="shared" si="9"/>
        <v>233</v>
      </c>
      <c r="O30" s="13">
        <f t="shared" si="9"/>
        <v>164</v>
      </c>
      <c r="P30" s="13">
        <f t="shared" si="9"/>
        <v>205</v>
      </c>
      <c r="Q30" s="13">
        <f t="shared" si="9"/>
        <v>167</v>
      </c>
      <c r="R30" s="13">
        <f t="shared" si="9"/>
        <v>169</v>
      </c>
      <c r="S30" s="13">
        <f t="shared" si="9"/>
        <v>209</v>
      </c>
      <c r="T30" s="13">
        <f t="shared" si="9"/>
        <v>0</v>
      </c>
      <c r="U30" s="13">
        <f t="shared" si="9"/>
        <v>0</v>
      </c>
      <c r="V30" s="13">
        <f t="shared" si="9"/>
        <v>0</v>
      </c>
      <c r="W30" s="13">
        <f t="shared" si="9"/>
        <v>0</v>
      </c>
      <c r="X30" s="13">
        <f t="shared" si="9"/>
        <v>0</v>
      </c>
      <c r="Y30" s="13">
        <f t="shared" si="9"/>
        <v>0</v>
      </c>
      <c r="Z30" s="13">
        <f t="shared" si="9"/>
        <v>0</v>
      </c>
      <c r="AA30" s="13">
        <f t="shared" si="9"/>
        <v>0</v>
      </c>
      <c r="AB30" s="13">
        <f t="shared" si="9"/>
        <v>0</v>
      </c>
      <c r="AC30" s="13">
        <f t="shared" si="9"/>
        <v>0</v>
      </c>
      <c r="AD30" s="13">
        <f t="shared" si="9"/>
        <v>0</v>
      </c>
      <c r="AE30" s="13">
        <f t="shared" si="9"/>
        <v>0</v>
      </c>
      <c r="AF30" s="13">
        <f t="shared" si="9"/>
        <v>0</v>
      </c>
      <c r="AG30" s="13">
        <f t="shared" si="9"/>
        <v>0</v>
      </c>
      <c r="AH30" s="13">
        <f t="shared" si="9"/>
        <v>0</v>
      </c>
      <c r="AI30" s="13">
        <f t="shared" si="9"/>
        <v>220</v>
      </c>
      <c r="AJ30" s="13">
        <f t="shared" si="3"/>
        <v>3214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0"/>
      <c r="O31" s="19"/>
      <c r="P31" s="19"/>
      <c r="Q31" s="19"/>
      <c r="R31" s="19"/>
      <c r="S31" s="60"/>
      <c r="T31" s="19"/>
      <c r="U31" s="19"/>
      <c r="V31" s="19"/>
      <c r="W31" s="19"/>
      <c r="X31" s="60"/>
      <c r="Y31" s="19"/>
      <c r="Z31" s="19"/>
      <c r="AA31" s="19"/>
      <c r="AB31" s="19"/>
      <c r="AC31" s="60"/>
      <c r="AD31" s="19"/>
      <c r="AE31" s="19"/>
      <c r="AF31" s="19"/>
      <c r="AG31" s="19"/>
      <c r="AH31" s="60"/>
      <c r="AI31" s="19"/>
      <c r="AJ31" s="61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2"/>
      <c r="O32" s="13"/>
      <c r="P32" s="13"/>
      <c r="Q32" s="13"/>
      <c r="R32" s="13"/>
      <c r="S32" s="62"/>
      <c r="T32" s="13"/>
      <c r="U32" s="13"/>
      <c r="V32" s="13"/>
      <c r="W32" s="13"/>
      <c r="X32" s="62"/>
      <c r="Y32" s="13"/>
      <c r="Z32" s="13"/>
      <c r="AA32" s="13"/>
      <c r="AB32" s="13"/>
      <c r="AC32" s="62"/>
      <c r="AD32" s="13"/>
      <c r="AE32" s="13"/>
      <c r="AF32" s="13"/>
      <c r="AG32" s="13"/>
      <c r="AH32" s="62"/>
      <c r="AI32" s="13"/>
      <c r="AJ32" s="61"/>
    </row>
    <row r="33" ht="12.75" customHeight="1">
      <c r="A33" s="19">
        <v>1.0</v>
      </c>
      <c r="B33" s="20" t="s">
        <v>27</v>
      </c>
      <c r="C33" s="15"/>
      <c r="D33" s="16"/>
      <c r="E33" s="19">
        <v>301.0</v>
      </c>
      <c r="F33" s="19">
        <v>299.0</v>
      </c>
      <c r="G33" s="19">
        <v>303.0</v>
      </c>
      <c r="H33" s="19">
        <v>216.0</v>
      </c>
      <c r="I33" s="19">
        <v>224.0</v>
      </c>
      <c r="J33" s="19">
        <v>301.0</v>
      </c>
      <c r="K33" s="19">
        <v>274.0</v>
      </c>
      <c r="L33" s="19">
        <v>284.0</v>
      </c>
      <c r="M33" s="19">
        <v>248.0</v>
      </c>
      <c r="N33" s="19">
        <v>303.0</v>
      </c>
      <c r="O33" s="19">
        <v>199.0</v>
      </c>
      <c r="P33" s="19">
        <v>248.0</v>
      </c>
      <c r="Q33" s="19">
        <v>240.0</v>
      </c>
      <c r="R33" s="19">
        <v>236.0</v>
      </c>
      <c r="S33" s="19">
        <v>293.0</v>
      </c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>
        <v>229.0</v>
      </c>
      <c r="AJ33" s="13">
        <f t="shared" ref="AJ33:AJ36" si="10">SUM(E33:AI33)</f>
        <v>4198</v>
      </c>
    </row>
    <row r="34" ht="12.75" customHeight="1">
      <c r="A34" s="19">
        <v>2.0</v>
      </c>
      <c r="B34" s="20" t="s">
        <v>28</v>
      </c>
      <c r="C34" s="15"/>
      <c r="D34" s="16"/>
      <c r="E34" s="13">
        <v>202.0</v>
      </c>
      <c r="F34" s="13">
        <v>215.0</v>
      </c>
      <c r="G34" s="13">
        <v>230.0</v>
      </c>
      <c r="H34" s="13">
        <v>184.0</v>
      </c>
      <c r="I34" s="13">
        <v>170.0</v>
      </c>
      <c r="J34" s="13">
        <v>223.0</v>
      </c>
      <c r="K34" s="13">
        <v>221.0</v>
      </c>
      <c r="L34" s="13">
        <v>218.0</v>
      </c>
      <c r="M34" s="13">
        <v>184.0</v>
      </c>
      <c r="N34" s="13">
        <v>233.0</v>
      </c>
      <c r="O34" s="13">
        <v>164.0</v>
      </c>
      <c r="P34" s="13">
        <v>205.0</v>
      </c>
      <c r="Q34" s="13">
        <v>167.0</v>
      </c>
      <c r="R34" s="13">
        <v>169.0</v>
      </c>
      <c r="S34" s="13">
        <v>209.0</v>
      </c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>
        <v>220.0</v>
      </c>
      <c r="AJ34" s="13">
        <f t="shared" si="10"/>
        <v>3214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2.0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2.0</v>
      </c>
      <c r="Q35" s="19">
        <v>0.0</v>
      </c>
      <c r="R35" s="19">
        <v>0.0</v>
      </c>
      <c r="S35" s="19">
        <v>0.0</v>
      </c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>
        <v>0.0</v>
      </c>
      <c r="AJ35" s="13">
        <f t="shared" si="10"/>
        <v>4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I36" si="11">E33-(E34+E35)</f>
        <v>99</v>
      </c>
      <c r="F36" s="13">
        <f t="shared" si="11"/>
        <v>82</v>
      </c>
      <c r="G36" s="13">
        <f t="shared" si="11"/>
        <v>73</v>
      </c>
      <c r="H36" s="13">
        <f t="shared" si="11"/>
        <v>32</v>
      </c>
      <c r="I36" s="13">
        <f t="shared" si="11"/>
        <v>54</v>
      </c>
      <c r="J36" s="13">
        <f t="shared" si="11"/>
        <v>78</v>
      </c>
      <c r="K36" s="13">
        <f t="shared" si="11"/>
        <v>53</v>
      </c>
      <c r="L36" s="13">
        <f t="shared" si="11"/>
        <v>66</v>
      </c>
      <c r="M36" s="13">
        <f t="shared" si="11"/>
        <v>64</v>
      </c>
      <c r="N36" s="13">
        <f t="shared" si="11"/>
        <v>70</v>
      </c>
      <c r="O36" s="13">
        <f t="shared" si="11"/>
        <v>35</v>
      </c>
      <c r="P36" s="13">
        <f t="shared" si="11"/>
        <v>41</v>
      </c>
      <c r="Q36" s="13">
        <f t="shared" si="11"/>
        <v>73</v>
      </c>
      <c r="R36" s="13">
        <f t="shared" si="11"/>
        <v>67</v>
      </c>
      <c r="S36" s="13">
        <f t="shared" si="11"/>
        <v>84</v>
      </c>
      <c r="T36" s="13">
        <f t="shared" si="11"/>
        <v>0</v>
      </c>
      <c r="U36" s="13">
        <f t="shared" si="11"/>
        <v>0</v>
      </c>
      <c r="V36" s="13">
        <f t="shared" si="11"/>
        <v>0</v>
      </c>
      <c r="W36" s="13">
        <f t="shared" si="11"/>
        <v>0</v>
      </c>
      <c r="X36" s="13">
        <f t="shared" si="11"/>
        <v>0</v>
      </c>
      <c r="Y36" s="13">
        <f t="shared" si="11"/>
        <v>0</v>
      </c>
      <c r="Z36" s="13">
        <f t="shared" si="11"/>
        <v>0</v>
      </c>
      <c r="AA36" s="13">
        <f t="shared" si="11"/>
        <v>0</v>
      </c>
      <c r="AB36" s="13">
        <f t="shared" si="11"/>
        <v>0</v>
      </c>
      <c r="AC36" s="13">
        <f t="shared" si="11"/>
        <v>0</v>
      </c>
      <c r="AD36" s="13">
        <f t="shared" si="11"/>
        <v>0</v>
      </c>
      <c r="AE36" s="13">
        <f t="shared" si="11"/>
        <v>0</v>
      </c>
      <c r="AF36" s="13">
        <f t="shared" si="11"/>
        <v>0</v>
      </c>
      <c r="AG36" s="13">
        <f t="shared" si="11"/>
        <v>0</v>
      </c>
      <c r="AH36" s="13">
        <f t="shared" si="11"/>
        <v>0</v>
      </c>
      <c r="AI36" s="13">
        <f t="shared" si="11"/>
        <v>9</v>
      </c>
      <c r="AJ36" s="13">
        <f t="shared" si="10"/>
        <v>980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60"/>
      <c r="O37" s="19"/>
      <c r="P37" s="19"/>
      <c r="Q37" s="19"/>
      <c r="R37" s="19"/>
      <c r="S37" s="60"/>
      <c r="T37" s="19"/>
      <c r="U37" s="19"/>
      <c r="V37" s="19"/>
      <c r="W37" s="19"/>
      <c r="X37" s="60"/>
      <c r="Y37" s="19"/>
      <c r="Z37" s="19"/>
      <c r="AA37" s="19"/>
      <c r="AB37" s="19"/>
      <c r="AC37" s="60"/>
      <c r="AD37" s="19"/>
      <c r="AE37" s="19"/>
      <c r="AF37" s="19"/>
      <c r="AG37" s="19"/>
      <c r="AH37" s="60"/>
      <c r="AI37" s="19"/>
      <c r="AJ37" s="61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2"/>
      <c r="O38" s="13"/>
      <c r="P38" s="13"/>
      <c r="Q38" s="13"/>
      <c r="R38" s="13"/>
      <c r="S38" s="62"/>
      <c r="T38" s="13"/>
      <c r="U38" s="13"/>
      <c r="V38" s="13"/>
      <c r="W38" s="13"/>
      <c r="X38" s="62"/>
      <c r="Y38" s="13"/>
      <c r="Z38" s="13"/>
      <c r="AA38" s="13"/>
      <c r="AB38" s="13"/>
      <c r="AC38" s="62"/>
      <c r="AD38" s="13"/>
      <c r="AE38" s="13"/>
      <c r="AF38" s="13"/>
      <c r="AG38" s="13"/>
      <c r="AH38" s="62"/>
      <c r="AI38" s="13"/>
      <c r="AJ38" s="61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1.0</v>
      </c>
      <c r="K39" s="19">
        <v>3.0</v>
      </c>
      <c r="L39" s="19">
        <v>0.0</v>
      </c>
      <c r="M39" s="19">
        <v>0.0</v>
      </c>
      <c r="N39" s="19">
        <v>3.0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>
        <v>0.0</v>
      </c>
      <c r="AJ39" s="13">
        <f t="shared" ref="AJ39:AJ41" si="12">SUM(E39:AI39)</f>
        <v>7</v>
      </c>
    </row>
    <row r="40" ht="12.75" customHeight="1">
      <c r="A40" s="33"/>
      <c r="C40" s="27"/>
      <c r="D40" s="19" t="s">
        <v>13</v>
      </c>
      <c r="E40" s="19">
        <v>0.0</v>
      </c>
      <c r="F40" s="19">
        <v>2.0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3.0</v>
      </c>
      <c r="O40" s="19">
        <v>0.0</v>
      </c>
      <c r="P40" s="19">
        <v>0.0</v>
      </c>
      <c r="Q40" s="19">
        <v>0.0</v>
      </c>
      <c r="R40" s="19">
        <v>0.0</v>
      </c>
      <c r="S40" s="19">
        <v>2.0</v>
      </c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>
        <v>0.0</v>
      </c>
      <c r="AJ40" s="13">
        <f t="shared" si="12"/>
        <v>7</v>
      </c>
    </row>
    <row r="41" ht="12.75" customHeight="1">
      <c r="A41" s="41"/>
      <c r="B41" s="44"/>
      <c r="C41" s="28"/>
      <c r="D41" s="13" t="s">
        <v>14</v>
      </c>
      <c r="E41" s="13">
        <f t="shared" ref="E41:AI41" si="13">SUM(E39:E40)</f>
        <v>0</v>
      </c>
      <c r="F41" s="13">
        <f t="shared" si="13"/>
        <v>2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1</v>
      </c>
      <c r="K41" s="13">
        <f t="shared" si="13"/>
        <v>3</v>
      </c>
      <c r="L41" s="13">
        <f t="shared" si="13"/>
        <v>0</v>
      </c>
      <c r="M41" s="13">
        <f t="shared" si="13"/>
        <v>0</v>
      </c>
      <c r="N41" s="13">
        <f t="shared" si="13"/>
        <v>6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2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3"/>
        <v>0</v>
      </c>
      <c r="AH41" s="13">
        <f t="shared" si="13"/>
        <v>0</v>
      </c>
      <c r="AI41" s="13">
        <f t="shared" si="13"/>
        <v>0</v>
      </c>
      <c r="AJ41" s="13">
        <f t="shared" si="12"/>
        <v>14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60"/>
      <c r="O42" s="19"/>
      <c r="P42" s="19"/>
      <c r="Q42" s="19"/>
      <c r="R42" s="19"/>
      <c r="S42" s="60"/>
      <c r="T42" s="19"/>
      <c r="U42" s="19"/>
      <c r="V42" s="19"/>
      <c r="W42" s="19"/>
      <c r="X42" s="60"/>
      <c r="Y42" s="19"/>
      <c r="Z42" s="19"/>
      <c r="AA42" s="19"/>
      <c r="AB42" s="19"/>
      <c r="AC42" s="60"/>
      <c r="AD42" s="19"/>
      <c r="AE42" s="19"/>
      <c r="AF42" s="19"/>
      <c r="AG42" s="19"/>
      <c r="AH42" s="60"/>
      <c r="AI42" s="19"/>
      <c r="AJ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2"/>
      <c r="O43" s="13"/>
      <c r="P43" s="13"/>
      <c r="Q43" s="13"/>
      <c r="R43" s="13"/>
      <c r="S43" s="62"/>
      <c r="T43" s="13"/>
      <c r="U43" s="13"/>
      <c r="V43" s="13"/>
      <c r="W43" s="13"/>
      <c r="X43" s="62"/>
      <c r="Y43" s="13"/>
      <c r="Z43" s="13"/>
      <c r="AA43" s="13"/>
      <c r="AB43" s="13"/>
      <c r="AC43" s="62"/>
      <c r="AD43" s="13"/>
      <c r="AE43" s="13"/>
      <c r="AF43" s="13"/>
      <c r="AG43" s="13"/>
      <c r="AH43" s="62"/>
      <c r="AI43" s="13"/>
      <c r="AJ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60"/>
      <c r="O44" s="19"/>
      <c r="P44" s="19"/>
      <c r="Q44" s="19"/>
      <c r="R44" s="19"/>
      <c r="S44" s="60"/>
      <c r="T44" s="19"/>
      <c r="U44" s="19"/>
      <c r="V44" s="19"/>
      <c r="W44" s="19"/>
      <c r="X44" s="60"/>
      <c r="Y44" s="19"/>
      <c r="Z44" s="19"/>
      <c r="AA44" s="19"/>
      <c r="AB44" s="19"/>
      <c r="AC44" s="60"/>
      <c r="AD44" s="19"/>
      <c r="AE44" s="19"/>
      <c r="AF44" s="19"/>
      <c r="AG44" s="19"/>
      <c r="AH44" s="60"/>
      <c r="AI44" s="19"/>
      <c r="AJ44" s="13"/>
    </row>
    <row r="45" ht="12.75" customHeight="1">
      <c r="A45" s="64"/>
      <c r="B45" s="47">
        <v>1.0</v>
      </c>
      <c r="C45" s="48" t="s">
        <v>37</v>
      </c>
      <c r="D45" s="16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3">
        <f t="shared" ref="AJ45:AJ47" si="14">SUM(E45:AI45)</f>
        <v>0</v>
      </c>
    </row>
    <row r="46" ht="12.75" customHeight="1">
      <c r="A46" s="18"/>
      <c r="B46" s="47">
        <v>2.0</v>
      </c>
      <c r="C46" s="48" t="s">
        <v>38</v>
      </c>
      <c r="D46" s="16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3">
        <f t="shared" si="14"/>
        <v>0</v>
      </c>
    </row>
    <row r="47" ht="12.75" customHeight="1">
      <c r="A47" s="45"/>
      <c r="B47" s="47">
        <v>3.0</v>
      </c>
      <c r="C47" s="48" t="s">
        <v>39</v>
      </c>
      <c r="D47" s="16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3">
        <f t="shared" si="14"/>
        <v>0</v>
      </c>
    </row>
    <row r="48" ht="12.75" customHeight="1">
      <c r="AJ48" s="13"/>
    </row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</row>
    <row r="50" ht="12.75" customHeight="1">
      <c r="A50" s="42"/>
      <c r="B50" s="54" t="s">
        <v>42</v>
      </c>
      <c r="C50" s="55" t="s">
        <v>43</v>
      </c>
      <c r="D50" s="16"/>
      <c r="E50" s="19">
        <f t="shared" ref="E50:AI50" si="15">SUM(E45:E47)</f>
        <v>0</v>
      </c>
      <c r="F50" s="19">
        <f t="shared" si="15"/>
        <v>0</v>
      </c>
      <c r="G50" s="19">
        <f t="shared" si="15"/>
        <v>0</v>
      </c>
      <c r="H50" s="19">
        <f t="shared" si="15"/>
        <v>0</v>
      </c>
      <c r="I50" s="19">
        <f t="shared" si="15"/>
        <v>0</v>
      </c>
      <c r="J50" s="19">
        <f t="shared" si="15"/>
        <v>0</v>
      </c>
      <c r="K50" s="19">
        <f t="shared" si="15"/>
        <v>0</v>
      </c>
      <c r="L50" s="19">
        <f t="shared" si="15"/>
        <v>0</v>
      </c>
      <c r="M50" s="19">
        <f t="shared" si="15"/>
        <v>0</v>
      </c>
      <c r="N50" s="19">
        <f t="shared" si="15"/>
        <v>0</v>
      </c>
      <c r="O50" s="19">
        <f t="shared" si="15"/>
        <v>0</v>
      </c>
      <c r="P50" s="19">
        <f t="shared" si="15"/>
        <v>0</v>
      </c>
      <c r="Q50" s="19">
        <f t="shared" si="15"/>
        <v>0</v>
      </c>
      <c r="R50" s="19">
        <f t="shared" si="15"/>
        <v>0</v>
      </c>
      <c r="S50" s="19">
        <f t="shared" si="15"/>
        <v>0</v>
      </c>
      <c r="T50" s="19">
        <f t="shared" si="15"/>
        <v>0</v>
      </c>
      <c r="U50" s="19">
        <f t="shared" si="15"/>
        <v>0</v>
      </c>
      <c r="V50" s="19">
        <f t="shared" si="15"/>
        <v>0</v>
      </c>
      <c r="W50" s="19">
        <f t="shared" si="15"/>
        <v>0</v>
      </c>
      <c r="X50" s="19">
        <f t="shared" si="15"/>
        <v>0</v>
      </c>
      <c r="Y50" s="19">
        <f t="shared" si="15"/>
        <v>0</v>
      </c>
      <c r="Z50" s="19">
        <f t="shared" si="15"/>
        <v>0</v>
      </c>
      <c r="AA50" s="19">
        <f t="shared" si="15"/>
        <v>0</v>
      </c>
      <c r="AB50" s="19">
        <f t="shared" si="15"/>
        <v>0</v>
      </c>
      <c r="AC50" s="19">
        <f t="shared" si="15"/>
        <v>0</v>
      </c>
      <c r="AD50" s="19">
        <f t="shared" si="15"/>
        <v>0</v>
      </c>
      <c r="AE50" s="19">
        <f t="shared" si="15"/>
        <v>0</v>
      </c>
      <c r="AF50" s="19">
        <f t="shared" si="15"/>
        <v>0</v>
      </c>
      <c r="AG50" s="19">
        <f t="shared" si="15"/>
        <v>0</v>
      </c>
      <c r="AH50" s="19">
        <f t="shared" si="15"/>
        <v>0</v>
      </c>
      <c r="AI50" s="19">
        <f t="shared" si="15"/>
        <v>0</v>
      </c>
      <c r="AJ50" s="13">
        <f t="shared" ref="AJ50:AJ52" si="16">SUM(E50:AI50)</f>
        <v>0</v>
      </c>
    </row>
    <row r="51" ht="12.75" customHeight="1">
      <c r="A51" s="35"/>
      <c r="B51" s="54" t="s">
        <v>44</v>
      </c>
      <c r="C51" s="55" t="s">
        <v>45</v>
      </c>
      <c r="D51" s="16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3">
        <f t="shared" si="16"/>
        <v>0</v>
      </c>
    </row>
    <row r="52" ht="12.75" customHeight="1">
      <c r="A52" s="41"/>
      <c r="B52" s="54" t="s">
        <v>46</v>
      </c>
      <c r="C52" s="55" t="s">
        <v>47</v>
      </c>
      <c r="D52" s="16"/>
      <c r="E52" s="13">
        <f t="shared" ref="E52:AI52" si="17">SUM(E50:E51)</f>
        <v>0</v>
      </c>
      <c r="F52" s="13">
        <f t="shared" si="17"/>
        <v>0</v>
      </c>
      <c r="G52" s="13">
        <f t="shared" si="17"/>
        <v>0</v>
      </c>
      <c r="H52" s="13">
        <f t="shared" si="17"/>
        <v>0</v>
      </c>
      <c r="I52" s="13">
        <f t="shared" si="17"/>
        <v>0</v>
      </c>
      <c r="J52" s="13">
        <f t="shared" si="17"/>
        <v>0</v>
      </c>
      <c r="K52" s="13">
        <f t="shared" si="17"/>
        <v>0</v>
      </c>
      <c r="L52" s="13">
        <f t="shared" si="17"/>
        <v>0</v>
      </c>
      <c r="M52" s="13">
        <f t="shared" si="17"/>
        <v>0</v>
      </c>
      <c r="N52" s="13">
        <f t="shared" si="17"/>
        <v>0</v>
      </c>
      <c r="O52" s="13">
        <f t="shared" si="17"/>
        <v>0</v>
      </c>
      <c r="P52" s="13">
        <f t="shared" si="17"/>
        <v>0</v>
      </c>
      <c r="Q52" s="13">
        <f t="shared" si="17"/>
        <v>0</v>
      </c>
      <c r="R52" s="13">
        <f t="shared" si="17"/>
        <v>0</v>
      </c>
      <c r="S52" s="13">
        <f t="shared" si="17"/>
        <v>0</v>
      </c>
      <c r="T52" s="13">
        <f t="shared" si="17"/>
        <v>0</v>
      </c>
      <c r="U52" s="13">
        <f t="shared" si="17"/>
        <v>0</v>
      </c>
      <c r="V52" s="13">
        <f t="shared" si="17"/>
        <v>0</v>
      </c>
      <c r="W52" s="13">
        <f t="shared" si="17"/>
        <v>0</v>
      </c>
      <c r="X52" s="13">
        <f t="shared" si="17"/>
        <v>0</v>
      </c>
      <c r="Y52" s="13">
        <f t="shared" si="17"/>
        <v>0</v>
      </c>
      <c r="Z52" s="13">
        <f t="shared" si="17"/>
        <v>0</v>
      </c>
      <c r="AA52" s="13">
        <f t="shared" si="17"/>
        <v>0</v>
      </c>
      <c r="AB52" s="13">
        <f t="shared" si="17"/>
        <v>0</v>
      </c>
      <c r="AC52" s="13">
        <f t="shared" si="17"/>
        <v>0</v>
      </c>
      <c r="AD52" s="13">
        <f t="shared" si="17"/>
        <v>0</v>
      </c>
      <c r="AE52" s="13">
        <f t="shared" si="17"/>
        <v>0</v>
      </c>
      <c r="AF52" s="13">
        <f t="shared" si="17"/>
        <v>0</v>
      </c>
      <c r="AG52" s="13">
        <f t="shared" si="17"/>
        <v>0</v>
      </c>
      <c r="AH52" s="13">
        <f t="shared" si="17"/>
        <v>0</v>
      </c>
      <c r="AI52" s="13">
        <f t="shared" si="17"/>
        <v>0</v>
      </c>
      <c r="AJ52" s="13">
        <f t="shared" si="16"/>
        <v>0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>
      <c r="AL117" s="5"/>
    </row>
    <row r="118" ht="12.75" customHeight="1">
      <c r="AL118" s="5"/>
    </row>
    <row r="119" ht="12.75" customHeight="1">
      <c r="AL119" s="5"/>
    </row>
    <row r="120" ht="12.75" customHeight="1">
      <c r="AL120" s="5"/>
    </row>
    <row r="121" ht="12.75" customHeight="1">
      <c r="AL121" s="5"/>
    </row>
    <row r="122" ht="12.75" customHeight="1">
      <c r="AL122" s="5"/>
    </row>
    <row r="123" ht="12.75" customHeight="1">
      <c r="AL123" s="5"/>
    </row>
    <row r="124" ht="12.75" customHeight="1">
      <c r="AL124" s="5"/>
    </row>
    <row r="125" ht="12.75" customHeight="1">
      <c r="AL125" s="5"/>
    </row>
    <row r="126" ht="12.75" customHeight="1">
      <c r="AL126" s="5"/>
    </row>
    <row r="127" ht="12.75" customHeight="1">
      <c r="AL127" s="5"/>
    </row>
    <row r="128" ht="12.75" customHeight="1">
      <c r="AL128" s="5"/>
    </row>
    <row r="129" ht="12.75" customHeight="1">
      <c r="AL129" s="5"/>
    </row>
    <row r="130" ht="12.75" customHeight="1">
      <c r="AL130" s="1"/>
    </row>
    <row r="131" ht="12.75" customHeight="1">
      <c r="AL131" s="50"/>
    </row>
    <row r="132" ht="12.75" customHeight="1">
      <c r="AL132" s="5"/>
    </row>
    <row r="133" ht="12.75" customHeight="1">
      <c r="AL133" s="5"/>
    </row>
    <row r="134" ht="12.75" customHeight="1">
      <c r="AL134" s="5"/>
    </row>
    <row r="135" ht="12.75" customHeight="1">
      <c r="AL135" s="5"/>
    </row>
    <row r="136" ht="12.75" customHeight="1">
      <c r="AL136" s="5"/>
    </row>
    <row r="137" ht="12.75" customHeight="1">
      <c r="AL137" s="5"/>
    </row>
    <row r="138" ht="12.75" customHeight="1">
      <c r="AL138" s="5"/>
    </row>
    <row r="139" ht="12.75" customHeight="1">
      <c r="AL139" s="5"/>
    </row>
    <row r="140" ht="12.75" customHeight="1">
      <c r="AL140" s="5"/>
    </row>
    <row r="141" ht="12.75" customHeight="1">
      <c r="AL141" s="1"/>
    </row>
    <row r="142" ht="12.75" customHeight="1">
      <c r="AL142" s="50"/>
    </row>
    <row r="143" ht="12.75" customHeight="1">
      <c r="AL143" s="5"/>
    </row>
    <row r="144" ht="12.75" customHeight="1">
      <c r="AL144" s="5"/>
    </row>
    <row r="145" ht="12.75" customHeight="1">
      <c r="AL145" s="5"/>
    </row>
    <row r="146" ht="12.75" customHeight="1">
      <c r="AL146" s="5"/>
    </row>
    <row r="147" ht="12.75" customHeight="1">
      <c r="AL147" s="5"/>
    </row>
    <row r="148" ht="12.75" customHeight="1">
      <c r="AL148" s="5"/>
    </row>
    <row r="149" ht="12.75" customHeight="1">
      <c r="AL149" s="5"/>
    </row>
    <row r="150" ht="12.75" customHeight="1">
      <c r="AL150" s="5"/>
    </row>
    <row r="151" ht="12.75" customHeight="1">
      <c r="AL151" s="1"/>
    </row>
    <row r="152" ht="12.75" customHeight="1">
      <c r="AL152" s="50"/>
    </row>
    <row r="153" ht="12.75" customHeight="1">
      <c r="AL153" s="5"/>
    </row>
    <row r="154" ht="12.75" customHeight="1">
      <c r="AL154" s="5"/>
    </row>
    <row r="155" ht="12.75" customHeight="1">
      <c r="AL155" s="5"/>
    </row>
    <row r="156" ht="12.75" customHeight="1">
      <c r="AL156" s="5"/>
    </row>
    <row r="157" ht="12.75" customHeight="1">
      <c r="AL157" s="5"/>
    </row>
    <row r="158" ht="12.75" customHeight="1">
      <c r="AL158" s="5"/>
    </row>
    <row r="159" ht="12.75" customHeight="1">
      <c r="AL159" s="5"/>
    </row>
    <row r="160" ht="12.75" customHeight="1">
      <c r="AL160" s="5"/>
    </row>
    <row r="161" ht="12.75" customHeight="1">
      <c r="AL161" s="5"/>
    </row>
    <row r="162" ht="12.75" customHeight="1">
      <c r="AL162" s="5"/>
    </row>
    <row r="163" ht="12.75" customHeight="1">
      <c r="AL163" s="5"/>
    </row>
    <row r="164" ht="12.75" customHeight="1">
      <c r="AL164" s="5"/>
    </row>
    <row r="165" ht="12.75" customHeight="1">
      <c r="AL165" s="1"/>
    </row>
    <row r="166" ht="12.75" customHeight="1">
      <c r="AL166" s="50"/>
    </row>
    <row r="167" ht="12.75" customHeight="1">
      <c r="AL167" s="5"/>
    </row>
    <row r="168" ht="12.75" customHeight="1">
      <c r="AL168" s="5"/>
    </row>
    <row r="169" ht="12.75" customHeight="1">
      <c r="AL169" s="5"/>
    </row>
    <row r="170" ht="12.75" customHeight="1">
      <c r="AL170" s="5"/>
    </row>
    <row r="171" ht="12.75" customHeight="1">
      <c r="AL171" s="5"/>
    </row>
    <row r="172" ht="12.75" customHeight="1">
      <c r="AL172" s="5"/>
    </row>
    <row r="173" ht="12.75" customHeight="1">
      <c r="AL173" s="5"/>
    </row>
    <row r="174" ht="12.75" customHeight="1">
      <c r="AL174" s="5"/>
    </row>
    <row r="175" ht="12.75" customHeight="1">
      <c r="AL175" s="5"/>
    </row>
    <row r="176" ht="12.75" customHeight="1">
      <c r="AL176" s="1"/>
    </row>
    <row r="177" ht="12.75" customHeight="1"/>
    <row r="178" ht="12.75" customHeight="1">
      <c r="AL178" s="5"/>
    </row>
    <row r="179" ht="12.75" customHeight="1">
      <c r="AL179" s="5"/>
    </row>
    <row r="180" ht="12.75" customHeight="1">
      <c r="AL180" s="5"/>
    </row>
    <row r="181" ht="12.75" customHeight="1">
      <c r="AL181" s="5"/>
    </row>
    <row r="182" ht="12.75" customHeight="1">
      <c r="AL182" s="5"/>
    </row>
    <row r="183" ht="12.75" customHeight="1">
      <c r="AL183" s="5"/>
    </row>
    <row r="184" ht="12.75" customHeight="1">
      <c r="AL184" s="5"/>
    </row>
    <row r="185" ht="12.75" customHeight="1">
      <c r="AL185" s="5"/>
    </row>
    <row r="186" ht="12.75" customHeight="1">
      <c r="AL186" s="5"/>
    </row>
    <row r="187" ht="12.75" customHeight="1">
      <c r="AL187" s="1"/>
    </row>
    <row r="188" ht="12.75" customHeight="1"/>
    <row r="189" ht="12.75" customHeight="1">
      <c r="AL189" s="5"/>
    </row>
    <row r="190" ht="12.75" customHeight="1">
      <c r="AL190" s="5"/>
    </row>
    <row r="191" ht="12.75" customHeight="1">
      <c r="AL191" s="5"/>
    </row>
    <row r="192" ht="12.75" customHeight="1">
      <c r="AL192" s="5"/>
    </row>
    <row r="193" ht="12.75" customHeight="1">
      <c r="AL193" s="5"/>
    </row>
    <row r="194" ht="12.75" customHeight="1">
      <c r="AL194" s="5"/>
    </row>
    <row r="195" ht="12.75" customHeight="1">
      <c r="AL195" s="5"/>
    </row>
    <row r="196" ht="12.75" customHeight="1">
      <c r="AL196" s="1"/>
    </row>
    <row r="197" ht="12.75" customHeight="1">
      <c r="AL197" s="1"/>
    </row>
    <row r="198" ht="12.75" customHeight="1">
      <c r="AL198" s="1"/>
    </row>
    <row r="199" ht="12.75" customHeight="1">
      <c r="AL199" s="50"/>
    </row>
    <row r="200" ht="12.75" customHeight="1">
      <c r="AL200" s="5"/>
    </row>
    <row r="201" ht="12.75" customHeight="1">
      <c r="AL201" s="5"/>
    </row>
    <row r="202" ht="12.75" customHeight="1">
      <c r="AL202" s="5"/>
    </row>
    <row r="203" ht="12.75" customHeight="1">
      <c r="AL203" s="5"/>
    </row>
    <row r="204" ht="12.75" customHeight="1">
      <c r="AL204" s="5"/>
    </row>
    <row r="205" ht="12.75" customHeight="1">
      <c r="AL205" s="5"/>
    </row>
    <row r="206" ht="12.75" customHeight="1">
      <c r="AL206" s="5"/>
    </row>
    <row r="207" ht="12.75" customHeight="1">
      <c r="AL207" s="1"/>
    </row>
    <row r="208" ht="12.75" customHeight="1">
      <c r="AL208" s="50"/>
    </row>
    <row r="209" ht="12.75" customHeight="1">
      <c r="AL209" s="50"/>
    </row>
    <row r="210" ht="12.75" customHeight="1">
      <c r="AL210" s="50"/>
    </row>
    <row r="211" ht="12.75" customHeight="1">
      <c r="AL211" s="5"/>
    </row>
    <row r="212" ht="12.75" customHeight="1">
      <c r="AL212" s="5"/>
    </row>
    <row r="213" ht="12.75" customHeight="1">
      <c r="AL213" s="5"/>
    </row>
    <row r="214" ht="12.75" customHeight="1">
      <c r="AL214" s="5"/>
    </row>
    <row r="215" ht="12.75" customHeight="1">
      <c r="AL215" s="5"/>
    </row>
    <row r="216" ht="12.75" customHeight="1">
      <c r="AL216" s="5"/>
    </row>
    <row r="217" ht="12.75" customHeight="1">
      <c r="AL217" s="5"/>
    </row>
    <row r="218" ht="12.75" customHeight="1">
      <c r="AL218" s="1"/>
    </row>
    <row r="219" ht="12.75" customHeight="1">
      <c r="AL219" s="50"/>
    </row>
    <row r="220" ht="12.75" customHeight="1">
      <c r="AL220" s="5"/>
    </row>
    <row r="221" ht="12.75" customHeight="1">
      <c r="AL221" s="5"/>
    </row>
    <row r="222" ht="12.75" customHeight="1">
      <c r="AL222" s="5"/>
    </row>
    <row r="223" ht="12.75" customHeight="1">
      <c r="AL223" s="5"/>
    </row>
    <row r="224" ht="12.75" customHeight="1">
      <c r="AL224" s="5"/>
    </row>
    <row r="225" ht="12.75" customHeight="1">
      <c r="AL225" s="5"/>
    </row>
    <row r="226" ht="12.75" customHeight="1">
      <c r="AL226" s="5"/>
    </row>
    <row r="227" ht="12.75" customHeight="1">
      <c r="AL227" s="5"/>
    </row>
    <row r="228" ht="12.75" customHeight="1">
      <c r="AL228" s="5"/>
    </row>
    <row r="229" ht="12.75" customHeight="1">
      <c r="AL229" s="1"/>
    </row>
    <row r="230" ht="12.75" customHeight="1">
      <c r="AL230" s="50"/>
    </row>
    <row r="231" ht="12.75" customHeight="1">
      <c r="AL231" s="5"/>
    </row>
    <row r="232" ht="12.75" customHeight="1">
      <c r="AL232" s="5"/>
    </row>
    <row r="233" ht="12.75" customHeight="1">
      <c r="AL233" s="5"/>
    </row>
    <row r="234" ht="12.75" customHeight="1">
      <c r="AL234" s="5"/>
    </row>
    <row r="235" ht="12.75" customHeight="1">
      <c r="AL235" s="5"/>
    </row>
    <row r="236" ht="12.75" customHeight="1">
      <c r="AL236" s="5"/>
    </row>
    <row r="237" ht="12.75" customHeight="1">
      <c r="AL237" s="5"/>
    </row>
    <row r="238" ht="12.75" customHeight="1">
      <c r="AL238" s="5"/>
    </row>
    <row r="239" ht="12.75" customHeight="1">
      <c r="AL239" s="5"/>
    </row>
    <row r="240" ht="12.75" customHeight="1">
      <c r="AL240" s="1"/>
    </row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AI12"/>
    <mergeCell ref="AJ12:AJ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14:AI15 E19:AI20 E22:AI23 E25:AI26 E33:AI33 E35:AI35 E39:AI40">
    <cfRule type="containsBlanks" dxfId="1" priority="1">
      <formula>LEN(TRIM(E14))=0</formula>
    </cfRule>
  </conditionalFormatting>
  <conditionalFormatting sqref="E30:AI30">
    <cfRule type="expression" dxfId="0" priority="2">
      <formula>E30&lt;&gt;E47</formula>
    </cfRule>
  </conditionalFormatting>
  <conditionalFormatting sqref="E30:AI30">
    <cfRule type="expression" dxfId="0" priority="3">
      <formula>E30&lt;&gt;E34</formula>
    </cfRule>
  </conditionalFormatting>
  <conditionalFormatting sqref="E34:AI34">
    <cfRule type="expression" dxfId="2" priority="4">
      <formula>E30&lt;&gt;E34</formula>
    </cfRule>
  </conditionalFormatting>
  <conditionalFormatting sqref="E34:AI34">
    <cfRule type="expression" dxfId="3" priority="5">
      <formula>E30=E34</formula>
    </cfRule>
  </conditionalFormatting>
  <conditionalFormatting sqref="E34:AI34">
    <cfRule type="expression" dxfId="0" priority="6">
      <formula>E34&lt;&gt;E30</formula>
    </cfRule>
  </conditionalFormatting>
  <conditionalFormatting sqref="E45:AI47">
    <cfRule type="containsBlanks" dxfId="1" priority="7">
      <formula>LEN(TRIM(E45))=0</formula>
    </cfRule>
  </conditionalFormatting>
  <conditionalFormatting sqref="E50:AI51">
    <cfRule type="containsBlanks" dxfId="1" priority="8">
      <formula>LEN(TRIM(E50))=0</formula>
    </cfRule>
  </conditionalFormatting>
  <conditionalFormatting sqref="E34:AI34">
    <cfRule type="expression" dxfId="0" priority="9">
      <formula>E34&lt;&gt;#REF!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2026-01-14T02:26:01Z</dcterms:created>
  <dc:creator>TEKHUM KPU BWI</dc:creator>
</cp:coreProperties>
</file>